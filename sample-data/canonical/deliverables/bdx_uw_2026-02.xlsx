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<sst xmlns="http://schemas.openxmlformats.org/spreadsheetml/2006/main" count="621" uniqueCount="445">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</sst>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Bordereaux'!$D$5:$D$662,"Bound*",'UW Bordereaux'!$AD$5:$AD$662))*$D24</f>
      </c>
      <c r="F24" s="15">
        <f>(SUMIF('UW Bordereaux'!$D$5:$D$662,"Bound*",'UW Bordereaux'!$AB$5:$AB$662))*$D24</f>
      </c>
      <c r="G24" s="15">
        <f>(SUMIF('UW Bordereaux'!$D$5:$D$662,"Bound*",'UW Bordereaux'!$AQ$5:$AQ$662))*$D24</f>
      </c>
    </row>
    <row r="25" spans="2:7" ht="15" customHeight="1" x14ac:dyDescent="0.25">
      <c r="B25" s="16" t="s">
        <v>77</v>
      </c>
      <c r="C25" s="17" t="s">
        <v>78</v>
      </c>
      <c r="D25" s="18">
        <v>0.1</v>
      </c>
      <c r="E25" s="19">
        <f>(SUMIF('UW Bordereaux'!$D$5:$D$662,"Bound*",'UW Bordereaux'!$AD$5:$AD$662))*$D25</f>
      </c>
      <c r="F25" s="19">
        <f>(SUMIF('UW Bordereaux'!$D$5:$D$662,"Bound*",'UW Bordereaux'!$AB$5:$AB$662))*$D25</f>
      </c>
      <c r="G25" s="19">
        <f>(SUMIF('UW Bordereaux'!$D$5:$D$662,"Bound*",'UW Bordereaux'!$AQ$5:$AQ$662))*$D25</f>
      </c>
    </row>
    <row r="26" spans="2:7" ht="15" customHeight="1" x14ac:dyDescent="0.25">
      <c r="B26" s="13" t="s">
        <v>79</v>
      </c>
      <c r="C26" s="14" t="s">
        <v>80</v>
      </c>
      <c r="D26" s="6">
        <v>0.1</v>
      </c>
      <c r="E26" s="15">
        <f>(SUMIF('UW Bordereaux'!$D$5:$D$662,"Bound*",'UW Bordereaux'!$AD$5:$AD$662))*$D26</f>
      </c>
      <c r="F26" s="15">
        <f>(SUMIF('UW Bordereaux'!$D$5:$D$662,"Bound*",'UW Bordereaux'!$AB$5:$AB$662))*$D26</f>
      </c>
      <c r="G26" s="15">
        <f>(SUMIF('UW Bordereaux'!$D$5:$D$662,"Bound*",'UW Bordereaux'!$AQ$5:$AQ$662))*$D26</f>
      </c>
    </row>
    <row r="27" spans="2:7" ht="15" customHeight="1" x14ac:dyDescent="0.25">
      <c r="B27" s="16" t="s">
        <v>81</v>
      </c>
      <c r="C27" s="17" t="s">
        <v>82</v>
      </c>
      <c r="D27" s="18">
        <v>0.1</v>
      </c>
      <c r="E27" s="19">
        <f>(SUMIF('UW Bordereaux'!$D$5:$D$662,"Bound*",'UW Bordereaux'!$AD$5:$AD$662))*$D27</f>
      </c>
      <c r="F27" s="19">
        <f>(SUMIF('UW Bordereaux'!$D$5:$D$662,"Bound*",'UW Bordereaux'!$AB$5:$AB$662))*$D27</f>
      </c>
      <c r="G27" s="19">
        <f>(SUMIF('UW Bordereaux'!$D$5:$D$662,"Bound*",'UW Bordereaux'!$AQ$5:$AQ$662))*$D27</f>
      </c>
    </row>
    <row r="28" spans="2:7" ht="15" customHeight="1" x14ac:dyDescent="0.25">
      <c r="B28" s="13" t="s">
        <v>83</v>
      </c>
      <c r="C28" s="14" t="s">
        <v>84</v>
      </c>
      <c r="D28" s="6">
        <v>0.1</v>
      </c>
      <c r="E28" s="15">
        <f>(SUMIF('UW Bordereaux'!$D$5:$D$662,"Bound*",'UW Bordereaux'!$AD$5:$AD$662))*$D28</f>
      </c>
      <c r="F28" s="15">
        <f>(SUMIF('UW Bordereaux'!$D$5:$D$662,"Bound*",'UW Bordereaux'!$AB$5:$AB$662))*$D28</f>
      </c>
      <c r="G28" s="15">
        <f>(SUMIF('UW Bordereaux'!$D$5:$D$662,"Bound*",'UW Bordereaux'!$AQ$5:$AQ$662))*$D28</f>
      </c>
    </row>
    <row r="29" spans="2:7" ht="15" customHeight="1" x14ac:dyDescent="0.25">
      <c r="B29" s="16" t="s">
        <v>85</v>
      </c>
      <c r="C29" s="17" t="s">
        <v>86</v>
      </c>
      <c r="D29" s="18">
        <v>0.1</v>
      </c>
      <c r="E29" s="19">
        <f>(SUMIF('UW Bordereaux'!$D$5:$D$662,"Bound*",'UW Bordereaux'!$AD$5:$AD$662))*$D29</f>
      </c>
      <c r="F29" s="19">
        <f>(SUMIF('UW Bordereaux'!$D$5:$D$662,"Bound*",'UW Bordereaux'!$AB$5:$AB$662))*$D29</f>
      </c>
      <c r="G29" s="19">
        <f>(SUMIF('UW Bordereaux'!$D$5:$D$662,"Bound*",'UW Bordereaux'!$AQ$5:$AQ$662))*$D29</f>
      </c>
    </row>
    <row r="30" spans="2:7" ht="15" customHeight="1" x14ac:dyDescent="0.25">
      <c r="B30" s="13" t="s">
        <v>87</v>
      </c>
      <c r="C30" s="14" t="s">
        <v>88</v>
      </c>
      <c r="D30" s="6">
        <v>0.1</v>
      </c>
      <c r="E30" s="15">
        <f>(SUMIF('UW Bordereaux'!$D$5:$D$662,"Bound*",'UW Bordereaux'!$AD$5:$AD$662))*$D30</f>
      </c>
      <c r="F30" s="15">
        <f>(SUMIF('UW Bordereaux'!$D$5:$D$662,"Bound*",'UW Bordereaux'!$AB$5:$AB$662))*$D30</f>
      </c>
      <c r="G30" s="15">
        <f>(SUMIF('UW Bordereaux'!$D$5:$D$662,"Bound*",'UW Bordereaux'!$AQ$5:$AQ$662))*$D30</f>
      </c>
    </row>
    <row r="31" spans="2:7" ht="15" customHeight="1" x14ac:dyDescent="0.25">
      <c r="B31" s="16" t="s">
        <v>89</v>
      </c>
      <c r="C31" s="17" t="s">
        <v>90</v>
      </c>
      <c r="D31" s="18">
        <v>0.1</v>
      </c>
      <c r="E31" s="19">
        <f>(SUMIF('UW Bordereaux'!$D$5:$D$662,"Bound*",'UW Bordereaux'!$AD$5:$AD$662))*$D31</f>
      </c>
      <c r="F31" s="19">
        <f>(SUMIF('UW Bordereaux'!$D$5:$D$662,"Bound*",'UW Bordereaux'!$AB$5:$AB$662))*$D31</f>
      </c>
      <c r="G31" s="19">
        <f>(SUMIF('UW Bordereaux'!$D$5:$D$662,"Bound*",'UW Bordereaux'!$AQ$5:$AQ$662))*$D31</f>
      </c>
    </row>
    <row r="32" spans="2:7" ht="15" customHeight="1" x14ac:dyDescent="0.25">
      <c r="B32" s="13" t="s">
        <v>91</v>
      </c>
      <c r="C32" s="14" t="s">
        <v>92</v>
      </c>
      <c r="D32" s="6">
        <v>0.1</v>
      </c>
      <c r="E32" s="15">
        <f>(SUMIF('UW Bordereaux'!$D$5:$D$662,"Bound*",'UW Bordereaux'!$AD$5:$AD$662))*$D32</f>
      </c>
      <c r="F32" s="15">
        <f>(SUMIF('UW Bordereaux'!$D$5:$D$662,"Bound*",'UW Bordereaux'!$AB$5:$AB$662))*$D32</f>
      </c>
      <c r="G32" s="15">
        <f>(SUMIF('UW Bordereaux'!$D$5:$D$662,"Bound*",'UW Bordereaux'!$AQ$5:$AQ$662))*$D32</f>
      </c>
    </row>
    <row r="33" spans="2:7" ht="15" customHeight="1" x14ac:dyDescent="0.25">
      <c r="B33" s="16" t="s">
        <v>93</v>
      </c>
      <c r="C33" s="17" t="s">
        <v>94</v>
      </c>
      <c r="D33" s="18">
        <v>0.1</v>
      </c>
      <c r="E33" s="19">
        <f>(SUMIF('UW Bordereaux'!$D$5:$D$662,"Bound*",'UW Bordereaux'!$AD$5:$AD$662))*$D33</f>
      </c>
      <c r="F33" s="19">
        <f>(SUMIF('UW Bordereaux'!$D$5:$D$662,"Bound*",'UW Bordereaux'!$AB$5:$AB$662))*$D33</f>
      </c>
      <c r="G33" s="19">
        <f>(SUMIF('UW Bordereaux'!$D$5:$D$662,"Bound*",'UW Bordereaux'!$AQ$5:$AQ$662))*$D33</f>
      </c>
    </row>
    <row r="34" spans="2:7" ht="15" customHeight="1" x14ac:dyDescent="0.25">
      <c r="C34" s="20" t="s">
        <v>95</v>
      </c>
      <c r="D34" s="21">
        <f>SUM(D24:D33)</f>
      </c>
      <c r="E34" s="22">
        <f>SUMIF('UW Bordereaux'!$D$5:$D$662,"Bound*",'UW Bordereaux'!$AD$5:$AD$662)</f>
      </c>
      <c r="F34" s="22">
        <f>SUMIF('UW Bordereaux'!$D$5:$D$662,"Bound*",'UW Bordereaux'!$AB$5:$AB$662)</f>
      </c>
      <c r="G34" s="22">
        <f>SUMIF('UW Bordereaux'!$D$5:$D$662,"Bound*",'UW Bordereaux'!$AQ$5:$AQ$662)</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Bordereaux'!$A$5:$A$662)</f>
      </c>
    </row>
    <row r="39" spans="2:7" ht="15" customHeight="1" x14ac:dyDescent="0.25">
      <c r="B39" s="23" t="s">
        <v>98</v>
      </c>
      <c r="C39" s="24">
        <f>COUNTIF('UW Bordereaux'!$D$5:$D$662,"Bound*")</f>
      </c>
    </row>
    <row r="40" spans="2:7" ht="15" customHeight="1" x14ac:dyDescent="0.25">
      <c r="B40" s="23" t="s">
        <v>99</v>
      </c>
      <c r="C40" s="24">
        <f>COUNTIF('UW Bordereaux'!$D$5:$D$662,"Declined")+COUNTIF('UW Bordereaux'!$D$5:$D$662,"Cancelled")+COUNTIF('UW Bordereaux'!$D$5:$D$662,"Lapsed")</f>
      </c>
    </row>
    <row r="41" spans="2:7" ht="15" customHeight="1" x14ac:dyDescent="0.25">
      <c r="B41" s="25" t="s">
        <v>100</v>
      </c>
      <c r="C41" s="26">
        <f>SUMIF('UW Bordereaux'!$D$5:$D$662,"Bound*",'UW Bordereaux'!$AD$5:$AD$662)</f>
      </c>
    </row>
    <row r="42" spans="2:7" ht="15" customHeight="1" x14ac:dyDescent="0.25">
      <c r="B42" s="25" t="s">
        <v>101</v>
      </c>
      <c r="C42" s="26">
        <f>SUMIF('UW Bordereaux'!$D$5:$D$662,"Bound*",'UW Bordereaux'!$AB$5:$AB$662)</f>
      </c>
    </row>
    <row r="43" spans="2:7" ht="15" customHeight="1" x14ac:dyDescent="0.25">
      <c r="B43" s="25" t="s">
        <v>102</v>
      </c>
      <c r="C43" s="27">
        <f>IFERROR((SUMIF('UW Bordereaux'!$D$5:$D$662,"Bound*",'UW Bordereaux'!$AD$5:$AD$662))/(SUMIF('UW Bordereaux'!$D$5:$D$662,"Bound*",'UW Bordereaux'!$AB$5:$AB$662)),0)</f>
      </c>
    </row>
    <row r="44" spans="2:7" ht="15" customHeight="1" x14ac:dyDescent="0.25">
      <c r="B44" s="23" t="s">
        <v>103</v>
      </c>
      <c r="C44" s="28">
        <f>SUMIF('UW Bordereaux'!$D$5:$D$662,"Bound*",'UW Bordereaux'!$AQ$5:$AQ$662)</f>
      </c>
    </row>
    <row r="45" spans="2:7" ht="15" customHeight="1" x14ac:dyDescent="0.25">
      <c r="B45" s="23" t="s">
        <v>104</v>
      </c>
      <c r="C45" s="28">
        <f>SUMIF('UW Bordereaux'!$D$5:$D$662,"Bound*",'UW Bordereaux'!$AE$5:$AE$662)</f>
      </c>
    </row>
    <row r="46" spans="2:7" ht="15" customHeight="1" x14ac:dyDescent="0.25">
      <c r="B46" s="23" t="s">
        <v>105</v>
      </c>
      <c r="C46" s="28">
        <f>SUMIF('UW Bordereaux'!$D$5:$D$662,"Bound*",'UW Bordereaux'!$AH$5:$AH$662)</f>
      </c>
    </row>
    <row r="47" spans="2:7" ht="15" customHeight="1" x14ac:dyDescent="0.25">
      <c r="B47" s="23" t="s">
        <v>106</v>
      </c>
      <c r="C47" s="24">
        <f>COUNTIFS('UW Bordereaux'!$AD$5:$AD$662,"&gt;="&amp;Header!$C$18,'UW Bordereaux'!$D$5:$D$662,"Bound*")</f>
      </c>
    </row>
    <row r="48" spans="2:7" ht="15" customHeight="1" x14ac:dyDescent="0.25">
      <c r="B48" s="23" t="s">
        <v>107</v>
      </c>
      <c r="C48" s="24">
        <f>COUNTIF('UW Bordereaux'!$AL$5:$AL$662,"BEYOND AUTHORITY")</f>
      </c>
    </row>
    <row r="49" spans="2:3" ht="15" customHeight="1" x14ac:dyDescent="0.25">
      <c r="B49" s="23" t="s">
        <v>108</v>
      </c>
      <c r="C49" s="24">
        <f>COUNTA('UW Bordereaux'!$A$5:$A$662)-COUNTIF('UW Bordereaux'!$D$5:$D$662,"Bound*")-COUNTIF('UW Bordereaux'!$D$5:$D$662,"Declined")-COUNTIF('UW Bordereaux'!$D$5:$D$662,"Cancelled")-COUNTIF('UW Bordereaux'!$D$5:$D$662,"Lapsed")-COUNTIF('UW Bordereaux'!$D$5:$D$662,"Quoted*")-COUNTIF('UW Bordereaux'!$D$5:$D$662,"Void")-COUNTIF('UW Bordereaux'!$D$5:$D$662,"Reinstatement")</f>
      </c>
    </row>
    <row r="50" spans="2:3" ht="15" customHeight="1" x14ac:dyDescent="0.25">
      <c r="B50" s="23" t="s">
        <v>109</v>
      </c>
      <c r="C50" s="24">
        <f>COUNTIF('UW Bordereaux'!$AX$5:$AX$662,"FAIL*")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662"/>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CANON-202602-004664</t>
        </is>
      </c>
      <c r="B5" s="30" t="inlineStr">
        <is>
          <t xml:space="preserve">Horace Bellandi</t>
        </is>
      </c>
      <c r="C5" s="31">
        <v>46071</v>
      </c>
      <c r="D5" s="32" t="inlineStr">
        <is>
          <t xml:space="preserve">Bound - within authority</t>
        </is>
      </c>
      <c r="E5" s="32" t="inlineStr">
        <is>
          <t xml:space="preserve">New business</t>
        </is>
      </c>
      <c r="F5" s="30" t="inlineStr">
        <is>
          <t xml:space="preserve">B1234EXOTIC26</t>
        </is>
      </c>
      <c r="G5" s="33">
        <f>IF($A5="","",IF($C5="","",YEAR($C5)))</f>
      </c>
      <c r="H5" s="34">
        <v>2014</v>
      </c>
      <c r="I5" s="30" t="inlineStr">
        <is>
          <t xml:space="preserve">Lamborghini</t>
        </is>
      </c>
      <c r="J5" s="30" t="inlineStr">
        <is>
          <t xml:space="preserve">Huracan EVO</t>
        </is>
      </c>
      <c r="K5" s="30" t="inlineStr">
        <is>
          <t xml:space="preserve">CH4SNLTCEGRLJ0UEW</t>
        </is>
      </c>
      <c r="L5" s="32" t="inlineStr">
        <is>
          <t xml:space="preserve">03 - Supercar</t>
        </is>
      </c>
      <c r="M5" s="35">
        <v>670000</v>
      </c>
      <c r="N5" s="32" t="inlineStr">
        <is>
          <t xml:space="preserve">Personal</t>
        </is>
      </c>
      <c r="O5" s="30" t="inlineStr">
        <is>
          <t xml:space="preserve">Personal - regular use</t>
        </is>
      </c>
      <c r="P5" s="30" t="inlineStr">
        <is>
          <t xml:space="preserve">Under 1,000</t>
        </is>
      </c>
      <c r="Q5" s="30" t="inlineStr">
        <is>
          <t xml:space="preserve">Iowa</t>
        </is>
      </c>
      <c r="R5" s="30" t="inlineStr">
        <is>
          <t xml:space="preserve">50309</t>
        </is>
      </c>
      <c r="S5" s="32" t="inlineStr">
        <is>
          <t xml:space="preserve">Severe convective - hail alley (high)</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11614.57</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CANON-202602-004665</t>
        </is>
      </c>
      <c r="B6" s="46" t="inlineStr">
        <is>
          <t xml:space="preserve">Anouk Thistlewood</t>
        </is>
      </c>
      <c r="C6" s="47">
        <v>46059</v>
      </c>
      <c r="D6" s="48" t="inlineStr">
        <is>
          <t xml:space="preserve">Bound - within authority</t>
        </is>
      </c>
      <c r="E6" s="48" t="inlineStr">
        <is>
          <t xml:space="preserve">New business</t>
        </is>
      </c>
      <c r="F6" s="46" t="inlineStr">
        <is>
          <t xml:space="preserve">B1234EXOTIC26</t>
        </is>
      </c>
      <c r="G6" s="33">
        <f>IF($A6="","",IF($C6="","",YEAR($C6)))</f>
      </c>
      <c r="H6" s="49">
        <v>1978</v>
      </c>
      <c r="I6" s="46" t="inlineStr">
        <is>
          <t xml:space="preserve">Bentley</t>
        </is>
      </c>
      <c r="J6" s="46" t="inlineStr">
        <is>
          <t xml:space="preserve">Continental GT</t>
        </is>
      </c>
      <c r="K6" s="46" t="inlineStr">
        <is>
          <t xml:space="preserve">2T9H6GZA4TN9SYL7F</t>
        </is>
      </c>
      <c r="L6" s="48" t="inlineStr">
        <is>
          <t xml:space="preserve">02 - Sports / GT</t>
        </is>
      </c>
      <c r="M6" s="50">
        <v>285000</v>
      </c>
      <c r="N6" s="48" t="inlineStr">
        <is>
          <t xml:space="preserve">Personal</t>
        </is>
      </c>
      <c r="O6" s="46" t="inlineStr">
        <is>
          <t xml:space="preserve">Personal - regular use</t>
        </is>
      </c>
      <c r="P6" s="46" t="inlineStr">
        <is>
          <t xml:space="preserve">2,500 - 5,000</t>
        </is>
      </c>
      <c r="Q6" s="46" t="inlineStr">
        <is>
          <t xml:space="preserve">Vermont</t>
        </is>
      </c>
      <c r="R6" s="46" t="inlineStr">
        <is>
          <t xml:space="preserve">05601</t>
        </is>
      </c>
      <c r="S6" s="48" t="inlineStr">
        <is>
          <t xml:space="preserve">Low hazard - inland benign</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4325.91</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CANON-202602-004666</t>
        </is>
      </c>
      <c r="B7" s="30" t="inlineStr">
        <is>
          <t xml:space="preserve">Emiliano Fairweather</t>
        </is>
      </c>
      <c r="C7" s="31">
        <v>46064</v>
      </c>
      <c r="D7" s="32" t="inlineStr">
        <is>
          <t xml:space="preserve">Bound - within authority</t>
        </is>
      </c>
      <c r="E7" s="32" t="inlineStr">
        <is>
          <t xml:space="preserve">New business</t>
        </is>
      </c>
      <c r="F7" s="30" t="inlineStr">
        <is>
          <t xml:space="preserve">B1234EXOTIC26</t>
        </is>
      </c>
      <c r="G7" s="33">
        <f>IF($A7="","",IF($C7="","",YEAR($C7)))</f>
      </c>
      <c r="H7" s="34">
        <v>2010</v>
      </c>
      <c r="I7" s="30" t="inlineStr">
        <is>
          <t xml:space="preserve">Mercedes-Benz</t>
        </is>
      </c>
      <c r="J7" s="30" t="inlineStr">
        <is>
          <t xml:space="preserve">AMG GT</t>
        </is>
      </c>
      <c r="K7" s="30" t="inlineStr">
        <is>
          <t xml:space="preserve">ZG7W84T9AT0Z2X9TK</t>
        </is>
      </c>
      <c r="L7" s="32" t="inlineStr">
        <is>
          <t xml:space="preserve">02 - Sports / GT</t>
        </is>
      </c>
      <c r="M7" s="35">
        <v>1030000</v>
      </c>
      <c r="N7" s="32" t="inlineStr">
        <is>
          <t xml:space="preserve">Personal</t>
        </is>
      </c>
      <c r="O7" s="30" t="inlineStr">
        <is>
          <t xml:space="preserve">Personal - regular use</t>
        </is>
      </c>
      <c r="P7" s="30" t="inlineStr">
        <is>
          <t xml:space="preserve">1,000 - 2,500</t>
        </is>
      </c>
      <c r="Q7" s="30" t="inlineStr">
        <is>
          <t xml:space="preserve">Massachusetts</t>
        </is>
      </c>
      <c r="R7" s="30" t="inlineStr">
        <is>
          <t xml:space="preserve">02108</t>
        </is>
      </c>
      <c r="S7" s="32" t="inlineStr">
        <is>
          <t xml:space="preserve">Tier 3 - Coastal wind (25-100 miles)</t>
        </is>
      </c>
      <c r="T7" s="36">
        <f>IF($A7="","",IF($S7="","",IFERROR(INDEX('[1]natural catastrophe'!$D$6:$D$17,MATCH($S7,'[1]natural catastrophe'!$B$6:$B$17,0)),"?")))</f>
      </c>
      <c r="U7" s="30" t="inlineStr">
        <is>
          <t xml:space="preserve">2% of agreed value, minimum $10,000</t>
        </is>
      </c>
      <c r="V7" s="32" t="inlineStr">
        <is>
          <t xml:space="preserve">Agreed Value</t>
        </is>
      </c>
      <c r="W7" s="30" t="inlineStr">
        <is>
          <t xml:space="preserve">$1,000</t>
        </is>
      </c>
      <c r="X7" s="32" t="inlineStr">
        <is>
          <t xml:space="preserve">$1,000,000 CSL</t>
        </is>
      </c>
      <c r="Y7" s="30"/>
      <c r="Z7" s="30"/>
      <c r="AA7" s="32" t="inlineStr">
        <is>
          <t xml:space="preserve">Surplus Lines</t>
        </is>
      </c>
      <c r="AB7" s="35">
        <v>11746.86</v>
      </c>
      <c r="AC7" s="37">
        <v>0</v>
      </c>
      <c r="AD7" s="38">
        <f>IF(ISNUMBER($AB7),$AB7*(1+N($AC7)),"")</f>
      </c>
      <c r="AE7" s="35">
        <v>350</v>
      </c>
      <c r="AF7" s="35">
        <v>250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CANON-202602-004667</t>
        </is>
      </c>
      <c r="B8" s="46" t="inlineStr">
        <is>
          <t xml:space="preserve">Horace Vasquez</t>
        </is>
      </c>
      <c r="C8" s="47">
        <v>46080</v>
      </c>
      <c r="D8" s="48" t="inlineStr">
        <is>
          <t xml:space="preserve">Bound - within authority</t>
        </is>
      </c>
      <c r="E8" s="48" t="inlineStr">
        <is>
          <t xml:space="preserve">New business</t>
        </is>
      </c>
      <c r="F8" s="46" t="inlineStr">
        <is>
          <t xml:space="preserve">B1234EXOTIC26</t>
        </is>
      </c>
      <c r="G8" s="33">
        <f>IF($A8="","",IF($C8="","",YEAR($C8)))</f>
      </c>
      <c r="H8" s="49">
        <v>2012</v>
      </c>
      <c r="I8" s="46" t="inlineStr">
        <is>
          <t xml:space="preserve">Ferrari</t>
        </is>
      </c>
      <c r="J8" s="46" t="inlineStr">
        <is>
          <t xml:space="preserve">296 GTB</t>
        </is>
      </c>
      <c r="K8" s="46" t="inlineStr">
        <is>
          <t xml:space="preserve">SS69EFAF6XCS4B5DY</t>
        </is>
      </c>
      <c r="L8" s="48" t="inlineStr">
        <is>
          <t xml:space="preserve">03 - Supercar</t>
        </is>
      </c>
      <c r="M8" s="50">
        <v>780000</v>
      </c>
      <c r="N8" s="48" t="inlineStr">
        <is>
          <t xml:space="preserve">Personal</t>
        </is>
      </c>
      <c r="O8" s="46" t="inlineStr">
        <is>
          <t xml:space="preserve">Personal - regular use</t>
        </is>
      </c>
      <c r="P8" s="46" t="inlineStr">
        <is>
          <t xml:space="preserve">2,500 - 5,000</t>
        </is>
      </c>
      <c r="Q8" s="46" t="inlineStr">
        <is>
          <t xml:space="preserve">Rhode Island</t>
        </is>
      </c>
      <c r="R8" s="46" t="inlineStr">
        <is>
          <t xml:space="preserve">02903</t>
        </is>
      </c>
      <c r="S8" s="48" t="inlineStr">
        <is>
          <t xml:space="preserve">Tier 3 - Coastal wind (25-100 miles)</t>
        </is>
      </c>
      <c r="T8" s="36">
        <f>IF($A8="","",IF($S8="","",IFERROR(INDEX('[1]natural catastrophe'!$D$6:$D$17,MATCH($S8,'[1]natural catastrophe'!$B$6:$B$17,0)),"?")))</f>
      </c>
      <c r="U8" s="46" t="inlineStr">
        <is>
          <t xml:space="preserve">2% of agreed value, minimum $10,000</t>
        </is>
      </c>
      <c r="V8" s="48" t="inlineStr">
        <is>
          <t xml:space="preserve">Agreed Value</t>
        </is>
      </c>
      <c r="W8" s="46" t="inlineStr">
        <is>
          <t xml:space="preserve">$1,000</t>
        </is>
      </c>
      <c r="X8" s="48" t="inlineStr">
        <is>
          <t xml:space="preserve">$1,000,000 CSL</t>
        </is>
      </c>
      <c r="Y8" s="46"/>
      <c r="Z8" s="46"/>
      <c r="AA8" s="48" t="inlineStr">
        <is>
          <t xml:space="preserve">Surplus Lines</t>
        </is>
      </c>
      <c r="AB8" s="50">
        <v>16840.33</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CANON-202602-004670</t>
        </is>
      </c>
      <c r="B9" s="30" t="inlineStr">
        <is>
          <t xml:space="preserve">Noor Rourke</t>
        </is>
      </c>
      <c r="C9" s="31">
        <v>46071</v>
      </c>
      <c r="D9" s="32" t="inlineStr">
        <is>
          <t xml:space="preserve">Bound - within authority</t>
        </is>
      </c>
      <c r="E9" s="32" t="inlineStr">
        <is>
          <t xml:space="preserve">New business</t>
        </is>
      </c>
      <c r="F9" s="30" t="inlineStr">
        <is>
          <t xml:space="preserve">B1234EXOTIC26</t>
        </is>
      </c>
      <c r="G9" s="33">
        <f>IF($A9="","",IF($C9="","",YEAR($C9)))</f>
      </c>
      <c r="H9" s="34">
        <v>1990</v>
      </c>
      <c r="I9" s="30" t="inlineStr">
        <is>
          <t xml:space="preserve">BMW</t>
        </is>
      </c>
      <c r="J9" s="30" t="inlineStr">
        <is>
          <t xml:space="preserve">M8 Competition</t>
        </is>
      </c>
      <c r="K9" s="30" t="inlineStr">
        <is>
          <t xml:space="preserve">H4SFJJSG71GR36W0M</t>
        </is>
      </c>
      <c r="L9" s="32" t="inlineStr">
        <is>
          <t xml:space="preserve">02 - Sports / GT</t>
        </is>
      </c>
      <c r="M9" s="35">
        <v>450000</v>
      </c>
      <c r="N9" s="32" t="inlineStr">
        <is>
          <t xml:space="preserve">Personal</t>
        </is>
      </c>
      <c r="O9" s="30" t="inlineStr">
        <is>
          <t xml:space="preserve">Personal - regular use</t>
        </is>
      </c>
      <c r="P9" s="30" t="inlineStr">
        <is>
          <t xml:space="preserve">2,500 - 5,000</t>
        </is>
      </c>
      <c r="Q9" s="30" t="inlineStr">
        <is>
          <t xml:space="preserve">Texas</t>
        </is>
      </c>
      <c r="R9" s="30" t="inlineStr">
        <is>
          <t xml:space="preserve">75201</t>
        </is>
      </c>
      <c r="S9" s="32" t="inlineStr">
        <is>
          <t xml:space="preserve">Tier 2 - Coastal wind (1-25 miles)</t>
        </is>
      </c>
      <c r="T9" s="36">
        <f>IF($A9="","",IF($S9="","",IFERROR(INDEX('[1]natural catastrophe'!$D$6:$D$17,MATCH($S9,'[1]natural catastrophe'!$B$6:$B$17,0)),"?")))</f>
      </c>
      <c r="U9" s="30" t="inlineStr">
        <is>
          <t xml:space="preserve">2% of agreed value, minimum $10,000</t>
        </is>
      </c>
      <c r="V9" s="32" t="inlineStr">
        <is>
          <t xml:space="preserve">Agreed Value</t>
        </is>
      </c>
      <c r="W9" s="30" t="inlineStr">
        <is>
          <t xml:space="preserve">$1,000</t>
        </is>
      </c>
      <c r="X9" s="32" t="inlineStr">
        <is>
          <t xml:space="preserve">$1,000,000 CSL</t>
        </is>
      </c>
      <c r="Y9" s="30"/>
      <c r="Z9" s="30"/>
      <c r="AA9" s="32" t="inlineStr">
        <is>
          <t xml:space="preserve">Surplus Lines</t>
        </is>
      </c>
      <c r="AB9" s="35">
        <v>6438.48</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CANON-202602-004673</t>
        </is>
      </c>
      <c r="B10" s="46" t="inlineStr">
        <is>
          <t xml:space="preserve">Callum Castellanos</t>
        </is>
      </c>
      <c r="C10" s="47">
        <v>46074</v>
      </c>
      <c r="D10" s="48" t="inlineStr">
        <is>
          <t xml:space="preserve">Bound - within authority</t>
        </is>
      </c>
      <c r="E10" s="48" t="inlineStr">
        <is>
          <t xml:space="preserve">New business</t>
        </is>
      </c>
      <c r="F10" s="46" t="inlineStr">
        <is>
          <t xml:space="preserve">B1234EXOTIC26</t>
        </is>
      </c>
      <c r="G10" s="33">
        <f>IF($A10="","",IF($C10="","",YEAR($C10)))</f>
      </c>
      <c r="H10" s="49">
        <v>1970</v>
      </c>
      <c r="I10" s="46" t="inlineStr">
        <is>
          <t xml:space="preserve">Bentley</t>
        </is>
      </c>
      <c r="J10" s="46" t="inlineStr">
        <is>
          <t xml:space="preserve">4.5 Litre</t>
        </is>
      </c>
      <c r="K10" s="46" t="inlineStr">
        <is>
          <t xml:space="preserve">NR3EG7UAXLFY4NBHF</t>
        </is>
      </c>
      <c r="L10" s="48" t="inlineStr">
        <is>
          <t xml:space="preserve">07 - Post-War Classic (1946-1972)</t>
        </is>
      </c>
      <c r="M10" s="50">
        <v>1250000</v>
      </c>
      <c r="N10" s="48" t="inlineStr">
        <is>
          <t xml:space="preserve">Personal</t>
        </is>
      </c>
      <c r="O10" s="46" t="inlineStr">
        <is>
          <t xml:space="preserve">Personal - regular use</t>
        </is>
      </c>
      <c r="P10" s="46" t="inlineStr">
        <is>
          <t xml:space="preserve">Under 1,000</t>
        </is>
      </c>
      <c r="Q10" s="46" t="inlineStr">
        <is>
          <t xml:space="preserve">Maryland</t>
        </is>
      </c>
      <c r="R10" s="46" t="inlineStr">
        <is>
          <t xml:space="preserve">21201</t>
        </is>
      </c>
      <c r="S10" s="48" t="inlineStr">
        <is>
          <t xml:space="preserve">Tier 3 - Coastal wind (25-100 miles)</t>
        </is>
      </c>
      <c r="T10" s="36">
        <f>IF($A10="","",IF($S10="","",IFERROR(INDEX('[1]natural catastrophe'!$D$6:$D$17,MATCH($S10,'[1]natural catastrophe'!$B$6:$B$17,0)),"?")))</f>
      </c>
      <c r="U10" s="46" t="inlineStr">
        <is>
          <t xml:space="preserve">2% of agreed value, minimum $10,000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6697.68</v>
      </c>
      <c r="AC10" s="51">
        <v>0</v>
      </c>
      <c r="AD10" s="38">
        <f>IF(ISNUMBER($AB10),$AB10*(1+N($AC10)),"")</f>
      </c>
      <c r="AE10" s="50">
        <v>350</v>
      </c>
      <c r="AF10" s="50">
        <v>250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CANON-202602-004675</t>
        </is>
      </c>
      <c r="B11" s="30" t="inlineStr">
        <is>
          <t xml:space="preserve">Callum Merriweather</t>
        </is>
      </c>
      <c r="C11" s="31">
        <v>46079</v>
      </c>
      <c r="D11" s="32" t="inlineStr">
        <is>
          <t xml:space="preserve">Bound - within authority</t>
        </is>
      </c>
      <c r="E11" s="32" t="inlineStr">
        <is>
          <t xml:space="preserve">New business</t>
        </is>
      </c>
      <c r="F11" s="30" t="inlineStr">
        <is>
          <t xml:space="preserve">B1234EXOTIC26</t>
        </is>
      </c>
      <c r="G11" s="33">
        <f>IF($A11="","",IF($C11="","",YEAR($C11)))</f>
      </c>
      <c r="H11" s="34">
        <v>2016</v>
      </c>
      <c r="I11" s="30" t="inlineStr">
        <is>
          <t xml:space="preserve">McLaren</t>
        </is>
      </c>
      <c r="J11" s="30" t="inlineStr">
        <is>
          <t xml:space="preserve">750S</t>
        </is>
      </c>
      <c r="K11" s="30" t="inlineStr">
        <is>
          <t xml:space="preserve">KY9XFAE93K3VN58WG</t>
        </is>
      </c>
      <c r="L11" s="32" t="inlineStr">
        <is>
          <t xml:space="preserve">03 - Supercar</t>
        </is>
      </c>
      <c r="M11" s="35">
        <v>985000</v>
      </c>
      <c r="N11" s="32" t="inlineStr">
        <is>
          <t xml:space="preserve">Personal</t>
        </is>
      </c>
      <c r="O11" s="30" t="inlineStr">
        <is>
          <t xml:space="preserve">Personal - regular use</t>
        </is>
      </c>
      <c r="P11" s="30" t="inlineStr">
        <is>
          <t xml:space="preserve">1,000 - 2,500</t>
        </is>
      </c>
      <c r="Q11" s="30" t="inlineStr">
        <is>
          <t xml:space="preserve">Illinois</t>
        </is>
      </c>
      <c r="R11" s="30" t="inlineStr">
        <is>
          <t xml:space="preserve">60601</t>
        </is>
      </c>
      <c r="S11" s="32" t="inlineStr">
        <is>
          <t xml:space="preserve">Severe convective - hail / tornado (moderate)</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21111.09</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CANON-202602-004676</t>
        </is>
      </c>
      <c r="B12" s="46" t="inlineStr">
        <is>
          <t xml:space="preserve">Ramona Farkas</t>
        </is>
      </c>
      <c r="C12" s="47">
        <v>46067</v>
      </c>
      <c r="D12" s="48" t="inlineStr">
        <is>
          <t xml:space="preserve">Bound - within authority</t>
        </is>
      </c>
      <c r="E12" s="48" t="inlineStr">
        <is>
          <t xml:space="preserve">New business</t>
        </is>
      </c>
      <c r="F12" s="46" t="inlineStr">
        <is>
          <t xml:space="preserve">B1234EXOTIC26</t>
        </is>
      </c>
      <c r="G12" s="33">
        <f>IF($A12="","",IF($C12="","",YEAR($C12)))</f>
      </c>
      <c r="H12" s="49">
        <v>1974</v>
      </c>
      <c r="I12" s="46" t="inlineStr">
        <is>
          <t xml:space="preserve">Aston Martin</t>
        </is>
      </c>
      <c r="J12" s="46" t="inlineStr">
        <is>
          <t xml:space="preserve">DB12</t>
        </is>
      </c>
      <c r="K12" s="46" t="inlineStr">
        <is>
          <t xml:space="preserve">9EA5ZCJXL8MBT5T6Z</t>
        </is>
      </c>
      <c r="L12" s="48" t="inlineStr">
        <is>
          <t xml:space="preserve">02 - Sports / GT</t>
        </is>
      </c>
      <c r="M12" s="50">
        <v>670000</v>
      </c>
      <c r="N12" s="48" t="inlineStr">
        <is>
          <t xml:space="preserve">Personal</t>
        </is>
      </c>
      <c r="O12" s="46" t="inlineStr">
        <is>
          <t xml:space="preserve">Personal - regular use</t>
        </is>
      </c>
      <c r="P12" s="46" t="inlineStr">
        <is>
          <t xml:space="preserve">1,000 - 2,500</t>
        </is>
      </c>
      <c r="Q12" s="46" t="inlineStr">
        <is>
          <t xml:space="preserve">New Jersey</t>
        </is>
      </c>
      <c r="R12" s="46" t="inlineStr">
        <is>
          <t xml:space="preserve">07102</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6574.17</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CANON-202602-004677</t>
        </is>
      </c>
      <c r="B13" s="30" t="inlineStr">
        <is>
          <t xml:space="preserve">Mireille Kingsford</t>
        </is>
      </c>
      <c r="C13" s="31">
        <v>46075</v>
      </c>
      <c r="D13" s="32" t="inlineStr">
        <is>
          <t xml:space="preserve">Bound - within authority</t>
        </is>
      </c>
      <c r="E13" s="32" t="inlineStr">
        <is>
          <t xml:space="preserve">New business</t>
        </is>
      </c>
      <c r="F13" s="30" t="inlineStr">
        <is>
          <t xml:space="preserve">B1234EXOTIC26</t>
        </is>
      </c>
      <c r="G13" s="33">
        <f>IF($A13="","",IF($C13="","",YEAR($C13)))</f>
      </c>
      <c r="H13" s="34">
        <v>2019</v>
      </c>
      <c r="I13" s="30" t="inlineStr">
        <is>
          <t xml:space="preserve">Aston Martin</t>
        </is>
      </c>
      <c r="J13" s="30" t="inlineStr">
        <is>
          <t xml:space="preserve">DB5</t>
        </is>
      </c>
      <c r="K13" s="30" t="inlineStr">
        <is>
          <t xml:space="preserve">W34P8EBD49W8JKPVF</t>
        </is>
      </c>
      <c r="L13" s="32" t="inlineStr">
        <is>
          <t xml:space="preserve">02 - Sports / GT</t>
        </is>
      </c>
      <c r="M13" s="35">
        <v>715000</v>
      </c>
      <c r="N13" s="32" t="inlineStr">
        <is>
          <t xml:space="preserve">Personal</t>
        </is>
      </c>
      <c r="O13" s="30" t="inlineStr">
        <is>
          <t xml:space="preserve">Personal - regular use</t>
        </is>
      </c>
      <c r="P13" s="30" t="inlineStr">
        <is>
          <t xml:space="preserve">Under 1,000</t>
        </is>
      </c>
      <c r="Q13" s="30" t="inlineStr">
        <is>
          <t xml:space="preserve">Texas</t>
        </is>
      </c>
      <c r="R13" s="30" t="inlineStr">
        <is>
          <t xml:space="preserve">75201</t>
        </is>
      </c>
      <c r="S13" s="32" t="inlineStr">
        <is>
          <t xml:space="preserve">Tier 2 - Coastal wind (1-25 miles)</t>
        </is>
      </c>
      <c r="T13" s="36">
        <f>IF($A13="","",IF($S13="","",IFERROR(INDEX('[1]natural catastrophe'!$D$6:$D$17,MATCH($S13,'[1]natural catastrophe'!$B$6:$B$17,0)),"?")))</f>
      </c>
      <c r="U13" s="30" t="inlineStr">
        <is>
          <t xml:space="preserve">2% of agreed value, minimum $10,000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5865.21</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CANON-202602-004678</t>
        </is>
      </c>
      <c r="B14" s="46" t="inlineStr">
        <is>
          <t xml:space="preserve">Fitzgerald Harrington</t>
        </is>
      </c>
      <c r="C14" s="47">
        <v>46072</v>
      </c>
      <c r="D14" s="48" t="inlineStr">
        <is>
          <t xml:space="preserve">Bound - within authority</t>
        </is>
      </c>
      <c r="E14" s="48" t="inlineStr">
        <is>
          <t xml:space="preserve">New business</t>
        </is>
      </c>
      <c r="F14" s="46" t="inlineStr">
        <is>
          <t xml:space="preserve">B1234EXOTIC26</t>
        </is>
      </c>
      <c r="G14" s="33">
        <f>IF($A14="","",IF($C14="","",YEAR($C14)))</f>
      </c>
      <c r="H14" s="49">
        <v>2011</v>
      </c>
      <c r="I14" s="46" t="inlineStr">
        <is>
          <t xml:space="preserve">Bentley</t>
        </is>
      </c>
      <c r="J14" s="46" t="inlineStr">
        <is>
          <t xml:space="preserve">Continental GT</t>
        </is>
      </c>
      <c r="K14" s="46" t="inlineStr">
        <is>
          <t xml:space="preserve">7GZTAVW92GLS0HRPY</t>
        </is>
      </c>
      <c r="L14" s="48" t="inlineStr">
        <is>
          <t xml:space="preserve">02 - Sports / GT</t>
        </is>
      </c>
      <c r="M14" s="50">
        <v>210000</v>
      </c>
      <c r="N14" s="48" t="inlineStr">
        <is>
          <t xml:space="preserve">Personal</t>
        </is>
      </c>
      <c r="O14" s="46" t="inlineStr">
        <is>
          <t xml:space="preserve">Personal - regular use</t>
        </is>
      </c>
      <c r="P14" s="46" t="inlineStr">
        <is>
          <t xml:space="preserve">Under 1,000</t>
        </is>
      </c>
      <c r="Q14" s="46" t="inlineStr">
        <is>
          <t xml:space="preserve">Alabama</t>
        </is>
      </c>
      <c r="R14" s="46" t="inlineStr">
        <is>
          <t xml:space="preserve">35203</t>
        </is>
      </c>
      <c r="S14" s="48" t="inlineStr">
        <is>
          <t xml:space="preserve">Tier 2 - Coastal wind (1-25 miles)</t>
        </is>
      </c>
      <c r="T14" s="36">
        <f>IF($A14="","",IF($S14="","",IFERROR(INDEX('[1]natural catastrophe'!$D$6:$D$17,MATCH($S14,'[1]natural catastrophe'!$B$6:$B$17,0)),"?")))</f>
      </c>
      <c r="U14" s="46" t="inlineStr">
        <is>
          <t xml:space="preserve">2% of agreed value, minimum $10,000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4070.27</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CANON-202602-004681</t>
        </is>
      </c>
      <c r="B15" s="30" t="inlineStr">
        <is>
          <t xml:space="preserve">Ottilie Pennington</t>
        </is>
      </c>
      <c r="C15" s="31">
        <v>46056</v>
      </c>
      <c r="D15" s="32" t="inlineStr">
        <is>
          <t xml:space="preserve">Bound - within authority</t>
        </is>
      </c>
      <c r="E15" s="32" t="inlineStr">
        <is>
          <t xml:space="preserve">New business</t>
        </is>
      </c>
      <c r="F15" s="30" t="inlineStr">
        <is>
          <t xml:space="preserve">B1234EXOTIC26</t>
        </is>
      </c>
      <c r="G15" s="33">
        <f>IF($A15="","",IF($C15="","",YEAR($C15)))</f>
      </c>
      <c r="H15" s="34">
        <v>1979</v>
      </c>
      <c r="I15" s="30" t="inlineStr">
        <is>
          <t xml:space="preserve">Porsche</t>
        </is>
      </c>
      <c r="J15" s="30" t="inlineStr">
        <is>
          <t xml:space="preserve">911 Turbo S</t>
        </is>
      </c>
      <c r="K15" s="30" t="inlineStr">
        <is>
          <t xml:space="preserve">F7M0Z50FFX1D3U0AV</t>
        </is>
      </c>
      <c r="L15" s="32" t="inlineStr">
        <is>
          <t xml:space="preserve">02 - Sports / GT</t>
        </is>
      </c>
      <c r="M15" s="35">
        <v>1250000</v>
      </c>
      <c r="N15" s="32" t="inlineStr">
        <is>
          <t xml:space="preserve">Personal</t>
        </is>
      </c>
      <c r="O15" s="30" t="inlineStr">
        <is>
          <t xml:space="preserve">Personal - regular use</t>
        </is>
      </c>
      <c r="P15" s="30" t="inlineStr">
        <is>
          <t xml:space="preserve">Under 1,000</t>
        </is>
      </c>
      <c r="Q15" s="30" t="inlineStr">
        <is>
          <t xml:space="preserve">North Carolina</t>
        </is>
      </c>
      <c r="R15" s="30" t="inlineStr">
        <is>
          <t xml:space="preserve">28202</t>
        </is>
      </c>
      <c r="S15" s="32" t="inlineStr">
        <is>
          <t xml:space="preserve">Tier 2 - Coastal wind (1-25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13115.42</v>
      </c>
      <c r="AC15" s="37">
        <v>0</v>
      </c>
      <c r="AD15" s="38">
        <f>IF(ISNUMBER($AB15),$AB15*(1+N($AC15)),"")</f>
      </c>
      <c r="AE15" s="35">
        <v>350</v>
      </c>
      <c r="AF15" s="35">
        <v>250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CANON-202602-004684</t>
        </is>
      </c>
      <c r="B16" s="46" t="inlineStr">
        <is>
          <t xml:space="preserve">Ottilie Nakashima</t>
        </is>
      </c>
      <c r="C16" s="47">
        <v>46056</v>
      </c>
      <c r="D16" s="48" t="inlineStr">
        <is>
          <t xml:space="preserve">Bound - within authority</t>
        </is>
      </c>
      <c r="E16" s="48" t="inlineStr">
        <is>
          <t xml:space="preserve">New business</t>
        </is>
      </c>
      <c r="F16" s="46" t="inlineStr">
        <is>
          <t xml:space="preserve">B1234EXOTIC26</t>
        </is>
      </c>
      <c r="G16" s="33">
        <f>IF($A16="","",IF($C16="","",YEAR($C16)))</f>
      </c>
      <c r="H16" s="49">
        <v>1961</v>
      </c>
      <c r="I16" s="46" t="inlineStr">
        <is>
          <t xml:space="preserve">Maserati</t>
        </is>
      </c>
      <c r="J16" s="46" t="inlineStr">
        <is>
          <t xml:space="preserve">GranTurismo</t>
        </is>
      </c>
      <c r="K16" s="46" t="inlineStr">
        <is>
          <t xml:space="preserve">BPPT0RA6459G9ZLN5</t>
        </is>
      </c>
      <c r="L16" s="48" t="inlineStr">
        <is>
          <t xml:space="preserve">02 - Sports / GT</t>
        </is>
      </c>
      <c r="M16" s="50">
        <v>315000</v>
      </c>
      <c r="N16" s="48" t="inlineStr">
        <is>
          <t xml:space="preserve">Personal</t>
        </is>
      </c>
      <c r="O16" s="46" t="inlineStr">
        <is>
          <t xml:space="preserve">Personal - regular use</t>
        </is>
      </c>
      <c r="P16" s="46" t="inlineStr">
        <is>
          <t xml:space="preserve">1,000 - 2,500</t>
        </is>
      </c>
      <c r="Q16" s="46" t="inlineStr">
        <is>
          <t xml:space="preserve">Illinois</t>
        </is>
      </c>
      <c r="R16" s="46" t="inlineStr">
        <is>
          <t xml:space="preserve">60601</t>
        </is>
      </c>
      <c r="S16" s="48" t="inlineStr">
        <is>
          <t xml:space="preserve">Severe convective - hail / tornado (moderate)</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5329.94</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CANON-202602-004685</t>
        </is>
      </c>
      <c r="B17" s="30" t="inlineStr">
        <is>
          <t xml:space="preserve">Priya Nakashima</t>
        </is>
      </c>
      <c r="C17" s="31">
        <v>46054</v>
      </c>
      <c r="D17" s="32" t="inlineStr">
        <is>
          <t xml:space="preserve">Bound - within authority</t>
        </is>
      </c>
      <c r="E17" s="32" t="inlineStr">
        <is>
          <t xml:space="preserve">New business</t>
        </is>
      </c>
      <c r="F17" s="30" t="inlineStr">
        <is>
          <t xml:space="preserve">B1234EXOTIC26</t>
        </is>
      </c>
      <c r="G17" s="33">
        <f>IF($A17="","",IF($C17="","",YEAR($C17)))</f>
      </c>
      <c r="H17" s="34">
        <v>1964</v>
      </c>
      <c r="I17" s="30" t="inlineStr">
        <is>
          <t xml:space="preserve">Porsche</t>
        </is>
      </c>
      <c r="J17" s="30" t="inlineStr">
        <is>
          <t xml:space="preserve">911 Turbo S</t>
        </is>
      </c>
      <c r="K17" s="30" t="inlineStr">
        <is>
          <t xml:space="preserve">0L0B84HUMH4M1LF3V</t>
        </is>
      </c>
      <c r="L17" s="32" t="inlineStr">
        <is>
          <t xml:space="preserve">02 - Sports / GT</t>
        </is>
      </c>
      <c r="M17" s="35">
        <v>325000</v>
      </c>
      <c r="N17" s="32" t="inlineStr">
        <is>
          <t xml:space="preserve">Personal</t>
        </is>
      </c>
      <c r="O17" s="30" t="inlineStr">
        <is>
          <t xml:space="preserve">Personal - regular use</t>
        </is>
      </c>
      <c r="P17" s="30" t="inlineStr">
        <is>
          <t xml:space="preserve">2,500 - 5,000</t>
        </is>
      </c>
      <c r="Q17" s="30" t="inlineStr">
        <is>
          <t xml:space="preserve">Oklahoma</t>
        </is>
      </c>
      <c r="R17" s="30" t="inlineStr">
        <is>
          <t xml:space="preserve">73102</t>
        </is>
      </c>
      <c r="S17" s="32" t="inlineStr">
        <is>
          <t xml:space="preserve">Severe convective - hail alley (high)</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5094.8</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CANON-202602-004686</t>
        </is>
      </c>
      <c r="B18" s="46" t="inlineStr">
        <is>
          <t xml:space="preserve">Wilhelmina Underwood</t>
        </is>
      </c>
      <c r="C18" s="47">
        <v>46080</v>
      </c>
      <c r="D18" s="48" t="inlineStr">
        <is>
          <t xml:space="preserve">Bound - within authority</t>
        </is>
      </c>
      <c r="E18" s="48" t="inlineStr">
        <is>
          <t xml:space="preserve">New business</t>
        </is>
      </c>
      <c r="F18" s="46" t="inlineStr">
        <is>
          <t xml:space="preserve">B1234EXOTIC26</t>
        </is>
      </c>
      <c r="G18" s="33">
        <f>IF($A18="","",IF($C18="","",YEAR($C18)))</f>
      </c>
      <c r="H18" s="49">
        <v>1958</v>
      </c>
      <c r="I18" s="46" t="inlineStr">
        <is>
          <t xml:space="preserve">BMW</t>
        </is>
      </c>
      <c r="J18" s="46" t="inlineStr">
        <is>
          <t xml:space="preserve">M8 Competition</t>
        </is>
      </c>
      <c r="K18" s="46" t="inlineStr">
        <is>
          <t xml:space="preserve">3NM8VKBZEP28YLJ8J</t>
        </is>
      </c>
      <c r="L18" s="48" t="inlineStr">
        <is>
          <t xml:space="preserve">02 - Sports / GT</t>
        </is>
      </c>
      <c r="M18" s="50">
        <v>945000</v>
      </c>
      <c r="N18" s="48" t="inlineStr">
        <is>
          <t xml:space="preserve">Personal</t>
        </is>
      </c>
      <c r="O18" s="46" t="inlineStr">
        <is>
          <t xml:space="preserve">Personal - regular use</t>
        </is>
      </c>
      <c r="P18" s="46" t="inlineStr">
        <is>
          <t xml:space="preserve">2,500 - 5,000</t>
        </is>
      </c>
      <c r="Q18" s="46" t="inlineStr">
        <is>
          <t xml:space="preserve">Pennsylvania</t>
        </is>
      </c>
      <c r="R18" s="46" t="inlineStr">
        <is>
          <t xml:space="preserve">19103</t>
        </is>
      </c>
      <c r="S18" s="48" t="inlineStr">
        <is>
          <t xml:space="preserve">Low hazard - inland benign</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10189.59</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CANON-202602-004687</t>
        </is>
      </c>
      <c r="B19" s="30" t="inlineStr">
        <is>
          <t xml:space="preserve">Beatrix Vandermeer</t>
        </is>
      </c>
      <c r="C19" s="31">
        <v>46059</v>
      </c>
      <c r="D19" s="32" t="inlineStr">
        <is>
          <t xml:space="preserve">Bound - within authority</t>
        </is>
      </c>
      <c r="E19" s="32" t="inlineStr">
        <is>
          <t xml:space="preserve">New business</t>
        </is>
      </c>
      <c r="F19" s="30" t="inlineStr">
        <is>
          <t xml:space="preserve">B1234EXOTIC26</t>
        </is>
      </c>
      <c r="G19" s="33">
        <f>IF($A19="","",IF($C19="","",YEAR($C19)))</f>
      </c>
      <c r="H19" s="34">
        <v>1975</v>
      </c>
      <c r="I19" s="30" t="inlineStr">
        <is>
          <t xml:space="preserve">Porsche</t>
        </is>
      </c>
      <c r="J19" s="30" t="inlineStr">
        <is>
          <t xml:space="preserve">911 Turbo S</t>
        </is>
      </c>
      <c r="K19" s="30" t="inlineStr">
        <is>
          <t xml:space="preserve">9YRAWN4B6J4EAHS1Z</t>
        </is>
      </c>
      <c r="L19" s="32" t="inlineStr">
        <is>
          <t xml:space="preserve">02 - Sports / GT</t>
        </is>
      </c>
      <c r="M19" s="35">
        <v>725000</v>
      </c>
      <c r="N19" s="32" t="inlineStr">
        <is>
          <t xml:space="preserve">Personal</t>
        </is>
      </c>
      <c r="O19" s="30" t="inlineStr">
        <is>
          <t xml:space="preserve">Personal - regular use</t>
        </is>
      </c>
      <c r="P19" s="30" t="inlineStr">
        <is>
          <t xml:space="preserve">1,000 - 2,500</t>
        </is>
      </c>
      <c r="Q19" s="30" t="inlineStr">
        <is>
          <t xml:space="preserve">Iowa</t>
        </is>
      </c>
      <c r="R19" s="30" t="inlineStr">
        <is>
          <t xml:space="preserve">50309</t>
        </is>
      </c>
      <c r="S19" s="32" t="inlineStr">
        <is>
          <t xml:space="preserve">Severe convective - hail alley (high)</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8599.16</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CANON-202602-004691</t>
        </is>
      </c>
      <c r="B20" s="46" t="inlineStr">
        <is>
          <t xml:space="preserve">Ramona Ashcombe</t>
        </is>
      </c>
      <c r="C20" s="47">
        <v>46077</v>
      </c>
      <c r="D20" s="48" t="inlineStr">
        <is>
          <t xml:space="preserve">Bound - within authority</t>
        </is>
      </c>
      <c r="E20" s="48" t="inlineStr">
        <is>
          <t xml:space="preserve">New business</t>
        </is>
      </c>
      <c r="F20" s="46" t="inlineStr">
        <is>
          <t xml:space="preserve">B1234EXOTIC26</t>
        </is>
      </c>
      <c r="G20" s="33">
        <f>IF($A20="","",IF($C20="","",YEAR($C20)))</f>
      </c>
      <c r="H20" s="49">
        <v>1956</v>
      </c>
      <c r="I20" s="46" t="inlineStr">
        <is>
          <t xml:space="preserve">Aston Martin</t>
        </is>
      </c>
      <c r="J20" s="46" t="inlineStr">
        <is>
          <t xml:space="preserve">DB12</t>
        </is>
      </c>
      <c r="K20" s="46" t="inlineStr">
        <is>
          <t xml:space="preserve">RLL8TGFMA0B1ESV80</t>
        </is>
      </c>
      <c r="L20" s="48" t="inlineStr">
        <is>
          <t xml:space="preserve">02 - Sports / GT</t>
        </is>
      </c>
      <c r="M20" s="50">
        <v>270000</v>
      </c>
      <c r="N20" s="48" t="inlineStr">
        <is>
          <t xml:space="preserve">Personal</t>
        </is>
      </c>
      <c r="O20" s="46" t="inlineStr">
        <is>
          <t xml:space="preserve">Personal - regular use</t>
        </is>
      </c>
      <c r="P20" s="46" t="inlineStr">
        <is>
          <t xml:space="preserve">2,500 - 5,000</t>
        </is>
      </c>
      <c r="Q20" s="46" t="inlineStr">
        <is>
          <t xml:space="preserve">Florida</t>
        </is>
      </c>
      <c r="R20" s="46" t="inlineStr">
        <is>
          <t xml:space="preserve">33139</t>
        </is>
      </c>
      <c r="S20" s="48" t="inlineStr">
        <is>
          <t xml:space="preserve">Tier 2 - Coastal wind (1-25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4770.07</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CANON-202602-004693</t>
        </is>
      </c>
      <c r="B21" s="30" t="inlineStr">
        <is>
          <t xml:space="preserve">Saoirse Montoya</t>
        </is>
      </c>
      <c r="C21" s="31">
        <v>46075</v>
      </c>
      <c r="D21" s="32" t="inlineStr">
        <is>
          <t xml:space="preserve">Bound - within authority</t>
        </is>
      </c>
      <c r="E21" s="32" t="inlineStr">
        <is>
          <t xml:space="preserve">New business</t>
        </is>
      </c>
      <c r="F21" s="30" t="inlineStr">
        <is>
          <t xml:space="preserve">B1234EXOTIC26</t>
        </is>
      </c>
      <c r="G21" s="33">
        <f>IF($A21="","",IF($C21="","",YEAR($C21)))</f>
      </c>
      <c r="H21" s="34">
        <v>1979</v>
      </c>
      <c r="I21" s="30" t="inlineStr">
        <is>
          <t xml:space="preserve">Maserati</t>
        </is>
      </c>
      <c r="J21" s="30" t="inlineStr">
        <is>
          <t xml:space="preserve">GranTurismo</t>
        </is>
      </c>
      <c r="K21" s="30" t="inlineStr">
        <is>
          <t xml:space="preserve">6KXSRDNYACYJ9RTP1</t>
        </is>
      </c>
      <c r="L21" s="32" t="inlineStr">
        <is>
          <t xml:space="preserve">02 - Sports / GT</t>
        </is>
      </c>
      <c r="M21" s="35">
        <v>1015000</v>
      </c>
      <c r="N21" s="32" t="inlineStr">
        <is>
          <t xml:space="preserve">Personal</t>
        </is>
      </c>
      <c r="O21" s="30" t="inlineStr">
        <is>
          <t xml:space="preserve">Personal - regular use</t>
        </is>
      </c>
      <c r="P21" s="30" t="inlineStr">
        <is>
          <t xml:space="preserve">1,000 - 2,500</t>
        </is>
      </c>
      <c r="Q21" s="30" t="inlineStr">
        <is>
          <t xml:space="preserve">Maine</t>
        </is>
      </c>
      <c r="R21" s="30" t="inlineStr">
        <is>
          <t xml:space="preserve">04101</t>
        </is>
      </c>
      <c r="S21" s="32" t="inlineStr">
        <is>
          <t xml:space="preserve">Tier 3 - Coastal wind (25-100 miles)</t>
        </is>
      </c>
      <c r="T21" s="36">
        <f>IF($A21="","",IF($S21="","",IFERROR(INDEX('[1]natural catastrophe'!$D$6:$D$17,MATCH($S21,'[1]natural catastrophe'!$B$6:$B$17,0)),"?")))</f>
      </c>
      <c r="U21" s="30" t="inlineStr">
        <is>
          <t xml:space="preserve">2% of agreed value, minimum $10,000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10001.48</v>
      </c>
      <c r="AC21" s="37">
        <v>0</v>
      </c>
      <c r="AD21" s="38">
        <f>IF(ISNUMBER($AB21),$AB21*(1+N($AC21)),"")</f>
      </c>
      <c r="AE21" s="35">
        <v>350</v>
      </c>
      <c r="AF21" s="35">
        <v>250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CANON-202602-004694</t>
        </is>
      </c>
      <c r="B22" s="46" t="inlineStr">
        <is>
          <t xml:space="preserve">Ingrid Delacroix</t>
        </is>
      </c>
      <c r="C22" s="47">
        <v>46080</v>
      </c>
      <c r="D22" s="48" t="inlineStr">
        <is>
          <t xml:space="preserve">Bound - within authority</t>
        </is>
      </c>
      <c r="E22" s="48" t="inlineStr">
        <is>
          <t xml:space="preserve">New business</t>
        </is>
      </c>
      <c r="F22" s="46" t="inlineStr">
        <is>
          <t xml:space="preserve">B1234EXOTIC26</t>
        </is>
      </c>
      <c r="G22" s="33">
        <f>IF($A22="","",IF($C22="","",YEAR($C22)))</f>
      </c>
      <c r="H22" s="49">
        <v>2018</v>
      </c>
      <c r="I22" s="46" t="inlineStr">
        <is>
          <t xml:space="preserve">Bentley</t>
        </is>
      </c>
      <c r="J22" s="46" t="inlineStr">
        <is>
          <t xml:space="preserve">Continental GT</t>
        </is>
      </c>
      <c r="K22" s="46" t="inlineStr">
        <is>
          <t xml:space="preserve">0G9F4NM8L77HBFW4T</t>
        </is>
      </c>
      <c r="L22" s="48" t="inlineStr">
        <is>
          <t xml:space="preserve">02 - Sports / GT</t>
        </is>
      </c>
      <c r="M22" s="50">
        <v>600000</v>
      </c>
      <c r="N22" s="48" t="inlineStr">
        <is>
          <t xml:space="preserve">Personal</t>
        </is>
      </c>
      <c r="O22" s="46" t="inlineStr">
        <is>
          <t xml:space="preserve">Personal - regular use</t>
        </is>
      </c>
      <c r="P22" s="46" t="inlineStr">
        <is>
          <t xml:space="preserve">Under 1,000</t>
        </is>
      </c>
      <c r="Q22" s="46" t="inlineStr">
        <is>
          <t xml:space="preserve">Pennsylvania</t>
        </is>
      </c>
      <c r="R22" s="46" t="inlineStr">
        <is>
          <t xml:space="preserve">19103</t>
        </is>
      </c>
      <c r="S22" s="48" t="inlineStr">
        <is>
          <t xml:space="preserve">Low hazard - inland benign</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6469.58</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CANON-202602-004695</t>
        </is>
      </c>
      <c r="B23" s="30" t="inlineStr">
        <is>
          <t xml:space="preserve">Anouk Rourke</t>
        </is>
      </c>
      <c r="C23" s="31">
        <v>46057</v>
      </c>
      <c r="D23" s="32" t="inlineStr">
        <is>
          <t xml:space="preserve">Bound - within authority</t>
        </is>
      </c>
      <c r="E23" s="32" t="inlineStr">
        <is>
          <t xml:space="preserve">New business</t>
        </is>
      </c>
      <c r="F23" s="30" t="inlineStr">
        <is>
          <t xml:space="preserve">B1234EXOTIC26</t>
        </is>
      </c>
      <c r="G23" s="33">
        <f>IF($A23="","",IF($C23="","",YEAR($C23)))</f>
      </c>
      <c r="H23" s="34">
        <v>1956</v>
      </c>
      <c r="I23" s="30" t="inlineStr">
        <is>
          <t xml:space="preserve">Porsche</t>
        </is>
      </c>
      <c r="J23" s="30" t="inlineStr">
        <is>
          <t xml:space="preserve">911 Turbo S</t>
        </is>
      </c>
      <c r="K23" s="30" t="inlineStr">
        <is>
          <t xml:space="preserve">R3N4NM9BTM0F8249Y</t>
        </is>
      </c>
      <c r="L23" s="32" t="inlineStr">
        <is>
          <t xml:space="preserve">02 - Sports / GT</t>
        </is>
      </c>
      <c r="M23" s="35">
        <v>580000</v>
      </c>
      <c r="N23" s="32" t="inlineStr">
        <is>
          <t xml:space="preserve">Personal</t>
        </is>
      </c>
      <c r="O23" s="30" t="inlineStr">
        <is>
          <t xml:space="preserve">Personal - regular use</t>
        </is>
      </c>
      <c r="P23" s="30" t="inlineStr">
        <is>
          <t xml:space="preserve">2,500 - 5,000</t>
        </is>
      </c>
      <c r="Q23" s="30" t="inlineStr">
        <is>
          <t xml:space="preserve">Texas</t>
        </is>
      </c>
      <c r="R23" s="30" t="inlineStr">
        <is>
          <t xml:space="preserve">75201</t>
        </is>
      </c>
      <c r="S23" s="32" t="inlineStr">
        <is>
          <t xml:space="preserve">Tier 2 - Coastal wind (1-25 miles)</t>
        </is>
      </c>
      <c r="T23" s="36">
        <f>IF($A23="","",IF($S23="","",IFERROR(INDEX('[1]natural catastrophe'!$D$6:$D$17,MATCH($S23,'[1]natural catastrophe'!$B$6:$B$17,0)),"?")))</f>
      </c>
      <c r="U23" s="30" t="inlineStr">
        <is>
          <t xml:space="preserve">2% of agreed value, minimum $10,000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7192.02</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CANON-202602-004697</t>
        </is>
      </c>
      <c r="B24" s="46" t="inlineStr">
        <is>
          <t xml:space="preserve">Desmond Harrington</t>
        </is>
      </c>
      <c r="C24" s="47">
        <v>46076</v>
      </c>
      <c r="D24" s="48" t="inlineStr">
        <is>
          <t xml:space="preserve">Bound - within authority</t>
        </is>
      </c>
      <c r="E24" s="48" t="inlineStr">
        <is>
          <t xml:space="preserve">New business</t>
        </is>
      </c>
      <c r="F24" s="46" t="inlineStr">
        <is>
          <t xml:space="preserve">B1234EXOTIC26</t>
        </is>
      </c>
      <c r="G24" s="33">
        <f>IF($A24="","",IF($C24="","",YEAR($C24)))</f>
      </c>
      <c r="H24" s="49">
        <v>1972</v>
      </c>
      <c r="I24" s="46" t="inlineStr">
        <is>
          <t xml:space="preserve">Bentley</t>
        </is>
      </c>
      <c r="J24" s="46" t="inlineStr">
        <is>
          <t xml:space="preserve">4.5 Litre</t>
        </is>
      </c>
      <c r="K24" s="46" t="inlineStr">
        <is>
          <t xml:space="preserve">BAN584GWEEZMFEDF7</t>
        </is>
      </c>
      <c r="L24" s="48" t="inlineStr">
        <is>
          <t xml:space="preserve">07 - Post-War Classic (1946-1972)</t>
        </is>
      </c>
      <c r="M24" s="50">
        <v>690000</v>
      </c>
      <c r="N24" s="48" t="inlineStr">
        <is>
          <t xml:space="preserve">Personal</t>
        </is>
      </c>
      <c r="O24" s="46" t="inlineStr">
        <is>
          <t xml:space="preserve">Personal - regular use</t>
        </is>
      </c>
      <c r="P24" s="46" t="inlineStr">
        <is>
          <t xml:space="preserve">2,500 - 5,000</t>
        </is>
      </c>
      <c r="Q24" s="46" t="inlineStr">
        <is>
          <t xml:space="preserve">Maryland</t>
        </is>
      </c>
      <c r="R24" s="46" t="inlineStr">
        <is>
          <t xml:space="preserve">21201</t>
        </is>
      </c>
      <c r="S24" s="48" t="inlineStr">
        <is>
          <t xml:space="preserve">Tier 3 - Coastal wind (25-100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4132.07</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CANON-202602-004698</t>
        </is>
      </c>
      <c r="B25" s="30" t="inlineStr">
        <is>
          <t xml:space="preserve">Emiliano Larsson</t>
        </is>
      </c>
      <c r="C25" s="31">
        <v>46081</v>
      </c>
      <c r="D25" s="32" t="inlineStr">
        <is>
          <t xml:space="preserve">Bound - within authority</t>
        </is>
      </c>
      <c r="E25" s="32" t="inlineStr">
        <is>
          <t xml:space="preserve">New business</t>
        </is>
      </c>
      <c r="F25" s="30" t="inlineStr">
        <is>
          <t xml:space="preserve">B1234EXOTIC26</t>
        </is>
      </c>
      <c r="G25" s="33">
        <f>IF($A25="","",IF($C25="","",YEAR($C25)))</f>
      </c>
      <c r="H25" s="34">
        <v>1992</v>
      </c>
      <c r="I25" s="30" t="inlineStr">
        <is>
          <t xml:space="preserve">Maserati</t>
        </is>
      </c>
      <c r="J25" s="30" t="inlineStr">
        <is>
          <t xml:space="preserve">GranTurismo</t>
        </is>
      </c>
      <c r="K25" s="30" t="inlineStr">
        <is>
          <t xml:space="preserve">2ZU6KAP9UNVBBNNWV</t>
        </is>
      </c>
      <c r="L25" s="32" t="inlineStr">
        <is>
          <t xml:space="preserve">02 - Sports / GT</t>
        </is>
      </c>
      <c r="M25" s="35">
        <v>175000</v>
      </c>
      <c r="N25" s="32" t="inlineStr">
        <is>
          <t xml:space="preserve">Personal</t>
        </is>
      </c>
      <c r="O25" s="30" t="inlineStr">
        <is>
          <t xml:space="preserve">Personal - regular use</t>
        </is>
      </c>
      <c r="P25" s="30" t="inlineStr">
        <is>
          <t xml:space="preserve">1,000 - 2,500</t>
        </is>
      </c>
      <c r="Q25" s="30" t="inlineStr">
        <is>
          <t xml:space="preserve">Missouri</t>
        </is>
      </c>
      <c r="R25" s="30" t="inlineStr">
        <is>
          <t xml:space="preserve">63101</t>
        </is>
      </c>
      <c r="S25" s="32" t="inlineStr">
        <is>
          <t xml:space="preserve">Severe convective - hail / tornado (moderate)</t>
        </is>
      </c>
      <c r="T25" s="36">
        <f>IF($A25="","",IF($S25="","",IFERROR(INDEX('[1]natural catastrophe'!$D$6:$D$17,MATCH($S25,'[1]natural catastrophe'!$B$6:$B$17,0)),"?")))</f>
      </c>
      <c r="U25" s="30" t="inlineStr">
        <is>
          <t xml:space="preserve">$5,000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2831.02</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CANON-202602-004699</t>
        </is>
      </c>
      <c r="B26" s="46" t="inlineStr">
        <is>
          <t xml:space="preserve">Saoirse Whitlock</t>
        </is>
      </c>
      <c r="C26" s="47">
        <v>46072</v>
      </c>
      <c r="D26" s="48" t="inlineStr">
        <is>
          <t xml:space="preserve">Bound - within authority</t>
        </is>
      </c>
      <c r="E26" s="48" t="inlineStr">
        <is>
          <t xml:space="preserve">New business</t>
        </is>
      </c>
      <c r="F26" s="46" t="inlineStr">
        <is>
          <t xml:space="preserve">B1234EXOTIC26</t>
        </is>
      </c>
      <c r="G26" s="33">
        <f>IF($A26="","",IF($C26="","",YEAR($C26)))</f>
      </c>
      <c r="H26" s="49">
        <v>1964</v>
      </c>
      <c r="I26" s="46" t="inlineStr">
        <is>
          <t xml:space="preserve">Aston Martin</t>
        </is>
      </c>
      <c r="J26" s="46" t="inlineStr">
        <is>
          <t xml:space="preserve">DB5</t>
        </is>
      </c>
      <c r="K26" s="46" t="inlineStr">
        <is>
          <t xml:space="preserve">3XWVK1HVD5MH3JXVD</t>
        </is>
      </c>
      <c r="L26" s="48" t="inlineStr">
        <is>
          <t xml:space="preserve">07 - Post-War Classic (1946-1972)</t>
        </is>
      </c>
      <c r="M26" s="50">
        <v>585000</v>
      </c>
      <c r="N26" s="48" t="inlineStr">
        <is>
          <t xml:space="preserve">Personal</t>
        </is>
      </c>
      <c r="O26" s="46" t="inlineStr">
        <is>
          <t xml:space="preserve">Personal - regular use</t>
        </is>
      </c>
      <c r="P26" s="46" t="inlineStr">
        <is>
          <t xml:space="preserve">2,500 - 5,000</t>
        </is>
      </c>
      <c r="Q26" s="46" t="inlineStr">
        <is>
          <t xml:space="preserve">Minnesota</t>
        </is>
      </c>
      <c r="R26" s="46" t="inlineStr">
        <is>
          <t xml:space="preserve">55401</t>
        </is>
      </c>
      <c r="S26" s="48" t="inlineStr">
        <is>
          <t xml:space="preserve">Severe convective - hail / tornado (moderate)</t>
        </is>
      </c>
      <c r="T26" s="36">
        <f>IF($A26="","",IF($S26="","",IFERROR(INDEX('[1]natural catastrophe'!$D$6:$D$17,MATCH($S26,'[1]natural catastrophe'!$B$6:$B$17,0)),"?")))</f>
      </c>
      <c r="U26" s="46" t="inlineStr">
        <is>
          <t xml:space="preserve">$5,000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5508.21</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CANON-202602-004700</t>
        </is>
      </c>
      <c r="B27" s="30" t="inlineStr">
        <is>
          <t xml:space="preserve">Thaddeus Underwood</t>
        </is>
      </c>
      <c r="C27" s="31">
        <v>46069</v>
      </c>
      <c r="D27" s="32" t="inlineStr">
        <is>
          <t xml:space="preserve">Bound - within authority</t>
        </is>
      </c>
      <c r="E27" s="32" t="inlineStr">
        <is>
          <t xml:space="preserve">New business</t>
        </is>
      </c>
      <c r="F27" s="30" t="inlineStr">
        <is>
          <t xml:space="preserve">B1234EXOTIC26</t>
        </is>
      </c>
      <c r="G27" s="33">
        <f>IF($A27="","",IF($C27="","",YEAR($C27)))</f>
      </c>
      <c r="H27" s="34">
        <v>2012</v>
      </c>
      <c r="I27" s="30" t="inlineStr">
        <is>
          <t xml:space="preserve">BMW</t>
        </is>
      </c>
      <c r="J27" s="30" t="inlineStr">
        <is>
          <t xml:space="preserve">M8 Competition</t>
        </is>
      </c>
      <c r="K27" s="30" t="inlineStr">
        <is>
          <t xml:space="preserve">N8JAA6XE3N8XBRUKV</t>
        </is>
      </c>
      <c r="L27" s="32" t="inlineStr">
        <is>
          <t xml:space="preserve">02 - Sports / GT</t>
        </is>
      </c>
      <c r="M27" s="35">
        <v>275000</v>
      </c>
      <c r="N27" s="32" t="inlineStr">
        <is>
          <t xml:space="preserve">Personal</t>
        </is>
      </c>
      <c r="O27" s="30" t="inlineStr">
        <is>
          <t xml:space="preserve">Personal - regular use</t>
        </is>
      </c>
      <c r="P27" s="30" t="inlineStr">
        <is>
          <t xml:space="preserve">1,000 - 2,500</t>
        </is>
      </c>
      <c r="Q27" s="30" t="inlineStr">
        <is>
          <t xml:space="preserve">Delaware</t>
        </is>
      </c>
      <c r="R27" s="30" t="inlineStr">
        <is>
          <t xml:space="preserve">19801</t>
        </is>
      </c>
      <c r="S27" s="32" t="inlineStr">
        <is>
          <t xml:space="preserve">Tier 3 - Coastal wind (25-100 miles)</t>
        </is>
      </c>
      <c r="T27" s="36">
        <f>IF($A27="","",IF($S27="","",IFERROR(INDEX('[1]natural catastrophe'!$D$6:$D$17,MATCH($S27,'[1]natural catastrophe'!$B$6:$B$17,0)),"?")))</f>
      </c>
      <c r="U27" s="30" t="inlineStr">
        <is>
          <t xml:space="preserve">2% of agreed value, minimum $10,000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4276.77</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CANON-202602-004701</t>
        </is>
      </c>
      <c r="B28" s="46" t="inlineStr">
        <is>
          <t xml:space="preserve">Horace Vandermeer</t>
        </is>
      </c>
      <c r="C28" s="47">
        <v>46065</v>
      </c>
      <c r="D28" s="48" t="inlineStr">
        <is>
          <t xml:space="preserve">Bound - within authority</t>
        </is>
      </c>
      <c r="E28" s="48" t="inlineStr">
        <is>
          <t xml:space="preserve">New business</t>
        </is>
      </c>
      <c r="F28" s="46" t="inlineStr">
        <is>
          <t xml:space="preserve">B1234EXOTIC26</t>
        </is>
      </c>
      <c r="G28" s="33">
        <f>IF($A28="","",IF($C28="","",YEAR($C28)))</f>
      </c>
      <c r="H28" s="49">
        <v>2018</v>
      </c>
      <c r="I28" s="46" t="inlineStr">
        <is>
          <t xml:space="preserve">Ferrari</t>
        </is>
      </c>
      <c r="J28" s="46" t="inlineStr">
        <is>
          <t xml:space="preserve">296 GTB</t>
        </is>
      </c>
      <c r="K28" s="46" t="inlineStr">
        <is>
          <t xml:space="preserve">KXP7842B5E3HZMRWJ</t>
        </is>
      </c>
      <c r="L28" s="48" t="inlineStr">
        <is>
          <t xml:space="preserve">03 - Supercar</t>
        </is>
      </c>
      <c r="M28" s="50">
        <v>1950000</v>
      </c>
      <c r="N28" s="48" t="inlineStr">
        <is>
          <t xml:space="preserve">Personal</t>
        </is>
      </c>
      <c r="O28" s="46" t="inlineStr">
        <is>
          <t xml:space="preserve">Personal - regular use</t>
        </is>
      </c>
      <c r="P28" s="46" t="inlineStr">
        <is>
          <t xml:space="preserve">Under 1,000</t>
        </is>
      </c>
      <c r="Q28" s="46" t="inlineStr">
        <is>
          <t xml:space="preserve">South Dakota</t>
        </is>
      </c>
      <c r="R28" s="46" t="inlineStr">
        <is>
          <t xml:space="preserve">57501</t>
        </is>
      </c>
      <c r="S28" s="48" t="inlineStr">
        <is>
          <t xml:space="preserve">Severe convective - hail alley (high)</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28724.96</v>
      </c>
      <c r="AC28" s="51">
        <v>0</v>
      </c>
      <c r="AD28" s="38">
        <f>IF(ISNUMBER($AB28),$AB28*(1+N($AC28)),"")</f>
      </c>
      <c r="AE28" s="50">
        <v>350</v>
      </c>
      <c r="AF28" s="50">
        <v>250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CANON-202602-004702</t>
        </is>
      </c>
      <c r="B29" s="30" t="inlineStr">
        <is>
          <t xml:space="preserve">Priya Ashcombe</t>
        </is>
      </c>
      <c r="C29" s="31">
        <v>46056</v>
      </c>
      <c r="D29" s="32" t="inlineStr">
        <is>
          <t xml:space="preserve">Bound - within authority</t>
        </is>
      </c>
      <c r="E29" s="32" t="inlineStr">
        <is>
          <t xml:space="preserve">New business</t>
        </is>
      </c>
      <c r="F29" s="30" t="inlineStr">
        <is>
          <t xml:space="preserve">B1234EXOTIC26</t>
        </is>
      </c>
      <c r="G29" s="33">
        <f>IF($A29="","",IF($C29="","",YEAR($C29)))</f>
      </c>
      <c r="H29" s="34">
        <v>1992</v>
      </c>
      <c r="I29" s="30" t="inlineStr">
        <is>
          <t xml:space="preserve">Porsche</t>
        </is>
      </c>
      <c r="J29" s="30" t="inlineStr">
        <is>
          <t xml:space="preserve">911 Turbo S</t>
        </is>
      </c>
      <c r="K29" s="30" t="inlineStr">
        <is>
          <t xml:space="preserve">F04J6V2D07FM60P1T</t>
        </is>
      </c>
      <c r="L29" s="32" t="inlineStr">
        <is>
          <t xml:space="preserve">02 - Sports / GT</t>
        </is>
      </c>
      <c r="M29" s="35">
        <v>475000</v>
      </c>
      <c r="N29" s="32" t="inlineStr">
        <is>
          <t xml:space="preserve">Personal</t>
        </is>
      </c>
      <c r="O29" s="30" t="inlineStr">
        <is>
          <t xml:space="preserve">Personal - regular use</t>
        </is>
      </c>
      <c r="P29" s="30" t="inlineStr">
        <is>
          <t xml:space="preserve">Under 1,000</t>
        </is>
      </c>
      <c r="Q29" s="30" t="inlineStr">
        <is>
          <t xml:space="preserve">New York</t>
        </is>
      </c>
      <c r="R29" s="30" t="inlineStr">
        <is>
          <t xml:space="preserve">10022</t>
        </is>
      </c>
      <c r="S29" s="32" t="inlineStr">
        <is>
          <t xml:space="preserve">Tier 3 - Coastal wind (25-100 miles)</t>
        </is>
      </c>
      <c r="T29" s="36">
        <f>IF($A29="","",IF($S29="","",IFERROR(INDEX('[1]natural catastrophe'!$D$6:$D$17,MATCH($S29,'[1]natural catastrophe'!$B$6:$B$17,0)),"?")))</f>
      </c>
      <c r="U29" s="30" t="inlineStr">
        <is>
          <t xml:space="preserve">2% of agreed value, minimum $10,000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7564.43</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CANON-202602-004703</t>
        </is>
      </c>
      <c r="B30" s="46" t="inlineStr">
        <is>
          <t xml:space="preserve">Cassius Underwood</t>
        </is>
      </c>
      <c r="C30" s="47">
        <v>46071</v>
      </c>
      <c r="D30" s="48" t="inlineStr">
        <is>
          <t xml:space="preserve">Bound - within authority</t>
        </is>
      </c>
      <c r="E30" s="48" t="inlineStr">
        <is>
          <t xml:space="preserve">New business</t>
        </is>
      </c>
      <c r="F30" s="46" t="inlineStr">
        <is>
          <t xml:space="preserve">B1234EXOTIC26</t>
        </is>
      </c>
      <c r="G30" s="33">
        <f>IF($A30="","",IF($C30="","",YEAR($C30)))</f>
      </c>
      <c r="H30" s="49">
        <v>1976</v>
      </c>
      <c r="I30" s="46" t="inlineStr">
        <is>
          <t xml:space="preserve">Aston Martin</t>
        </is>
      </c>
      <c r="J30" s="46" t="inlineStr">
        <is>
          <t xml:space="preserve">DB5</t>
        </is>
      </c>
      <c r="K30" s="46" t="inlineStr">
        <is>
          <t xml:space="preserve">MDAZ6XADM2U9EV6W5</t>
        </is>
      </c>
      <c r="L30" s="48" t="inlineStr">
        <is>
          <t xml:space="preserve">08 - Modern Classic (1973-1999)</t>
        </is>
      </c>
      <c r="M30" s="50">
        <v>365000</v>
      </c>
      <c r="N30" s="48" t="inlineStr">
        <is>
          <t xml:space="preserve">Personal</t>
        </is>
      </c>
      <c r="O30" s="46" t="inlineStr">
        <is>
          <t xml:space="preserve">Personal - regular use</t>
        </is>
      </c>
      <c r="P30" s="46" t="inlineStr">
        <is>
          <t xml:space="preserve">Under 1,000</t>
        </is>
      </c>
      <c r="Q30" s="46" t="inlineStr">
        <is>
          <t xml:space="preserve">Minnesota</t>
        </is>
      </c>
      <c r="R30" s="46" t="inlineStr">
        <is>
          <t xml:space="preserve">55401</t>
        </is>
      </c>
      <c r="S30" s="48" t="inlineStr">
        <is>
          <t xml:space="preserve">Severe convective - hail / tornado (moderate)</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3836.36</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CANON-202602-004705</t>
        </is>
      </c>
      <c r="B31" s="30" t="inlineStr">
        <is>
          <t xml:space="preserve">Everett Harrington</t>
        </is>
      </c>
      <c r="C31" s="31">
        <v>46079</v>
      </c>
      <c r="D31" s="32" t="inlineStr">
        <is>
          <t xml:space="preserve">Bound - within authority</t>
        </is>
      </c>
      <c r="E31" s="32" t="inlineStr">
        <is>
          <t xml:space="preserve">New business</t>
        </is>
      </c>
      <c r="F31" s="30" t="inlineStr">
        <is>
          <t xml:space="preserve">B1234EXOTIC26</t>
        </is>
      </c>
      <c r="G31" s="33">
        <f>IF($A31="","",IF($C31="","",YEAR($C31)))</f>
      </c>
      <c r="H31" s="34">
        <v>1974</v>
      </c>
      <c r="I31" s="30" t="inlineStr">
        <is>
          <t xml:space="preserve">Lamborghini</t>
        </is>
      </c>
      <c r="J31" s="30" t="inlineStr">
        <is>
          <t xml:space="preserve">Huracan EVO</t>
        </is>
      </c>
      <c r="K31" s="30" t="inlineStr">
        <is>
          <t xml:space="preserve">U12FN7X4TC5LHL8LL</t>
        </is>
      </c>
      <c r="L31" s="32" t="inlineStr">
        <is>
          <t xml:space="preserve">03 - Supercar</t>
        </is>
      </c>
      <c r="M31" s="35">
        <v>560000</v>
      </c>
      <c r="N31" s="32" t="inlineStr">
        <is>
          <t xml:space="preserve">Personal</t>
        </is>
      </c>
      <c r="O31" s="30" t="inlineStr">
        <is>
          <t xml:space="preserve">Personal - regular use</t>
        </is>
      </c>
      <c r="P31" s="30" t="inlineStr">
        <is>
          <t xml:space="preserve">Under 1,000</t>
        </is>
      </c>
      <c r="Q31" s="30" t="inlineStr">
        <is>
          <t xml:space="preserve">Washington</t>
        </is>
      </c>
      <c r="R31" s="30" t="inlineStr">
        <is>
          <t xml:space="preserve">98101</t>
        </is>
      </c>
      <c r="S31" s="32" t="inlineStr">
        <is>
          <t xml:space="preserve">Earthquake - high (CA, Cascadia, New Madrid)</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8472.17</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CANON-202602-004706</t>
        </is>
      </c>
      <c r="B32" s="46" t="inlineStr">
        <is>
          <t xml:space="preserve">Sunniva Castellanos</t>
        </is>
      </c>
      <c r="C32" s="47">
        <v>46063</v>
      </c>
      <c r="D32" s="48" t="inlineStr">
        <is>
          <t xml:space="preserve">Bound - within authority</t>
        </is>
      </c>
      <c r="E32" s="48" t="inlineStr">
        <is>
          <t xml:space="preserve">New business</t>
        </is>
      </c>
      <c r="F32" s="46" t="inlineStr">
        <is>
          <t xml:space="preserve">B1234EXOTIC26</t>
        </is>
      </c>
      <c r="G32" s="33">
        <f>IF($A32="","",IF($C32="","",YEAR($C32)))</f>
      </c>
      <c r="H32" s="49">
        <v>1986</v>
      </c>
      <c r="I32" s="46" t="inlineStr">
        <is>
          <t xml:space="preserve">Maserati</t>
        </is>
      </c>
      <c r="J32" s="46" t="inlineStr">
        <is>
          <t xml:space="preserve">GranTurismo</t>
        </is>
      </c>
      <c r="K32" s="46" t="inlineStr">
        <is>
          <t xml:space="preserve">3HNSJVZW3CPH83Y0R</t>
        </is>
      </c>
      <c r="L32" s="48" t="inlineStr">
        <is>
          <t xml:space="preserve">02 - Sports / GT</t>
        </is>
      </c>
      <c r="M32" s="50">
        <v>605000</v>
      </c>
      <c r="N32" s="48" t="inlineStr">
        <is>
          <t xml:space="preserve">Personal</t>
        </is>
      </c>
      <c r="O32" s="46" t="inlineStr">
        <is>
          <t xml:space="preserve">Personal - regular use</t>
        </is>
      </c>
      <c r="P32" s="46" t="inlineStr">
        <is>
          <t xml:space="preserve">Under 1,000</t>
        </is>
      </c>
      <c r="Q32" s="46" t="inlineStr">
        <is>
          <t xml:space="preserve">Texas</t>
        </is>
      </c>
      <c r="R32" s="46" t="inlineStr">
        <is>
          <t xml:space="preserve">75201</t>
        </is>
      </c>
      <c r="S32" s="48" t="inlineStr">
        <is>
          <t xml:space="preserve">Tier 2 - Coastal wind (1-25 miles)</t>
        </is>
      </c>
      <c r="T32" s="36">
        <f>IF($A32="","",IF($S32="","",IFERROR(INDEX('[1]natural catastrophe'!$D$6:$D$17,MATCH($S32,'[1]natural catastrophe'!$B$6:$B$17,0)),"?")))</f>
      </c>
      <c r="U32" s="46" t="inlineStr">
        <is>
          <t xml:space="preserve">2% of agreed value, minimum $10,000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7502.02</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CANON-202602-004709</t>
        </is>
      </c>
      <c r="B33" s="30" t="inlineStr">
        <is>
          <t xml:space="preserve">Wilhelmina Vasquez</t>
        </is>
      </c>
      <c r="C33" s="31">
        <v>46073</v>
      </c>
      <c r="D33" s="32" t="inlineStr">
        <is>
          <t xml:space="preserve">Bound - within authority</t>
        </is>
      </c>
      <c r="E33" s="32" t="inlineStr">
        <is>
          <t xml:space="preserve">New business</t>
        </is>
      </c>
      <c r="F33" s="30" t="inlineStr">
        <is>
          <t xml:space="preserve">B1234EXOTIC26</t>
        </is>
      </c>
      <c r="G33" s="33">
        <f>IF($A33="","",IF($C33="","",YEAR($C33)))</f>
      </c>
      <c r="H33" s="34">
        <v>2006</v>
      </c>
      <c r="I33" s="30" t="inlineStr">
        <is>
          <t xml:space="preserve">Aston Martin</t>
        </is>
      </c>
      <c r="J33" s="30" t="inlineStr">
        <is>
          <t xml:space="preserve">DB12</t>
        </is>
      </c>
      <c r="K33" s="30" t="inlineStr">
        <is>
          <t xml:space="preserve">JS4ERE6Y6JRYNABX9</t>
        </is>
      </c>
      <c r="L33" s="32" t="inlineStr">
        <is>
          <t xml:space="preserve">02 - Sports / GT</t>
        </is>
      </c>
      <c r="M33" s="35">
        <v>315000</v>
      </c>
      <c r="N33" s="32" t="inlineStr">
        <is>
          <t xml:space="preserve">Personal</t>
        </is>
      </c>
      <c r="O33" s="30" t="inlineStr">
        <is>
          <t xml:space="preserve">Personal - regular use</t>
        </is>
      </c>
      <c r="P33" s="30" t="inlineStr">
        <is>
          <t xml:space="preserve">2,500 - 5,000</t>
        </is>
      </c>
      <c r="Q33" s="30" t="inlineStr">
        <is>
          <t xml:space="preserve">Vermont</t>
        </is>
      </c>
      <c r="R33" s="30" t="inlineStr">
        <is>
          <t xml:space="preserve">05601</t>
        </is>
      </c>
      <c r="S33" s="32" t="inlineStr">
        <is>
          <t xml:space="preserve">Low hazard - inland benign</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4781.27</v>
      </c>
      <c r="AC33" s="37">
        <v>0</v>
      </c>
      <c r="AD33" s="38">
        <f>IF(ISNUMBER($AB33),$AB33*(1+N($AC33)),"")</f>
      </c>
      <c r="AE33" s="35">
        <v>350</v>
      </c>
      <c r="AF33" s="35">
        <v>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CANON-202602-004710</t>
        </is>
      </c>
      <c r="B34" s="46" t="inlineStr">
        <is>
          <t xml:space="preserve">Desmond Harrington</t>
        </is>
      </c>
      <c r="C34" s="47">
        <v>46055</v>
      </c>
      <c r="D34" s="48" t="inlineStr">
        <is>
          <t xml:space="preserve">Bound - within authority</t>
        </is>
      </c>
      <c r="E34" s="48" t="inlineStr">
        <is>
          <t xml:space="preserve">New business</t>
        </is>
      </c>
      <c r="F34" s="46" t="inlineStr">
        <is>
          <t xml:space="preserve">B1234EXOTIC26</t>
        </is>
      </c>
      <c r="G34" s="33">
        <f>IF($A34="","",IF($C34="","",YEAR($C34)))</f>
      </c>
      <c r="H34" s="49">
        <v>2005</v>
      </c>
      <c r="I34" s="46" t="inlineStr">
        <is>
          <t xml:space="preserve">Ferrari</t>
        </is>
      </c>
      <c r="J34" s="46" t="inlineStr">
        <is>
          <t xml:space="preserve">275 GTB/4</t>
        </is>
      </c>
      <c r="K34" s="46" t="inlineStr">
        <is>
          <t xml:space="preserve">YA09W06PH7V2H23KF</t>
        </is>
      </c>
      <c r="L34" s="48" t="inlineStr">
        <is>
          <t xml:space="preserve">09 - Youngtimer / Collectible (2000-2010)</t>
        </is>
      </c>
      <c r="M34" s="50">
        <v>660000</v>
      </c>
      <c r="N34" s="48" t="inlineStr">
        <is>
          <t xml:space="preserve">Personal</t>
        </is>
      </c>
      <c r="O34" s="46" t="inlineStr">
        <is>
          <t xml:space="preserve">Personal - regular use</t>
        </is>
      </c>
      <c r="P34" s="46" t="inlineStr">
        <is>
          <t xml:space="preserve">2,500 - 5,000</t>
        </is>
      </c>
      <c r="Q34" s="46" t="inlineStr">
        <is>
          <t xml:space="preserve">Florida</t>
        </is>
      </c>
      <c r="R34" s="46" t="inlineStr">
        <is>
          <t xml:space="preserve">33139</t>
        </is>
      </c>
      <c r="S34" s="48" t="inlineStr">
        <is>
          <t xml:space="preserve">Tier 2 - Coastal wind (1-25 miles)</t>
        </is>
      </c>
      <c r="T34" s="36">
        <f>IF($A34="","",IF($S34="","",IFERROR(INDEX('[1]natural catastrophe'!$D$6:$D$17,MATCH($S34,'[1]natural catastrophe'!$B$6:$B$17,0)),"?")))</f>
      </c>
      <c r="U34" s="46" t="inlineStr">
        <is>
          <t xml:space="preserve">2% of agreed value, minimum $10,000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6685.17</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CANON-202602-004711</t>
        </is>
      </c>
      <c r="B35" s="30" t="inlineStr">
        <is>
          <t xml:space="preserve">Cassius Montoya</t>
        </is>
      </c>
      <c r="C35" s="31">
        <v>46080</v>
      </c>
      <c r="D35" s="32" t="inlineStr">
        <is>
          <t xml:space="preserve">Bound - within authority</t>
        </is>
      </c>
      <c r="E35" s="32" t="inlineStr">
        <is>
          <t xml:space="preserve">New business</t>
        </is>
      </c>
      <c r="F35" s="30" t="inlineStr">
        <is>
          <t xml:space="preserve">B1234EXOTIC26</t>
        </is>
      </c>
      <c r="G35" s="33">
        <f>IF($A35="","",IF($C35="","",YEAR($C35)))</f>
      </c>
      <c r="H35" s="34">
        <v>1997</v>
      </c>
      <c r="I35" s="30" t="inlineStr">
        <is>
          <t xml:space="preserve">BMW</t>
        </is>
      </c>
      <c r="J35" s="30" t="inlineStr">
        <is>
          <t xml:space="preserve">M8 Competition</t>
        </is>
      </c>
      <c r="K35" s="30" t="inlineStr">
        <is>
          <t xml:space="preserve">3DKWJPH7ZCE1NPY0K</t>
        </is>
      </c>
      <c r="L35" s="32" t="inlineStr">
        <is>
          <t xml:space="preserve">02 - Sports / GT</t>
        </is>
      </c>
      <c r="M35" s="35">
        <v>305000</v>
      </c>
      <c r="N35" s="32" t="inlineStr">
        <is>
          <t xml:space="preserve">Personal</t>
        </is>
      </c>
      <c r="O35" s="30" t="inlineStr">
        <is>
          <t xml:space="preserve">Personal - regular use</t>
        </is>
      </c>
      <c r="P35" s="30" t="inlineStr">
        <is>
          <t xml:space="preserve">2,500 - 5,000</t>
        </is>
      </c>
      <c r="Q35" s="30" t="inlineStr">
        <is>
          <t xml:space="preserve">Ohio</t>
        </is>
      </c>
      <c r="R35" s="30" t="inlineStr">
        <is>
          <t xml:space="preserve">43215</t>
        </is>
      </c>
      <c r="S35" s="32" t="inlineStr">
        <is>
          <t xml:space="preserve">Severe convective - hail / tornado (moderate)</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5274.58</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CANON-202602-004712</t>
        </is>
      </c>
      <c r="B36" s="46" t="inlineStr">
        <is>
          <t xml:space="preserve">Wilhelmina Harrington</t>
        </is>
      </c>
      <c r="C36" s="47">
        <v>46064</v>
      </c>
      <c r="D36" s="48" t="inlineStr">
        <is>
          <t xml:space="preserve">Bound - within authority</t>
        </is>
      </c>
      <c r="E36" s="48" t="inlineStr">
        <is>
          <t xml:space="preserve">New business</t>
        </is>
      </c>
      <c r="F36" s="46" t="inlineStr">
        <is>
          <t xml:space="preserve">B1234EXOTIC26</t>
        </is>
      </c>
      <c r="G36" s="33">
        <f>IF($A36="","",IF($C36="","",YEAR($C36)))</f>
      </c>
      <c r="H36" s="49">
        <v>2003</v>
      </c>
      <c r="I36" s="46" t="inlineStr">
        <is>
          <t xml:space="preserve">Mercedes-Benz</t>
        </is>
      </c>
      <c r="J36" s="46" t="inlineStr">
        <is>
          <t xml:space="preserve">AMG GT</t>
        </is>
      </c>
      <c r="K36" s="46" t="inlineStr">
        <is>
          <t xml:space="preserve">60G3G795HWVM86F5H</t>
        </is>
      </c>
      <c r="L36" s="48" t="inlineStr">
        <is>
          <t xml:space="preserve">02 - Sports / GT</t>
        </is>
      </c>
      <c r="M36" s="50">
        <v>400000</v>
      </c>
      <c r="N36" s="48" t="inlineStr">
        <is>
          <t xml:space="preserve">Personal</t>
        </is>
      </c>
      <c r="O36" s="46" t="inlineStr">
        <is>
          <t xml:space="preserve">Personal - regular use</t>
        </is>
      </c>
      <c r="P36" s="46" t="inlineStr">
        <is>
          <t xml:space="preserve">Under 1,000</t>
        </is>
      </c>
      <c r="Q36" s="46" t="inlineStr">
        <is>
          <t xml:space="preserve">Maryland</t>
        </is>
      </c>
      <c r="R36" s="46" t="inlineStr">
        <is>
          <t xml:space="preserve">21201</t>
        </is>
      </c>
      <c r="S36" s="48" t="inlineStr">
        <is>
          <t xml:space="preserve">Tier 3 - Coastal wind (25-100 miles)</t>
        </is>
      </c>
      <c r="T36" s="36">
        <f>IF($A36="","",IF($S36="","",IFERROR(INDEX('[1]natural catastrophe'!$D$6:$D$17,MATCH($S36,'[1]natural catastrophe'!$B$6:$B$17,0)),"?")))</f>
      </c>
      <c r="U36" s="46" t="inlineStr">
        <is>
          <t xml:space="preserve">2% of agreed value, minimum $10,000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4727.77</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CANON-202602-004714</t>
        </is>
      </c>
      <c r="B37" s="30" t="inlineStr">
        <is>
          <t xml:space="preserve">Beatrix Nakashima</t>
        </is>
      </c>
      <c r="C37" s="31">
        <v>46067</v>
      </c>
      <c r="D37" s="32" t="inlineStr">
        <is>
          <t xml:space="preserve">Bound - within authority</t>
        </is>
      </c>
      <c r="E37" s="32" t="inlineStr">
        <is>
          <t xml:space="preserve">New business</t>
        </is>
      </c>
      <c r="F37" s="30" t="inlineStr">
        <is>
          <t xml:space="preserve">B1234EXOTIC26</t>
        </is>
      </c>
      <c r="G37" s="33">
        <f>IF($A37="","",IF($C37="","",YEAR($C37)))</f>
      </c>
      <c r="H37" s="34">
        <v>1995</v>
      </c>
      <c r="I37" s="30" t="inlineStr">
        <is>
          <t xml:space="preserve">Aston Martin</t>
        </is>
      </c>
      <c r="J37" s="30" t="inlineStr">
        <is>
          <t xml:space="preserve">DB12</t>
        </is>
      </c>
      <c r="K37" s="30" t="inlineStr">
        <is>
          <t xml:space="preserve">RLR8VDSKVNN36P6HW</t>
        </is>
      </c>
      <c r="L37" s="32" t="inlineStr">
        <is>
          <t xml:space="preserve">02 - Sports / GT</t>
        </is>
      </c>
      <c r="M37" s="35">
        <v>710000</v>
      </c>
      <c r="N37" s="32" t="inlineStr">
        <is>
          <t xml:space="preserve">Personal</t>
        </is>
      </c>
      <c r="O37" s="30" t="inlineStr">
        <is>
          <t xml:space="preserve">Personal - regular use</t>
        </is>
      </c>
      <c r="P37" s="30" t="inlineStr">
        <is>
          <t xml:space="preserve">Under 1,000</t>
        </is>
      </c>
      <c r="Q37" s="30" t="inlineStr">
        <is>
          <t xml:space="preserve">Texas</t>
        </is>
      </c>
      <c r="R37" s="30" t="inlineStr">
        <is>
          <t xml:space="preserve">75201</t>
        </is>
      </c>
      <c r="S37" s="32" t="inlineStr">
        <is>
          <t xml:space="preserve">Tier 2 - Coastal wind (1-25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8804.03</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CANON-202602-004718</t>
        </is>
      </c>
      <c r="B38" s="46" t="inlineStr">
        <is>
          <t xml:space="preserve">Delphine Underwood</t>
        </is>
      </c>
      <c r="C38" s="47">
        <v>46075</v>
      </c>
      <c r="D38" s="48" t="inlineStr">
        <is>
          <t xml:space="preserve">Bound - within authority</t>
        </is>
      </c>
      <c r="E38" s="48" t="inlineStr">
        <is>
          <t xml:space="preserve">New business</t>
        </is>
      </c>
      <c r="F38" s="46" t="inlineStr">
        <is>
          <t xml:space="preserve">B1234EXOTIC26</t>
        </is>
      </c>
      <c r="G38" s="33">
        <f>IF($A38="","",IF($C38="","",YEAR($C38)))</f>
      </c>
      <c r="H38" s="49">
        <v>1960</v>
      </c>
      <c r="I38" s="46" t="inlineStr">
        <is>
          <t xml:space="preserve">Maserati</t>
        </is>
      </c>
      <c r="J38" s="46" t="inlineStr">
        <is>
          <t xml:space="preserve">GranTurismo</t>
        </is>
      </c>
      <c r="K38" s="46" t="inlineStr">
        <is>
          <t xml:space="preserve">9AZN0XUJDMVH8LJ8W</t>
        </is>
      </c>
      <c r="L38" s="48" t="inlineStr">
        <is>
          <t xml:space="preserve">02 - Sports / GT</t>
        </is>
      </c>
      <c r="M38" s="50">
        <v>395000</v>
      </c>
      <c r="N38" s="48" t="inlineStr">
        <is>
          <t xml:space="preserve">Personal</t>
        </is>
      </c>
      <c r="O38" s="46" t="inlineStr">
        <is>
          <t xml:space="preserve">Personal - regular use</t>
        </is>
      </c>
      <c r="P38" s="46" t="inlineStr">
        <is>
          <t xml:space="preserve">Under 1,000</t>
        </is>
      </c>
      <c r="Q38" s="46" t="inlineStr">
        <is>
          <t xml:space="preserve">Oregon</t>
        </is>
      </c>
      <c r="R38" s="46" t="inlineStr">
        <is>
          <t xml:space="preserve">97204</t>
        </is>
      </c>
      <c r="S38" s="48" t="inlineStr">
        <is>
          <t xml:space="preserve">Earthquake - high (CA, Cascadia, New Madrid)</t>
        </is>
      </c>
      <c r="T38" s="36">
        <f>IF($A38="","",IF($S38="","",IFERROR(INDEX('[1]natural catastrophe'!$D$6:$D$17,MATCH($S38,'[1]natural catastrophe'!$B$6:$B$17,0)),"?")))</f>
      </c>
      <c r="U38" s="46" t="inlineStr">
        <is>
          <t xml:space="preserve">$5,000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5553.26</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CANON-202602-004719</t>
        </is>
      </c>
      <c r="B39" s="30" t="inlineStr">
        <is>
          <t xml:space="preserve">Wilhelmina Kingsford</t>
        </is>
      </c>
      <c r="C39" s="31">
        <v>46073</v>
      </c>
      <c r="D39" s="32" t="inlineStr">
        <is>
          <t xml:space="preserve">Bound - within authority</t>
        </is>
      </c>
      <c r="E39" s="32" t="inlineStr">
        <is>
          <t xml:space="preserve">New business</t>
        </is>
      </c>
      <c r="F39" s="30" t="inlineStr">
        <is>
          <t xml:space="preserve">B1234EXOTIC26</t>
        </is>
      </c>
      <c r="G39" s="33">
        <f>IF($A39="","",IF($C39="","",YEAR($C39)))</f>
      </c>
      <c r="H39" s="34">
        <v>1985</v>
      </c>
      <c r="I39" s="30" t="inlineStr">
        <is>
          <t xml:space="preserve">BMW</t>
        </is>
      </c>
      <c r="J39" s="30" t="inlineStr">
        <is>
          <t xml:space="preserve">M8 Competition</t>
        </is>
      </c>
      <c r="K39" s="30" t="inlineStr">
        <is>
          <t xml:space="preserve">5XVEMNALM5MD8CZBD</t>
        </is>
      </c>
      <c r="L39" s="32" t="inlineStr">
        <is>
          <t xml:space="preserve">02 - Sports / GT</t>
        </is>
      </c>
      <c r="M39" s="35">
        <v>310000</v>
      </c>
      <c r="N39" s="32" t="inlineStr">
        <is>
          <t xml:space="preserve">Personal</t>
        </is>
      </c>
      <c r="O39" s="30" t="inlineStr">
        <is>
          <t xml:space="preserve">Personal - regular use</t>
        </is>
      </c>
      <c r="P39" s="30" t="inlineStr">
        <is>
          <t xml:space="preserve">Under 1,000</t>
        </is>
      </c>
      <c r="Q39" s="30" t="inlineStr">
        <is>
          <t xml:space="preserve">New York</t>
        </is>
      </c>
      <c r="R39" s="30" t="inlineStr">
        <is>
          <t xml:space="preserve">10022</t>
        </is>
      </c>
      <c r="S39" s="32" t="inlineStr">
        <is>
          <t xml:space="preserve">Tier 3 - Coastal wind (25-100 miles)</t>
        </is>
      </c>
      <c r="T39" s="36">
        <f>IF($A39="","",IF($S39="","",IFERROR(INDEX('[1]natural catastrophe'!$D$6:$D$17,MATCH($S39,'[1]natural catastrophe'!$B$6:$B$17,0)),"?")))</f>
      </c>
      <c r="U39" s="30" t="inlineStr">
        <is>
          <t xml:space="preserve">2% of agreed value, minimum $10,000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4936.79</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CANON-202602-004720</t>
        </is>
      </c>
      <c r="B40" s="46" t="inlineStr">
        <is>
          <t xml:space="preserve">Noor Chattopadhyay</t>
        </is>
      </c>
      <c r="C40" s="47">
        <v>46064</v>
      </c>
      <c r="D40" s="48" t="inlineStr">
        <is>
          <t xml:space="preserve">Bound - within authority</t>
        </is>
      </c>
      <c r="E40" s="48" t="inlineStr">
        <is>
          <t xml:space="preserve">New business</t>
        </is>
      </c>
      <c r="F40" s="46" t="inlineStr">
        <is>
          <t xml:space="preserve">B1234EXOTIC26</t>
        </is>
      </c>
      <c r="G40" s="33">
        <f>IF($A40="","",IF($C40="","",YEAR($C40)))</f>
      </c>
      <c r="H40" s="49">
        <v>1957</v>
      </c>
      <c r="I40" s="46" t="inlineStr">
        <is>
          <t xml:space="preserve">Ferrari</t>
        </is>
      </c>
      <c r="J40" s="46" t="inlineStr">
        <is>
          <t xml:space="preserve">296 GTB</t>
        </is>
      </c>
      <c r="K40" s="46" t="inlineStr">
        <is>
          <t xml:space="preserve">2EJ9TYZF3EN6L5CVX</t>
        </is>
      </c>
      <c r="L40" s="48" t="inlineStr">
        <is>
          <t xml:space="preserve">03 - Supercar</t>
        </is>
      </c>
      <c r="M40" s="50">
        <v>475000</v>
      </c>
      <c r="N40" s="48" t="inlineStr">
        <is>
          <t xml:space="preserve">Personal</t>
        </is>
      </c>
      <c r="O40" s="46" t="inlineStr">
        <is>
          <t xml:space="preserve">Personal - regular use</t>
        </is>
      </c>
      <c r="P40" s="46" t="inlineStr">
        <is>
          <t xml:space="preserve">Under 1,000</t>
        </is>
      </c>
      <c r="Q40" s="46" t="inlineStr">
        <is>
          <t xml:space="preserve">West Virginia</t>
        </is>
      </c>
      <c r="R40" s="46" t="inlineStr">
        <is>
          <t xml:space="preserve">25301</t>
        </is>
      </c>
      <c r="S40" s="48" t="inlineStr">
        <is>
          <t xml:space="preserve">Low hazard - inland benign</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12051.88</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CANON-202602-004721</t>
        </is>
      </c>
      <c r="B41" s="30" t="inlineStr">
        <is>
          <t xml:space="preserve">Thaddeus Rourke</t>
        </is>
      </c>
      <c r="C41" s="31">
        <v>46066</v>
      </c>
      <c r="D41" s="32" t="inlineStr">
        <is>
          <t xml:space="preserve">Bound - within authority</t>
        </is>
      </c>
      <c r="E41" s="32" t="inlineStr">
        <is>
          <t xml:space="preserve">New business</t>
        </is>
      </c>
      <c r="F41" s="30" t="inlineStr">
        <is>
          <t xml:space="preserve">B1234EXOTIC26</t>
        </is>
      </c>
      <c r="G41" s="33">
        <f>IF($A41="","",IF($C41="","",YEAR($C41)))</f>
      </c>
      <c r="H41" s="34">
        <v>1974</v>
      </c>
      <c r="I41" s="30" t="inlineStr">
        <is>
          <t xml:space="preserve">Bentley</t>
        </is>
      </c>
      <c r="J41" s="30" t="inlineStr">
        <is>
          <t xml:space="preserve">Continental GT</t>
        </is>
      </c>
      <c r="K41" s="30" t="inlineStr">
        <is>
          <t xml:space="preserve">DH4CW17VB9AD70HLM</t>
        </is>
      </c>
      <c r="L41" s="32" t="inlineStr">
        <is>
          <t xml:space="preserve">02 - Sports / GT</t>
        </is>
      </c>
      <c r="M41" s="35">
        <v>600000</v>
      </c>
      <c r="N41" s="32" t="inlineStr">
        <is>
          <t xml:space="preserve">Personal</t>
        </is>
      </c>
      <c r="O41" s="30" t="inlineStr">
        <is>
          <t xml:space="preserve">Personal - regular use</t>
        </is>
      </c>
      <c r="P41" s="30" t="inlineStr">
        <is>
          <t xml:space="preserve">2,500 - 5,000</t>
        </is>
      </c>
      <c r="Q41" s="30" t="inlineStr">
        <is>
          <t xml:space="preserve">Washington</t>
        </is>
      </c>
      <c r="R41" s="30" t="inlineStr">
        <is>
          <t xml:space="preserve">98101</t>
        </is>
      </c>
      <c r="S41" s="32" t="inlineStr">
        <is>
          <t xml:space="preserve">Earthquake - high (CA, Cascadia, New Madrid)</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6210.8</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CANON-202602-004722</t>
        </is>
      </c>
      <c r="B42" s="46" t="inlineStr">
        <is>
          <t xml:space="preserve">Ottilie Kingsford</t>
        </is>
      </c>
      <c r="C42" s="47">
        <v>46063</v>
      </c>
      <c r="D42" s="48" t="inlineStr">
        <is>
          <t xml:space="preserve">Bound - within authority</t>
        </is>
      </c>
      <c r="E42" s="48" t="inlineStr">
        <is>
          <t xml:space="preserve">New business</t>
        </is>
      </c>
      <c r="F42" s="46" t="inlineStr">
        <is>
          <t xml:space="preserve">B1234EXOTIC26</t>
        </is>
      </c>
      <c r="G42" s="33">
        <f>IF($A42="","",IF($C42="","",YEAR($C42)))</f>
      </c>
      <c r="H42" s="49">
        <v>2005</v>
      </c>
      <c r="I42" s="46" t="inlineStr">
        <is>
          <t xml:space="preserve">Maserati</t>
        </is>
      </c>
      <c r="J42" s="46" t="inlineStr">
        <is>
          <t xml:space="preserve">GranTurismo</t>
        </is>
      </c>
      <c r="K42" s="46" t="inlineStr">
        <is>
          <t xml:space="preserve">K0MF50KUV1XKY30GK</t>
        </is>
      </c>
      <c r="L42" s="48" t="inlineStr">
        <is>
          <t xml:space="preserve">02 - Sports / GT</t>
        </is>
      </c>
      <c r="M42" s="50">
        <v>365000</v>
      </c>
      <c r="N42" s="48" t="inlineStr">
        <is>
          <t xml:space="preserve">Personal</t>
        </is>
      </c>
      <c r="O42" s="46" t="inlineStr">
        <is>
          <t xml:space="preserve">Personal - regular use</t>
        </is>
      </c>
      <c r="P42" s="46" t="inlineStr">
        <is>
          <t xml:space="preserve">2,500 - 5,000</t>
        </is>
      </c>
      <c r="Q42" s="46" t="inlineStr">
        <is>
          <t xml:space="preserve">Massachusetts</t>
        </is>
      </c>
      <c r="R42" s="46" t="inlineStr">
        <is>
          <t xml:space="preserve">02108</t>
        </is>
      </c>
      <c r="S42" s="48" t="inlineStr">
        <is>
          <t xml:space="preserve">Tier 3 - Coastal wind (25-100 miles)</t>
        </is>
      </c>
      <c r="T42" s="36">
        <f>IF($A42="","",IF($S42="","",IFERROR(INDEX('[1]natural catastrophe'!$D$6:$D$17,MATCH($S42,'[1]natural catastrophe'!$B$6:$B$17,0)),"?")))</f>
      </c>
      <c r="U42" s="46" t="inlineStr">
        <is>
          <t xml:space="preserve">2% of agreed value, minimum $10,000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5676.44</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CANON-202602-004723</t>
        </is>
      </c>
      <c r="B43" s="30" t="inlineStr">
        <is>
          <t xml:space="preserve">Horace Ashcombe</t>
        </is>
      </c>
      <c r="C43" s="31">
        <v>46064</v>
      </c>
      <c r="D43" s="32" t="inlineStr">
        <is>
          <t xml:space="preserve">Bound - within authority</t>
        </is>
      </c>
      <c r="E43" s="32" t="inlineStr">
        <is>
          <t xml:space="preserve">New business</t>
        </is>
      </c>
      <c r="F43" s="30" t="inlineStr">
        <is>
          <t xml:space="preserve">B1234EXOTIC26</t>
        </is>
      </c>
      <c r="G43" s="33">
        <f>IF($A43="","",IF($C43="","",YEAR($C43)))</f>
      </c>
      <c r="H43" s="34">
        <v>1997</v>
      </c>
      <c r="I43" s="30" t="inlineStr">
        <is>
          <t xml:space="preserve">Maserati</t>
        </is>
      </c>
      <c r="J43" s="30" t="inlineStr">
        <is>
          <t xml:space="preserve">GranTurismo</t>
        </is>
      </c>
      <c r="K43" s="30" t="inlineStr">
        <is>
          <t xml:space="preserve">ZYECRRE11MJEGBXWV</t>
        </is>
      </c>
      <c r="L43" s="32" t="inlineStr">
        <is>
          <t xml:space="preserve">02 - Sports / GT</t>
        </is>
      </c>
      <c r="M43" s="35">
        <v>355000</v>
      </c>
      <c r="N43" s="32" t="inlineStr">
        <is>
          <t xml:space="preserve">Personal</t>
        </is>
      </c>
      <c r="O43" s="30" t="inlineStr">
        <is>
          <t xml:space="preserve">Personal - regular use</t>
        </is>
      </c>
      <c r="P43" s="30" t="inlineStr">
        <is>
          <t xml:space="preserve">Under 1,000</t>
        </is>
      </c>
      <c r="Q43" s="30" t="inlineStr">
        <is>
          <t xml:space="preserve">Georgia</t>
        </is>
      </c>
      <c r="R43" s="30" t="inlineStr">
        <is>
          <t xml:space="preserve">30303</t>
        </is>
      </c>
      <c r="S43" s="32" t="inlineStr">
        <is>
          <t xml:space="preserve">Tier 2 - Coastal wind (1-25 miles)</t>
        </is>
      </c>
      <c r="T43" s="36">
        <f>IF($A43="","",IF($S43="","",IFERROR(INDEX('[1]natural catastrophe'!$D$6:$D$17,MATCH($S43,'[1]natural catastrophe'!$B$6:$B$17,0)),"?")))</f>
      </c>
      <c r="U43" s="30" t="inlineStr">
        <is>
          <t xml:space="preserve">2% of agreed value, minimum $10,000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4946.75</v>
      </c>
      <c r="AC43" s="37">
        <v>0</v>
      </c>
      <c r="AD43" s="38">
        <f>IF(ISNUMBER($AB43),$AB43*(1+N($AC43)),"")</f>
      </c>
      <c r="AE43" s="35">
        <v>350</v>
      </c>
      <c r="AF43" s="35">
        <v>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CANON-202602-004724</t>
        </is>
      </c>
      <c r="B44" s="46" t="inlineStr">
        <is>
          <t xml:space="preserve">Mireille Chattopadhyay</t>
        </is>
      </c>
      <c r="C44" s="47">
        <v>46058</v>
      </c>
      <c r="D44" s="48" t="inlineStr">
        <is>
          <t xml:space="preserve">Bound - within authority</t>
        </is>
      </c>
      <c r="E44" s="48" t="inlineStr">
        <is>
          <t xml:space="preserve">New business</t>
        </is>
      </c>
      <c r="F44" s="46" t="inlineStr">
        <is>
          <t xml:space="preserve">B1234EXOTIC26</t>
        </is>
      </c>
      <c r="G44" s="33">
        <f>IF($A44="","",IF($C44="","",YEAR($C44)))</f>
      </c>
      <c r="H44" s="49">
        <v>2021</v>
      </c>
      <c r="I44" s="46" t="inlineStr">
        <is>
          <t xml:space="preserve">Aston Martin</t>
        </is>
      </c>
      <c r="J44" s="46" t="inlineStr">
        <is>
          <t xml:space="preserve">DB5</t>
        </is>
      </c>
      <c r="K44" s="46" t="inlineStr">
        <is>
          <t xml:space="preserve">8X6Y9FFMJ4VK282SH</t>
        </is>
      </c>
      <c r="L44" s="48" t="inlineStr">
        <is>
          <t xml:space="preserve">02 - Sports / GT</t>
        </is>
      </c>
      <c r="M44" s="50">
        <v>540000</v>
      </c>
      <c r="N44" s="48" t="inlineStr">
        <is>
          <t xml:space="preserve">Personal</t>
        </is>
      </c>
      <c r="O44" s="46" t="inlineStr">
        <is>
          <t xml:space="preserve">Personal - regular use</t>
        </is>
      </c>
      <c r="P44" s="46" t="inlineStr">
        <is>
          <t xml:space="preserve">1,000 - 2,500</t>
        </is>
      </c>
      <c r="Q44" s="46" t="inlineStr">
        <is>
          <t xml:space="preserve">Michigan</t>
        </is>
      </c>
      <c r="R44" s="46" t="inlineStr">
        <is>
          <t xml:space="preserve">48226</t>
        </is>
      </c>
      <c r="S44" s="48" t="inlineStr">
        <is>
          <t xml:space="preserve">Severe convective - hail / tornado (moderate)</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5970.43</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CANON-202602-004725</t>
        </is>
      </c>
      <c r="B45" s="30" t="inlineStr">
        <is>
          <t xml:space="preserve">Beatrix Whitlock</t>
        </is>
      </c>
      <c r="C45" s="31">
        <v>46074</v>
      </c>
      <c r="D45" s="32" t="inlineStr">
        <is>
          <t xml:space="preserve">Bound - within authority</t>
        </is>
      </c>
      <c r="E45" s="32" t="inlineStr">
        <is>
          <t xml:space="preserve">New business</t>
        </is>
      </c>
      <c r="F45" s="30" t="inlineStr">
        <is>
          <t xml:space="preserve">B1234EXOTIC26</t>
        </is>
      </c>
      <c r="G45" s="33">
        <f>IF($A45="","",IF($C45="","",YEAR($C45)))</f>
      </c>
      <c r="H45" s="34">
        <v>2006</v>
      </c>
      <c r="I45" s="30" t="inlineStr">
        <is>
          <t xml:space="preserve">Bentley</t>
        </is>
      </c>
      <c r="J45" s="30" t="inlineStr">
        <is>
          <t xml:space="preserve">Continental GT</t>
        </is>
      </c>
      <c r="K45" s="30" t="inlineStr">
        <is>
          <t xml:space="preserve">PWZ0U974D10EKCE7P</t>
        </is>
      </c>
      <c r="L45" s="32" t="inlineStr">
        <is>
          <t xml:space="preserve">02 - Sports / GT</t>
        </is>
      </c>
      <c r="M45" s="35">
        <v>515000</v>
      </c>
      <c r="N45" s="32" t="inlineStr">
        <is>
          <t xml:space="preserve">Personal</t>
        </is>
      </c>
      <c r="O45" s="30" t="inlineStr">
        <is>
          <t xml:space="preserve">Personal - regular use</t>
        </is>
      </c>
      <c r="P45" s="30" t="inlineStr">
        <is>
          <t xml:space="preserve">Under 1,000</t>
        </is>
      </c>
      <c r="Q45" s="30" t="inlineStr">
        <is>
          <t xml:space="preserve">Louisiana</t>
        </is>
      </c>
      <c r="R45" s="30" t="inlineStr">
        <is>
          <t xml:space="preserve">70112</t>
        </is>
      </c>
      <c r="S45" s="32" t="inlineStr">
        <is>
          <t xml:space="preserve">Tier 2 - Coastal wind (1-25 miles)</t>
        </is>
      </c>
      <c r="T45" s="36">
        <f>IF($A45="","",IF($S45="","",IFERROR(INDEX('[1]natural catastrophe'!$D$6:$D$17,MATCH($S45,'[1]natural catastrophe'!$B$6:$B$17,0)),"?")))</f>
      </c>
      <c r="U45" s="30" t="inlineStr">
        <is>
          <t xml:space="preserve">2% of agreed value, minimum $10,000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6719.21</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CANON-202602-004726</t>
        </is>
      </c>
      <c r="B46" s="46" t="inlineStr">
        <is>
          <t xml:space="preserve">Ramona Castellanos</t>
        </is>
      </c>
      <c r="C46" s="47">
        <v>46069</v>
      </c>
      <c r="D46" s="48" t="inlineStr">
        <is>
          <t xml:space="preserve">Bound - within authority</t>
        </is>
      </c>
      <c r="E46" s="48" t="inlineStr">
        <is>
          <t xml:space="preserve">New business</t>
        </is>
      </c>
      <c r="F46" s="46" t="inlineStr">
        <is>
          <t xml:space="preserve">B1234EXOTIC26</t>
        </is>
      </c>
      <c r="G46" s="33">
        <f>IF($A46="","",IF($C46="","",YEAR($C46)))</f>
      </c>
      <c r="H46" s="49">
        <v>1956</v>
      </c>
      <c r="I46" s="46" t="inlineStr">
        <is>
          <t xml:space="preserve">Mercedes-Benz</t>
        </is>
      </c>
      <c r="J46" s="46" t="inlineStr">
        <is>
          <t xml:space="preserve">AMG GT</t>
        </is>
      </c>
      <c r="K46" s="46" t="inlineStr">
        <is>
          <t xml:space="preserve">HFL0X5GV7YD8WCBCB</t>
        </is>
      </c>
      <c r="L46" s="48" t="inlineStr">
        <is>
          <t xml:space="preserve">02 - Sports / GT</t>
        </is>
      </c>
      <c r="M46" s="50">
        <v>1115000</v>
      </c>
      <c r="N46" s="48" t="inlineStr">
        <is>
          <t xml:space="preserve">Personal</t>
        </is>
      </c>
      <c r="O46" s="46" t="inlineStr">
        <is>
          <t xml:space="preserve">Personal - regular use</t>
        </is>
      </c>
      <c r="P46" s="46" t="inlineStr">
        <is>
          <t xml:space="preserve">2,500 - 5,000</t>
        </is>
      </c>
      <c r="Q46" s="46" t="inlineStr">
        <is>
          <t xml:space="preserve">Nebraska</t>
        </is>
      </c>
      <c r="R46" s="46" t="inlineStr">
        <is>
          <t xml:space="preserve">68102</t>
        </is>
      </c>
      <c r="S46" s="48" t="inlineStr">
        <is>
          <t xml:space="preserve">Severe convective - hail alley (high)</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13224.91</v>
      </c>
      <c r="AC46" s="51">
        <v>0</v>
      </c>
      <c r="AD46" s="38">
        <f>IF(ISNUMBER($AB46),$AB46*(1+N($AC46)),"")</f>
      </c>
      <c r="AE46" s="50">
        <v>350</v>
      </c>
      <c r="AF46" s="50">
        <v>250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CANON-202602-004727</t>
        </is>
      </c>
      <c r="B47" s="30" t="inlineStr">
        <is>
          <t xml:space="preserve">Ramona Delacroix</t>
        </is>
      </c>
      <c r="C47" s="31">
        <v>46064</v>
      </c>
      <c r="D47" s="32" t="inlineStr">
        <is>
          <t xml:space="preserve">Bound - within authority</t>
        </is>
      </c>
      <c r="E47" s="32" t="inlineStr">
        <is>
          <t xml:space="preserve">New business</t>
        </is>
      </c>
      <c r="F47" s="30" t="inlineStr">
        <is>
          <t xml:space="preserve">B1234EXOTIC26</t>
        </is>
      </c>
      <c r="G47" s="33">
        <f>IF($A47="","",IF($C47="","",YEAR($C47)))</f>
      </c>
      <c r="H47" s="34">
        <v>1955</v>
      </c>
      <c r="I47" s="30" t="inlineStr">
        <is>
          <t xml:space="preserve">Maserati</t>
        </is>
      </c>
      <c r="J47" s="30" t="inlineStr">
        <is>
          <t xml:space="preserve">GranTurismo</t>
        </is>
      </c>
      <c r="K47" s="30" t="inlineStr">
        <is>
          <t xml:space="preserve">WK3ZEAMP83L9Y4MTN</t>
        </is>
      </c>
      <c r="L47" s="32" t="inlineStr">
        <is>
          <t xml:space="preserve">02 - Sports / GT</t>
        </is>
      </c>
      <c r="M47" s="35">
        <v>1215000</v>
      </c>
      <c r="N47" s="32" t="inlineStr">
        <is>
          <t xml:space="preserve">Personal</t>
        </is>
      </c>
      <c r="O47" s="30" t="inlineStr">
        <is>
          <t xml:space="preserve">Personal - regular use</t>
        </is>
      </c>
      <c r="P47" s="30" t="inlineStr">
        <is>
          <t xml:space="preserve">1,000 - 2,500</t>
        </is>
      </c>
      <c r="Q47" s="30" t="inlineStr">
        <is>
          <t xml:space="preserve">Arkansas</t>
        </is>
      </c>
      <c r="R47" s="30" t="inlineStr">
        <is>
          <t xml:space="preserve">72201</t>
        </is>
      </c>
      <c r="S47" s="32" t="inlineStr">
        <is>
          <t xml:space="preserve">Severe convective - hail / tornado (moderate)</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15297.83</v>
      </c>
      <c r="AC47" s="37">
        <v>0</v>
      </c>
      <c r="AD47" s="38">
        <f>IF(ISNUMBER($AB47),$AB47*(1+N($AC47)),"")</f>
      </c>
      <c r="AE47" s="35">
        <v>350</v>
      </c>
      <c r="AF47" s="35">
        <v>250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CANON-202602-004728</t>
        </is>
      </c>
      <c r="B48" s="46" t="inlineStr">
        <is>
          <t xml:space="preserve">Anouk Whitlock</t>
        </is>
      </c>
      <c r="C48" s="47">
        <v>46066</v>
      </c>
      <c r="D48" s="48" t="inlineStr">
        <is>
          <t xml:space="preserve">Bound - within authority</t>
        </is>
      </c>
      <c r="E48" s="48" t="inlineStr">
        <is>
          <t xml:space="preserve">New business</t>
        </is>
      </c>
      <c r="F48" s="46" t="inlineStr">
        <is>
          <t xml:space="preserve">B1234EXOTIC26</t>
        </is>
      </c>
      <c r="G48" s="33">
        <f>IF($A48="","",IF($C48="","",YEAR($C48)))</f>
      </c>
      <c r="H48" s="49">
        <v>1962</v>
      </c>
      <c r="I48" s="46" t="inlineStr">
        <is>
          <t xml:space="preserve">Maserati</t>
        </is>
      </c>
      <c r="J48" s="46" t="inlineStr">
        <is>
          <t xml:space="preserve">GranTurismo</t>
        </is>
      </c>
      <c r="K48" s="46" t="inlineStr">
        <is>
          <t xml:space="preserve">D57B22CLTYCYTZCSV</t>
        </is>
      </c>
      <c r="L48" s="48" t="inlineStr">
        <is>
          <t xml:space="preserve">02 - Sports / GT</t>
        </is>
      </c>
      <c r="M48" s="50">
        <v>675000</v>
      </c>
      <c r="N48" s="48" t="inlineStr">
        <is>
          <t xml:space="preserve">Personal</t>
        </is>
      </c>
      <c r="O48" s="46" t="inlineStr">
        <is>
          <t xml:space="preserve">Personal - regular use</t>
        </is>
      </c>
      <c r="P48" s="46" t="inlineStr">
        <is>
          <t xml:space="preserve">1,000 - 2,500</t>
        </is>
      </c>
      <c r="Q48" s="46" t="inlineStr">
        <is>
          <t xml:space="preserve">Alabama</t>
        </is>
      </c>
      <c r="R48" s="46" t="inlineStr">
        <is>
          <t xml:space="preserve">35203</t>
        </is>
      </c>
      <c r="S48" s="48" t="inlineStr">
        <is>
          <t xml:space="preserve">Tier 2 - Coastal wind (1-25 miles)</t>
        </is>
      </c>
      <c r="T48" s="36">
        <f>IF($A48="","",IF($S48="","",IFERROR(INDEX('[1]natural catastrophe'!$D$6:$D$17,MATCH($S48,'[1]natural catastrophe'!$B$6:$B$17,0)),"?")))</f>
      </c>
      <c r="U48" s="46" t="inlineStr">
        <is>
          <t xml:space="preserve">2% of agreed value, minimum $10,000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9243.42</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CANON-202602-004729</t>
        </is>
      </c>
      <c r="B49" s="30" t="inlineStr">
        <is>
          <t xml:space="preserve">Priya Nakashima</t>
        </is>
      </c>
      <c r="C49" s="31">
        <v>46055</v>
      </c>
      <c r="D49" s="32" t="inlineStr">
        <is>
          <t xml:space="preserve">Bound - within authority</t>
        </is>
      </c>
      <c r="E49" s="32" t="inlineStr">
        <is>
          <t xml:space="preserve">New business</t>
        </is>
      </c>
      <c r="F49" s="30" t="inlineStr">
        <is>
          <t xml:space="preserve">B1234EXOTIC26</t>
        </is>
      </c>
      <c r="G49" s="33">
        <f>IF($A49="","",IF($C49="","",YEAR($C49)))</f>
      </c>
      <c r="H49" s="34">
        <v>1996</v>
      </c>
      <c r="I49" s="30" t="inlineStr">
        <is>
          <t xml:space="preserve">Maserati</t>
        </is>
      </c>
      <c r="J49" s="30" t="inlineStr">
        <is>
          <t xml:space="preserve">GranTurismo</t>
        </is>
      </c>
      <c r="K49" s="30" t="inlineStr">
        <is>
          <t xml:space="preserve">D2RFRG7HFVWDEKJV4</t>
        </is>
      </c>
      <c r="L49" s="32" t="inlineStr">
        <is>
          <t xml:space="preserve">02 - Sports / GT</t>
        </is>
      </c>
      <c r="M49" s="35">
        <v>935000</v>
      </c>
      <c r="N49" s="32" t="inlineStr">
        <is>
          <t xml:space="preserve">Personal</t>
        </is>
      </c>
      <c r="O49" s="30" t="inlineStr">
        <is>
          <t xml:space="preserve">Personal - regular use</t>
        </is>
      </c>
      <c r="P49" s="30" t="inlineStr">
        <is>
          <t xml:space="preserve">2,500 - 5,000</t>
        </is>
      </c>
      <c r="Q49" s="30" t="inlineStr">
        <is>
          <t xml:space="preserve">Texas</t>
        </is>
      </c>
      <c r="R49" s="30" t="inlineStr">
        <is>
          <t xml:space="preserve">75201</t>
        </is>
      </c>
      <c r="S49" s="32" t="inlineStr">
        <is>
          <t xml:space="preserve">Tier 2 - Coastal wind (1-25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11594.04</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CANON-202602-004731</t>
        </is>
      </c>
      <c r="B50" s="46" t="inlineStr">
        <is>
          <t xml:space="preserve">Ottilie Rourke</t>
        </is>
      </c>
      <c r="C50" s="47">
        <v>46077</v>
      </c>
      <c r="D50" s="48" t="inlineStr">
        <is>
          <t xml:space="preserve">Bound - within authority</t>
        </is>
      </c>
      <c r="E50" s="48" t="inlineStr">
        <is>
          <t xml:space="preserve">New business</t>
        </is>
      </c>
      <c r="F50" s="46" t="inlineStr">
        <is>
          <t xml:space="preserve">B1234EXOTIC26</t>
        </is>
      </c>
      <c r="G50" s="33">
        <f>IF($A50="","",IF($C50="","",YEAR($C50)))</f>
      </c>
      <c r="H50" s="49">
        <v>1964</v>
      </c>
      <c r="I50" s="46" t="inlineStr">
        <is>
          <t xml:space="preserve">Lamborghini</t>
        </is>
      </c>
      <c r="J50" s="46" t="inlineStr">
        <is>
          <t xml:space="preserve">Huracan EVO</t>
        </is>
      </c>
      <c r="K50" s="46" t="inlineStr">
        <is>
          <t xml:space="preserve">H2GZMCA7ADMX3MHST</t>
        </is>
      </c>
      <c r="L50" s="48" t="inlineStr">
        <is>
          <t xml:space="preserve">03 - Supercar</t>
        </is>
      </c>
      <c r="M50" s="50">
        <v>380000</v>
      </c>
      <c r="N50" s="48" t="inlineStr">
        <is>
          <t xml:space="preserve">Personal</t>
        </is>
      </c>
      <c r="O50" s="46" t="inlineStr">
        <is>
          <t xml:space="preserve">Personal - regular use</t>
        </is>
      </c>
      <c r="P50" s="46" t="inlineStr">
        <is>
          <t xml:space="preserve">Under 1,000</t>
        </is>
      </c>
      <c r="Q50" s="46" t="inlineStr">
        <is>
          <t xml:space="preserve">Minnesota</t>
        </is>
      </c>
      <c r="R50" s="46" t="inlineStr">
        <is>
          <t xml:space="preserve">55401</t>
        </is>
      </c>
      <c r="S50" s="48" t="inlineStr">
        <is>
          <t xml:space="preserve">Severe convective - hail / tornado (moderate)</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9569.01</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CANON-202602-004733</t>
        </is>
      </c>
      <c r="B51" s="30" t="inlineStr">
        <is>
          <t xml:space="preserve">Noor Fairweather</t>
        </is>
      </c>
      <c r="C51" s="31">
        <v>46076</v>
      </c>
      <c r="D51" s="32" t="inlineStr">
        <is>
          <t xml:space="preserve">Bound - within authority</t>
        </is>
      </c>
      <c r="E51" s="32" t="inlineStr">
        <is>
          <t xml:space="preserve">New business</t>
        </is>
      </c>
      <c r="F51" s="30" t="inlineStr">
        <is>
          <t xml:space="preserve">B1234EXOTIC26</t>
        </is>
      </c>
      <c r="G51" s="33">
        <f>IF($A51="","",IF($C51="","",YEAR($C51)))</f>
      </c>
      <c r="H51" s="34">
        <v>1985</v>
      </c>
      <c r="I51" s="30" t="inlineStr">
        <is>
          <t xml:space="preserve">Bentley</t>
        </is>
      </c>
      <c r="J51" s="30" t="inlineStr">
        <is>
          <t xml:space="preserve">Continental GT</t>
        </is>
      </c>
      <c r="K51" s="30" t="inlineStr">
        <is>
          <t xml:space="preserve">PNHEXA8Y914EFBR6R</t>
        </is>
      </c>
      <c r="L51" s="32" t="inlineStr">
        <is>
          <t xml:space="preserve">02 - Sports / GT</t>
        </is>
      </c>
      <c r="M51" s="35">
        <v>675000</v>
      </c>
      <c r="N51" s="32" t="inlineStr">
        <is>
          <t xml:space="preserve">Personal</t>
        </is>
      </c>
      <c r="O51" s="30" t="inlineStr">
        <is>
          <t xml:space="preserve">Personal - regular use</t>
        </is>
      </c>
      <c r="P51" s="30" t="inlineStr">
        <is>
          <t xml:space="preserve">1,000 - 2,500</t>
        </is>
      </c>
      <c r="Q51" s="30" t="inlineStr">
        <is>
          <t xml:space="preserve">Alaska</t>
        </is>
      </c>
      <c r="R51" s="30" t="inlineStr">
        <is>
          <t xml:space="preserve">99501</t>
        </is>
      </c>
      <c r="S51" s="32" t="inlineStr">
        <is>
          <t xml:space="preserve">Earthquake - high (CA, Cascadia, New Madrid)</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8297.24</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CANON-202602-004734</t>
        </is>
      </c>
      <c r="B52" s="46" t="inlineStr">
        <is>
          <t xml:space="preserve">Mireille Fairweather</t>
        </is>
      </c>
      <c r="C52" s="47">
        <v>46075</v>
      </c>
      <c r="D52" s="48" t="inlineStr">
        <is>
          <t xml:space="preserve">Bound - within authority</t>
        </is>
      </c>
      <c r="E52" s="48" t="inlineStr">
        <is>
          <t xml:space="preserve">New business</t>
        </is>
      </c>
      <c r="F52" s="46" t="inlineStr">
        <is>
          <t xml:space="preserve">B1234EXOTIC26</t>
        </is>
      </c>
      <c r="G52" s="33">
        <f>IF($A52="","",IF($C52="","",YEAR($C52)))</f>
      </c>
      <c r="H52" s="49">
        <v>1964</v>
      </c>
      <c r="I52" s="46" t="inlineStr">
        <is>
          <t xml:space="preserve">Mercedes-Benz</t>
        </is>
      </c>
      <c r="J52" s="46" t="inlineStr">
        <is>
          <t xml:space="preserve">280SL Pagoda</t>
        </is>
      </c>
      <c r="K52" s="46" t="inlineStr">
        <is>
          <t xml:space="preserve">JF23S5JCR8AUCAPHU</t>
        </is>
      </c>
      <c r="L52" s="48" t="inlineStr">
        <is>
          <t xml:space="preserve">07 - Post-War Classic (1946-1972)</t>
        </is>
      </c>
      <c r="M52" s="50">
        <v>495000</v>
      </c>
      <c r="N52" s="48" t="inlineStr">
        <is>
          <t xml:space="preserve">Personal</t>
        </is>
      </c>
      <c r="O52" s="46" t="inlineStr">
        <is>
          <t xml:space="preserve">Personal - regular use</t>
        </is>
      </c>
      <c r="P52" s="46" t="inlineStr">
        <is>
          <t xml:space="preserve">Under 1,000</t>
        </is>
      </c>
      <c r="Q52" s="46" t="inlineStr">
        <is>
          <t xml:space="preserve">Wyoming</t>
        </is>
      </c>
      <c r="R52" s="46" t="inlineStr">
        <is>
          <t xml:space="preserve">82001</t>
        </is>
      </c>
      <c r="S52" s="48" t="inlineStr">
        <is>
          <t xml:space="preserve">Severe convective - hail alley (high)</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4217.37</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CANON-202602-004735</t>
        </is>
      </c>
      <c r="B53" s="30" t="inlineStr">
        <is>
          <t xml:space="preserve">Marisol Bellandi</t>
        </is>
      </c>
      <c r="C53" s="31">
        <v>46064</v>
      </c>
      <c r="D53" s="32" t="inlineStr">
        <is>
          <t xml:space="preserve">Bound - within authority</t>
        </is>
      </c>
      <c r="E53" s="32" t="inlineStr">
        <is>
          <t xml:space="preserve">New business</t>
        </is>
      </c>
      <c r="F53" s="30" t="inlineStr">
        <is>
          <t xml:space="preserve">B1234EXOTIC26</t>
        </is>
      </c>
      <c r="G53" s="33">
        <f>IF($A53="","",IF($C53="","",YEAR($C53)))</f>
      </c>
      <c r="H53" s="34">
        <v>1960</v>
      </c>
      <c r="I53" s="30" t="inlineStr">
        <is>
          <t xml:space="preserve">Ferrari</t>
        </is>
      </c>
      <c r="J53" s="30" t="inlineStr">
        <is>
          <t xml:space="preserve">275 GTB/4</t>
        </is>
      </c>
      <c r="K53" s="30" t="inlineStr">
        <is>
          <t xml:space="preserve">DGDVZTMAXTBERKPFZ</t>
        </is>
      </c>
      <c r="L53" s="32" t="inlineStr">
        <is>
          <t xml:space="preserve">07 - Post-War Classic (1946-1972)</t>
        </is>
      </c>
      <c r="M53" s="35">
        <v>870000</v>
      </c>
      <c r="N53" s="32" t="inlineStr">
        <is>
          <t xml:space="preserve">Personal</t>
        </is>
      </c>
      <c r="O53" s="30" t="inlineStr">
        <is>
          <t xml:space="preserve">Personal - regular use</t>
        </is>
      </c>
      <c r="P53" s="30" t="inlineStr">
        <is>
          <t xml:space="preserve">Under 1,000</t>
        </is>
      </c>
      <c r="Q53" s="30" t="inlineStr">
        <is>
          <t xml:space="preserve">Colorado</t>
        </is>
      </c>
      <c r="R53" s="30" t="inlineStr">
        <is>
          <t xml:space="preserve">80202</t>
        </is>
      </c>
      <c r="S53" s="32" t="inlineStr">
        <is>
          <t xml:space="preserve">Severe convective - hail alley (high)</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6826.41</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CANON-202602-004736</t>
        </is>
      </c>
      <c r="B54" s="46" t="inlineStr">
        <is>
          <t xml:space="preserve">Everett Underwood</t>
        </is>
      </c>
      <c r="C54" s="47">
        <v>46071</v>
      </c>
      <c r="D54" s="48" t="inlineStr">
        <is>
          <t xml:space="preserve">Bound - within authority</t>
        </is>
      </c>
      <c r="E54" s="48" t="inlineStr">
        <is>
          <t xml:space="preserve">New business</t>
        </is>
      </c>
      <c r="F54" s="46" t="inlineStr">
        <is>
          <t xml:space="preserve">B1234EXOTIC26</t>
        </is>
      </c>
      <c r="G54" s="33">
        <f>IF($A54="","",IF($C54="","",YEAR($C54)))</f>
      </c>
      <c r="H54" s="49">
        <v>2005</v>
      </c>
      <c r="I54" s="46" t="inlineStr">
        <is>
          <t xml:space="preserve">Ferrari</t>
        </is>
      </c>
      <c r="J54" s="46" t="inlineStr">
        <is>
          <t xml:space="preserve">SF90 Stradale</t>
        </is>
      </c>
      <c r="K54" s="46" t="inlineStr">
        <is>
          <t xml:space="preserve">GXUMPW0PB87KUH52G</t>
        </is>
      </c>
      <c r="L54" s="48" t="inlineStr">
        <is>
          <t xml:space="preserve">03 - Supercar</t>
        </is>
      </c>
      <c r="M54" s="50">
        <v>410000</v>
      </c>
      <c r="N54" s="48" t="inlineStr">
        <is>
          <t xml:space="preserve">Personal</t>
        </is>
      </c>
      <c r="O54" s="46" t="inlineStr">
        <is>
          <t xml:space="preserve">Personal - regular use</t>
        </is>
      </c>
      <c r="P54" s="46" t="inlineStr">
        <is>
          <t xml:space="preserve">2,500 - 5,000</t>
        </is>
      </c>
      <c r="Q54" s="46" t="inlineStr">
        <is>
          <t xml:space="preserve">Indiana</t>
        </is>
      </c>
      <c r="R54" s="46" t="inlineStr">
        <is>
          <t xml:space="preserve">46204</t>
        </is>
      </c>
      <c r="S54" s="48" t="inlineStr">
        <is>
          <t xml:space="preserve">Severe convective - hail / tornado (moderate)</t>
        </is>
      </c>
      <c r="T54" s="36">
        <f>IF($A54="","",IF($S54="","",IFERROR(INDEX('[1]natural catastrophe'!$D$6:$D$17,MATCH($S54,'[1]natural catastrophe'!$B$6:$B$17,0)),"?")))</f>
      </c>
      <c r="U54" s="46" t="inlineStr">
        <is>
          <t xml:space="preserve">$5,000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9620.52</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CANON-202602-004737</t>
        </is>
      </c>
      <c r="B55" s="30" t="inlineStr">
        <is>
          <t xml:space="preserve">Wilhelmina Farkas</t>
        </is>
      </c>
      <c r="C55" s="31">
        <v>46071</v>
      </c>
      <c r="D55" s="32" t="inlineStr">
        <is>
          <t xml:space="preserve">Bound - within authority</t>
        </is>
      </c>
      <c r="E55" s="32" t="inlineStr">
        <is>
          <t xml:space="preserve">New business</t>
        </is>
      </c>
      <c r="F55" s="30" t="inlineStr">
        <is>
          <t xml:space="preserve">B1234EXOTIC26</t>
        </is>
      </c>
      <c r="G55" s="33">
        <f>IF($A55="","",IF($C55="","",YEAR($C55)))</f>
      </c>
      <c r="H55" s="34">
        <v>2021</v>
      </c>
      <c r="I55" s="30" t="inlineStr">
        <is>
          <t xml:space="preserve">Porsche</t>
        </is>
      </c>
      <c r="J55" s="30" t="inlineStr">
        <is>
          <t xml:space="preserve">911 Turbo S</t>
        </is>
      </c>
      <c r="K55" s="30" t="inlineStr">
        <is>
          <t xml:space="preserve">VMR1V4N5C3VDZEF5U</t>
        </is>
      </c>
      <c r="L55" s="32" t="inlineStr">
        <is>
          <t xml:space="preserve">02 - Sports / GT</t>
        </is>
      </c>
      <c r="M55" s="35">
        <v>1015000</v>
      </c>
      <c r="N55" s="32" t="inlineStr">
        <is>
          <t xml:space="preserve">Personal</t>
        </is>
      </c>
      <c r="O55" s="30" t="inlineStr">
        <is>
          <t xml:space="preserve">Personal - regular use</t>
        </is>
      </c>
      <c r="P55" s="30" t="inlineStr">
        <is>
          <t xml:space="preserve">2,500 - 5,000</t>
        </is>
      </c>
      <c r="Q55" s="30" t="inlineStr">
        <is>
          <t xml:space="preserve">Mississippi</t>
        </is>
      </c>
      <c r="R55" s="30" t="inlineStr">
        <is>
          <t xml:space="preserve">39201</t>
        </is>
      </c>
      <c r="S55" s="32" t="inlineStr">
        <is>
          <t xml:space="preserve">Tier 2 - Coastal wind (1-25 miles)</t>
        </is>
      </c>
      <c r="T55" s="36">
        <f>IF($A55="","",IF($S55="","",IFERROR(INDEX('[1]natural catastrophe'!$D$6:$D$17,MATCH($S55,'[1]natural catastrophe'!$B$6:$B$17,0)),"?")))</f>
      </c>
      <c r="U55" s="30" t="inlineStr">
        <is>
          <t xml:space="preserve">2% of agreed value, minimum $10,000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11020.15</v>
      </c>
      <c r="AC55" s="37">
        <v>0</v>
      </c>
      <c r="AD55" s="38">
        <f>IF(ISNUMBER($AB55),$AB55*(1+N($AC55)),"")</f>
      </c>
      <c r="AE55" s="35">
        <v>350</v>
      </c>
      <c r="AF55" s="35">
        <v>250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CANON-202602-004738</t>
        </is>
      </c>
      <c r="B56" s="46" t="inlineStr">
        <is>
          <t xml:space="preserve">Sunniva Blackwood</t>
        </is>
      </c>
      <c r="C56" s="47">
        <v>46064</v>
      </c>
      <c r="D56" s="48" t="inlineStr">
        <is>
          <t xml:space="preserve">Bound - within authority</t>
        </is>
      </c>
      <c r="E56" s="48" t="inlineStr">
        <is>
          <t xml:space="preserve">New business</t>
        </is>
      </c>
      <c r="F56" s="46" t="inlineStr">
        <is>
          <t xml:space="preserve">B1234EXOTIC26</t>
        </is>
      </c>
      <c r="G56" s="33">
        <f>IF($A56="","",IF($C56="","",YEAR($C56)))</f>
      </c>
      <c r="H56" s="49">
        <v>1978</v>
      </c>
      <c r="I56" s="46" t="inlineStr">
        <is>
          <t xml:space="preserve">Mercedes-Benz</t>
        </is>
      </c>
      <c r="J56" s="46" t="inlineStr">
        <is>
          <t xml:space="preserve">AMG GT</t>
        </is>
      </c>
      <c r="K56" s="46" t="inlineStr">
        <is>
          <t xml:space="preserve">BKGYGWZUJZMP8BJG0</t>
        </is>
      </c>
      <c r="L56" s="48" t="inlineStr">
        <is>
          <t xml:space="preserve">02 - Sports / GT</t>
        </is>
      </c>
      <c r="M56" s="50">
        <v>735000</v>
      </c>
      <c r="N56" s="48" t="inlineStr">
        <is>
          <t xml:space="preserve">Personal</t>
        </is>
      </c>
      <c r="O56" s="46" t="inlineStr">
        <is>
          <t xml:space="preserve">Personal - regular use</t>
        </is>
      </c>
      <c r="P56" s="46" t="inlineStr">
        <is>
          <t xml:space="preserve">1,000 - 2,500</t>
        </is>
      </c>
      <c r="Q56" s="46" t="inlineStr">
        <is>
          <t xml:space="preserve">New Jersey</t>
        </is>
      </c>
      <c r="R56" s="46" t="inlineStr">
        <is>
          <t xml:space="preserve">07102</t>
        </is>
      </c>
      <c r="S56" s="48" t="inlineStr">
        <is>
          <t xml:space="preserve">Tier 3 - Coastal wind (25-100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7211.97</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CANON-202602-004739</t>
        </is>
      </c>
      <c r="B57" s="30" t="inlineStr">
        <is>
          <t xml:space="preserve">Beatrix Whitlock</t>
        </is>
      </c>
      <c r="C57" s="31">
        <v>46076</v>
      </c>
      <c r="D57" s="32" t="inlineStr">
        <is>
          <t xml:space="preserve">Bound - within authority</t>
        </is>
      </c>
      <c r="E57" s="32" t="inlineStr">
        <is>
          <t xml:space="preserve">New business</t>
        </is>
      </c>
      <c r="F57" s="30" t="inlineStr">
        <is>
          <t xml:space="preserve">B1234EXOTIC26</t>
        </is>
      </c>
      <c r="G57" s="33">
        <f>IF($A57="","",IF($C57="","",YEAR($C57)))</f>
      </c>
      <c r="H57" s="34">
        <v>2023</v>
      </c>
      <c r="I57" s="30" t="inlineStr">
        <is>
          <t xml:space="preserve">Porsche</t>
        </is>
      </c>
      <c r="J57" s="30" t="inlineStr">
        <is>
          <t xml:space="preserve">911 Turbo S</t>
        </is>
      </c>
      <c r="K57" s="30" t="inlineStr">
        <is>
          <t xml:space="preserve">J54C77C60U6EX9WPP</t>
        </is>
      </c>
      <c r="L57" s="32" t="inlineStr">
        <is>
          <t xml:space="preserve">02 - Sports / GT</t>
        </is>
      </c>
      <c r="M57" s="35">
        <v>790000</v>
      </c>
      <c r="N57" s="32" t="inlineStr">
        <is>
          <t xml:space="preserve">Personal</t>
        </is>
      </c>
      <c r="O57" s="30" t="inlineStr">
        <is>
          <t xml:space="preserve">Personal - regular use</t>
        </is>
      </c>
      <c r="P57" s="30" t="inlineStr">
        <is>
          <t xml:space="preserve">1,000 - 2,500</t>
        </is>
      </c>
      <c r="Q57" s="30" t="inlineStr">
        <is>
          <t xml:space="preserve">New York</t>
        </is>
      </c>
      <c r="R57" s="30" t="inlineStr">
        <is>
          <t xml:space="preserve">10022</t>
        </is>
      </c>
      <c r="S57" s="32" t="inlineStr">
        <is>
          <t xml:space="preserve">Tier 3 - Coastal wind (25-100 miles)</t>
        </is>
      </c>
      <c r="T57" s="36">
        <f>IF($A57="","",IF($S57="","",IFERROR(INDEX('[1]natural catastrophe'!$D$6:$D$17,MATCH($S57,'[1]natural catastrophe'!$B$6:$B$17,0)),"?")))</f>
      </c>
      <c r="U57" s="30" t="inlineStr">
        <is>
          <t xml:space="preserve">2% of agreed value, minimum $10,000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10903.41</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CANON-202602-004740</t>
        </is>
      </c>
      <c r="B58" s="46" t="inlineStr">
        <is>
          <t xml:space="preserve">Noor Underwood</t>
        </is>
      </c>
      <c r="C58" s="47">
        <v>46055</v>
      </c>
      <c r="D58" s="48" t="inlineStr">
        <is>
          <t xml:space="preserve">Bound - within authority</t>
        </is>
      </c>
      <c r="E58" s="48" t="inlineStr">
        <is>
          <t xml:space="preserve">New business</t>
        </is>
      </c>
      <c r="F58" s="46" t="inlineStr">
        <is>
          <t xml:space="preserve">B1234EXOTIC26</t>
        </is>
      </c>
      <c r="G58" s="33">
        <f>IF($A58="","",IF($C58="","",YEAR($C58)))</f>
      </c>
      <c r="H58" s="49">
        <v>2017</v>
      </c>
      <c r="I58" s="46" t="inlineStr">
        <is>
          <t xml:space="preserve">BMW</t>
        </is>
      </c>
      <c r="J58" s="46" t="inlineStr">
        <is>
          <t xml:space="preserve">M8 Competition</t>
        </is>
      </c>
      <c r="K58" s="46" t="inlineStr">
        <is>
          <t xml:space="preserve">ZUGNL9MWEN25CL068</t>
        </is>
      </c>
      <c r="L58" s="48" t="inlineStr">
        <is>
          <t xml:space="preserve">02 - Sports / GT</t>
        </is>
      </c>
      <c r="M58" s="50">
        <v>760000</v>
      </c>
      <c r="N58" s="48" t="inlineStr">
        <is>
          <t xml:space="preserve">Personal</t>
        </is>
      </c>
      <c r="O58" s="46" t="inlineStr">
        <is>
          <t xml:space="preserve">Personal - regular use</t>
        </is>
      </c>
      <c r="P58" s="46" t="inlineStr">
        <is>
          <t xml:space="preserve">2,500 - 5,000</t>
        </is>
      </c>
      <c r="Q58" s="46" t="inlineStr">
        <is>
          <t xml:space="preserve">Delaware</t>
        </is>
      </c>
      <c r="R58" s="46" t="inlineStr">
        <is>
          <t xml:space="preserve">19801</t>
        </is>
      </c>
      <c r="S58" s="48" t="inlineStr">
        <is>
          <t xml:space="preserve">Tier 3 - Coastal wind (25-100 miles)</t>
        </is>
      </c>
      <c r="T58" s="36">
        <f>IF($A58="","",IF($S58="","",IFERROR(INDEX('[1]natural catastrophe'!$D$6:$D$17,MATCH($S58,'[1]natural catastrophe'!$B$6:$B$17,0)),"?")))</f>
      </c>
      <c r="U58" s="46" t="inlineStr">
        <is>
          <t xml:space="preserve">2% of agreed value, minimum $10,000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10243.51</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CANON-202602-004741</t>
        </is>
      </c>
      <c r="B59" s="30" t="inlineStr">
        <is>
          <t xml:space="preserve">Callum Chattopadhyay</t>
        </is>
      </c>
      <c r="C59" s="31">
        <v>46054</v>
      </c>
      <c r="D59" s="32" t="inlineStr">
        <is>
          <t xml:space="preserve">Bound - within authority</t>
        </is>
      </c>
      <c r="E59" s="32" t="inlineStr">
        <is>
          <t xml:space="preserve">New business</t>
        </is>
      </c>
      <c r="F59" s="30" t="inlineStr">
        <is>
          <t xml:space="preserve">B1234EXOTIC26</t>
        </is>
      </c>
      <c r="G59" s="33">
        <f>IF($A59="","",IF($C59="","",YEAR($C59)))</f>
      </c>
      <c r="H59" s="34">
        <v>1986</v>
      </c>
      <c r="I59" s="30" t="inlineStr">
        <is>
          <t xml:space="preserve">Bentley</t>
        </is>
      </c>
      <c r="J59" s="30" t="inlineStr">
        <is>
          <t xml:space="preserve">Continental GT</t>
        </is>
      </c>
      <c r="K59" s="30" t="inlineStr">
        <is>
          <t xml:space="preserve">XK8B3GADK1VDR45KB</t>
        </is>
      </c>
      <c r="L59" s="32" t="inlineStr">
        <is>
          <t xml:space="preserve">02 - Sports / GT</t>
        </is>
      </c>
      <c r="M59" s="35">
        <v>665000</v>
      </c>
      <c r="N59" s="32" t="inlineStr">
        <is>
          <t xml:space="preserve">Personal</t>
        </is>
      </c>
      <c r="O59" s="30" t="inlineStr">
        <is>
          <t xml:space="preserve">Personal - regular use</t>
        </is>
      </c>
      <c r="P59" s="30" t="inlineStr">
        <is>
          <t xml:space="preserve">Under 1,000</t>
        </is>
      </c>
      <c r="Q59" s="30" t="inlineStr">
        <is>
          <t xml:space="preserve">California</t>
        </is>
      </c>
      <c r="R59" s="30" t="inlineStr">
        <is>
          <t xml:space="preserve">90012</t>
        </is>
      </c>
      <c r="S59" s="32" t="inlineStr">
        <is>
          <t xml:space="preserve">Earthquake - high (CA, Cascadia, New Madrid)</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9680.12</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CANON-202602-004742</t>
        </is>
      </c>
      <c r="B60" s="46" t="inlineStr">
        <is>
          <t xml:space="preserve">Cassius Whitlock</t>
        </is>
      </c>
      <c r="C60" s="47">
        <v>46080</v>
      </c>
      <c r="D60" s="48" t="inlineStr">
        <is>
          <t xml:space="preserve">Bound - within authority</t>
        </is>
      </c>
      <c r="E60" s="48" t="inlineStr">
        <is>
          <t xml:space="preserve">New business</t>
        </is>
      </c>
      <c r="F60" s="46" t="inlineStr">
        <is>
          <t xml:space="preserve">B1234EXOTIC26</t>
        </is>
      </c>
      <c r="G60" s="33">
        <f>IF($A60="","",IF($C60="","",YEAR($C60)))</f>
      </c>
      <c r="H60" s="49">
        <v>2018</v>
      </c>
      <c r="I60" s="46" t="inlineStr">
        <is>
          <t xml:space="preserve">Ringbrothers</t>
        </is>
      </c>
      <c r="J60" s="46" t="inlineStr">
        <is>
          <t xml:space="preserve">Mustang</t>
        </is>
      </c>
      <c r="K60" s="46" t="inlineStr">
        <is>
          <t xml:space="preserve">DLNLVV4TVJNUGL11F</t>
        </is>
      </c>
      <c r="L60" s="48" t="inlineStr">
        <is>
          <t xml:space="preserve">11 - Restomod / Coachbuilt / Bespoke</t>
        </is>
      </c>
      <c r="M60" s="50">
        <v>660000</v>
      </c>
      <c r="N60" s="48" t="inlineStr">
        <is>
          <t xml:space="preserve">Personal</t>
        </is>
      </c>
      <c r="O60" s="46" t="inlineStr">
        <is>
          <t xml:space="preserve">Personal - regular use</t>
        </is>
      </c>
      <c r="P60" s="46" t="inlineStr">
        <is>
          <t xml:space="preserve">1,000 - 2,500</t>
        </is>
      </c>
      <c r="Q60" s="46" t="inlineStr">
        <is>
          <t xml:space="preserve">Rhode Island</t>
        </is>
      </c>
      <c r="R60" s="46" t="inlineStr">
        <is>
          <t xml:space="preserve">02903</t>
        </is>
      </c>
      <c r="S60" s="48" t="inlineStr">
        <is>
          <t xml:space="preserve">Tier 3 - Coastal wind (25-100 miles)</t>
        </is>
      </c>
      <c r="T60" s="36">
        <f>IF($A60="","",IF($S60="","",IFERROR(INDEX('[1]natural catastrophe'!$D$6:$D$17,MATCH($S60,'[1]natural catastrophe'!$B$6:$B$17,0)),"?")))</f>
      </c>
      <c r="U60" s="46" t="inlineStr">
        <is>
          <t xml:space="preserve">2% of agreed value, minimum $10,000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11699.59</v>
      </c>
      <c r="AC60" s="51">
        <v>0</v>
      </c>
      <c r="AD60" s="38">
        <f>IF(ISNUMBER($AB60),$AB60*(1+N($AC60)),"")</f>
      </c>
      <c r="AE60" s="50">
        <v>350</v>
      </c>
      <c r="AF60" s="50">
        <v>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CANON-202602-004743</t>
        </is>
      </c>
      <c r="B61" s="30" t="inlineStr">
        <is>
          <t xml:space="preserve">Leopold Bellandi</t>
        </is>
      </c>
      <c r="C61" s="31">
        <v>46075</v>
      </c>
      <c r="D61" s="32" t="inlineStr">
        <is>
          <t xml:space="preserve">Bound - within authority</t>
        </is>
      </c>
      <c r="E61" s="32" t="inlineStr">
        <is>
          <t xml:space="preserve">New business</t>
        </is>
      </c>
      <c r="F61" s="30" t="inlineStr">
        <is>
          <t xml:space="preserve">B1234EXOTIC26</t>
        </is>
      </c>
      <c r="G61" s="33">
        <f>IF($A61="","",IF($C61="","",YEAR($C61)))</f>
      </c>
      <c r="H61" s="34">
        <v>2007</v>
      </c>
      <c r="I61" s="30" t="inlineStr">
        <is>
          <t xml:space="preserve">Ferrari</t>
        </is>
      </c>
      <c r="J61" s="30" t="inlineStr">
        <is>
          <t xml:space="preserve">SF90 Stradale</t>
        </is>
      </c>
      <c r="K61" s="30" t="inlineStr">
        <is>
          <t xml:space="preserve">N8D7NJFNG3C4HBXZN</t>
        </is>
      </c>
      <c r="L61" s="32" t="inlineStr">
        <is>
          <t xml:space="preserve">03 - Supercar</t>
        </is>
      </c>
      <c r="M61" s="35">
        <v>720000</v>
      </c>
      <c r="N61" s="32" t="inlineStr">
        <is>
          <t xml:space="preserve">Personal</t>
        </is>
      </c>
      <c r="O61" s="30" t="inlineStr">
        <is>
          <t xml:space="preserve">Personal - regular use</t>
        </is>
      </c>
      <c r="P61" s="30" t="inlineStr">
        <is>
          <t xml:space="preserve">2,500 - 5,000</t>
        </is>
      </c>
      <c r="Q61" s="30" t="inlineStr">
        <is>
          <t xml:space="preserve">Rhode Island</t>
        </is>
      </c>
      <c r="R61" s="30" t="inlineStr">
        <is>
          <t xml:space="preserve">02903</t>
        </is>
      </c>
      <c r="S61" s="32" t="inlineStr">
        <is>
          <t xml:space="preserve">Tier 3 - Coastal wind (25-100 miles)</t>
        </is>
      </c>
      <c r="T61" s="36">
        <f>IF($A61="","",IF($S61="","",IFERROR(INDEX('[1]natural catastrophe'!$D$6:$D$17,MATCH($S61,'[1]natural catastrophe'!$B$6:$B$17,0)),"?")))</f>
      </c>
      <c r="U61" s="30" t="inlineStr">
        <is>
          <t xml:space="preserve">2% of agreed value, minimum $10,000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15544.92</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CANON-202602-004744</t>
        </is>
      </c>
      <c r="B62" s="46" t="inlineStr">
        <is>
          <t xml:space="preserve">Thaddeus Castellanos</t>
        </is>
      </c>
      <c r="C62" s="47">
        <v>46080</v>
      </c>
      <c r="D62" s="48" t="inlineStr">
        <is>
          <t xml:space="preserve">Bound - within authority</t>
        </is>
      </c>
      <c r="E62" s="48" t="inlineStr">
        <is>
          <t xml:space="preserve">New business</t>
        </is>
      </c>
      <c r="F62" s="46" t="inlineStr">
        <is>
          <t xml:space="preserve">B1234EXOTIC26</t>
        </is>
      </c>
      <c r="G62" s="33">
        <f>IF($A62="","",IF($C62="","",YEAR($C62)))</f>
      </c>
      <c r="H62" s="49">
        <v>2017</v>
      </c>
      <c r="I62" s="46" t="inlineStr">
        <is>
          <t xml:space="preserve">BMW</t>
        </is>
      </c>
      <c r="J62" s="46" t="inlineStr">
        <is>
          <t xml:space="preserve">M8 Competition</t>
        </is>
      </c>
      <c r="K62" s="46" t="inlineStr">
        <is>
          <t xml:space="preserve">G4DLYHDFFA157TTHT</t>
        </is>
      </c>
      <c r="L62" s="48" t="inlineStr">
        <is>
          <t xml:space="preserve">02 - Sports / GT</t>
        </is>
      </c>
      <c r="M62" s="50">
        <v>1105000</v>
      </c>
      <c r="N62" s="48" t="inlineStr">
        <is>
          <t xml:space="preserve">Personal</t>
        </is>
      </c>
      <c r="O62" s="46" t="inlineStr">
        <is>
          <t xml:space="preserve">Personal - regular use</t>
        </is>
      </c>
      <c r="P62" s="46" t="inlineStr">
        <is>
          <t xml:space="preserve">1,000 - 2,500</t>
        </is>
      </c>
      <c r="Q62" s="46" t="inlineStr">
        <is>
          <t xml:space="preserve">New Jersey</t>
        </is>
      </c>
      <c r="R62" s="46" t="inlineStr">
        <is>
          <t xml:space="preserve">07102</t>
        </is>
      </c>
      <c r="S62" s="48" t="inlineStr">
        <is>
          <t xml:space="preserve">Tier 3 - Coastal wind (25-100 miles)</t>
        </is>
      </c>
      <c r="T62" s="36">
        <f>IF($A62="","",IF($S62="","",IFERROR(INDEX('[1]natural catastrophe'!$D$6:$D$17,MATCH($S62,'[1]natural catastrophe'!$B$6:$B$17,0)),"?")))</f>
      </c>
      <c r="U62" s="46" t="inlineStr">
        <is>
          <t xml:space="preserve">2% of agreed value, minimum $10,000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9174.41</v>
      </c>
      <c r="AC62" s="51">
        <v>0</v>
      </c>
      <c r="AD62" s="38">
        <f>IF(ISNUMBER($AB62),$AB62*(1+N($AC62)),"")</f>
      </c>
      <c r="AE62" s="50">
        <v>350</v>
      </c>
      <c r="AF62" s="50">
        <v>250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CANON-202602-004746</t>
        </is>
      </c>
      <c r="B63" s="30" t="inlineStr">
        <is>
          <t xml:space="preserve">Sunniva Okonkwo</t>
        </is>
      </c>
      <c r="C63" s="31">
        <v>46065</v>
      </c>
      <c r="D63" s="32" t="inlineStr">
        <is>
          <t xml:space="preserve">Bound - within authority</t>
        </is>
      </c>
      <c r="E63" s="32" t="inlineStr">
        <is>
          <t xml:space="preserve">New business</t>
        </is>
      </c>
      <c r="F63" s="30" t="inlineStr">
        <is>
          <t xml:space="preserve">B1234EXOTIC26</t>
        </is>
      </c>
      <c r="G63" s="33">
        <f>IF($A63="","",IF($C63="","",YEAR($C63)))</f>
      </c>
      <c r="H63" s="34">
        <v>1957</v>
      </c>
      <c r="I63" s="30" t="inlineStr">
        <is>
          <t xml:space="preserve">Porsche</t>
        </is>
      </c>
      <c r="J63" s="30" t="inlineStr">
        <is>
          <t xml:space="preserve">911 Turbo S</t>
        </is>
      </c>
      <c r="K63" s="30" t="inlineStr">
        <is>
          <t xml:space="preserve">UCCA4D2H8LMRAFJY5</t>
        </is>
      </c>
      <c r="L63" s="32" t="inlineStr">
        <is>
          <t xml:space="preserve">02 - Sports / GT</t>
        </is>
      </c>
      <c r="M63" s="35">
        <v>365000</v>
      </c>
      <c r="N63" s="32" t="inlineStr">
        <is>
          <t xml:space="preserve">Personal</t>
        </is>
      </c>
      <c r="O63" s="30" t="inlineStr">
        <is>
          <t xml:space="preserve">Personal - regular use</t>
        </is>
      </c>
      <c r="P63" s="30" t="inlineStr">
        <is>
          <t xml:space="preserve">2,500 - 5,000</t>
        </is>
      </c>
      <c r="Q63" s="30" t="inlineStr">
        <is>
          <t xml:space="preserve">Pennsylvania</t>
        </is>
      </c>
      <c r="R63" s="30" t="inlineStr">
        <is>
          <t xml:space="preserve">19103</t>
        </is>
      </c>
      <c r="S63" s="32" t="inlineStr">
        <is>
          <t xml:space="preserve">Low hazard - inland benign</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4541.15</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CANON-202602-004747</t>
        </is>
      </c>
      <c r="B64" s="46" t="inlineStr">
        <is>
          <t xml:space="preserve">Mireille Fairweather</t>
        </is>
      </c>
      <c r="C64" s="47">
        <v>46071</v>
      </c>
      <c r="D64" s="48" t="inlineStr">
        <is>
          <t xml:space="preserve">Bound - within authority</t>
        </is>
      </c>
      <c r="E64" s="48" t="inlineStr">
        <is>
          <t xml:space="preserve">New business</t>
        </is>
      </c>
      <c r="F64" s="46" t="inlineStr">
        <is>
          <t xml:space="preserve">B1234EXOTIC26</t>
        </is>
      </c>
      <c r="G64" s="33">
        <f>IF($A64="","",IF($C64="","",YEAR($C64)))</f>
      </c>
      <c r="H64" s="49">
        <v>1971</v>
      </c>
      <c r="I64" s="46" t="inlineStr">
        <is>
          <t xml:space="preserve">Ferrari</t>
        </is>
      </c>
      <c r="J64" s="46" t="inlineStr">
        <is>
          <t xml:space="preserve">275 GTB/4</t>
        </is>
      </c>
      <c r="K64" s="46" t="inlineStr">
        <is>
          <t xml:space="preserve">A9G0PHFCWT1S5FAD3</t>
        </is>
      </c>
      <c r="L64" s="48" t="inlineStr">
        <is>
          <t xml:space="preserve">07 - Post-War Classic (1946-1972)</t>
        </is>
      </c>
      <c r="M64" s="50">
        <v>610000</v>
      </c>
      <c r="N64" s="48" t="inlineStr">
        <is>
          <t xml:space="preserve">Personal</t>
        </is>
      </c>
      <c r="O64" s="46" t="inlineStr">
        <is>
          <t xml:space="preserve">Personal - regular use</t>
        </is>
      </c>
      <c r="P64" s="46" t="inlineStr">
        <is>
          <t xml:space="preserve">1,000 - 2,500</t>
        </is>
      </c>
      <c r="Q64" s="46" t="inlineStr">
        <is>
          <t xml:space="preserve">California</t>
        </is>
      </c>
      <c r="R64" s="46" t="inlineStr">
        <is>
          <t xml:space="preserve">90012</t>
        </is>
      </c>
      <c r="S64" s="48" t="inlineStr">
        <is>
          <t xml:space="preserve">Earthquake - high (CA, Cascadia, New Madrid)</t>
        </is>
      </c>
      <c r="T64" s="36">
        <f>IF($A64="","",IF($S64="","",IFERROR(INDEX('[1]natural catastrophe'!$D$6:$D$17,MATCH($S64,'[1]natural catastrophe'!$B$6:$B$17,0)),"?")))</f>
      </c>
      <c r="U64" s="46" t="inlineStr">
        <is>
          <t xml:space="preserve">$5,000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5874.14</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CANON-202602-004748</t>
        </is>
      </c>
      <c r="B65" s="30" t="inlineStr">
        <is>
          <t xml:space="preserve">Thaddeus Delacroix</t>
        </is>
      </c>
      <c r="C65" s="31">
        <v>46081</v>
      </c>
      <c r="D65" s="32" t="inlineStr">
        <is>
          <t xml:space="preserve">Bound - within authority</t>
        </is>
      </c>
      <c r="E65" s="32" t="inlineStr">
        <is>
          <t xml:space="preserve">New business</t>
        </is>
      </c>
      <c r="F65" s="30" t="inlineStr">
        <is>
          <t xml:space="preserve">B1234EXOTIC26</t>
        </is>
      </c>
      <c r="G65" s="33">
        <f>IF($A65="","",IF($C65="","",YEAR($C65)))</f>
      </c>
      <c r="H65" s="34">
        <v>1957</v>
      </c>
      <c r="I65" s="30" t="inlineStr">
        <is>
          <t xml:space="preserve">Porsche</t>
        </is>
      </c>
      <c r="J65" s="30" t="inlineStr">
        <is>
          <t xml:space="preserve">911 Turbo S</t>
        </is>
      </c>
      <c r="K65" s="30" t="inlineStr">
        <is>
          <t xml:space="preserve">TGFCR0AHGTZLWFK1Y</t>
        </is>
      </c>
      <c r="L65" s="32" t="inlineStr">
        <is>
          <t xml:space="preserve">02 - Sports / GT</t>
        </is>
      </c>
      <c r="M65" s="35">
        <v>775000</v>
      </c>
      <c r="N65" s="32" t="inlineStr">
        <is>
          <t xml:space="preserve">Personal</t>
        </is>
      </c>
      <c r="O65" s="30" t="inlineStr">
        <is>
          <t xml:space="preserve">Personal - regular use</t>
        </is>
      </c>
      <c r="P65" s="30" t="inlineStr">
        <is>
          <t xml:space="preserve">Under 1,000</t>
        </is>
      </c>
      <c r="Q65" s="30" t="inlineStr">
        <is>
          <t xml:space="preserve">South Carolina</t>
        </is>
      </c>
      <c r="R65" s="30" t="inlineStr">
        <is>
          <t xml:space="preserve">29401</t>
        </is>
      </c>
      <c r="S65" s="32" t="inlineStr">
        <is>
          <t xml:space="preserve">Tier 2 - Coastal wind (1-25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10362.12</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CANON-202602-004749</t>
        </is>
      </c>
      <c r="B66" s="46" t="inlineStr">
        <is>
          <t xml:space="preserve">Sunniva Kingsford</t>
        </is>
      </c>
      <c r="C66" s="47">
        <v>46063</v>
      </c>
      <c r="D66" s="48" t="inlineStr">
        <is>
          <t xml:space="preserve">Bound - within authority</t>
        </is>
      </c>
      <c r="E66" s="48" t="inlineStr">
        <is>
          <t xml:space="preserve">New business</t>
        </is>
      </c>
      <c r="F66" s="46" t="inlineStr">
        <is>
          <t xml:space="preserve">B1234EXOTIC26</t>
        </is>
      </c>
      <c r="G66" s="33">
        <f>IF($A66="","",IF($C66="","",YEAR($C66)))</f>
      </c>
      <c r="H66" s="49">
        <v>2015</v>
      </c>
      <c r="I66" s="46" t="inlineStr">
        <is>
          <t xml:space="preserve">Bugatti</t>
        </is>
      </c>
      <c r="J66" s="46" t="inlineStr">
        <is>
          <t xml:space="preserve">Type 57</t>
        </is>
      </c>
      <c r="K66" s="46" t="inlineStr">
        <is>
          <t xml:space="preserve">155GCRXTZA9U978Z5</t>
        </is>
      </c>
      <c r="L66" s="48" t="inlineStr">
        <is>
          <t xml:space="preserve">02 - Sports / GT</t>
        </is>
      </c>
      <c r="M66" s="50">
        <v>1405000</v>
      </c>
      <c r="N66" s="48" t="inlineStr">
        <is>
          <t xml:space="preserve">Personal</t>
        </is>
      </c>
      <c r="O66" s="46" t="inlineStr">
        <is>
          <t xml:space="preserve">Personal - regular use</t>
        </is>
      </c>
      <c r="P66" s="46" t="inlineStr">
        <is>
          <t xml:space="preserve">Under 1,000</t>
        </is>
      </c>
      <c r="Q66" s="46" t="inlineStr">
        <is>
          <t xml:space="preserve">New York</t>
        </is>
      </c>
      <c r="R66" s="46" t="inlineStr">
        <is>
          <t xml:space="preserve">10022</t>
        </is>
      </c>
      <c r="S66" s="48" t="inlineStr">
        <is>
          <t xml:space="preserve">Tier 3 - Coastal wind (25-100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10143.25</v>
      </c>
      <c r="AC66" s="51">
        <v>0</v>
      </c>
      <c r="AD66" s="38">
        <f>IF(ISNUMBER($AB66),$AB66*(1+N($AC66)),"")</f>
      </c>
      <c r="AE66" s="50">
        <v>350</v>
      </c>
      <c r="AF66" s="50">
        <v>250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CANON-202602-004750</t>
        </is>
      </c>
      <c r="B67" s="30" t="inlineStr">
        <is>
          <t xml:space="preserve">Everett Harrington</t>
        </is>
      </c>
      <c r="C67" s="31">
        <v>46058</v>
      </c>
      <c r="D67" s="32" t="inlineStr">
        <is>
          <t xml:space="preserve">Bound - within authority</t>
        </is>
      </c>
      <c r="E67" s="32" t="inlineStr">
        <is>
          <t xml:space="preserve">New business</t>
        </is>
      </c>
      <c r="F67" s="30" t="inlineStr">
        <is>
          <t xml:space="preserve">B1234EXOTIC26</t>
        </is>
      </c>
      <c r="G67" s="33">
        <f>IF($A67="","",IF($C67="","",YEAR($C67)))</f>
      </c>
      <c r="H67" s="34">
        <v>2009</v>
      </c>
      <c r="I67" s="30" t="inlineStr">
        <is>
          <t xml:space="preserve">BMW</t>
        </is>
      </c>
      <c r="J67" s="30" t="inlineStr">
        <is>
          <t xml:space="preserve">M8 Competition</t>
        </is>
      </c>
      <c r="K67" s="30" t="inlineStr">
        <is>
          <t xml:space="preserve">SWTWJHNJEDA9SX778</t>
        </is>
      </c>
      <c r="L67" s="32" t="inlineStr">
        <is>
          <t xml:space="preserve">02 - Sports / GT</t>
        </is>
      </c>
      <c r="M67" s="35">
        <v>375000</v>
      </c>
      <c r="N67" s="32" t="inlineStr">
        <is>
          <t xml:space="preserve">Personal</t>
        </is>
      </c>
      <c r="O67" s="30" t="inlineStr">
        <is>
          <t xml:space="preserve">Personal - regular use</t>
        </is>
      </c>
      <c r="P67" s="30" t="inlineStr">
        <is>
          <t xml:space="preserve">Under 1,000</t>
        </is>
      </c>
      <c r="Q67" s="30" t="inlineStr">
        <is>
          <t xml:space="preserve">Rhode Island</t>
        </is>
      </c>
      <c r="R67" s="30" t="inlineStr">
        <is>
          <t xml:space="preserve">02903</t>
        </is>
      </c>
      <c r="S67" s="32" t="inlineStr">
        <is>
          <t xml:space="preserve">Tier 3 - Coastal wind (25-100 miles)</t>
        </is>
      </c>
      <c r="T67" s="36">
        <f>IF($A67="","",IF($S67="","",IFERROR(INDEX('[1]natural catastrophe'!$D$6:$D$17,MATCH($S67,'[1]natural catastrophe'!$B$6:$B$17,0)),"?")))</f>
      </c>
      <c r="U67" s="30" t="inlineStr">
        <is>
          <t xml:space="preserve">2% of agreed value, minimum $10,000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6391.83</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CANON-202602-004751</t>
        </is>
      </c>
      <c r="B68" s="46" t="inlineStr">
        <is>
          <t xml:space="preserve">Ottilie Ashcombe</t>
        </is>
      </c>
      <c r="C68" s="47">
        <v>46078</v>
      </c>
      <c r="D68" s="48" t="inlineStr">
        <is>
          <t xml:space="preserve">Bound - within authority</t>
        </is>
      </c>
      <c r="E68" s="48" t="inlineStr">
        <is>
          <t xml:space="preserve">New business</t>
        </is>
      </c>
      <c r="F68" s="46" t="inlineStr">
        <is>
          <t xml:space="preserve">B1234EXOTIC26</t>
        </is>
      </c>
      <c r="G68" s="33">
        <f>IF($A68="","",IF($C68="","",YEAR($C68)))</f>
      </c>
      <c r="H68" s="49">
        <v>2007</v>
      </c>
      <c r="I68" s="46" t="inlineStr">
        <is>
          <t xml:space="preserve">BMW</t>
        </is>
      </c>
      <c r="J68" s="46" t="inlineStr">
        <is>
          <t xml:space="preserve">M8 Competition</t>
        </is>
      </c>
      <c r="K68" s="46" t="inlineStr">
        <is>
          <t xml:space="preserve">9T7AWYEJE7ZUMHJFH</t>
        </is>
      </c>
      <c r="L68" s="48" t="inlineStr">
        <is>
          <t xml:space="preserve">02 - Sports / GT</t>
        </is>
      </c>
      <c r="M68" s="50">
        <v>855000</v>
      </c>
      <c r="N68" s="48" t="inlineStr">
        <is>
          <t xml:space="preserve">Personal</t>
        </is>
      </c>
      <c r="O68" s="46" t="inlineStr">
        <is>
          <t xml:space="preserve">Personal - regular use</t>
        </is>
      </c>
      <c r="P68" s="46" t="inlineStr">
        <is>
          <t xml:space="preserve">1,000 - 2,500</t>
        </is>
      </c>
      <c r="Q68" s="46" t="inlineStr">
        <is>
          <t xml:space="preserve">Mississippi</t>
        </is>
      </c>
      <c r="R68" s="46" t="inlineStr">
        <is>
          <t xml:space="preserve">39201</t>
        </is>
      </c>
      <c r="S68" s="48" t="inlineStr">
        <is>
          <t xml:space="preserve">Tier 2 - Coastal wind (1-25 miles)</t>
        </is>
      </c>
      <c r="T68" s="36">
        <f>IF($A68="","",IF($S68="","",IFERROR(INDEX('[1]natural catastrophe'!$D$6:$D$17,MATCH($S68,'[1]natural catastrophe'!$B$6:$B$17,0)),"?")))</f>
      </c>
      <c r="U68" s="46" t="inlineStr">
        <is>
          <t xml:space="preserve">2% of agreed value, minimum $10,000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10970.8</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CANON-202602-004752</t>
        </is>
      </c>
      <c r="B69" s="30" t="inlineStr">
        <is>
          <t xml:space="preserve">Wilhelmina Montoya</t>
        </is>
      </c>
      <c r="C69" s="31">
        <v>46078</v>
      </c>
      <c r="D69" s="32" t="inlineStr">
        <is>
          <t xml:space="preserve">Bound - within authority</t>
        </is>
      </c>
      <c r="E69" s="32" t="inlineStr">
        <is>
          <t xml:space="preserve">New business</t>
        </is>
      </c>
      <c r="F69" s="30" t="inlineStr">
        <is>
          <t xml:space="preserve">B1234EXOTIC26</t>
        </is>
      </c>
      <c r="G69" s="33">
        <f>IF($A69="","",IF($C69="","",YEAR($C69)))</f>
      </c>
      <c r="H69" s="34">
        <v>1956</v>
      </c>
      <c r="I69" s="30" t="inlineStr">
        <is>
          <t xml:space="preserve">Aston Martin</t>
        </is>
      </c>
      <c r="J69" s="30" t="inlineStr">
        <is>
          <t xml:space="preserve">DB12</t>
        </is>
      </c>
      <c r="K69" s="30" t="inlineStr">
        <is>
          <t xml:space="preserve">B8VHJ2M1UFWRPFMD7</t>
        </is>
      </c>
      <c r="L69" s="32" t="inlineStr">
        <is>
          <t xml:space="preserve">02 - Sports / GT</t>
        </is>
      </c>
      <c r="M69" s="35">
        <v>450000</v>
      </c>
      <c r="N69" s="32" t="inlineStr">
        <is>
          <t xml:space="preserve">Personal</t>
        </is>
      </c>
      <c r="O69" s="30" t="inlineStr">
        <is>
          <t xml:space="preserve">Personal - regular use</t>
        </is>
      </c>
      <c r="P69" s="30" t="inlineStr">
        <is>
          <t xml:space="preserve">Under 1,000</t>
        </is>
      </c>
      <c r="Q69" s="30" t="inlineStr">
        <is>
          <t xml:space="preserve">Alaska</t>
        </is>
      </c>
      <c r="R69" s="30" t="inlineStr">
        <is>
          <t xml:space="preserve">99501</t>
        </is>
      </c>
      <c r="S69" s="32" t="inlineStr">
        <is>
          <t xml:space="preserve">Earthquake - high (CA, Cascadia, New Madrid)</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6382.49</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CANON-202602-004753</t>
        </is>
      </c>
      <c r="B70" s="46" t="inlineStr">
        <is>
          <t xml:space="preserve">Ramona Harrington</t>
        </is>
      </c>
      <c r="C70" s="47">
        <v>46079</v>
      </c>
      <c r="D70" s="48" t="inlineStr">
        <is>
          <t xml:space="preserve">Bound - within authority</t>
        </is>
      </c>
      <c r="E70" s="48" t="inlineStr">
        <is>
          <t xml:space="preserve">New business</t>
        </is>
      </c>
      <c r="F70" s="46" t="inlineStr">
        <is>
          <t xml:space="preserve">B1234EXOTIC26</t>
        </is>
      </c>
      <c r="G70" s="33">
        <f>IF($A70="","",IF($C70="","",YEAR($C70)))</f>
      </c>
      <c r="H70" s="49">
        <v>1957</v>
      </c>
      <c r="I70" s="46" t="inlineStr">
        <is>
          <t xml:space="preserve">Maserati</t>
        </is>
      </c>
      <c r="J70" s="46" t="inlineStr">
        <is>
          <t xml:space="preserve">GranTurismo</t>
        </is>
      </c>
      <c r="K70" s="46" t="inlineStr">
        <is>
          <t xml:space="preserve">265WXRUPFM42FARM9</t>
        </is>
      </c>
      <c r="L70" s="48" t="inlineStr">
        <is>
          <t xml:space="preserve">02 - Sports / GT</t>
        </is>
      </c>
      <c r="M70" s="50">
        <v>660000</v>
      </c>
      <c r="N70" s="48" t="inlineStr">
        <is>
          <t xml:space="preserve">Personal</t>
        </is>
      </c>
      <c r="O70" s="46" t="inlineStr">
        <is>
          <t xml:space="preserve">Personal - regular use</t>
        </is>
      </c>
      <c r="P70" s="46" t="inlineStr">
        <is>
          <t xml:space="preserve">2,500 - 5,000</t>
        </is>
      </c>
      <c r="Q70" s="46" t="inlineStr">
        <is>
          <t xml:space="preserve">Colorado</t>
        </is>
      </c>
      <c r="R70" s="46" t="inlineStr">
        <is>
          <t xml:space="preserve">80202</t>
        </is>
      </c>
      <c r="S70" s="48" t="inlineStr">
        <is>
          <t xml:space="preserve">Severe convective - hail alley (high)</t>
        </is>
      </c>
      <c r="T70" s="36">
        <f>IF($A70="","",IF($S70="","",IFERROR(INDEX('[1]natural catastrophe'!$D$6:$D$17,MATCH($S70,'[1]natural catastrophe'!$B$6:$B$17,0)),"?")))</f>
      </c>
      <c r="U70" s="46" t="inlineStr">
        <is>
          <t xml:space="preserve">$5,000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7828.19</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CANON-202602-004756</t>
        </is>
      </c>
      <c r="B71" s="30" t="inlineStr">
        <is>
          <t xml:space="preserve">Callum Pennington</t>
        </is>
      </c>
      <c r="C71" s="31">
        <v>46068</v>
      </c>
      <c r="D71" s="32" t="inlineStr">
        <is>
          <t xml:space="preserve">Bound - within authority</t>
        </is>
      </c>
      <c r="E71" s="32" t="inlineStr">
        <is>
          <t xml:space="preserve">New business</t>
        </is>
      </c>
      <c r="F71" s="30" t="inlineStr">
        <is>
          <t xml:space="preserve">B1234EXOTIC26</t>
        </is>
      </c>
      <c r="G71" s="33">
        <f>IF($A71="","",IF($C71="","",YEAR($C71)))</f>
      </c>
      <c r="H71" s="34">
        <v>1995</v>
      </c>
      <c r="I71" s="30" t="inlineStr">
        <is>
          <t xml:space="preserve">Bentley</t>
        </is>
      </c>
      <c r="J71" s="30" t="inlineStr">
        <is>
          <t xml:space="preserve">Continental GT</t>
        </is>
      </c>
      <c r="K71" s="30" t="inlineStr">
        <is>
          <t xml:space="preserve">W59C1A2EXUN5NDNRV</t>
        </is>
      </c>
      <c r="L71" s="32" t="inlineStr">
        <is>
          <t xml:space="preserve">02 - Sports / GT</t>
        </is>
      </c>
      <c r="M71" s="35">
        <v>815000</v>
      </c>
      <c r="N71" s="32" t="inlineStr">
        <is>
          <t xml:space="preserve">Personal</t>
        </is>
      </c>
      <c r="O71" s="30" t="inlineStr">
        <is>
          <t xml:space="preserve">Personal - regular use</t>
        </is>
      </c>
      <c r="P71" s="30" t="inlineStr">
        <is>
          <t xml:space="preserve">2,500 - 5,000</t>
        </is>
      </c>
      <c r="Q71" s="30" t="inlineStr">
        <is>
          <t xml:space="preserve">New Jersey</t>
        </is>
      </c>
      <c r="R71" s="30" t="inlineStr">
        <is>
          <t xml:space="preserve">07102</t>
        </is>
      </c>
      <c r="S71" s="32" t="inlineStr">
        <is>
          <t xml:space="preserve">Tier 3 - Coastal wind (25-100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7996.95</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CANON-202602-004757</t>
        </is>
      </c>
      <c r="B72" s="46" t="inlineStr">
        <is>
          <t xml:space="preserve">Sunniva Nakashima</t>
        </is>
      </c>
      <c r="C72" s="47">
        <v>46060</v>
      </c>
      <c r="D72" s="48" t="inlineStr">
        <is>
          <t xml:space="preserve">Bound - within authority</t>
        </is>
      </c>
      <c r="E72" s="48" t="inlineStr">
        <is>
          <t xml:space="preserve">New business</t>
        </is>
      </c>
      <c r="F72" s="46" t="inlineStr">
        <is>
          <t xml:space="preserve">B1234EXOTIC26</t>
        </is>
      </c>
      <c r="G72" s="33">
        <f>IF($A72="","",IF($C72="","",YEAR($C72)))</f>
      </c>
      <c r="H72" s="49">
        <v>2023</v>
      </c>
      <c r="I72" s="46" t="inlineStr">
        <is>
          <t xml:space="preserve">BMW</t>
        </is>
      </c>
      <c r="J72" s="46" t="inlineStr">
        <is>
          <t xml:space="preserve">M8 Competition</t>
        </is>
      </c>
      <c r="K72" s="46" t="inlineStr">
        <is>
          <t xml:space="preserve">DVKX21Z4KRZHDDALV</t>
        </is>
      </c>
      <c r="L72" s="48" t="inlineStr">
        <is>
          <t xml:space="preserve">02 - Sports / GT</t>
        </is>
      </c>
      <c r="M72" s="50">
        <v>1595000</v>
      </c>
      <c r="N72" s="48" t="inlineStr">
        <is>
          <t xml:space="preserve">Personal</t>
        </is>
      </c>
      <c r="O72" s="46" t="inlineStr">
        <is>
          <t xml:space="preserve">Personal - regular use</t>
        </is>
      </c>
      <c r="P72" s="46" t="inlineStr">
        <is>
          <t xml:space="preserve">2,500 - 5,000</t>
        </is>
      </c>
      <c r="Q72" s="46" t="inlineStr">
        <is>
          <t xml:space="preserve">Pennsylvania</t>
        </is>
      </c>
      <c r="R72" s="46" t="inlineStr">
        <is>
          <t xml:space="preserve">19103</t>
        </is>
      </c>
      <c r="S72" s="48" t="inlineStr">
        <is>
          <t xml:space="preserve">Low hazard - inland benign</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14552.42</v>
      </c>
      <c r="AC72" s="51">
        <v>0</v>
      </c>
      <c r="AD72" s="38">
        <f>IF(ISNUMBER($AB72),$AB72*(1+N($AC72)),"")</f>
      </c>
      <c r="AE72" s="50">
        <v>350</v>
      </c>
      <c r="AF72" s="50">
        <v>250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CANON-202602-004758</t>
        </is>
      </c>
      <c r="B73" s="30" t="inlineStr">
        <is>
          <t xml:space="preserve">Cassius Delacroix</t>
        </is>
      </c>
      <c r="C73" s="31">
        <v>46067</v>
      </c>
      <c r="D73" s="32" t="inlineStr">
        <is>
          <t xml:space="preserve">Bound - within authority</t>
        </is>
      </c>
      <c r="E73" s="32" t="inlineStr">
        <is>
          <t xml:space="preserve">New business</t>
        </is>
      </c>
      <c r="F73" s="30" t="inlineStr">
        <is>
          <t xml:space="preserve">B1234EXOTIC26</t>
        </is>
      </c>
      <c r="G73" s="33">
        <f>IF($A73="","",IF($C73="","",YEAR($C73)))</f>
      </c>
      <c r="H73" s="34">
        <v>1986</v>
      </c>
      <c r="I73" s="30" t="inlineStr">
        <is>
          <t xml:space="preserve">Maserati</t>
        </is>
      </c>
      <c r="J73" s="30" t="inlineStr">
        <is>
          <t xml:space="preserve">GranTurismo</t>
        </is>
      </c>
      <c r="K73" s="30" t="inlineStr">
        <is>
          <t xml:space="preserve">EWT5UC09Z16G6DG7U</t>
        </is>
      </c>
      <c r="L73" s="32" t="inlineStr">
        <is>
          <t xml:space="preserve">02 - Sports / GT</t>
        </is>
      </c>
      <c r="M73" s="35">
        <v>760000</v>
      </c>
      <c r="N73" s="32" t="inlineStr">
        <is>
          <t xml:space="preserve">Personal</t>
        </is>
      </c>
      <c r="O73" s="30" t="inlineStr">
        <is>
          <t xml:space="preserve">Personal - regular use</t>
        </is>
      </c>
      <c r="P73" s="30" t="inlineStr">
        <is>
          <t xml:space="preserve">1,000 - 2,500</t>
        </is>
      </c>
      <c r="Q73" s="30" t="inlineStr">
        <is>
          <t xml:space="preserve">Oklahoma</t>
        </is>
      </c>
      <c r="R73" s="30" t="inlineStr">
        <is>
          <t xml:space="preserve">73102</t>
        </is>
      </c>
      <c r="S73" s="32" t="inlineStr">
        <is>
          <t xml:space="preserve">Severe convective - hail alley (high)</t>
        </is>
      </c>
      <c r="T73" s="36">
        <f>IF($A73="","",IF($S73="","",IFERROR(INDEX('[1]natural catastrophe'!$D$6:$D$17,MATCH($S73,'[1]natural catastrophe'!$B$6:$B$17,0)),"?")))</f>
      </c>
      <c r="U73" s="30" t="inlineStr">
        <is>
          <t xml:space="preserve">$5,000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10325.46</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CANON-202602-004759</t>
        </is>
      </c>
      <c r="B74" s="46" t="inlineStr">
        <is>
          <t xml:space="preserve">Ramona Rourke</t>
        </is>
      </c>
      <c r="C74" s="47">
        <v>46063</v>
      </c>
      <c r="D74" s="48" t="inlineStr">
        <is>
          <t xml:space="preserve">Bound - within authority</t>
        </is>
      </c>
      <c r="E74" s="48" t="inlineStr">
        <is>
          <t xml:space="preserve">New business</t>
        </is>
      </c>
      <c r="F74" s="46" t="inlineStr">
        <is>
          <t xml:space="preserve">B1234EXOTIC26</t>
        </is>
      </c>
      <c r="G74" s="33">
        <f>IF($A74="","",IF($C74="","",YEAR($C74)))</f>
      </c>
      <c r="H74" s="49">
        <v>1989</v>
      </c>
      <c r="I74" s="46" t="inlineStr">
        <is>
          <t xml:space="preserve">Singer</t>
        </is>
      </c>
      <c r="J74" s="46" t="inlineStr">
        <is>
          <t xml:space="preserve">911 Reimagined</t>
        </is>
      </c>
      <c r="K74" s="46" t="inlineStr">
        <is>
          <t xml:space="preserve">WW2Y9WXW0RH7FN8Y5</t>
        </is>
      </c>
      <c r="L74" s="48" t="inlineStr">
        <is>
          <t xml:space="preserve">11 - Restomod / Coachbuilt / Bespoke</t>
        </is>
      </c>
      <c r="M74" s="50">
        <v>825000</v>
      </c>
      <c r="N74" s="48" t="inlineStr">
        <is>
          <t xml:space="preserve">Personal</t>
        </is>
      </c>
      <c r="O74" s="46" t="inlineStr">
        <is>
          <t xml:space="preserve">Personal - regular use</t>
        </is>
      </c>
      <c r="P74" s="46" t="inlineStr">
        <is>
          <t xml:space="preserve">2,500 - 5,000</t>
        </is>
      </c>
      <c r="Q74" s="46" t="inlineStr">
        <is>
          <t xml:space="preserve">Nebraska</t>
        </is>
      </c>
      <c r="R74" s="46" t="inlineStr">
        <is>
          <t xml:space="preserve">68102</t>
        </is>
      </c>
      <c r="S74" s="48" t="inlineStr">
        <is>
          <t xml:space="preserve">Severe convective - hail alley (high)</t>
        </is>
      </c>
      <c r="T74" s="36">
        <f>IF($A74="","",IF($S74="","",IFERROR(INDEX('[1]natural catastrophe'!$D$6:$D$17,MATCH($S74,'[1]natural catastrophe'!$B$6:$B$17,0)),"?")))</f>
      </c>
      <c r="U74" s="46" t="inlineStr">
        <is>
          <t xml:space="preserve">$5,000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13877.26</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CANON-202602-004760</t>
        </is>
      </c>
      <c r="B75" s="30" t="inlineStr">
        <is>
          <t xml:space="preserve">Fitzgerald Vasquez</t>
        </is>
      </c>
      <c r="C75" s="31">
        <v>46064</v>
      </c>
      <c r="D75" s="32" t="inlineStr">
        <is>
          <t xml:space="preserve">Bound - within authority</t>
        </is>
      </c>
      <c r="E75" s="32" t="inlineStr">
        <is>
          <t xml:space="preserve">New business</t>
        </is>
      </c>
      <c r="F75" s="30" t="inlineStr">
        <is>
          <t xml:space="preserve">B1234EXOTIC26</t>
        </is>
      </c>
      <c r="G75" s="33">
        <f>IF($A75="","",IF($C75="","",YEAR($C75)))</f>
      </c>
      <c r="H75" s="34">
        <v>1993</v>
      </c>
      <c r="I75" s="30" t="inlineStr">
        <is>
          <t xml:space="preserve">Aston Martin</t>
        </is>
      </c>
      <c r="J75" s="30" t="inlineStr">
        <is>
          <t xml:space="preserve">DB12</t>
        </is>
      </c>
      <c r="K75" s="30" t="inlineStr">
        <is>
          <t xml:space="preserve">D9MZSGEVEENUGTZKF</t>
        </is>
      </c>
      <c r="L75" s="32" t="inlineStr">
        <is>
          <t xml:space="preserve">02 - Sports / GT</t>
        </is>
      </c>
      <c r="M75" s="35">
        <v>380000</v>
      </c>
      <c r="N75" s="32" t="inlineStr">
        <is>
          <t xml:space="preserve">Personal</t>
        </is>
      </c>
      <c r="O75" s="30" t="inlineStr">
        <is>
          <t xml:space="preserve">Personal - regular use</t>
        </is>
      </c>
      <c r="P75" s="30" t="inlineStr">
        <is>
          <t xml:space="preserve">1,000 - 2,500</t>
        </is>
      </c>
      <c r="Q75" s="30" t="inlineStr">
        <is>
          <t xml:space="preserve">California</t>
        </is>
      </c>
      <c r="R75" s="30" t="inlineStr">
        <is>
          <t xml:space="preserve">90012</t>
        </is>
      </c>
      <c r="S75" s="32" t="inlineStr">
        <is>
          <t xml:space="preserve">Earthquake - high (CA, Cascadia, New Madrid)</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6382.49</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CANON-202602-004761</t>
        </is>
      </c>
      <c r="B76" s="46" t="inlineStr">
        <is>
          <t xml:space="preserve">Noor Vasquez</t>
        </is>
      </c>
      <c r="C76" s="47">
        <v>46073</v>
      </c>
      <c r="D76" s="48" t="inlineStr">
        <is>
          <t xml:space="preserve">Bound - within authority</t>
        </is>
      </c>
      <c r="E76" s="48" t="inlineStr">
        <is>
          <t xml:space="preserve">New business</t>
        </is>
      </c>
      <c r="F76" s="46" t="inlineStr">
        <is>
          <t xml:space="preserve">B1234EXOTIC26</t>
        </is>
      </c>
      <c r="G76" s="33">
        <f>IF($A76="","",IF($C76="","",YEAR($C76)))</f>
      </c>
      <c r="H76" s="49">
        <v>1998</v>
      </c>
      <c r="I76" s="46" t="inlineStr">
        <is>
          <t xml:space="preserve">Maserati</t>
        </is>
      </c>
      <c r="J76" s="46" t="inlineStr">
        <is>
          <t xml:space="preserve">GranTurismo</t>
        </is>
      </c>
      <c r="K76" s="46" t="inlineStr">
        <is>
          <t xml:space="preserve">9G1A002TXLU4MFCG4</t>
        </is>
      </c>
      <c r="L76" s="48" t="inlineStr">
        <is>
          <t xml:space="preserve">02 - Sports / GT</t>
        </is>
      </c>
      <c r="M76" s="50">
        <v>445000</v>
      </c>
      <c r="N76" s="48" t="inlineStr">
        <is>
          <t xml:space="preserve">Personal</t>
        </is>
      </c>
      <c r="O76" s="46" t="inlineStr">
        <is>
          <t xml:space="preserve">Personal - regular use</t>
        </is>
      </c>
      <c r="P76" s="46" t="inlineStr">
        <is>
          <t xml:space="preserve">1,000 - 2,500</t>
        </is>
      </c>
      <c r="Q76" s="46" t="inlineStr">
        <is>
          <t xml:space="preserve">West Virginia</t>
        </is>
      </c>
      <c r="R76" s="46" t="inlineStr">
        <is>
          <t xml:space="preserve">25301</t>
        </is>
      </c>
      <c r="S76" s="48" t="inlineStr">
        <is>
          <t xml:space="preserve">Low hazard - inland benign</t>
        </is>
      </c>
      <c r="T76" s="36">
        <f>IF($A76="","",IF($S76="","",IFERROR(INDEX('[1]natural catastrophe'!$D$6:$D$17,MATCH($S76,'[1]natural catastrophe'!$B$6:$B$17,0)),"?")))</f>
      </c>
      <c r="U76" s="46" t="inlineStr">
        <is>
          <t xml:space="preserve">$5,000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7363.51</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CANON-202602-004763</t>
        </is>
      </c>
      <c r="B77" s="30" t="inlineStr">
        <is>
          <t xml:space="preserve">Anouk Nakashima</t>
        </is>
      </c>
      <c r="C77" s="31">
        <v>46073</v>
      </c>
      <c r="D77" s="32" t="inlineStr">
        <is>
          <t xml:space="preserve">Bound - within authority</t>
        </is>
      </c>
      <c r="E77" s="32" t="inlineStr">
        <is>
          <t xml:space="preserve">New business</t>
        </is>
      </c>
      <c r="F77" s="30" t="inlineStr">
        <is>
          <t xml:space="preserve">B1234EXOTIC26</t>
        </is>
      </c>
      <c r="G77" s="33">
        <f>IF($A77="","",IF($C77="","",YEAR($C77)))</f>
      </c>
      <c r="H77" s="34">
        <v>1986</v>
      </c>
      <c r="I77" s="30" t="inlineStr">
        <is>
          <t xml:space="preserve">Mercedes-Benz</t>
        </is>
      </c>
      <c r="J77" s="30" t="inlineStr">
        <is>
          <t xml:space="preserve">AMG GT</t>
        </is>
      </c>
      <c r="K77" s="30" t="inlineStr">
        <is>
          <t xml:space="preserve">8HLLB0TT2MNLR7VPL</t>
        </is>
      </c>
      <c r="L77" s="32" t="inlineStr">
        <is>
          <t xml:space="preserve">02 - Sports / GT</t>
        </is>
      </c>
      <c r="M77" s="35">
        <v>855000</v>
      </c>
      <c r="N77" s="32" t="inlineStr">
        <is>
          <t xml:space="preserve">Personal</t>
        </is>
      </c>
      <c r="O77" s="30" t="inlineStr">
        <is>
          <t xml:space="preserve">Personal - regular use</t>
        </is>
      </c>
      <c r="P77" s="30" t="inlineStr">
        <is>
          <t xml:space="preserve">1,000 - 2,500</t>
        </is>
      </c>
      <c r="Q77" s="30" t="inlineStr">
        <is>
          <t xml:space="preserve">Alabama</t>
        </is>
      </c>
      <c r="R77" s="30" t="inlineStr">
        <is>
          <t xml:space="preserve">35203</t>
        </is>
      </c>
      <c r="S77" s="32" t="inlineStr">
        <is>
          <t xml:space="preserve">Tier 2 - Coastal wind (1-25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11708.33</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CANON-202602-004764</t>
        </is>
      </c>
      <c r="B78" s="46" t="inlineStr">
        <is>
          <t xml:space="preserve">Aurelio Kingsford</t>
        </is>
      </c>
      <c r="C78" s="47">
        <v>46065</v>
      </c>
      <c r="D78" s="48" t="inlineStr">
        <is>
          <t xml:space="preserve">Bound - within authority</t>
        </is>
      </c>
      <c r="E78" s="48" t="inlineStr">
        <is>
          <t xml:space="preserve">New business</t>
        </is>
      </c>
      <c r="F78" s="46" t="inlineStr">
        <is>
          <t xml:space="preserve">B1234EXOTIC26</t>
        </is>
      </c>
      <c r="G78" s="33">
        <f>IF($A78="","",IF($C78="","",YEAR($C78)))</f>
      </c>
      <c r="H78" s="49">
        <v>1998</v>
      </c>
      <c r="I78" s="46" t="inlineStr">
        <is>
          <t xml:space="preserve">BMW</t>
        </is>
      </c>
      <c r="J78" s="46" t="inlineStr">
        <is>
          <t xml:space="preserve">M8 Competition</t>
        </is>
      </c>
      <c r="K78" s="46" t="inlineStr">
        <is>
          <t xml:space="preserve">NDT9XCJPFTKKWFRPC</t>
        </is>
      </c>
      <c r="L78" s="48" t="inlineStr">
        <is>
          <t xml:space="preserve">02 - Sports / GT</t>
        </is>
      </c>
      <c r="M78" s="50">
        <v>545000</v>
      </c>
      <c r="N78" s="48" t="inlineStr">
        <is>
          <t xml:space="preserve">Personal</t>
        </is>
      </c>
      <c r="O78" s="46" t="inlineStr">
        <is>
          <t xml:space="preserve">Personal - regular use</t>
        </is>
      </c>
      <c r="P78" s="46" t="inlineStr">
        <is>
          <t xml:space="preserve">1,000 - 2,500</t>
        </is>
      </c>
      <c r="Q78" s="46" t="inlineStr">
        <is>
          <t xml:space="preserve">Arizona</t>
        </is>
      </c>
      <c r="R78" s="46" t="inlineStr">
        <is>
          <t xml:space="preserve">85001</t>
        </is>
      </c>
      <c r="S78" s="48" t="inlineStr">
        <is>
          <t xml:space="preserve">Wildfire - WUI high hazard</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5935.3</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CANON-202602-004766</t>
        </is>
      </c>
      <c r="B79" s="30" t="inlineStr">
        <is>
          <t xml:space="preserve">Everett Farkas</t>
        </is>
      </c>
      <c r="C79" s="31">
        <v>46072</v>
      </c>
      <c r="D79" s="32" t="inlineStr">
        <is>
          <t xml:space="preserve">Bound - within authority</t>
        </is>
      </c>
      <c r="E79" s="32" t="inlineStr">
        <is>
          <t xml:space="preserve">New business</t>
        </is>
      </c>
      <c r="F79" s="30" t="inlineStr">
        <is>
          <t xml:space="preserve">B1234EXOTIC26</t>
        </is>
      </c>
      <c r="G79" s="33">
        <f>IF($A79="","",IF($C79="","",YEAR($C79)))</f>
      </c>
      <c r="H79" s="34">
        <v>1984</v>
      </c>
      <c r="I79" s="30" t="inlineStr">
        <is>
          <t xml:space="preserve">Porsche</t>
        </is>
      </c>
      <c r="J79" s="30" t="inlineStr">
        <is>
          <t xml:space="preserve">911 Turbo S</t>
        </is>
      </c>
      <c r="K79" s="30" t="inlineStr">
        <is>
          <t xml:space="preserve">CJXWL70LRL3L4C85N</t>
        </is>
      </c>
      <c r="L79" s="32" t="inlineStr">
        <is>
          <t xml:space="preserve">02 - Sports / GT</t>
        </is>
      </c>
      <c r="M79" s="35">
        <v>830000</v>
      </c>
      <c r="N79" s="32" t="inlineStr">
        <is>
          <t xml:space="preserve">Personal</t>
        </is>
      </c>
      <c r="O79" s="30" t="inlineStr">
        <is>
          <t xml:space="preserve">Personal - regular use</t>
        </is>
      </c>
      <c r="P79" s="30" t="inlineStr">
        <is>
          <t xml:space="preserve">1,000 - 2,500</t>
        </is>
      </c>
      <c r="Q79" s="30" t="inlineStr">
        <is>
          <t xml:space="preserve">Massachusetts</t>
        </is>
      </c>
      <c r="R79" s="30" t="inlineStr">
        <is>
          <t xml:space="preserve">02108</t>
        </is>
      </c>
      <c r="S79" s="32" t="inlineStr">
        <is>
          <t xml:space="preserve">Tier 3 - Coastal wind (25-100 miles)</t>
        </is>
      </c>
      <c r="T79" s="36">
        <f>IF($A79="","",IF($S79="","",IFERROR(INDEX('[1]natural catastrophe'!$D$6:$D$17,MATCH($S79,'[1]natural catastrophe'!$B$6:$B$17,0)),"?")))</f>
      </c>
      <c r="U79" s="30" t="inlineStr">
        <is>
          <t xml:space="preserve">2% of agreed value, minimum $10,000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11186.99</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CANON-202602-004767</t>
        </is>
      </c>
      <c r="B80" s="46" t="inlineStr">
        <is>
          <t xml:space="preserve">Fenwick Castellanos</t>
        </is>
      </c>
      <c r="C80" s="47">
        <v>46060</v>
      </c>
      <c r="D80" s="48" t="inlineStr">
        <is>
          <t xml:space="preserve">Bound - within authority</t>
        </is>
      </c>
      <c r="E80" s="48" t="inlineStr">
        <is>
          <t xml:space="preserve">New business</t>
        </is>
      </c>
      <c r="F80" s="46" t="inlineStr">
        <is>
          <t xml:space="preserve">B1234EXOTIC26</t>
        </is>
      </c>
      <c r="G80" s="33">
        <f>IF($A80="","",IF($C80="","",YEAR($C80)))</f>
      </c>
      <c r="H80" s="49">
        <v>2016</v>
      </c>
      <c r="I80" s="46" t="inlineStr">
        <is>
          <t xml:space="preserve">Ferrari</t>
        </is>
      </c>
      <c r="J80" s="46" t="inlineStr">
        <is>
          <t xml:space="preserve">296 GTB</t>
        </is>
      </c>
      <c r="K80" s="46" t="inlineStr">
        <is>
          <t xml:space="preserve">JGYHU2H2XND3VF7HD</t>
        </is>
      </c>
      <c r="L80" s="48" t="inlineStr">
        <is>
          <t xml:space="preserve">03 - Supercar</t>
        </is>
      </c>
      <c r="M80" s="50">
        <v>1535000</v>
      </c>
      <c r="N80" s="48" t="inlineStr">
        <is>
          <t xml:space="preserve">Personal</t>
        </is>
      </c>
      <c r="O80" s="46" t="inlineStr">
        <is>
          <t xml:space="preserve">Personal - regular use</t>
        </is>
      </c>
      <c r="P80" s="46" t="inlineStr">
        <is>
          <t xml:space="preserve">1,000 - 2,500</t>
        </is>
      </c>
      <c r="Q80" s="46" t="inlineStr">
        <is>
          <t xml:space="preserve">California</t>
        </is>
      </c>
      <c r="R80" s="46" t="inlineStr">
        <is>
          <t xml:space="preserve">90012</t>
        </is>
      </c>
      <c r="S80" s="48" t="inlineStr">
        <is>
          <t xml:space="preserve">Earthquake - high (CA, Cascadia, New Madrid)</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27500.72</v>
      </c>
      <c r="AC80" s="51">
        <v>0</v>
      </c>
      <c r="AD80" s="38">
        <f>IF(ISNUMBER($AB80),$AB80*(1+N($AC80)),"")</f>
      </c>
      <c r="AE80" s="50">
        <v>350</v>
      </c>
      <c r="AF80" s="50">
        <v>250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CANON-202602-004768</t>
        </is>
      </c>
      <c r="B81" s="30" t="inlineStr">
        <is>
          <t xml:space="preserve">Callum Pennington</t>
        </is>
      </c>
      <c r="C81" s="31">
        <v>46061</v>
      </c>
      <c r="D81" s="32" t="inlineStr">
        <is>
          <t xml:space="preserve">Bound - within authority</t>
        </is>
      </c>
      <c r="E81" s="32" t="inlineStr">
        <is>
          <t xml:space="preserve">New business</t>
        </is>
      </c>
      <c r="F81" s="30" t="inlineStr">
        <is>
          <t xml:space="preserve">B1234EXOTIC26</t>
        </is>
      </c>
      <c r="G81" s="33">
        <f>IF($A81="","",IF($C81="","",YEAR($C81)))</f>
      </c>
      <c r="H81" s="34">
        <v>1957</v>
      </c>
      <c r="I81" s="30" t="inlineStr">
        <is>
          <t xml:space="preserve">Bentley</t>
        </is>
      </c>
      <c r="J81" s="30" t="inlineStr">
        <is>
          <t xml:space="preserve">4.5 Litre</t>
        </is>
      </c>
      <c r="K81" s="30" t="inlineStr">
        <is>
          <t xml:space="preserve">1LEXKVNUXJ4U0A8CY</t>
        </is>
      </c>
      <c r="L81" s="32" t="inlineStr">
        <is>
          <t xml:space="preserve">07 - Post-War Classic (1946-1972)</t>
        </is>
      </c>
      <c r="M81" s="35">
        <v>760000</v>
      </c>
      <c r="N81" s="32" t="inlineStr">
        <is>
          <t xml:space="preserve">Personal</t>
        </is>
      </c>
      <c r="O81" s="30" t="inlineStr">
        <is>
          <t xml:space="preserve">Personal - regular use</t>
        </is>
      </c>
      <c r="P81" s="30" t="inlineStr">
        <is>
          <t xml:space="preserve">1,000 - 2,500</t>
        </is>
      </c>
      <c r="Q81" s="30" t="inlineStr">
        <is>
          <t xml:space="preserve">New Jersey</t>
        </is>
      </c>
      <c r="R81" s="30" t="inlineStr">
        <is>
          <t xml:space="preserve">07102</t>
        </is>
      </c>
      <c r="S81" s="32" t="inlineStr">
        <is>
          <t xml:space="preserve">Tier 3 - Coastal wind (25-100 miles)</t>
        </is>
      </c>
      <c r="T81" s="36">
        <f>IF($A81="","",IF($S81="","",IFERROR(INDEX('[1]natural catastrophe'!$D$6:$D$17,MATCH($S81,'[1]natural catastrophe'!$B$6:$B$17,0)),"?")))</f>
      </c>
      <c r="U81" s="30" t="inlineStr">
        <is>
          <t xml:space="preserve">2% of agreed value, minimum $10,000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4359.64</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CANON-202602-004769</t>
        </is>
      </c>
      <c r="B82" s="46" t="inlineStr">
        <is>
          <t xml:space="preserve">Fitzgerald Underwood</t>
        </is>
      </c>
      <c r="C82" s="47">
        <v>46055</v>
      </c>
      <c r="D82" s="48" t="inlineStr">
        <is>
          <t xml:space="preserve">Bound - within authority</t>
        </is>
      </c>
      <c r="E82" s="48" t="inlineStr">
        <is>
          <t xml:space="preserve">New business</t>
        </is>
      </c>
      <c r="F82" s="46" t="inlineStr">
        <is>
          <t xml:space="preserve">B1234EXOTIC26</t>
        </is>
      </c>
      <c r="G82" s="33">
        <f>IF($A82="","",IF($C82="","",YEAR($C82)))</f>
      </c>
      <c r="H82" s="49">
        <v>1956</v>
      </c>
      <c r="I82" s="46" t="inlineStr">
        <is>
          <t xml:space="preserve">BMW</t>
        </is>
      </c>
      <c r="J82" s="46" t="inlineStr">
        <is>
          <t xml:space="preserve">M8 Competition</t>
        </is>
      </c>
      <c r="K82" s="46" t="inlineStr">
        <is>
          <t xml:space="preserve">8H6N6T54ESK6ZE3XP</t>
        </is>
      </c>
      <c r="L82" s="48" t="inlineStr">
        <is>
          <t xml:space="preserve">02 - Sports / GT</t>
        </is>
      </c>
      <c r="M82" s="50">
        <v>330000</v>
      </c>
      <c r="N82" s="48" t="inlineStr">
        <is>
          <t xml:space="preserve">Personal</t>
        </is>
      </c>
      <c r="O82" s="46" t="inlineStr">
        <is>
          <t xml:space="preserve">Personal - regular use</t>
        </is>
      </c>
      <c r="P82" s="46" t="inlineStr">
        <is>
          <t xml:space="preserve">1,000 - 2,500</t>
        </is>
      </c>
      <c r="Q82" s="46" t="inlineStr">
        <is>
          <t xml:space="preserve">New York</t>
        </is>
      </c>
      <c r="R82" s="46" t="inlineStr">
        <is>
          <t xml:space="preserve">10022</t>
        </is>
      </c>
      <c r="S82" s="48" t="inlineStr">
        <is>
          <t xml:space="preserve">Tier 3 - Coastal wind (25-100 miles)</t>
        </is>
      </c>
      <c r="T82" s="36">
        <f>IF($A82="","",IF($S82="","",IFERROR(INDEX('[1]natural catastrophe'!$D$6:$D$17,MATCH($S82,'[1]natural catastrophe'!$B$6:$B$17,0)),"?")))</f>
      </c>
      <c r="U82" s="46" t="inlineStr">
        <is>
          <t xml:space="preserve">2% of agreed value, minimum $10,000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5255.29</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CANON-202602-004770</t>
        </is>
      </c>
      <c r="B83" s="30" t="inlineStr">
        <is>
          <t xml:space="preserve">Horace Kingsford</t>
        </is>
      </c>
      <c r="C83" s="31">
        <v>46070</v>
      </c>
      <c r="D83" s="32" t="inlineStr">
        <is>
          <t xml:space="preserve">Bound - within authority</t>
        </is>
      </c>
      <c r="E83" s="32" t="inlineStr">
        <is>
          <t xml:space="preserve">New business</t>
        </is>
      </c>
      <c r="F83" s="30" t="inlineStr">
        <is>
          <t xml:space="preserve">B1234EXOTIC26</t>
        </is>
      </c>
      <c r="G83" s="33">
        <f>IF($A83="","",IF($C83="","",YEAR($C83)))</f>
      </c>
      <c r="H83" s="34">
        <v>1961</v>
      </c>
      <c r="I83" s="30" t="inlineStr">
        <is>
          <t xml:space="preserve">Bentley</t>
        </is>
      </c>
      <c r="J83" s="30" t="inlineStr">
        <is>
          <t xml:space="preserve">Continental GT</t>
        </is>
      </c>
      <c r="K83" s="30" t="inlineStr">
        <is>
          <t xml:space="preserve">JWJ0C4136VKKZCH6B</t>
        </is>
      </c>
      <c r="L83" s="32" t="inlineStr">
        <is>
          <t xml:space="preserve">02 - Sports / GT</t>
        </is>
      </c>
      <c r="M83" s="35">
        <v>785000</v>
      </c>
      <c r="N83" s="32" t="inlineStr">
        <is>
          <t xml:space="preserve">Personal</t>
        </is>
      </c>
      <c r="O83" s="30" t="inlineStr">
        <is>
          <t xml:space="preserve">Personal - regular use</t>
        </is>
      </c>
      <c r="P83" s="30" t="inlineStr">
        <is>
          <t xml:space="preserve">2,500 - 5,000</t>
        </is>
      </c>
      <c r="Q83" s="30" t="inlineStr">
        <is>
          <t xml:space="preserve">Texas</t>
        </is>
      </c>
      <c r="R83" s="30" t="inlineStr">
        <is>
          <t xml:space="preserve">75201</t>
        </is>
      </c>
      <c r="S83" s="32" t="inlineStr">
        <is>
          <t xml:space="preserve">Tier 2 - Coastal wind (1-25 miles)</t>
        </is>
      </c>
      <c r="T83" s="36">
        <f>IF($A83="","",IF($S83="","",IFERROR(INDEX('[1]natural catastrophe'!$D$6:$D$17,MATCH($S83,'[1]natural catastrophe'!$B$6:$B$17,0)),"?")))</f>
      </c>
      <c r="U83" s="30" t="inlineStr">
        <is>
          <t xml:space="preserve">2% of agreed value, minimum $10,000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9734.03</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CANON-202602-004771</t>
        </is>
      </c>
      <c r="B84" s="46" t="inlineStr">
        <is>
          <t xml:space="preserve">Lorenzo Chattopadhyay</t>
        </is>
      </c>
      <c r="C84" s="47">
        <v>46059</v>
      </c>
      <c r="D84" s="48" t="inlineStr">
        <is>
          <t xml:space="preserve">Bound - within authority</t>
        </is>
      </c>
      <c r="E84" s="48" t="inlineStr">
        <is>
          <t xml:space="preserve">New business</t>
        </is>
      </c>
      <c r="F84" s="46" t="inlineStr">
        <is>
          <t xml:space="preserve">B1234EXOTIC26</t>
        </is>
      </c>
      <c r="G84" s="33">
        <f>IF($A84="","",IF($C84="","",YEAR($C84)))</f>
      </c>
      <c r="H84" s="49">
        <v>1956</v>
      </c>
      <c r="I84" s="46" t="inlineStr">
        <is>
          <t xml:space="preserve">Maserati</t>
        </is>
      </c>
      <c r="J84" s="46" t="inlineStr">
        <is>
          <t xml:space="preserve">GranTurismo</t>
        </is>
      </c>
      <c r="K84" s="46" t="inlineStr">
        <is>
          <t xml:space="preserve">G60XV6FSXFD0AE00Y</t>
        </is>
      </c>
      <c r="L84" s="48" t="inlineStr">
        <is>
          <t xml:space="preserve">02 - Sports / GT</t>
        </is>
      </c>
      <c r="M84" s="50">
        <v>530000</v>
      </c>
      <c r="N84" s="48" t="inlineStr">
        <is>
          <t xml:space="preserve">Personal</t>
        </is>
      </c>
      <c r="O84" s="46" t="inlineStr">
        <is>
          <t xml:space="preserve">Personal - regular use</t>
        </is>
      </c>
      <c r="P84" s="46" t="inlineStr">
        <is>
          <t xml:space="preserve">2,500 - 5,000</t>
        </is>
      </c>
      <c r="Q84" s="46" t="inlineStr">
        <is>
          <t xml:space="preserve">California</t>
        </is>
      </c>
      <c r="R84" s="46" t="inlineStr">
        <is>
          <t xml:space="preserve">90012</t>
        </is>
      </c>
      <c r="S84" s="48" t="inlineStr">
        <is>
          <t xml:space="preserve">Earthquake - high (CA, Cascadia, New Madrid)</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7714.98</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CANON-202602-004772</t>
        </is>
      </c>
      <c r="B85" s="30" t="inlineStr">
        <is>
          <t xml:space="preserve">Thaddeus Okonkwo</t>
        </is>
      </c>
      <c r="C85" s="31">
        <v>46066</v>
      </c>
      <c r="D85" s="32" t="inlineStr">
        <is>
          <t xml:space="preserve">Bound - within authority</t>
        </is>
      </c>
      <c r="E85" s="32" t="inlineStr">
        <is>
          <t xml:space="preserve">New business</t>
        </is>
      </c>
      <c r="F85" s="30" t="inlineStr">
        <is>
          <t xml:space="preserve">B1234EXOTIC26</t>
        </is>
      </c>
      <c r="G85" s="33">
        <f>IF($A85="","",IF($C85="","",YEAR($C85)))</f>
      </c>
      <c r="H85" s="34">
        <v>1995</v>
      </c>
      <c r="I85" s="30" t="inlineStr">
        <is>
          <t xml:space="preserve">BMW</t>
        </is>
      </c>
      <c r="J85" s="30" t="inlineStr">
        <is>
          <t xml:space="preserve">M8 Competition</t>
        </is>
      </c>
      <c r="K85" s="30" t="inlineStr">
        <is>
          <t xml:space="preserve">40KXE6CEF5JLVU966</t>
        </is>
      </c>
      <c r="L85" s="32" t="inlineStr">
        <is>
          <t xml:space="preserve">02 - Sports / GT</t>
        </is>
      </c>
      <c r="M85" s="35">
        <v>365000</v>
      </c>
      <c r="N85" s="32" t="inlineStr">
        <is>
          <t xml:space="preserve">Personal</t>
        </is>
      </c>
      <c r="O85" s="30" t="inlineStr">
        <is>
          <t xml:space="preserve">Personal - regular use</t>
        </is>
      </c>
      <c r="P85" s="30" t="inlineStr">
        <is>
          <t xml:space="preserve">Under 1,000</t>
        </is>
      </c>
      <c r="Q85" s="30" t="inlineStr">
        <is>
          <t xml:space="preserve">Rhode Island</t>
        </is>
      </c>
      <c r="R85" s="30" t="inlineStr">
        <is>
          <t xml:space="preserve">02903</t>
        </is>
      </c>
      <c r="S85" s="32" t="inlineStr">
        <is>
          <t xml:space="preserve">Tier 3 - Coastal wind (25-100 miles)</t>
        </is>
      </c>
      <c r="T85" s="36">
        <f>IF($A85="","",IF($S85="","",IFERROR(INDEX('[1]natural catastrophe'!$D$6:$D$17,MATCH($S85,'[1]natural catastrophe'!$B$6:$B$17,0)),"?")))</f>
      </c>
      <c r="U85" s="30" t="inlineStr">
        <is>
          <t xml:space="preserve">2% of agreed value, minimum $10,000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6221.38</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CANON-202602-004773</t>
        </is>
      </c>
      <c r="B86" s="46" t="inlineStr">
        <is>
          <t xml:space="preserve">Sunniva Larsson</t>
        </is>
      </c>
      <c r="C86" s="47">
        <v>46058</v>
      </c>
      <c r="D86" s="48" t="inlineStr">
        <is>
          <t xml:space="preserve">Bound - within authority</t>
        </is>
      </c>
      <c r="E86" s="48" t="inlineStr">
        <is>
          <t xml:space="preserve">New business</t>
        </is>
      </c>
      <c r="F86" s="46" t="inlineStr">
        <is>
          <t xml:space="preserve">B1234EXOTIC26</t>
        </is>
      </c>
      <c r="G86" s="33">
        <f>IF($A86="","",IF($C86="","",YEAR($C86)))</f>
      </c>
      <c r="H86" s="49">
        <v>1977</v>
      </c>
      <c r="I86" s="46" t="inlineStr">
        <is>
          <t xml:space="preserve">Ferrari</t>
        </is>
      </c>
      <c r="J86" s="46" t="inlineStr">
        <is>
          <t xml:space="preserve">275 GTB/4</t>
        </is>
      </c>
      <c r="K86" s="46" t="inlineStr">
        <is>
          <t xml:space="preserve">A2FFGM7BN60A5178D</t>
        </is>
      </c>
      <c r="L86" s="48" t="inlineStr">
        <is>
          <t xml:space="preserve">08 - Modern Classic (1973-1999)</t>
        </is>
      </c>
      <c r="M86" s="50">
        <v>735000</v>
      </c>
      <c r="N86" s="48" t="inlineStr">
        <is>
          <t xml:space="preserve">Personal</t>
        </is>
      </c>
      <c r="O86" s="46" t="inlineStr">
        <is>
          <t xml:space="preserve">Personal - regular use</t>
        </is>
      </c>
      <c r="P86" s="46" t="inlineStr">
        <is>
          <t xml:space="preserve">2,500 - 5,000</t>
        </is>
      </c>
      <c r="Q86" s="46" t="inlineStr">
        <is>
          <t xml:space="preserve">Alabama</t>
        </is>
      </c>
      <c r="R86" s="46" t="inlineStr">
        <is>
          <t xml:space="preserve">35203</t>
        </is>
      </c>
      <c r="S86" s="48" t="inlineStr">
        <is>
          <t xml:space="preserve">Tier 2 - Coastal wind (1-25 miles)</t>
        </is>
      </c>
      <c r="T86" s="36">
        <f>IF($A86="","",IF($S86="","",IFERROR(INDEX('[1]natural catastrophe'!$D$6:$D$17,MATCH($S86,'[1]natural catastrophe'!$B$6:$B$17,0)),"?")))</f>
      </c>
      <c r="U86" s="46" t="inlineStr">
        <is>
          <t xml:space="preserve">2% of agreed value, minimum $10,000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6658.42</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CANON-202602-004774</t>
        </is>
      </c>
      <c r="B87" s="30" t="inlineStr">
        <is>
          <t xml:space="preserve">Noor Pennington</t>
        </is>
      </c>
      <c r="C87" s="31">
        <v>46071</v>
      </c>
      <c r="D87" s="32" t="inlineStr">
        <is>
          <t xml:space="preserve">Bound - within authority</t>
        </is>
      </c>
      <c r="E87" s="32" t="inlineStr">
        <is>
          <t xml:space="preserve">New business</t>
        </is>
      </c>
      <c r="F87" s="30" t="inlineStr">
        <is>
          <t xml:space="preserve">B1234EXOTIC26</t>
        </is>
      </c>
      <c r="G87" s="33">
        <f>IF($A87="","",IF($C87="","",YEAR($C87)))</f>
      </c>
      <c r="H87" s="34">
        <v>1969</v>
      </c>
      <c r="I87" s="30" t="inlineStr">
        <is>
          <t xml:space="preserve">BMW</t>
        </is>
      </c>
      <c r="J87" s="30" t="inlineStr">
        <is>
          <t xml:space="preserve">M8 Competition</t>
        </is>
      </c>
      <c r="K87" s="30" t="inlineStr">
        <is>
          <t xml:space="preserve">25M1B9NBLBL1FXCNS</t>
        </is>
      </c>
      <c r="L87" s="32" t="inlineStr">
        <is>
          <t xml:space="preserve">02 - Sports / GT</t>
        </is>
      </c>
      <c r="M87" s="35">
        <v>710000</v>
      </c>
      <c r="N87" s="32" t="inlineStr">
        <is>
          <t xml:space="preserve">Personal</t>
        </is>
      </c>
      <c r="O87" s="30" t="inlineStr">
        <is>
          <t xml:space="preserve">Personal - regular use</t>
        </is>
      </c>
      <c r="P87" s="30" t="inlineStr">
        <is>
          <t xml:space="preserve">Under 1,000</t>
        </is>
      </c>
      <c r="Q87" s="30" t="inlineStr">
        <is>
          <t xml:space="preserve">Texas</t>
        </is>
      </c>
      <c r="R87" s="30" t="inlineStr">
        <is>
          <t xml:space="preserve">75201</t>
        </is>
      </c>
      <c r="S87" s="32" t="inlineStr">
        <is>
          <t xml:space="preserve">Tier 2 - Coastal wind (1-25 miles)</t>
        </is>
      </c>
      <c r="T87" s="36">
        <f>IF($A87="","",IF($S87="","",IFERROR(INDEX('[1]natural catastrophe'!$D$6:$D$17,MATCH($S87,'[1]natural catastrophe'!$B$6:$B$17,0)),"?")))</f>
      </c>
      <c r="U87" s="30" t="inlineStr">
        <is>
          <t xml:space="preserve">2% of agreed value, minimum $10,000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8804.03</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CANON-202602-004775</t>
        </is>
      </c>
      <c r="B88" s="46" t="inlineStr">
        <is>
          <t xml:space="preserve">Cassius Underwood</t>
        </is>
      </c>
      <c r="C88" s="47">
        <v>46066</v>
      </c>
      <c r="D88" s="48" t="inlineStr">
        <is>
          <t xml:space="preserve">Bound - within authority</t>
        </is>
      </c>
      <c r="E88" s="48" t="inlineStr">
        <is>
          <t xml:space="preserve">New business</t>
        </is>
      </c>
      <c r="F88" s="46" t="inlineStr">
        <is>
          <t xml:space="preserve">B1234EXOTIC26</t>
        </is>
      </c>
      <c r="G88" s="33">
        <f>IF($A88="","",IF($C88="","",YEAR($C88)))</f>
      </c>
      <c r="H88" s="49">
        <v>2017</v>
      </c>
      <c r="I88" s="46" t="inlineStr">
        <is>
          <t xml:space="preserve">Porsche</t>
        </is>
      </c>
      <c r="J88" s="46" t="inlineStr">
        <is>
          <t xml:space="preserve">911 Turbo S</t>
        </is>
      </c>
      <c r="K88" s="46" t="inlineStr">
        <is>
          <t xml:space="preserve">X6UJ7AV7KA9AJFXEZ</t>
        </is>
      </c>
      <c r="L88" s="48" t="inlineStr">
        <is>
          <t xml:space="preserve">02 - Sports / GT</t>
        </is>
      </c>
      <c r="M88" s="50">
        <v>910000</v>
      </c>
      <c r="N88" s="48" t="inlineStr">
        <is>
          <t xml:space="preserve">Personal</t>
        </is>
      </c>
      <c r="O88" s="46" t="inlineStr">
        <is>
          <t xml:space="preserve">Personal - regular use</t>
        </is>
      </c>
      <c r="P88" s="46" t="inlineStr">
        <is>
          <t xml:space="preserve">Under 1,000</t>
        </is>
      </c>
      <c r="Q88" s="46" t="inlineStr">
        <is>
          <t xml:space="preserve">Minnesota</t>
        </is>
      </c>
      <c r="R88" s="46" t="inlineStr">
        <is>
          <t xml:space="preserve">55401</t>
        </is>
      </c>
      <c r="S88" s="48" t="inlineStr">
        <is>
          <t xml:space="preserve">Severe convective - hail / tornado (moderate)</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12952.11</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CANON-202602-004776</t>
        </is>
      </c>
      <c r="B89" s="30" t="inlineStr">
        <is>
          <t xml:space="preserve">Priya Nakashima</t>
        </is>
      </c>
      <c r="C89" s="31">
        <v>46067</v>
      </c>
      <c r="D89" s="32" t="inlineStr">
        <is>
          <t xml:space="preserve">Bound - within authority</t>
        </is>
      </c>
      <c r="E89" s="32" t="inlineStr">
        <is>
          <t xml:space="preserve">New business</t>
        </is>
      </c>
      <c r="F89" s="30" t="inlineStr">
        <is>
          <t xml:space="preserve">B1234EXOTIC26</t>
        </is>
      </c>
      <c r="G89" s="33">
        <f>IF($A89="","",IF($C89="","",YEAR($C89)))</f>
      </c>
      <c r="H89" s="34">
        <v>2021</v>
      </c>
      <c r="I89" s="30" t="inlineStr">
        <is>
          <t xml:space="preserve">Bentley</t>
        </is>
      </c>
      <c r="J89" s="30" t="inlineStr">
        <is>
          <t xml:space="preserve">Continental GT</t>
        </is>
      </c>
      <c r="K89" s="30" t="inlineStr">
        <is>
          <t xml:space="preserve">6MF3UGA9SMLJPG4HZ</t>
        </is>
      </c>
      <c r="L89" s="32" t="inlineStr">
        <is>
          <t xml:space="preserve">02 - Sports / GT</t>
        </is>
      </c>
      <c r="M89" s="35">
        <v>265000</v>
      </c>
      <c r="N89" s="32" t="inlineStr">
        <is>
          <t xml:space="preserve">Personal</t>
        </is>
      </c>
      <c r="O89" s="30" t="inlineStr">
        <is>
          <t xml:space="preserve">Personal - regular use</t>
        </is>
      </c>
      <c r="P89" s="30" t="inlineStr">
        <is>
          <t xml:space="preserve">Under 1,000</t>
        </is>
      </c>
      <c r="Q89" s="30" t="inlineStr">
        <is>
          <t xml:space="preserve">Arizona</t>
        </is>
      </c>
      <c r="R89" s="30" t="inlineStr">
        <is>
          <t xml:space="preserve">85001</t>
        </is>
      </c>
      <c r="S89" s="32" t="inlineStr">
        <is>
          <t xml:space="preserve">Wildfire - WUI high hazard</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3329.97</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CANON-202602-004777</t>
        </is>
      </c>
      <c r="B90" s="46" t="inlineStr">
        <is>
          <t xml:space="preserve">Thaddeus Vandermeer</t>
        </is>
      </c>
      <c r="C90" s="47">
        <v>46079</v>
      </c>
      <c r="D90" s="48" t="inlineStr">
        <is>
          <t xml:space="preserve">Bound - within authority</t>
        </is>
      </c>
      <c r="E90" s="48" t="inlineStr">
        <is>
          <t xml:space="preserve">New business</t>
        </is>
      </c>
      <c r="F90" s="46" t="inlineStr">
        <is>
          <t xml:space="preserve">B1234EXOTIC26</t>
        </is>
      </c>
      <c r="G90" s="33">
        <f>IF($A90="","",IF($C90="","",YEAR($C90)))</f>
      </c>
      <c r="H90" s="49">
        <v>2011</v>
      </c>
      <c r="I90" s="46" t="inlineStr">
        <is>
          <t xml:space="preserve">Maserati</t>
        </is>
      </c>
      <c r="J90" s="46" t="inlineStr">
        <is>
          <t xml:space="preserve">GranTurismo</t>
        </is>
      </c>
      <c r="K90" s="46" t="inlineStr">
        <is>
          <t xml:space="preserve">43S4BAS4VN0455ZF3</t>
        </is>
      </c>
      <c r="L90" s="48" t="inlineStr">
        <is>
          <t xml:space="preserve">02 - Sports / GT</t>
        </is>
      </c>
      <c r="M90" s="50">
        <v>840000</v>
      </c>
      <c r="N90" s="48" t="inlineStr">
        <is>
          <t xml:space="preserve">Personal</t>
        </is>
      </c>
      <c r="O90" s="46" t="inlineStr">
        <is>
          <t xml:space="preserve">Personal - regular use</t>
        </is>
      </c>
      <c r="P90" s="46" t="inlineStr">
        <is>
          <t xml:space="preserve">2,500 - 5,000</t>
        </is>
      </c>
      <c r="Q90" s="46" t="inlineStr">
        <is>
          <t xml:space="preserve">Nevada</t>
        </is>
      </c>
      <c r="R90" s="46" t="inlineStr">
        <is>
          <t xml:space="preserve">89101</t>
        </is>
      </c>
      <c r="S90" s="48" t="inlineStr">
        <is>
          <t xml:space="preserve">Wildfire - WUI high hazard</t>
        </is>
      </c>
      <c r="T90" s="36">
        <f>IF($A90="","",IF($S90="","",IFERROR(INDEX('[1]natural catastrophe'!$D$6:$D$17,MATCH($S90,'[1]natural catastrophe'!$B$6:$B$17,0)),"?")))</f>
      </c>
      <c r="U90" s="46" t="inlineStr">
        <is>
          <t xml:space="preserve">$5,000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10597.18</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CANON-202602-004781</t>
        </is>
      </c>
      <c r="B91" s="30" t="inlineStr">
        <is>
          <t xml:space="preserve">Callum Kingsford</t>
        </is>
      </c>
      <c r="C91" s="31">
        <v>46077</v>
      </c>
      <c r="D91" s="32" t="inlineStr">
        <is>
          <t xml:space="preserve">Bound - within authority</t>
        </is>
      </c>
      <c r="E91" s="32" t="inlineStr">
        <is>
          <t xml:space="preserve">New business</t>
        </is>
      </c>
      <c r="F91" s="30" t="inlineStr">
        <is>
          <t xml:space="preserve">B1234EXOTIC26</t>
        </is>
      </c>
      <c r="G91" s="33">
        <f>IF($A91="","",IF($C91="","",YEAR($C91)))</f>
      </c>
      <c r="H91" s="34">
        <v>1956</v>
      </c>
      <c r="I91" s="30" t="inlineStr">
        <is>
          <t xml:space="preserve">Ferrari</t>
        </is>
      </c>
      <c r="J91" s="30" t="inlineStr">
        <is>
          <t xml:space="preserve">SF90 Stradale</t>
        </is>
      </c>
      <c r="K91" s="30" t="inlineStr">
        <is>
          <t xml:space="preserve">FZW79PZCCDSF0SRLG</t>
        </is>
      </c>
      <c r="L91" s="32" t="inlineStr">
        <is>
          <t xml:space="preserve">03 - Supercar</t>
        </is>
      </c>
      <c r="M91" s="35">
        <v>670000</v>
      </c>
      <c r="N91" s="32" t="inlineStr">
        <is>
          <t xml:space="preserve">Personal</t>
        </is>
      </c>
      <c r="O91" s="30" t="inlineStr">
        <is>
          <t xml:space="preserve">Personal - regular use</t>
        </is>
      </c>
      <c r="P91" s="30" t="inlineStr">
        <is>
          <t xml:space="preserve">2,500 - 5,000</t>
        </is>
      </c>
      <c r="Q91" s="30" t="inlineStr">
        <is>
          <t xml:space="preserve">South Dakota</t>
        </is>
      </c>
      <c r="R91" s="30" t="inlineStr">
        <is>
          <t xml:space="preserve">57501</t>
        </is>
      </c>
      <c r="S91" s="32" t="inlineStr">
        <is>
          <t xml:space="preserve">Severe convective - hail alley (high)</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11720.15</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CANON-202602-004782</t>
        </is>
      </c>
      <c r="B92" s="46" t="inlineStr">
        <is>
          <t xml:space="preserve">Ottilie Vandermeer</t>
        </is>
      </c>
      <c r="C92" s="47">
        <v>46055</v>
      </c>
      <c r="D92" s="48" t="inlineStr">
        <is>
          <t xml:space="preserve">Bound - within authority</t>
        </is>
      </c>
      <c r="E92" s="48" t="inlineStr">
        <is>
          <t xml:space="preserve">New business</t>
        </is>
      </c>
      <c r="F92" s="46" t="inlineStr">
        <is>
          <t xml:space="preserve">B1234EXOTIC26</t>
        </is>
      </c>
      <c r="G92" s="33">
        <f>IF($A92="","",IF($C92="","",YEAR($C92)))</f>
      </c>
      <c r="H92" s="49">
        <v>1999</v>
      </c>
      <c r="I92" s="46" t="inlineStr">
        <is>
          <t xml:space="preserve">Bentley</t>
        </is>
      </c>
      <c r="J92" s="46" t="inlineStr">
        <is>
          <t xml:space="preserve">Continental GT</t>
        </is>
      </c>
      <c r="K92" s="46" t="inlineStr">
        <is>
          <t xml:space="preserve">KRRKX8774AH2XRZ5F</t>
        </is>
      </c>
      <c r="L92" s="48" t="inlineStr">
        <is>
          <t xml:space="preserve">02 - Sports / GT</t>
        </is>
      </c>
      <c r="M92" s="50">
        <v>230000</v>
      </c>
      <c r="N92" s="48" t="inlineStr">
        <is>
          <t xml:space="preserve">Personal</t>
        </is>
      </c>
      <c r="O92" s="46" t="inlineStr">
        <is>
          <t xml:space="preserve">Personal - regular use</t>
        </is>
      </c>
      <c r="P92" s="46" t="inlineStr">
        <is>
          <t xml:space="preserve">Under 1,000</t>
        </is>
      </c>
      <c r="Q92" s="46" t="inlineStr">
        <is>
          <t xml:space="preserve">New Hampshire</t>
        </is>
      </c>
      <c r="R92" s="46" t="inlineStr">
        <is>
          <t xml:space="preserve">03301</t>
        </is>
      </c>
      <c r="S92" s="48" t="inlineStr">
        <is>
          <t xml:space="preserve">Tier 3 - Coastal wind (25-100 miles)</t>
        </is>
      </c>
      <c r="T92" s="36">
        <f>IF($A92="","",IF($S92="","",IFERROR(INDEX('[1]natural catastrophe'!$D$6:$D$17,MATCH($S92,'[1]natural catastrophe'!$B$6:$B$17,0)),"?")))</f>
      </c>
      <c r="U92" s="46" t="inlineStr">
        <is>
          <t xml:space="preserve">2% of agreed value, minimum $10,000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3650.57</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CANON-202602-004783</t>
        </is>
      </c>
      <c r="B93" s="30" t="inlineStr">
        <is>
          <t xml:space="preserve">Ramona Bellandi</t>
        </is>
      </c>
      <c r="C93" s="31">
        <v>46069</v>
      </c>
      <c r="D93" s="32" t="inlineStr">
        <is>
          <t xml:space="preserve">Bound - within authority</t>
        </is>
      </c>
      <c r="E93" s="32" t="inlineStr">
        <is>
          <t xml:space="preserve">New business</t>
        </is>
      </c>
      <c r="F93" s="30" t="inlineStr">
        <is>
          <t xml:space="preserve">B1234EXOTIC26</t>
        </is>
      </c>
      <c r="G93" s="33">
        <f>IF($A93="","",IF($C93="","",YEAR($C93)))</f>
      </c>
      <c r="H93" s="34">
        <v>1961</v>
      </c>
      <c r="I93" s="30" t="inlineStr">
        <is>
          <t xml:space="preserve">Aston Martin</t>
        </is>
      </c>
      <c r="J93" s="30" t="inlineStr">
        <is>
          <t xml:space="preserve">DB5</t>
        </is>
      </c>
      <c r="K93" s="30" t="inlineStr">
        <is>
          <t xml:space="preserve">JTUDD5HPZ2VGV9R5R</t>
        </is>
      </c>
      <c r="L93" s="32" t="inlineStr">
        <is>
          <t xml:space="preserve">07 - Post-War Classic (1946-1972)</t>
        </is>
      </c>
      <c r="M93" s="35">
        <v>515000</v>
      </c>
      <c r="N93" s="32" t="inlineStr">
        <is>
          <t xml:space="preserve">Personal</t>
        </is>
      </c>
      <c r="O93" s="30" t="inlineStr">
        <is>
          <t xml:space="preserve">Personal - regular use</t>
        </is>
      </c>
      <c r="P93" s="30" t="inlineStr">
        <is>
          <t xml:space="preserve">2,500 - 5,000</t>
        </is>
      </c>
      <c r="Q93" s="30" t="inlineStr">
        <is>
          <t xml:space="preserve">Massachusetts</t>
        </is>
      </c>
      <c r="R93" s="30" t="inlineStr">
        <is>
          <t xml:space="preserve">02108</t>
        </is>
      </c>
      <c r="S93" s="32" t="inlineStr">
        <is>
          <t xml:space="preserve">Tier 3 - Coastal wind (25-100 miles)</t>
        </is>
      </c>
      <c r="T93" s="36">
        <f>IF($A93="","",IF($S93="","",IFERROR(INDEX('[1]natural catastrophe'!$D$6:$D$17,MATCH($S93,'[1]natural catastrophe'!$B$6:$B$17,0)),"?")))</f>
      </c>
      <c r="U93" s="30" t="inlineStr">
        <is>
          <t xml:space="preserve">2% of agreed value, minimum $10,000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4591.96</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CANON-202602-004784</t>
        </is>
      </c>
      <c r="B94" s="46" t="inlineStr">
        <is>
          <t xml:space="preserve">Emiliano Larsson</t>
        </is>
      </c>
      <c r="C94" s="47">
        <v>46071</v>
      </c>
      <c r="D94" s="48" t="inlineStr">
        <is>
          <t xml:space="preserve">Bound - within authority</t>
        </is>
      </c>
      <c r="E94" s="48" t="inlineStr">
        <is>
          <t xml:space="preserve">New business</t>
        </is>
      </c>
      <c r="F94" s="46" t="inlineStr">
        <is>
          <t xml:space="preserve">B1234EXOTIC26</t>
        </is>
      </c>
      <c r="G94" s="33">
        <f>IF($A94="","",IF($C94="","",YEAR($C94)))</f>
      </c>
      <c r="H94" s="49">
        <v>1989</v>
      </c>
      <c r="I94" s="46" t="inlineStr">
        <is>
          <t xml:space="preserve">Bentley</t>
        </is>
      </c>
      <c r="J94" s="46" t="inlineStr">
        <is>
          <t xml:space="preserve">Continental GT</t>
        </is>
      </c>
      <c r="K94" s="46" t="inlineStr">
        <is>
          <t xml:space="preserve">HRZ98FAYE6ZLGYNVM</t>
        </is>
      </c>
      <c r="L94" s="48" t="inlineStr">
        <is>
          <t xml:space="preserve">02 - Sports / GT</t>
        </is>
      </c>
      <c r="M94" s="50">
        <v>680000</v>
      </c>
      <c r="N94" s="48" t="inlineStr">
        <is>
          <t xml:space="preserve">Personal</t>
        </is>
      </c>
      <c r="O94" s="46" t="inlineStr">
        <is>
          <t xml:space="preserve">Personal - regular use</t>
        </is>
      </c>
      <c r="P94" s="46" t="inlineStr">
        <is>
          <t xml:space="preserve">Under 1,000</t>
        </is>
      </c>
      <c r="Q94" s="46" t="inlineStr">
        <is>
          <t xml:space="preserve">Hawaii</t>
        </is>
      </c>
      <c r="R94" s="46" t="inlineStr">
        <is>
          <t xml:space="preserve">96813</t>
        </is>
      </c>
      <c r="S94" s="48" t="inlineStr">
        <is>
          <t xml:space="preserve">Earthquake - high (CA, Cascadia, New Madrid)</t>
        </is>
      </c>
      <c r="T94" s="36">
        <f>IF($A94="","",IF($S94="","",IFERROR(INDEX('[1]natural catastrophe'!$D$6:$D$17,MATCH($S94,'[1]natural catastrophe'!$B$6:$B$17,0)),"?")))</f>
      </c>
      <c r="U94" s="46" t="inlineStr">
        <is>
          <t xml:space="preserve">$5,000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9531.86</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CANON-202602-004785</t>
        </is>
      </c>
      <c r="B95" s="30" t="inlineStr">
        <is>
          <t xml:space="preserve">Desmond Farkas</t>
        </is>
      </c>
      <c r="C95" s="31">
        <v>46080</v>
      </c>
      <c r="D95" s="32" t="inlineStr">
        <is>
          <t xml:space="preserve">Bound - within authority</t>
        </is>
      </c>
      <c r="E95" s="32" t="inlineStr">
        <is>
          <t xml:space="preserve">New business</t>
        </is>
      </c>
      <c r="F95" s="30" t="inlineStr">
        <is>
          <t xml:space="preserve">B1234EXOTIC26</t>
        </is>
      </c>
      <c r="G95" s="33">
        <f>IF($A95="","",IF($C95="","",YEAR($C95)))</f>
      </c>
      <c r="H95" s="34">
        <v>1956</v>
      </c>
      <c r="I95" s="30" t="inlineStr">
        <is>
          <t xml:space="preserve">Ferrari</t>
        </is>
      </c>
      <c r="J95" s="30" t="inlineStr">
        <is>
          <t xml:space="preserve">296 GTB</t>
        </is>
      </c>
      <c r="K95" s="30" t="inlineStr">
        <is>
          <t xml:space="preserve">8MPDX63VKUL9SDA40</t>
        </is>
      </c>
      <c r="L95" s="32" t="inlineStr">
        <is>
          <t xml:space="preserve">03 - Supercar</t>
        </is>
      </c>
      <c r="M95" s="35">
        <v>680000</v>
      </c>
      <c r="N95" s="32" t="inlineStr">
        <is>
          <t xml:space="preserve">Personal</t>
        </is>
      </c>
      <c r="O95" s="30" t="inlineStr">
        <is>
          <t xml:space="preserve">Personal - regular use</t>
        </is>
      </c>
      <c r="P95" s="30" t="inlineStr">
        <is>
          <t xml:space="preserve">1,000 - 2,500</t>
        </is>
      </c>
      <c r="Q95" s="30" t="inlineStr">
        <is>
          <t xml:space="preserve">New York</t>
        </is>
      </c>
      <c r="R95" s="30" t="inlineStr">
        <is>
          <t xml:space="preserve">10022</t>
        </is>
      </c>
      <c r="S95" s="32" t="inlineStr">
        <is>
          <t xml:space="preserve">Tier 3 - Coastal wind (25-100 miles)</t>
        </is>
      </c>
      <c r="T95" s="36">
        <f>IF($A95="","",IF($S95="","",IFERROR(INDEX('[1]natural catastrophe'!$D$6:$D$17,MATCH($S95,'[1]natural catastrophe'!$B$6:$B$17,0)),"?")))</f>
      </c>
      <c r="U95" s="30" t="inlineStr">
        <is>
          <t xml:space="preserve">2% of agreed value, minimum $10,000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13716.85</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CANON-202602-004787</t>
        </is>
      </c>
      <c r="B96" s="46" t="inlineStr">
        <is>
          <t xml:space="preserve">Callum Farkas</t>
        </is>
      </c>
      <c r="C96" s="47">
        <v>46071</v>
      </c>
      <c r="D96" s="48" t="inlineStr">
        <is>
          <t xml:space="preserve">Bound - within authority</t>
        </is>
      </c>
      <c r="E96" s="48" t="inlineStr">
        <is>
          <t xml:space="preserve">New business</t>
        </is>
      </c>
      <c r="F96" s="46" t="inlineStr">
        <is>
          <t xml:space="preserve">B1234EXOTIC26</t>
        </is>
      </c>
      <c r="G96" s="33">
        <f>IF($A96="","",IF($C96="","",YEAR($C96)))</f>
      </c>
      <c r="H96" s="49">
        <v>2014</v>
      </c>
      <c r="I96" s="46" t="inlineStr">
        <is>
          <t xml:space="preserve">McLaren</t>
        </is>
      </c>
      <c r="J96" s="46" t="inlineStr">
        <is>
          <t xml:space="preserve">750S</t>
        </is>
      </c>
      <c r="K96" s="46" t="inlineStr">
        <is>
          <t xml:space="preserve">KVSU6JB8PHN440PZM</t>
        </is>
      </c>
      <c r="L96" s="48" t="inlineStr">
        <is>
          <t xml:space="preserve">03 - Supercar</t>
        </is>
      </c>
      <c r="M96" s="50">
        <v>1950000</v>
      </c>
      <c r="N96" s="48" t="inlineStr">
        <is>
          <t xml:space="preserve">Personal</t>
        </is>
      </c>
      <c r="O96" s="46" t="inlineStr">
        <is>
          <t xml:space="preserve">Personal - regular use</t>
        </is>
      </c>
      <c r="P96" s="46" t="inlineStr">
        <is>
          <t xml:space="preserve">1,000 - 2,500</t>
        </is>
      </c>
      <c r="Q96" s="46" t="inlineStr">
        <is>
          <t xml:space="preserve">Florida</t>
        </is>
      </c>
      <c r="R96" s="46" t="inlineStr">
        <is>
          <t xml:space="preserve">33139</t>
        </is>
      </c>
      <c r="S96" s="48" t="inlineStr">
        <is>
          <t xml:space="preserve">Tier 2 - Coastal wind (1-25 miles)</t>
        </is>
      </c>
      <c r="T96" s="36">
        <f>IF($A96="","",IF($S96="","",IFERROR(INDEX('[1]natural catastrophe'!$D$6:$D$17,MATCH($S96,'[1]natural catastrophe'!$B$6:$B$17,0)),"?")))</f>
      </c>
      <c r="U96" s="46" t="inlineStr">
        <is>
          <t xml:space="preserve">2% of agreed value, minimum $10,000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36747.25</v>
      </c>
      <c r="AC96" s="51">
        <v>0</v>
      </c>
      <c r="AD96" s="38">
        <f>IF(ISNUMBER($AB96),$AB96*(1+N($AC96)),"")</f>
      </c>
      <c r="AE96" s="50">
        <v>350</v>
      </c>
      <c r="AF96" s="50">
        <v>250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CANON-202602-004788</t>
        </is>
      </c>
      <c r="B97" s="30" t="inlineStr">
        <is>
          <t xml:space="preserve">Ottilie Harrington</t>
        </is>
      </c>
      <c r="C97" s="31">
        <v>46067</v>
      </c>
      <c r="D97" s="32" t="inlineStr">
        <is>
          <t xml:space="preserve">Bound - within authority</t>
        </is>
      </c>
      <c r="E97" s="32" t="inlineStr">
        <is>
          <t xml:space="preserve">New business</t>
        </is>
      </c>
      <c r="F97" s="30" t="inlineStr">
        <is>
          <t xml:space="preserve">B1234EXOTIC26</t>
        </is>
      </c>
      <c r="G97" s="33">
        <f>IF($A97="","",IF($C97="","",YEAR($C97)))</f>
      </c>
      <c r="H97" s="34">
        <v>2011</v>
      </c>
      <c r="I97" s="30" t="inlineStr">
        <is>
          <t xml:space="preserve">BMW</t>
        </is>
      </c>
      <c r="J97" s="30" t="inlineStr">
        <is>
          <t xml:space="preserve">M8 Competition</t>
        </is>
      </c>
      <c r="K97" s="30" t="inlineStr">
        <is>
          <t xml:space="preserve">BRYPHH954L4P6JB4Y</t>
        </is>
      </c>
      <c r="L97" s="32" t="inlineStr">
        <is>
          <t xml:space="preserve">02 - Sports / GT</t>
        </is>
      </c>
      <c r="M97" s="35">
        <v>630000</v>
      </c>
      <c r="N97" s="32" t="inlineStr">
        <is>
          <t xml:space="preserve">Personal</t>
        </is>
      </c>
      <c r="O97" s="30" t="inlineStr">
        <is>
          <t xml:space="preserve">Personal - regular use</t>
        </is>
      </c>
      <c r="P97" s="30" t="inlineStr">
        <is>
          <t xml:space="preserve">Under 1,000</t>
        </is>
      </c>
      <c r="Q97" s="30" t="inlineStr">
        <is>
          <t xml:space="preserve">New York</t>
        </is>
      </c>
      <c r="R97" s="30" t="inlineStr">
        <is>
          <t xml:space="preserve">10022</t>
        </is>
      </c>
      <c r="S97" s="32" t="inlineStr">
        <is>
          <t xml:space="preserve">Tier 3 - Coastal wind (25-100 miles)</t>
        </is>
      </c>
      <c r="T97" s="36">
        <f>IF($A97="","",IF($S97="","",IFERROR(INDEX('[1]natural catastrophe'!$D$6:$D$17,MATCH($S97,'[1]natural catastrophe'!$B$6:$B$17,0)),"?")))</f>
      </c>
      <c r="U97" s="30" t="inlineStr">
        <is>
          <t xml:space="preserve">2% of agreed value, minimum $10,000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8695.12</v>
      </c>
      <c r="AC97" s="37">
        <v>0</v>
      </c>
      <c r="AD97" s="38">
        <f>IF(ISNUMBER($AB97),$AB97*(1+N($AC97)),"")</f>
      </c>
      <c r="AE97" s="35">
        <v>350</v>
      </c>
      <c r="AF97" s="35">
        <v>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CANON-202602-004789</t>
        </is>
      </c>
      <c r="B98" s="46" t="inlineStr">
        <is>
          <t xml:space="preserve">Thaddeus Rourke</t>
        </is>
      </c>
      <c r="C98" s="47">
        <v>46073</v>
      </c>
      <c r="D98" s="48" t="inlineStr">
        <is>
          <t xml:space="preserve">Bound - within authority</t>
        </is>
      </c>
      <c r="E98" s="48" t="inlineStr">
        <is>
          <t xml:space="preserve">New business</t>
        </is>
      </c>
      <c r="F98" s="46" t="inlineStr">
        <is>
          <t xml:space="preserve">B1234EXOTIC26</t>
        </is>
      </c>
      <c r="G98" s="33">
        <f>IF($A98="","",IF($C98="","",YEAR($C98)))</f>
      </c>
      <c r="H98" s="49">
        <v>2020</v>
      </c>
      <c r="I98" s="46" t="inlineStr">
        <is>
          <t xml:space="preserve">Porsche</t>
        </is>
      </c>
      <c r="J98" s="46" t="inlineStr">
        <is>
          <t xml:space="preserve">911 Turbo S</t>
        </is>
      </c>
      <c r="K98" s="46" t="inlineStr">
        <is>
          <t xml:space="preserve">87GUPGCBFYGVNEMMA</t>
        </is>
      </c>
      <c r="L98" s="48" t="inlineStr">
        <is>
          <t xml:space="preserve">02 - Sports / GT</t>
        </is>
      </c>
      <c r="M98" s="50">
        <v>525000</v>
      </c>
      <c r="N98" s="48" t="inlineStr">
        <is>
          <t xml:space="preserve">Personal</t>
        </is>
      </c>
      <c r="O98" s="46" t="inlineStr">
        <is>
          <t xml:space="preserve">Personal - regular use</t>
        </is>
      </c>
      <c r="P98" s="46" t="inlineStr">
        <is>
          <t xml:space="preserve">2,500 - 5,000</t>
        </is>
      </c>
      <c r="Q98" s="46" t="inlineStr">
        <is>
          <t xml:space="preserve">Florida</t>
        </is>
      </c>
      <c r="R98" s="46" t="inlineStr">
        <is>
          <t xml:space="preserve">33139</t>
        </is>
      </c>
      <c r="S98" s="48" t="inlineStr">
        <is>
          <t xml:space="preserve">Tier 2 - Coastal wind (1-25 miles)</t>
        </is>
      </c>
      <c r="T98" s="36">
        <f>IF($A98="","",IF($S98="","",IFERROR(INDEX('[1]natural catastrophe'!$D$6:$D$17,MATCH($S98,'[1]natural catastrophe'!$B$6:$B$17,0)),"?")))</f>
      </c>
      <c r="U98" s="46" t="inlineStr">
        <is>
          <t xml:space="preserve">2% of agreed value, minimum $10,000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8038.46</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CANON-202602-004790</t>
        </is>
      </c>
      <c r="B99" s="30" t="inlineStr">
        <is>
          <t xml:space="preserve">Marisol Blackwood</t>
        </is>
      </c>
      <c r="C99" s="31">
        <v>46078</v>
      </c>
      <c r="D99" s="32" t="inlineStr">
        <is>
          <t xml:space="preserve">Bound - within authority</t>
        </is>
      </c>
      <c r="E99" s="32" t="inlineStr">
        <is>
          <t xml:space="preserve">New business</t>
        </is>
      </c>
      <c r="F99" s="30" t="inlineStr">
        <is>
          <t xml:space="preserve">B1234EXOTIC26</t>
        </is>
      </c>
      <c r="G99" s="33">
        <f>IF($A99="","",IF($C99="","",YEAR($C99)))</f>
      </c>
      <c r="H99" s="34">
        <v>2018</v>
      </c>
      <c r="I99" s="30" t="inlineStr">
        <is>
          <t xml:space="preserve">Lamborghini</t>
        </is>
      </c>
      <c r="J99" s="30" t="inlineStr">
        <is>
          <t xml:space="preserve">Huracan EVO</t>
        </is>
      </c>
      <c r="K99" s="30" t="inlineStr">
        <is>
          <t xml:space="preserve">4803NJ5UZ47GRJ5KF</t>
        </is>
      </c>
      <c r="L99" s="32" t="inlineStr">
        <is>
          <t xml:space="preserve">03 - Supercar</t>
        </is>
      </c>
      <c r="M99" s="35">
        <v>1145000</v>
      </c>
      <c r="N99" s="32" t="inlineStr">
        <is>
          <t xml:space="preserve">Personal</t>
        </is>
      </c>
      <c r="O99" s="30" t="inlineStr">
        <is>
          <t xml:space="preserve">Personal - regular use</t>
        </is>
      </c>
      <c r="P99" s="30" t="inlineStr">
        <is>
          <t xml:space="preserve">1,000 - 2,500</t>
        </is>
      </c>
      <c r="Q99" s="30" t="inlineStr">
        <is>
          <t xml:space="preserve">California</t>
        </is>
      </c>
      <c r="R99" s="30" t="inlineStr">
        <is>
          <t xml:space="preserve">90012</t>
        </is>
      </c>
      <c r="S99" s="32" t="inlineStr">
        <is>
          <t xml:space="preserve">Earthquake - high (CA, Cascadia, New Madrid)</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20513.56</v>
      </c>
      <c r="AC99" s="37">
        <v>0</v>
      </c>
      <c r="AD99" s="38">
        <f>IF(ISNUMBER($AB99),$AB99*(1+N($AC99)),"")</f>
      </c>
      <c r="AE99" s="35">
        <v>350</v>
      </c>
      <c r="AF99" s="35">
        <v>250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CANON-202602-004791</t>
        </is>
      </c>
      <c r="B100" s="46" t="inlineStr">
        <is>
          <t xml:space="preserve">Wilhelmina Castellanos</t>
        </is>
      </c>
      <c r="C100" s="47">
        <v>46067</v>
      </c>
      <c r="D100" s="48" t="inlineStr">
        <is>
          <t xml:space="preserve">Bound - within authority</t>
        </is>
      </c>
      <c r="E100" s="48" t="inlineStr">
        <is>
          <t xml:space="preserve">New business</t>
        </is>
      </c>
      <c r="F100" s="46" t="inlineStr">
        <is>
          <t xml:space="preserve">B1234EXOTIC26</t>
        </is>
      </c>
      <c r="G100" s="33">
        <f>IF($A100="","",IF($C100="","",YEAR($C100)))</f>
      </c>
      <c r="H100" s="49">
        <v>2020</v>
      </c>
      <c r="I100" s="46" t="inlineStr">
        <is>
          <t xml:space="preserve">Alfa Romeo</t>
        </is>
      </c>
      <c r="J100" s="46" t="inlineStr">
        <is>
          <t xml:space="preserve">8C 2900</t>
        </is>
      </c>
      <c r="K100" s="46" t="inlineStr">
        <is>
          <t xml:space="preserve">TS3EAY1XJK5PHBGLT</t>
        </is>
      </c>
      <c r="L100" s="48" t="inlineStr">
        <is>
          <t xml:space="preserve">02 - Sports / GT</t>
        </is>
      </c>
      <c r="M100" s="50">
        <v>575000</v>
      </c>
      <c r="N100" s="48" t="inlineStr">
        <is>
          <t xml:space="preserve">Personal</t>
        </is>
      </c>
      <c r="O100" s="46" t="inlineStr">
        <is>
          <t xml:space="preserve">Personal - regular use</t>
        </is>
      </c>
      <c r="P100" s="46" t="inlineStr">
        <is>
          <t xml:space="preserve">Under 1,000</t>
        </is>
      </c>
      <c r="Q100" s="46" t="inlineStr">
        <is>
          <t xml:space="preserve">Alabama</t>
        </is>
      </c>
      <c r="R100" s="46" t="inlineStr">
        <is>
          <t xml:space="preserve">35203</t>
        </is>
      </c>
      <c r="S100" s="48" t="inlineStr">
        <is>
          <t xml:space="preserve">Tier 2 - Coastal wind (1-25 miles)</t>
        </is>
      </c>
      <c r="T100" s="36">
        <f>IF($A100="","",IF($S100="","",IFERROR(INDEX('[1]natural catastrophe'!$D$6:$D$17,MATCH($S100,'[1]natural catastrophe'!$B$6:$B$17,0)),"?")))</f>
      </c>
      <c r="U100" s="46" t="inlineStr">
        <is>
          <t xml:space="preserve">2% of agreed value, minimum $10,000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4603.27</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CANON-202602-004792</t>
        </is>
      </c>
      <c r="B101" s="30" t="inlineStr">
        <is>
          <t xml:space="preserve">Saoirse Vandermeer</t>
        </is>
      </c>
      <c r="C101" s="31">
        <v>46057</v>
      </c>
      <c r="D101" s="32" t="inlineStr">
        <is>
          <t xml:space="preserve">Bound - within authority</t>
        </is>
      </c>
      <c r="E101" s="32" t="inlineStr">
        <is>
          <t xml:space="preserve">New business</t>
        </is>
      </c>
      <c r="F101" s="30" t="inlineStr">
        <is>
          <t xml:space="preserve">B1234EXOTIC26</t>
        </is>
      </c>
      <c r="G101" s="33">
        <f>IF($A101="","",IF($C101="","",YEAR($C101)))</f>
      </c>
      <c r="H101" s="34">
        <v>1986</v>
      </c>
      <c r="I101" s="30" t="inlineStr">
        <is>
          <t xml:space="preserve">Maserati</t>
        </is>
      </c>
      <c r="J101" s="30" t="inlineStr">
        <is>
          <t xml:space="preserve">GranTurismo</t>
        </is>
      </c>
      <c r="K101" s="30" t="inlineStr">
        <is>
          <t xml:space="preserve">9LFG4UVUA7ABSEEWX</t>
        </is>
      </c>
      <c r="L101" s="32" t="inlineStr">
        <is>
          <t xml:space="preserve">02 - Sports / GT</t>
        </is>
      </c>
      <c r="M101" s="35">
        <v>340000</v>
      </c>
      <c r="N101" s="32" t="inlineStr">
        <is>
          <t xml:space="preserve">Personal</t>
        </is>
      </c>
      <c r="O101" s="30" t="inlineStr">
        <is>
          <t xml:space="preserve">Personal - regular use</t>
        </is>
      </c>
      <c r="P101" s="30" t="inlineStr">
        <is>
          <t xml:space="preserve">1,000 - 2,500</t>
        </is>
      </c>
      <c r="Q101" s="30" t="inlineStr">
        <is>
          <t xml:space="preserve">Nevada</t>
        </is>
      </c>
      <c r="R101" s="30" t="inlineStr">
        <is>
          <t xml:space="preserve">89101</t>
        </is>
      </c>
      <c r="S101" s="32" t="inlineStr">
        <is>
          <t xml:space="preserve">Wildfire - WUI high hazard</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4949.24</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CANON-202602-004797</t>
        </is>
      </c>
      <c r="B102" s="46" t="inlineStr">
        <is>
          <t xml:space="preserve">Marisol Kingsford</t>
        </is>
      </c>
      <c r="C102" s="47">
        <v>46070</v>
      </c>
      <c r="D102" s="48" t="inlineStr">
        <is>
          <t xml:space="preserve">Bound - within authority</t>
        </is>
      </c>
      <c r="E102" s="48" t="inlineStr">
        <is>
          <t xml:space="preserve">New business</t>
        </is>
      </c>
      <c r="F102" s="46" t="inlineStr">
        <is>
          <t xml:space="preserve">B1234EXOTIC26</t>
        </is>
      </c>
      <c r="G102" s="33">
        <f>IF($A102="","",IF($C102="","",YEAR($C102)))</f>
      </c>
      <c r="H102" s="49">
        <v>2012</v>
      </c>
      <c r="I102" s="46" t="inlineStr">
        <is>
          <t xml:space="preserve">Aston Martin</t>
        </is>
      </c>
      <c r="J102" s="46" t="inlineStr">
        <is>
          <t xml:space="preserve">DB12</t>
        </is>
      </c>
      <c r="K102" s="46" t="inlineStr">
        <is>
          <t xml:space="preserve">GJ8FD2W9UYWEC1F74</t>
        </is>
      </c>
      <c r="L102" s="48" t="inlineStr">
        <is>
          <t xml:space="preserve">02 - Sports / GT</t>
        </is>
      </c>
      <c r="M102" s="50">
        <v>710000</v>
      </c>
      <c r="N102" s="48" t="inlineStr">
        <is>
          <t xml:space="preserve">Personal</t>
        </is>
      </c>
      <c r="O102" s="46" t="inlineStr">
        <is>
          <t xml:space="preserve">Personal - regular use</t>
        </is>
      </c>
      <c r="P102" s="46" t="inlineStr">
        <is>
          <t xml:space="preserve">1,000 - 2,500</t>
        </is>
      </c>
      <c r="Q102" s="46" t="inlineStr">
        <is>
          <t xml:space="preserve">Washington</t>
        </is>
      </c>
      <c r="R102" s="46" t="inlineStr">
        <is>
          <t xml:space="preserve">98101</t>
        </is>
      </c>
      <c r="S102" s="48" t="inlineStr">
        <is>
          <t xml:space="preserve">Earthquake - high (CA, Cascadia, New Madrid)</t>
        </is>
      </c>
      <c r="T102" s="36">
        <f>IF($A102="","",IF($S102="","",IFERROR(INDEX('[1]natural catastrophe'!$D$6:$D$17,MATCH($S102,'[1]natural catastrophe'!$B$6:$B$17,0)),"?")))</f>
      </c>
      <c r="U102" s="46" t="inlineStr">
        <is>
          <t xml:space="preserve">$5,000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7349.45</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CANON-202602-004798</t>
        </is>
      </c>
      <c r="B103" s="30" t="inlineStr">
        <is>
          <t xml:space="preserve">Fenwick Bellandi</t>
        </is>
      </c>
      <c r="C103" s="31">
        <v>46059</v>
      </c>
      <c r="D103" s="32" t="inlineStr">
        <is>
          <t xml:space="preserve">Bound - within authority</t>
        </is>
      </c>
      <c r="E103" s="32" t="inlineStr">
        <is>
          <t xml:space="preserve">New business</t>
        </is>
      </c>
      <c r="F103" s="30" t="inlineStr">
        <is>
          <t xml:space="preserve">B1234EXOTIC26</t>
        </is>
      </c>
      <c r="G103" s="33">
        <f>IF($A103="","",IF($C103="","",YEAR($C103)))</f>
      </c>
      <c r="H103" s="34">
        <v>1971</v>
      </c>
      <c r="I103" s="30" t="inlineStr">
        <is>
          <t xml:space="preserve">Bentley</t>
        </is>
      </c>
      <c r="J103" s="30" t="inlineStr">
        <is>
          <t xml:space="preserve">Continental GT</t>
        </is>
      </c>
      <c r="K103" s="30" t="inlineStr">
        <is>
          <t xml:space="preserve">66YNTS3LLXZ6TNJ2X</t>
        </is>
      </c>
      <c r="L103" s="32" t="inlineStr">
        <is>
          <t xml:space="preserve">02 - Sports / GT</t>
        </is>
      </c>
      <c r="M103" s="35">
        <v>155000</v>
      </c>
      <c r="N103" s="32" t="inlineStr">
        <is>
          <t xml:space="preserve">Personal</t>
        </is>
      </c>
      <c r="O103" s="30" t="inlineStr">
        <is>
          <t xml:space="preserve">Personal - regular use</t>
        </is>
      </c>
      <c r="P103" s="30" t="inlineStr">
        <is>
          <t xml:space="preserve">2,500 - 5,000</t>
        </is>
      </c>
      <c r="Q103" s="30" t="inlineStr">
        <is>
          <t xml:space="preserve">North Carolina</t>
        </is>
      </c>
      <c r="R103" s="30" t="inlineStr">
        <is>
          <t xml:space="preserve">28202</t>
        </is>
      </c>
      <c r="S103" s="32" t="inlineStr">
        <is>
          <t xml:space="preserve">Tier 2 - Coastal wind (1-25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2720.38</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CANON-202602-004799</t>
        </is>
      </c>
      <c r="B104" s="46" t="inlineStr">
        <is>
          <t xml:space="preserve">Desmond Ashcombe</t>
        </is>
      </c>
      <c r="C104" s="47">
        <v>46059</v>
      </c>
      <c r="D104" s="48" t="inlineStr">
        <is>
          <t xml:space="preserve">Bound - within authority</t>
        </is>
      </c>
      <c r="E104" s="48" t="inlineStr">
        <is>
          <t xml:space="preserve">New business</t>
        </is>
      </c>
      <c r="F104" s="46" t="inlineStr">
        <is>
          <t xml:space="preserve">B1234EXOTIC26</t>
        </is>
      </c>
      <c r="G104" s="33">
        <f>IF($A104="","",IF($C104="","",YEAR($C104)))</f>
      </c>
      <c r="H104" s="49">
        <v>2008</v>
      </c>
      <c r="I104" s="46" t="inlineStr">
        <is>
          <t xml:space="preserve">Porsche</t>
        </is>
      </c>
      <c r="J104" s="46" t="inlineStr">
        <is>
          <t xml:space="preserve">911 Turbo S</t>
        </is>
      </c>
      <c r="K104" s="46" t="inlineStr">
        <is>
          <t xml:space="preserve">9RFZ21K7W694TWV8F</t>
        </is>
      </c>
      <c r="L104" s="48" t="inlineStr">
        <is>
          <t xml:space="preserve">02 - Sports / GT</t>
        </is>
      </c>
      <c r="M104" s="50">
        <v>420000</v>
      </c>
      <c r="N104" s="48" t="inlineStr">
        <is>
          <t xml:space="preserve">Personal</t>
        </is>
      </c>
      <c r="O104" s="46" t="inlineStr">
        <is>
          <t xml:space="preserve">Personal - regular use</t>
        </is>
      </c>
      <c r="P104" s="46" t="inlineStr">
        <is>
          <t xml:space="preserve">1,000 - 2,500</t>
        </is>
      </c>
      <c r="Q104" s="46" t="inlineStr">
        <is>
          <t xml:space="preserve">Nebraska</t>
        </is>
      </c>
      <c r="R104" s="46" t="inlineStr">
        <is>
          <t xml:space="preserve">68102</t>
        </is>
      </c>
      <c r="S104" s="48" t="inlineStr">
        <is>
          <t xml:space="preserve">Severe convective - hail alley (high)</t>
        </is>
      </c>
      <c r="T104" s="36">
        <f>IF($A104="","",IF($S104="","",IFERROR(INDEX('[1]natural catastrophe'!$D$6:$D$17,MATCH($S104,'[1]natural catastrophe'!$B$6:$B$17,0)),"?")))</f>
      </c>
      <c r="U104" s="46" t="inlineStr">
        <is>
          <t xml:space="preserve">$5,000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6793.07</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CANON-202602-004800</t>
        </is>
      </c>
      <c r="B105" s="30" t="inlineStr">
        <is>
          <t xml:space="preserve">Delphine Rourke</t>
        </is>
      </c>
      <c r="C105" s="31">
        <v>46079</v>
      </c>
      <c r="D105" s="32" t="inlineStr">
        <is>
          <t xml:space="preserve">Bound - within authority</t>
        </is>
      </c>
      <c r="E105" s="32" t="inlineStr">
        <is>
          <t xml:space="preserve">New business</t>
        </is>
      </c>
      <c r="F105" s="30" t="inlineStr">
        <is>
          <t xml:space="preserve">B1234EXOTIC26</t>
        </is>
      </c>
      <c r="G105" s="33">
        <f>IF($A105="","",IF($C105="","",YEAR($C105)))</f>
      </c>
      <c r="H105" s="34">
        <v>2024</v>
      </c>
      <c r="I105" s="30" t="inlineStr">
        <is>
          <t xml:space="preserve">Ringbrothers</t>
        </is>
      </c>
      <c r="J105" s="30" t="inlineStr">
        <is>
          <t xml:space="preserve">Mustang</t>
        </is>
      </c>
      <c r="K105" s="30" t="inlineStr">
        <is>
          <t xml:space="preserve">N2RM848DPC991SRUE</t>
        </is>
      </c>
      <c r="L105" s="32" t="inlineStr">
        <is>
          <t xml:space="preserve">11 - Restomod / Coachbuilt / Bespoke</t>
        </is>
      </c>
      <c r="M105" s="35">
        <v>700000</v>
      </c>
      <c r="N105" s="32" t="inlineStr">
        <is>
          <t xml:space="preserve">Personal</t>
        </is>
      </c>
      <c r="O105" s="30" t="inlineStr">
        <is>
          <t xml:space="preserve">Personal - regular use</t>
        </is>
      </c>
      <c r="P105" s="30" t="inlineStr">
        <is>
          <t xml:space="preserve">1,000 - 2,500</t>
        </is>
      </c>
      <c r="Q105" s="30" t="inlineStr">
        <is>
          <t xml:space="preserve">New York</t>
        </is>
      </c>
      <c r="R105" s="30" t="inlineStr">
        <is>
          <t xml:space="preserve">10022</t>
        </is>
      </c>
      <c r="S105" s="32" t="inlineStr">
        <is>
          <t xml:space="preserve">Tier 3 - Coastal wind (25-100 miles)</t>
        </is>
      </c>
      <c r="T105" s="36">
        <f>IF($A105="","",IF($S105="","",IFERROR(INDEX('[1]natural catastrophe'!$D$6:$D$17,MATCH($S105,'[1]natural catastrophe'!$B$6:$B$17,0)),"?")))</f>
      </c>
      <c r="U105" s="30" t="inlineStr">
        <is>
          <t xml:space="preserve">2% of agreed value, minimum $10,000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11593.5</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CANON-202602-004801</t>
        </is>
      </c>
      <c r="B106" s="46" t="inlineStr">
        <is>
          <t xml:space="preserve">Anouk Montoya</t>
        </is>
      </c>
      <c r="C106" s="47">
        <v>46055</v>
      </c>
      <c r="D106" s="48" t="inlineStr">
        <is>
          <t xml:space="preserve">Bound - within authority</t>
        </is>
      </c>
      <c r="E106" s="48" t="inlineStr">
        <is>
          <t xml:space="preserve">New business</t>
        </is>
      </c>
      <c r="F106" s="46" t="inlineStr">
        <is>
          <t xml:space="preserve">B1234EXOTIC26</t>
        </is>
      </c>
      <c r="G106" s="33">
        <f>IF($A106="","",IF($C106="","",YEAR($C106)))</f>
      </c>
      <c r="H106" s="49">
        <v>1960</v>
      </c>
      <c r="I106" s="46" t="inlineStr">
        <is>
          <t xml:space="preserve">Lamborghini</t>
        </is>
      </c>
      <c r="J106" s="46" t="inlineStr">
        <is>
          <t xml:space="preserve">Huracan EVO</t>
        </is>
      </c>
      <c r="K106" s="46" t="inlineStr">
        <is>
          <t xml:space="preserve">BFH0JL8TW6M6U9K5K</t>
        </is>
      </c>
      <c r="L106" s="48" t="inlineStr">
        <is>
          <t xml:space="preserve">03 - Supercar</t>
        </is>
      </c>
      <c r="M106" s="50">
        <v>855000</v>
      </c>
      <c r="N106" s="48" t="inlineStr">
        <is>
          <t xml:space="preserve">Personal</t>
        </is>
      </c>
      <c r="O106" s="46" t="inlineStr">
        <is>
          <t xml:space="preserve">Personal - regular use</t>
        </is>
      </c>
      <c r="P106" s="46" t="inlineStr">
        <is>
          <t xml:space="preserve">1,000 - 2,500</t>
        </is>
      </c>
      <c r="Q106" s="46" t="inlineStr">
        <is>
          <t xml:space="preserve">Maine</t>
        </is>
      </c>
      <c r="R106" s="46" t="inlineStr">
        <is>
          <t xml:space="preserve">04101</t>
        </is>
      </c>
      <c r="S106" s="48" t="inlineStr">
        <is>
          <t xml:space="preserve">Tier 3 - Coastal wind (25-100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14552.09</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CANON-202602-004802</t>
        </is>
      </c>
      <c r="B107" s="30" t="inlineStr">
        <is>
          <t xml:space="preserve">Wilhelmina Nakashima</t>
        </is>
      </c>
      <c r="C107" s="31">
        <v>46067</v>
      </c>
      <c r="D107" s="32" t="inlineStr">
        <is>
          <t xml:space="preserve">Bound - within authority</t>
        </is>
      </c>
      <c r="E107" s="32" t="inlineStr">
        <is>
          <t xml:space="preserve">New business</t>
        </is>
      </c>
      <c r="F107" s="30" t="inlineStr">
        <is>
          <t xml:space="preserve">B1234EXOTIC26</t>
        </is>
      </c>
      <c r="G107" s="33">
        <f>IF($A107="","",IF($C107="","",YEAR($C107)))</f>
      </c>
      <c r="H107" s="34">
        <v>1997</v>
      </c>
      <c r="I107" s="30" t="inlineStr">
        <is>
          <t xml:space="preserve">Mercedes-Benz</t>
        </is>
      </c>
      <c r="J107" s="30" t="inlineStr">
        <is>
          <t xml:space="preserve">AMG GT</t>
        </is>
      </c>
      <c r="K107" s="30" t="inlineStr">
        <is>
          <t xml:space="preserve">T01JXW924X8GN66MU</t>
        </is>
      </c>
      <c r="L107" s="32" t="inlineStr">
        <is>
          <t xml:space="preserve">02 - Sports / GT</t>
        </is>
      </c>
      <c r="M107" s="35">
        <v>550000</v>
      </c>
      <c r="N107" s="32" t="inlineStr">
        <is>
          <t xml:space="preserve">Personal</t>
        </is>
      </c>
      <c r="O107" s="30" t="inlineStr">
        <is>
          <t xml:space="preserve">Personal - regular use</t>
        </is>
      </c>
      <c r="P107" s="30" t="inlineStr">
        <is>
          <t xml:space="preserve">1,000 - 2,500</t>
        </is>
      </c>
      <c r="Q107" s="30" t="inlineStr">
        <is>
          <t xml:space="preserve">New Jersey</t>
        </is>
      </c>
      <c r="R107" s="30" t="inlineStr">
        <is>
          <t xml:space="preserve">07102</t>
        </is>
      </c>
      <c r="S107" s="32" t="inlineStr">
        <is>
          <t xml:space="preserve">Tier 3 - Coastal wind (25-100 miles)</t>
        </is>
      </c>
      <c r="T107" s="36">
        <f>IF($A107="","",IF($S107="","",IFERROR(INDEX('[1]natural catastrophe'!$D$6:$D$17,MATCH($S107,'[1]natural catastrophe'!$B$6:$B$17,0)),"?")))</f>
      </c>
      <c r="U107" s="30" t="inlineStr">
        <is>
          <t xml:space="preserve">2% of agreed value, minimum $10,000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5396.71</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CANON-202602-004803</t>
        </is>
      </c>
      <c r="B108" s="46" t="inlineStr">
        <is>
          <t xml:space="preserve">Marisol Bellandi</t>
        </is>
      </c>
      <c r="C108" s="47">
        <v>46074</v>
      </c>
      <c r="D108" s="48" t="inlineStr">
        <is>
          <t xml:space="preserve">Bound - within authority</t>
        </is>
      </c>
      <c r="E108" s="48" t="inlineStr">
        <is>
          <t xml:space="preserve">New business</t>
        </is>
      </c>
      <c r="F108" s="46" t="inlineStr">
        <is>
          <t xml:space="preserve">B1234EXOTIC26</t>
        </is>
      </c>
      <c r="G108" s="33">
        <f>IF($A108="","",IF($C108="","",YEAR($C108)))</f>
      </c>
      <c r="H108" s="49">
        <v>1967</v>
      </c>
      <c r="I108" s="46" t="inlineStr">
        <is>
          <t xml:space="preserve">Aston Martin</t>
        </is>
      </c>
      <c r="J108" s="46" t="inlineStr">
        <is>
          <t xml:space="preserve">DB12</t>
        </is>
      </c>
      <c r="K108" s="46" t="inlineStr">
        <is>
          <t xml:space="preserve">DC3WUZ4YDA096DJG3</t>
        </is>
      </c>
      <c r="L108" s="48" t="inlineStr">
        <is>
          <t xml:space="preserve">02 - Sports / GT</t>
        </is>
      </c>
      <c r="M108" s="50">
        <v>430000</v>
      </c>
      <c r="N108" s="48" t="inlineStr">
        <is>
          <t xml:space="preserve">Personal</t>
        </is>
      </c>
      <c r="O108" s="46" t="inlineStr">
        <is>
          <t xml:space="preserve">Personal - regular use</t>
        </is>
      </c>
      <c r="P108" s="46" t="inlineStr">
        <is>
          <t xml:space="preserve">1,000 - 2,500</t>
        </is>
      </c>
      <c r="Q108" s="46" t="inlineStr">
        <is>
          <t xml:space="preserve">Virginia</t>
        </is>
      </c>
      <c r="R108" s="46" t="inlineStr">
        <is>
          <t xml:space="preserve">23219</t>
        </is>
      </c>
      <c r="S108" s="48" t="inlineStr">
        <is>
          <t xml:space="preserve">Tier 3 - Coastal wind (25-100 miles)</t>
        </is>
      </c>
      <c r="T108" s="36">
        <f>IF($A108="","",IF($S108="","",IFERROR(INDEX('[1]natural catastrophe'!$D$6:$D$17,MATCH($S108,'[1]natural catastrophe'!$B$6:$B$17,0)),"?")))</f>
      </c>
      <c r="U108" s="46" t="inlineStr">
        <is>
          <t xml:space="preserve">2% of agreed value, minimum $10,000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5831.34</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CANON-202602-004804</t>
        </is>
      </c>
      <c r="B109" s="30" t="inlineStr">
        <is>
          <t xml:space="preserve">Priya Underwood</t>
        </is>
      </c>
      <c r="C109" s="31">
        <v>46058</v>
      </c>
      <c r="D109" s="32" t="inlineStr">
        <is>
          <t xml:space="preserve">Bound - within authority</t>
        </is>
      </c>
      <c r="E109" s="32" t="inlineStr">
        <is>
          <t xml:space="preserve">New business</t>
        </is>
      </c>
      <c r="F109" s="30" t="inlineStr">
        <is>
          <t xml:space="preserve">B1234EXOTIC26</t>
        </is>
      </c>
      <c r="G109" s="33">
        <f>IF($A109="","",IF($C109="","",YEAR($C109)))</f>
      </c>
      <c r="H109" s="34">
        <v>1959</v>
      </c>
      <c r="I109" s="30" t="inlineStr">
        <is>
          <t xml:space="preserve">Mercedes-Benz</t>
        </is>
      </c>
      <c r="J109" s="30" t="inlineStr">
        <is>
          <t xml:space="preserve">AMG GT</t>
        </is>
      </c>
      <c r="K109" s="30" t="inlineStr">
        <is>
          <t xml:space="preserve">T757EGPE5L3HSDTBW</t>
        </is>
      </c>
      <c r="L109" s="32" t="inlineStr">
        <is>
          <t xml:space="preserve">02 - Sports / GT</t>
        </is>
      </c>
      <c r="M109" s="35">
        <v>965000</v>
      </c>
      <c r="N109" s="32" t="inlineStr">
        <is>
          <t xml:space="preserve">Personal</t>
        </is>
      </c>
      <c r="O109" s="30" t="inlineStr">
        <is>
          <t xml:space="preserve">Personal - regular use</t>
        </is>
      </c>
      <c r="P109" s="30" t="inlineStr">
        <is>
          <t xml:space="preserve">Under 1,000</t>
        </is>
      </c>
      <c r="Q109" s="30" t="inlineStr">
        <is>
          <t xml:space="preserve">Louisiana</t>
        </is>
      </c>
      <c r="R109" s="30" t="inlineStr">
        <is>
          <t xml:space="preserve">70112</t>
        </is>
      </c>
      <c r="S109" s="32" t="inlineStr">
        <is>
          <t xml:space="preserve">Tier 2 - Coastal wind (1-25 miles)</t>
        </is>
      </c>
      <c r="T109" s="36">
        <f>IF($A109="","",IF($S109="","",IFERROR(INDEX('[1]natural catastrophe'!$D$6:$D$17,MATCH($S109,'[1]natural catastrophe'!$B$6:$B$17,0)),"?")))</f>
      </c>
      <c r="U109" s="30" t="inlineStr">
        <is>
          <t xml:space="preserve">2% of agreed value, minimum $10,000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12590.36</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CANON-202602-004805</t>
        </is>
      </c>
      <c r="B110" s="46" t="inlineStr">
        <is>
          <t xml:space="preserve">Ottilie Kingsford</t>
        </is>
      </c>
      <c r="C110" s="47">
        <v>46072</v>
      </c>
      <c r="D110" s="48" t="inlineStr">
        <is>
          <t xml:space="preserve">Bound - within authority</t>
        </is>
      </c>
      <c r="E110" s="48" t="inlineStr">
        <is>
          <t xml:space="preserve">New business</t>
        </is>
      </c>
      <c r="F110" s="46" t="inlineStr">
        <is>
          <t xml:space="preserve">B1234EXOTIC26</t>
        </is>
      </c>
      <c r="G110" s="33">
        <f>IF($A110="","",IF($C110="","",YEAR($C110)))</f>
      </c>
      <c r="H110" s="49">
        <v>1955</v>
      </c>
      <c r="I110" s="46" t="inlineStr">
        <is>
          <t xml:space="preserve">BMW</t>
        </is>
      </c>
      <c r="J110" s="46" t="inlineStr">
        <is>
          <t xml:space="preserve">M8 Competition</t>
        </is>
      </c>
      <c r="K110" s="46" t="inlineStr">
        <is>
          <t xml:space="preserve">SAYASBB35U2G5BAHA</t>
        </is>
      </c>
      <c r="L110" s="48" t="inlineStr">
        <is>
          <t xml:space="preserve">02 - Sports / GT</t>
        </is>
      </c>
      <c r="M110" s="50">
        <v>580000</v>
      </c>
      <c r="N110" s="48" t="inlineStr">
        <is>
          <t xml:space="preserve">Personal</t>
        </is>
      </c>
      <c r="O110" s="46" t="inlineStr">
        <is>
          <t xml:space="preserve">Personal - regular use</t>
        </is>
      </c>
      <c r="P110" s="46" t="inlineStr">
        <is>
          <t xml:space="preserve">Under 1,000</t>
        </is>
      </c>
      <c r="Q110" s="46" t="inlineStr">
        <is>
          <t xml:space="preserve">Arkansas</t>
        </is>
      </c>
      <c r="R110" s="46" t="inlineStr">
        <is>
          <t xml:space="preserve">72201</t>
        </is>
      </c>
      <c r="S110" s="48" t="inlineStr">
        <is>
          <t xml:space="preserve">Severe convective - hail / tornado (moderate)</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8630.43</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CANON-202602-004807</t>
        </is>
      </c>
      <c r="B111" s="30" t="inlineStr">
        <is>
          <t xml:space="preserve">Ramona Whitlock</t>
        </is>
      </c>
      <c r="C111" s="31">
        <v>46078</v>
      </c>
      <c r="D111" s="32" t="inlineStr">
        <is>
          <t xml:space="preserve">Bound - within authority</t>
        </is>
      </c>
      <c r="E111" s="32" t="inlineStr">
        <is>
          <t xml:space="preserve">New business</t>
        </is>
      </c>
      <c r="F111" s="30" t="inlineStr">
        <is>
          <t xml:space="preserve">B1234EXOTIC26</t>
        </is>
      </c>
      <c r="G111" s="33">
        <f>IF($A111="","",IF($C111="","",YEAR($C111)))</f>
      </c>
      <c r="H111" s="34">
        <v>2014</v>
      </c>
      <c r="I111" s="30" t="inlineStr">
        <is>
          <t xml:space="preserve">Bentley</t>
        </is>
      </c>
      <c r="J111" s="30" t="inlineStr">
        <is>
          <t xml:space="preserve">Continental GT</t>
        </is>
      </c>
      <c r="K111" s="30" t="inlineStr">
        <is>
          <t xml:space="preserve">V6R9RB2JTUU61ZUV3</t>
        </is>
      </c>
      <c r="L111" s="32" t="inlineStr">
        <is>
          <t xml:space="preserve">02 - Sports / GT</t>
        </is>
      </c>
      <c r="M111" s="35">
        <v>835000</v>
      </c>
      <c r="N111" s="32" t="inlineStr">
        <is>
          <t xml:space="preserve">Personal</t>
        </is>
      </c>
      <c r="O111" s="30" t="inlineStr">
        <is>
          <t xml:space="preserve">Personal - regular use</t>
        </is>
      </c>
      <c r="P111" s="30" t="inlineStr">
        <is>
          <t xml:space="preserve">1,000 - 2,500</t>
        </is>
      </c>
      <c r="Q111" s="30" t="inlineStr">
        <is>
          <t xml:space="preserve">Florida</t>
        </is>
      </c>
      <c r="R111" s="30" t="inlineStr">
        <is>
          <t xml:space="preserve">33139</t>
        </is>
      </c>
      <c r="S111" s="32" t="inlineStr">
        <is>
          <t xml:space="preserve">Tier 2 - Coastal wind (1-25 miles)</t>
        </is>
      </c>
      <c r="T111" s="36">
        <f>IF($A111="","",IF($S111="","",IFERROR(INDEX('[1]natural catastrophe'!$D$6:$D$17,MATCH($S111,'[1]natural catastrophe'!$B$6:$B$17,0)),"?")))</f>
      </c>
      <c r="U111" s="30" t="inlineStr">
        <is>
          <t xml:space="preserve">2% of agreed value, minimum $10,000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12784.97</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CANON-202602-004808</t>
        </is>
      </c>
      <c r="B112" s="46" t="inlineStr">
        <is>
          <t xml:space="preserve">Callum Rourke</t>
        </is>
      </c>
      <c r="C112" s="47">
        <v>46079</v>
      </c>
      <c r="D112" s="48" t="inlineStr">
        <is>
          <t xml:space="preserve">Bound - within authority</t>
        </is>
      </c>
      <c r="E112" s="48" t="inlineStr">
        <is>
          <t xml:space="preserve">New business</t>
        </is>
      </c>
      <c r="F112" s="46" t="inlineStr">
        <is>
          <t xml:space="preserve">B1234EXOTIC26</t>
        </is>
      </c>
      <c r="G112" s="33">
        <f>IF($A112="","",IF($C112="","",YEAR($C112)))</f>
      </c>
      <c r="H112" s="49">
        <v>2012</v>
      </c>
      <c r="I112" s="46" t="inlineStr">
        <is>
          <t xml:space="preserve">Porsche</t>
        </is>
      </c>
      <c r="J112" s="46" t="inlineStr">
        <is>
          <t xml:space="preserve">911 Turbo S</t>
        </is>
      </c>
      <c r="K112" s="46" t="inlineStr">
        <is>
          <t xml:space="preserve">73LXXZ87A6DH0FU4S</t>
        </is>
      </c>
      <c r="L112" s="48" t="inlineStr">
        <is>
          <t xml:space="preserve">02 - Sports / GT</t>
        </is>
      </c>
      <c r="M112" s="50">
        <v>530000</v>
      </c>
      <c r="N112" s="48" t="inlineStr">
        <is>
          <t xml:space="preserve">Personal</t>
        </is>
      </c>
      <c r="O112" s="46" t="inlineStr">
        <is>
          <t xml:space="preserve">Personal - regular use</t>
        </is>
      </c>
      <c r="P112" s="46" t="inlineStr">
        <is>
          <t xml:space="preserve">1,000 - 2,500</t>
        </is>
      </c>
      <c r="Q112" s="46" t="inlineStr">
        <is>
          <t xml:space="preserve">Florida</t>
        </is>
      </c>
      <c r="R112" s="46" t="inlineStr">
        <is>
          <t xml:space="preserve">33139</t>
        </is>
      </c>
      <c r="S112" s="48" t="inlineStr">
        <is>
          <t xml:space="preserve">Tier 2 - Coastal wind (1-25 miles)</t>
        </is>
      </c>
      <c r="T112" s="36">
        <f>IF($A112="","",IF($S112="","",IFERROR(INDEX('[1]natural catastrophe'!$D$6:$D$17,MATCH($S112,'[1]natural catastrophe'!$B$6:$B$17,0)),"?")))</f>
      </c>
      <c r="U112" s="46" t="inlineStr">
        <is>
          <t xml:space="preserve">2% of agreed value, minimum $10,000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8115.02</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CANON-202602-004809</t>
        </is>
      </c>
      <c r="B113" s="30" t="inlineStr">
        <is>
          <t xml:space="preserve">Anouk Bellandi</t>
        </is>
      </c>
      <c r="C113" s="31">
        <v>46076</v>
      </c>
      <c r="D113" s="32" t="inlineStr">
        <is>
          <t xml:space="preserve">Bound - within authority</t>
        </is>
      </c>
      <c r="E113" s="32" t="inlineStr">
        <is>
          <t xml:space="preserve">New business</t>
        </is>
      </c>
      <c r="F113" s="30" t="inlineStr">
        <is>
          <t xml:space="preserve">B1234EXOTIC26</t>
        </is>
      </c>
      <c r="G113" s="33">
        <f>IF($A113="","",IF($C113="","",YEAR($C113)))</f>
      </c>
      <c r="H113" s="34">
        <v>1971</v>
      </c>
      <c r="I113" s="30" t="inlineStr">
        <is>
          <t xml:space="preserve">BMW</t>
        </is>
      </c>
      <c r="J113" s="30" t="inlineStr">
        <is>
          <t xml:space="preserve">M8 Competition</t>
        </is>
      </c>
      <c r="K113" s="30" t="inlineStr">
        <is>
          <t xml:space="preserve">8VU31RZ0PVGFRRFUE</t>
        </is>
      </c>
      <c r="L113" s="32" t="inlineStr">
        <is>
          <t xml:space="preserve">02 - Sports / GT</t>
        </is>
      </c>
      <c r="M113" s="35">
        <v>810000</v>
      </c>
      <c r="N113" s="32" t="inlineStr">
        <is>
          <t xml:space="preserve">Personal</t>
        </is>
      </c>
      <c r="O113" s="30" t="inlineStr">
        <is>
          <t xml:space="preserve">Personal - regular use</t>
        </is>
      </c>
      <c r="P113" s="30" t="inlineStr">
        <is>
          <t xml:space="preserve">2,500 - 5,000</t>
        </is>
      </c>
      <c r="Q113" s="30" t="inlineStr">
        <is>
          <t xml:space="preserve">Louisiana</t>
        </is>
      </c>
      <c r="R113" s="30" t="inlineStr">
        <is>
          <t xml:space="preserve">70112</t>
        </is>
      </c>
      <c r="S113" s="32" t="inlineStr">
        <is>
          <t xml:space="preserve">Tier 2 - Coastal wind (1-25 miles)</t>
        </is>
      </c>
      <c r="T113" s="36">
        <f>IF($A113="","",IF($S113="","",IFERROR(INDEX('[1]natural catastrophe'!$D$6:$D$17,MATCH($S113,'[1]natural catastrophe'!$B$6:$B$17,0)),"?")))</f>
      </c>
      <c r="U113" s="30" t="inlineStr">
        <is>
          <t xml:space="preserve">2% of agreed value, minimum $10,000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10568.06</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CANON-202602-004812</t>
        </is>
      </c>
      <c r="B114" s="46" t="inlineStr">
        <is>
          <t xml:space="preserve">Everett Bellandi</t>
        </is>
      </c>
      <c r="C114" s="47">
        <v>46081</v>
      </c>
      <c r="D114" s="48" t="inlineStr">
        <is>
          <t xml:space="preserve">Bound - within authority</t>
        </is>
      </c>
      <c r="E114" s="48" t="inlineStr">
        <is>
          <t xml:space="preserve">New business</t>
        </is>
      </c>
      <c r="F114" s="46" t="inlineStr">
        <is>
          <t xml:space="preserve">B1234EXOTIC26</t>
        </is>
      </c>
      <c r="G114" s="33">
        <f>IF($A114="","",IF($C114="","",YEAR($C114)))</f>
      </c>
      <c r="H114" s="49">
        <v>1997</v>
      </c>
      <c r="I114" s="46" t="inlineStr">
        <is>
          <t xml:space="preserve">Aston Martin</t>
        </is>
      </c>
      <c r="J114" s="46" t="inlineStr">
        <is>
          <t xml:space="preserve">DB12</t>
        </is>
      </c>
      <c r="K114" s="46" t="inlineStr">
        <is>
          <t xml:space="preserve">K0UNAR74SNXB7KE8B</t>
        </is>
      </c>
      <c r="L114" s="48" t="inlineStr">
        <is>
          <t xml:space="preserve">02 - Sports / GT</t>
        </is>
      </c>
      <c r="M114" s="50">
        <v>645000</v>
      </c>
      <c r="N114" s="48" t="inlineStr">
        <is>
          <t xml:space="preserve">Personal</t>
        </is>
      </c>
      <c r="O114" s="46" t="inlineStr">
        <is>
          <t xml:space="preserve">Personal - regular use</t>
        </is>
      </c>
      <c r="P114" s="46" t="inlineStr">
        <is>
          <t xml:space="preserve">Under 1,000</t>
        </is>
      </c>
      <c r="Q114" s="46" t="inlineStr">
        <is>
          <t xml:space="preserve">Idaho</t>
        </is>
      </c>
      <c r="R114" s="46" t="inlineStr">
        <is>
          <t xml:space="preserve">83702</t>
        </is>
      </c>
      <c r="S114" s="48" t="inlineStr">
        <is>
          <t xml:space="preserve">Wildfire - WUI high hazard</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6885.25</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CANON-202602-004814</t>
        </is>
      </c>
      <c r="B115" s="30" t="inlineStr">
        <is>
          <t xml:space="preserve">Fenwick Vasquez</t>
        </is>
      </c>
      <c r="C115" s="31">
        <v>46069</v>
      </c>
      <c r="D115" s="32" t="inlineStr">
        <is>
          <t xml:space="preserve">Bound - within authority</t>
        </is>
      </c>
      <c r="E115" s="32" t="inlineStr">
        <is>
          <t xml:space="preserve">New business</t>
        </is>
      </c>
      <c r="F115" s="30" t="inlineStr">
        <is>
          <t xml:space="preserve">B1234EXOTIC26</t>
        </is>
      </c>
      <c r="G115" s="33">
        <f>IF($A115="","",IF($C115="","",YEAR($C115)))</f>
      </c>
      <c r="H115" s="34">
        <v>1987</v>
      </c>
      <c r="I115" s="30" t="inlineStr">
        <is>
          <t xml:space="preserve">Mercedes-Benz</t>
        </is>
      </c>
      <c r="J115" s="30" t="inlineStr">
        <is>
          <t xml:space="preserve">AMG GT</t>
        </is>
      </c>
      <c r="K115" s="30" t="inlineStr">
        <is>
          <t xml:space="preserve">20VH8X5C97BGZXZAK</t>
        </is>
      </c>
      <c r="L115" s="32" t="inlineStr">
        <is>
          <t xml:space="preserve">02 - Sports / GT</t>
        </is>
      </c>
      <c r="M115" s="35">
        <v>275000</v>
      </c>
      <c r="N115" s="32" t="inlineStr">
        <is>
          <t xml:space="preserve">Personal</t>
        </is>
      </c>
      <c r="O115" s="30" t="inlineStr">
        <is>
          <t xml:space="preserve">Personal - regular use</t>
        </is>
      </c>
      <c r="P115" s="30" t="inlineStr">
        <is>
          <t xml:space="preserve">1,000 - 2,500</t>
        </is>
      </c>
      <c r="Q115" s="30" t="inlineStr">
        <is>
          <t xml:space="preserve">West Virginia</t>
        </is>
      </c>
      <c r="R115" s="30" t="inlineStr">
        <is>
          <t xml:space="preserve">25301</t>
        </is>
      </c>
      <c r="S115" s="32" t="inlineStr">
        <is>
          <t xml:space="preserve">Low hazard - inland benign</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4550.48</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CANON-202602-004815</t>
        </is>
      </c>
      <c r="B116" s="46" t="inlineStr">
        <is>
          <t xml:space="preserve">Ingrid Farkas</t>
        </is>
      </c>
      <c r="C116" s="47">
        <v>46056</v>
      </c>
      <c r="D116" s="48" t="inlineStr">
        <is>
          <t xml:space="preserve">Bound - within authority</t>
        </is>
      </c>
      <c r="E116" s="48" t="inlineStr">
        <is>
          <t xml:space="preserve">New business</t>
        </is>
      </c>
      <c r="F116" s="46" t="inlineStr">
        <is>
          <t xml:space="preserve">B1234EXOTIC26</t>
        </is>
      </c>
      <c r="G116" s="33">
        <f>IF($A116="","",IF($C116="","",YEAR($C116)))</f>
      </c>
      <c r="H116" s="49">
        <v>1994</v>
      </c>
      <c r="I116" s="46" t="inlineStr">
        <is>
          <t xml:space="preserve">Maserati</t>
        </is>
      </c>
      <c r="J116" s="46" t="inlineStr">
        <is>
          <t xml:space="preserve">GranTurismo</t>
        </is>
      </c>
      <c r="K116" s="46" t="inlineStr">
        <is>
          <t xml:space="preserve">GJWP6LK29HHMFJ8DY</t>
        </is>
      </c>
      <c r="L116" s="48" t="inlineStr">
        <is>
          <t xml:space="preserve">02 - Sports / GT</t>
        </is>
      </c>
      <c r="M116" s="50">
        <v>390000</v>
      </c>
      <c r="N116" s="48" t="inlineStr">
        <is>
          <t xml:space="preserve">Personal</t>
        </is>
      </c>
      <c r="O116" s="46" t="inlineStr">
        <is>
          <t xml:space="preserve">Personal - regular use</t>
        </is>
      </c>
      <c r="P116" s="46" t="inlineStr">
        <is>
          <t xml:space="preserve">1,000 - 2,500</t>
        </is>
      </c>
      <c r="Q116" s="46" t="inlineStr">
        <is>
          <t xml:space="preserve">Nevada</t>
        </is>
      </c>
      <c r="R116" s="46" t="inlineStr">
        <is>
          <t xml:space="preserve">89101</t>
        </is>
      </c>
      <c r="S116" s="48" t="inlineStr">
        <is>
          <t xml:space="preserve">Wildfire - WUI high hazard</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5677.06</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CANON-202602-004816</t>
        </is>
      </c>
      <c r="B117" s="30" t="inlineStr">
        <is>
          <t xml:space="preserve">Wilhelmina Fairweather</t>
        </is>
      </c>
      <c r="C117" s="31">
        <v>46079</v>
      </c>
      <c r="D117" s="32" t="inlineStr">
        <is>
          <t xml:space="preserve">Bound - within authority</t>
        </is>
      </c>
      <c r="E117" s="32" t="inlineStr">
        <is>
          <t xml:space="preserve">New business</t>
        </is>
      </c>
      <c r="F117" s="30" t="inlineStr">
        <is>
          <t xml:space="preserve">B1234EXOTIC26</t>
        </is>
      </c>
      <c r="G117" s="33">
        <f>IF($A117="","",IF($C117="","",YEAR($C117)))</f>
      </c>
      <c r="H117" s="34">
        <v>1994</v>
      </c>
      <c r="I117" s="30" t="inlineStr">
        <is>
          <t xml:space="preserve">Ferrari</t>
        </is>
      </c>
      <c r="J117" s="30" t="inlineStr">
        <is>
          <t xml:space="preserve">275 GTB/4</t>
        </is>
      </c>
      <c r="K117" s="30" t="inlineStr">
        <is>
          <t xml:space="preserve">UMW9FRY3N67NG4SNP</t>
        </is>
      </c>
      <c r="L117" s="32" t="inlineStr">
        <is>
          <t xml:space="preserve">08 - Modern Classic (1973-1999)</t>
        </is>
      </c>
      <c r="M117" s="35">
        <v>415000</v>
      </c>
      <c r="N117" s="32" t="inlineStr">
        <is>
          <t xml:space="preserve">Personal</t>
        </is>
      </c>
      <c r="O117" s="30" t="inlineStr">
        <is>
          <t xml:space="preserve">Personal - regular use</t>
        </is>
      </c>
      <c r="P117" s="30" t="inlineStr">
        <is>
          <t xml:space="preserve">1,000 - 2,500</t>
        </is>
      </c>
      <c r="Q117" s="30" t="inlineStr">
        <is>
          <t xml:space="preserve">Tennessee</t>
        </is>
      </c>
      <c r="R117" s="30" t="inlineStr">
        <is>
          <t xml:space="preserve">37203</t>
        </is>
      </c>
      <c r="S117" s="32" t="inlineStr">
        <is>
          <t xml:space="preserve">Severe convective - hail / tornado (moderate)</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3238.37</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CANON-202602-004817</t>
        </is>
      </c>
      <c r="B118" s="46" t="inlineStr">
        <is>
          <t xml:space="preserve">Aurelio Vandermeer</t>
        </is>
      </c>
      <c r="C118" s="47">
        <v>46064</v>
      </c>
      <c r="D118" s="48" t="inlineStr">
        <is>
          <t xml:space="preserve">Bound - within authority</t>
        </is>
      </c>
      <c r="E118" s="48" t="inlineStr">
        <is>
          <t xml:space="preserve">New business</t>
        </is>
      </c>
      <c r="F118" s="46" t="inlineStr">
        <is>
          <t xml:space="preserve">B1234EXOTIC26</t>
        </is>
      </c>
      <c r="G118" s="33">
        <f>IF($A118="","",IF($C118="","",YEAR($C118)))</f>
      </c>
      <c r="H118" s="49">
        <v>1977</v>
      </c>
      <c r="I118" s="46" t="inlineStr">
        <is>
          <t xml:space="preserve">Ferrari</t>
        </is>
      </c>
      <c r="J118" s="46" t="inlineStr">
        <is>
          <t xml:space="preserve">296 GTB</t>
        </is>
      </c>
      <c r="K118" s="46" t="inlineStr">
        <is>
          <t xml:space="preserve">GC48BKXTWTD3TPA4C</t>
        </is>
      </c>
      <c r="L118" s="48" t="inlineStr">
        <is>
          <t xml:space="preserve">03 - Supercar</t>
        </is>
      </c>
      <c r="M118" s="50">
        <v>1105000</v>
      </c>
      <c r="N118" s="48" t="inlineStr">
        <is>
          <t xml:space="preserve">Personal</t>
        </is>
      </c>
      <c r="O118" s="46" t="inlineStr">
        <is>
          <t xml:space="preserve">Personal - regular use</t>
        </is>
      </c>
      <c r="P118" s="46" t="inlineStr">
        <is>
          <t xml:space="preserve">2,500 - 5,000</t>
        </is>
      </c>
      <c r="Q118" s="46" t="inlineStr">
        <is>
          <t xml:space="preserve">Illinois</t>
        </is>
      </c>
      <c r="R118" s="46" t="inlineStr">
        <is>
          <t xml:space="preserve">60601</t>
        </is>
      </c>
      <c r="S118" s="48" t="inlineStr">
        <is>
          <t xml:space="preserve">Severe convective - hail / tornado (moderate)</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19943.57</v>
      </c>
      <c r="AC118" s="51">
        <v>0</v>
      </c>
      <c r="AD118" s="38">
        <f>IF(ISNUMBER($AB118),$AB118*(1+N($AC118)),"")</f>
      </c>
      <c r="AE118" s="50">
        <v>350</v>
      </c>
      <c r="AF118" s="50">
        <v>250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CANON-202602-004819</t>
        </is>
      </c>
      <c r="B119" s="30" t="inlineStr">
        <is>
          <t xml:space="preserve">Ramona Nakashima</t>
        </is>
      </c>
      <c r="C119" s="31">
        <v>46068</v>
      </c>
      <c r="D119" s="32" t="inlineStr">
        <is>
          <t xml:space="preserve">Bound - within authority</t>
        </is>
      </c>
      <c r="E119" s="32" t="inlineStr">
        <is>
          <t xml:space="preserve">New business</t>
        </is>
      </c>
      <c r="F119" s="30" t="inlineStr">
        <is>
          <t xml:space="preserve">B1234EXOTIC26</t>
        </is>
      </c>
      <c r="G119" s="33">
        <f>IF($A119="","",IF($C119="","",YEAR($C119)))</f>
      </c>
      <c r="H119" s="34">
        <v>1983</v>
      </c>
      <c r="I119" s="30" t="inlineStr">
        <is>
          <t xml:space="preserve">Ferrari</t>
        </is>
      </c>
      <c r="J119" s="30" t="inlineStr">
        <is>
          <t xml:space="preserve">296 GTB</t>
        </is>
      </c>
      <c r="K119" s="30" t="inlineStr">
        <is>
          <t xml:space="preserve">8VGAAHLSP6YLZF812</t>
        </is>
      </c>
      <c r="L119" s="32" t="inlineStr">
        <is>
          <t xml:space="preserve">03 - Supercar</t>
        </is>
      </c>
      <c r="M119" s="35">
        <v>500000</v>
      </c>
      <c r="N119" s="32" t="inlineStr">
        <is>
          <t xml:space="preserve">Personal</t>
        </is>
      </c>
      <c r="O119" s="30" t="inlineStr">
        <is>
          <t xml:space="preserve">Personal - regular use</t>
        </is>
      </c>
      <c r="P119" s="30" t="inlineStr">
        <is>
          <t xml:space="preserve">2,500 - 5,000</t>
        </is>
      </c>
      <c r="Q119" s="30" t="inlineStr">
        <is>
          <t xml:space="preserve">Nevada</t>
        </is>
      </c>
      <c r="R119" s="30" t="inlineStr">
        <is>
          <t xml:space="preserve">89101</t>
        </is>
      </c>
      <c r="S119" s="32" t="inlineStr">
        <is>
          <t xml:space="preserve">Wildfire - WUI high hazard</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9219.16</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CANON-202602-004821</t>
        </is>
      </c>
      <c r="B120" s="46" t="inlineStr">
        <is>
          <t xml:space="preserve">Callum Thistlewood</t>
        </is>
      </c>
      <c r="C120" s="47">
        <v>46073</v>
      </c>
      <c r="D120" s="48" t="inlineStr">
        <is>
          <t xml:space="preserve">Bound - within authority</t>
        </is>
      </c>
      <c r="E120" s="48" t="inlineStr">
        <is>
          <t xml:space="preserve">New business</t>
        </is>
      </c>
      <c r="F120" s="46" t="inlineStr">
        <is>
          <t xml:space="preserve">B1234EXOTIC26</t>
        </is>
      </c>
      <c r="G120" s="33">
        <f>IF($A120="","",IF($C120="","",YEAR($C120)))</f>
      </c>
      <c r="H120" s="49">
        <v>1998</v>
      </c>
      <c r="I120" s="46" t="inlineStr">
        <is>
          <t xml:space="preserve">McLaren</t>
        </is>
      </c>
      <c r="J120" s="46" t="inlineStr">
        <is>
          <t xml:space="preserve">750S</t>
        </is>
      </c>
      <c r="K120" s="46" t="inlineStr">
        <is>
          <t xml:space="preserve">ZNWYRMU0N6PHU0PEJ</t>
        </is>
      </c>
      <c r="L120" s="48" t="inlineStr">
        <is>
          <t xml:space="preserve">03 - Supercar</t>
        </is>
      </c>
      <c r="M120" s="50">
        <v>1785000</v>
      </c>
      <c r="N120" s="48" t="inlineStr">
        <is>
          <t xml:space="preserve">Personal</t>
        </is>
      </c>
      <c r="O120" s="46" t="inlineStr">
        <is>
          <t xml:space="preserve">Personal - regular use</t>
        </is>
      </c>
      <c r="P120" s="46" t="inlineStr">
        <is>
          <t xml:space="preserve">Under 1,000</t>
        </is>
      </c>
      <c r="Q120" s="46" t="inlineStr">
        <is>
          <t xml:space="preserve">Virginia</t>
        </is>
      </c>
      <c r="R120" s="46" t="inlineStr">
        <is>
          <t xml:space="preserve">23219</t>
        </is>
      </c>
      <c r="S120" s="48" t="inlineStr">
        <is>
          <t xml:space="preserve">Tier 3 - Coastal wind (25-100 miles)</t>
        </is>
      </c>
      <c r="T120" s="36">
        <f>IF($A120="","",IF($S120="","",IFERROR(INDEX('[1]natural catastrophe'!$D$6:$D$17,MATCH($S120,'[1]natural catastrophe'!$B$6:$B$17,0)),"?")))</f>
      </c>
      <c r="U120" s="46" t="inlineStr">
        <is>
          <t xml:space="preserve">2% of agreed value, minimum $10,000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25820.61</v>
      </c>
      <c r="AC120" s="51">
        <v>0</v>
      </c>
      <c r="AD120" s="38">
        <f>IF(ISNUMBER($AB120),$AB120*(1+N($AC120)),"")</f>
      </c>
      <c r="AE120" s="50">
        <v>350</v>
      </c>
      <c r="AF120" s="50">
        <v>250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CANON-202602-004824</t>
        </is>
      </c>
      <c r="B121" s="30" t="inlineStr">
        <is>
          <t xml:space="preserve">Emiliano Vasquez</t>
        </is>
      </c>
      <c r="C121" s="31">
        <v>46074</v>
      </c>
      <c r="D121" s="32" t="inlineStr">
        <is>
          <t xml:space="preserve">Bound - within authority</t>
        </is>
      </c>
      <c r="E121" s="32" t="inlineStr">
        <is>
          <t xml:space="preserve">New business</t>
        </is>
      </c>
      <c r="F121" s="30" t="inlineStr">
        <is>
          <t xml:space="preserve">B1234EXOTIC26</t>
        </is>
      </c>
      <c r="G121" s="33">
        <f>IF($A121="","",IF($C121="","",YEAR($C121)))</f>
      </c>
      <c r="H121" s="34">
        <v>2022</v>
      </c>
      <c r="I121" s="30" t="inlineStr">
        <is>
          <t xml:space="preserve">Ferrari</t>
        </is>
      </c>
      <c r="J121" s="30" t="inlineStr">
        <is>
          <t xml:space="preserve">275 GTB/4</t>
        </is>
      </c>
      <c r="K121" s="30" t="inlineStr">
        <is>
          <t xml:space="preserve">SYGMBP7HCH4E6PDJL</t>
        </is>
      </c>
      <c r="L121" s="32" t="inlineStr">
        <is>
          <t xml:space="preserve">02 - Sports / GT</t>
        </is>
      </c>
      <c r="M121" s="35">
        <v>510000</v>
      </c>
      <c r="N121" s="32" t="inlineStr">
        <is>
          <t xml:space="preserve">Personal</t>
        </is>
      </c>
      <c r="O121" s="30" t="inlineStr">
        <is>
          <t xml:space="preserve">Personal - regular use</t>
        </is>
      </c>
      <c r="P121" s="30" t="inlineStr">
        <is>
          <t xml:space="preserve">2,500 - 5,000</t>
        </is>
      </c>
      <c r="Q121" s="30" t="inlineStr">
        <is>
          <t xml:space="preserve">Oklahoma</t>
        </is>
      </c>
      <c r="R121" s="30" t="inlineStr">
        <is>
          <t xml:space="preserve">73102</t>
        </is>
      </c>
      <c r="S121" s="32" t="inlineStr">
        <is>
          <t xml:space="preserve">Severe convective - hail alley (high)</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4583.75</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CANON-202602-004825</t>
        </is>
      </c>
      <c r="B122" s="46" t="inlineStr">
        <is>
          <t xml:space="preserve">Sunniva Delacroix</t>
        </is>
      </c>
      <c r="C122" s="47">
        <v>46058</v>
      </c>
      <c r="D122" s="48" t="inlineStr">
        <is>
          <t xml:space="preserve">Bound - within authority</t>
        </is>
      </c>
      <c r="E122" s="48" t="inlineStr">
        <is>
          <t xml:space="preserve">New business</t>
        </is>
      </c>
      <c r="F122" s="46" t="inlineStr">
        <is>
          <t xml:space="preserve">B1234EXOTIC26</t>
        </is>
      </c>
      <c r="G122" s="33">
        <f>IF($A122="","",IF($C122="","",YEAR($C122)))</f>
      </c>
      <c r="H122" s="49">
        <v>1970</v>
      </c>
      <c r="I122" s="46" t="inlineStr">
        <is>
          <t xml:space="preserve">Porsche</t>
        </is>
      </c>
      <c r="J122" s="46" t="inlineStr">
        <is>
          <t xml:space="preserve">911 Turbo S</t>
        </is>
      </c>
      <c r="K122" s="46" t="inlineStr">
        <is>
          <t xml:space="preserve">LDG570EGPU8VJ0SXX</t>
        </is>
      </c>
      <c r="L122" s="48" t="inlineStr">
        <is>
          <t xml:space="preserve">02 - Sports / GT</t>
        </is>
      </c>
      <c r="M122" s="50">
        <v>495000</v>
      </c>
      <c r="N122" s="48" t="inlineStr">
        <is>
          <t xml:space="preserve">Personal</t>
        </is>
      </c>
      <c r="O122" s="46" t="inlineStr">
        <is>
          <t xml:space="preserve">Personal - regular use</t>
        </is>
      </c>
      <c r="P122" s="46" t="inlineStr">
        <is>
          <t xml:space="preserve">2,500 - 5,000</t>
        </is>
      </c>
      <c r="Q122" s="46" t="inlineStr">
        <is>
          <t xml:space="preserve">Texas</t>
        </is>
      </c>
      <c r="R122" s="46" t="inlineStr">
        <is>
          <t xml:space="preserve">75201</t>
        </is>
      </c>
      <c r="S122" s="48" t="inlineStr">
        <is>
          <t xml:space="preserve">Tier 2 - Coastal wind (1-25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7082.33</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CANON-202602-004828</t>
        </is>
      </c>
      <c r="B123" s="30" t="inlineStr">
        <is>
          <t xml:space="preserve">Ingrid Montoya</t>
        </is>
      </c>
      <c r="C123" s="31">
        <v>46077</v>
      </c>
      <c r="D123" s="32" t="inlineStr">
        <is>
          <t xml:space="preserve">Bound - within authority</t>
        </is>
      </c>
      <c r="E123" s="32" t="inlineStr">
        <is>
          <t xml:space="preserve">New business</t>
        </is>
      </c>
      <c r="F123" s="30" t="inlineStr">
        <is>
          <t xml:space="preserve">B1234EXOTIC26</t>
        </is>
      </c>
      <c r="G123" s="33">
        <f>IF($A123="","",IF($C123="","",YEAR($C123)))</f>
      </c>
      <c r="H123" s="34">
        <v>2001</v>
      </c>
      <c r="I123" s="30" t="inlineStr">
        <is>
          <t xml:space="preserve">Aston Martin</t>
        </is>
      </c>
      <c r="J123" s="30" t="inlineStr">
        <is>
          <t xml:space="preserve">DB12</t>
        </is>
      </c>
      <c r="K123" s="30" t="inlineStr">
        <is>
          <t xml:space="preserve">VEEY0KJ4HZU1N45R1</t>
        </is>
      </c>
      <c r="L123" s="32" t="inlineStr">
        <is>
          <t xml:space="preserve">02 - Sports / GT</t>
        </is>
      </c>
      <c r="M123" s="35">
        <v>355000</v>
      </c>
      <c r="N123" s="32" t="inlineStr">
        <is>
          <t xml:space="preserve">Personal</t>
        </is>
      </c>
      <c r="O123" s="30" t="inlineStr">
        <is>
          <t xml:space="preserve">Personal - regular use</t>
        </is>
      </c>
      <c r="P123" s="30" t="inlineStr">
        <is>
          <t xml:space="preserve">2,500 - 5,000</t>
        </is>
      </c>
      <c r="Q123" s="30" t="inlineStr">
        <is>
          <t xml:space="preserve">Colorado</t>
        </is>
      </c>
      <c r="R123" s="30" t="inlineStr">
        <is>
          <t xml:space="preserve">80202</t>
        </is>
      </c>
      <c r="S123" s="32" t="inlineStr">
        <is>
          <t xml:space="preserve">Severe convective - hail alley (high)</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4858.41</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CANON-202602-004829</t>
        </is>
      </c>
      <c r="B124" s="46" t="inlineStr">
        <is>
          <t xml:space="preserve">Desmond Blackwood</t>
        </is>
      </c>
      <c r="C124" s="47">
        <v>46080</v>
      </c>
      <c r="D124" s="48" t="inlineStr">
        <is>
          <t xml:space="preserve">Bound - within authority</t>
        </is>
      </c>
      <c r="E124" s="48" t="inlineStr">
        <is>
          <t xml:space="preserve">New business</t>
        </is>
      </c>
      <c r="F124" s="46" t="inlineStr">
        <is>
          <t xml:space="preserve">B1234EXOTIC26</t>
        </is>
      </c>
      <c r="G124" s="33">
        <f>IF($A124="","",IF($C124="","",YEAR($C124)))</f>
      </c>
      <c r="H124" s="49">
        <v>2003</v>
      </c>
      <c r="I124" s="46" t="inlineStr">
        <is>
          <t xml:space="preserve">Mercedes-Benz</t>
        </is>
      </c>
      <c r="J124" s="46" t="inlineStr">
        <is>
          <t xml:space="preserve">AMG GT</t>
        </is>
      </c>
      <c r="K124" s="46" t="inlineStr">
        <is>
          <t xml:space="preserve">VX4WAE0GNSMGZR4DL</t>
        </is>
      </c>
      <c r="L124" s="48" t="inlineStr">
        <is>
          <t xml:space="preserve">02 - Sports / GT</t>
        </is>
      </c>
      <c r="M124" s="50">
        <v>610000</v>
      </c>
      <c r="N124" s="48" t="inlineStr">
        <is>
          <t xml:space="preserve">Personal</t>
        </is>
      </c>
      <c r="O124" s="46" t="inlineStr">
        <is>
          <t xml:space="preserve">Personal - regular use</t>
        </is>
      </c>
      <c r="P124" s="46" t="inlineStr">
        <is>
          <t xml:space="preserve">1,000 - 2,500</t>
        </is>
      </c>
      <c r="Q124" s="46" t="inlineStr">
        <is>
          <t xml:space="preserve">Pennsylvania</t>
        </is>
      </c>
      <c r="R124" s="46" t="inlineStr">
        <is>
          <t xml:space="preserve">19103</t>
        </is>
      </c>
      <c r="S124" s="48" t="inlineStr">
        <is>
          <t xml:space="preserve">Low hazard - inland benign</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6577.41</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CANON-202602-004831</t>
        </is>
      </c>
      <c r="B125" s="30" t="inlineStr">
        <is>
          <t xml:space="preserve">Ottilie Fairweather</t>
        </is>
      </c>
      <c r="C125" s="31">
        <v>46059</v>
      </c>
      <c r="D125" s="32" t="inlineStr">
        <is>
          <t xml:space="preserve">Bound - within authority</t>
        </is>
      </c>
      <c r="E125" s="32" t="inlineStr">
        <is>
          <t xml:space="preserve">New business</t>
        </is>
      </c>
      <c r="F125" s="30" t="inlineStr">
        <is>
          <t xml:space="preserve">B1234EXOTIC26</t>
        </is>
      </c>
      <c r="G125" s="33">
        <f>IF($A125="","",IF($C125="","",YEAR($C125)))</f>
      </c>
      <c r="H125" s="34">
        <v>1998</v>
      </c>
      <c r="I125" s="30" t="inlineStr">
        <is>
          <t xml:space="preserve">Alfa Romeo</t>
        </is>
      </c>
      <c r="J125" s="30" t="inlineStr">
        <is>
          <t xml:space="preserve">8C 2900</t>
        </is>
      </c>
      <c r="K125" s="30" t="inlineStr">
        <is>
          <t xml:space="preserve">14FKPWN9CA25YRPT0</t>
        </is>
      </c>
      <c r="L125" s="32" t="inlineStr">
        <is>
          <t xml:space="preserve">08 - Modern Classic (1973-1999)</t>
        </is>
      </c>
      <c r="M125" s="35">
        <v>1950000</v>
      </c>
      <c r="N125" s="32" t="inlineStr">
        <is>
          <t xml:space="preserve">Personal</t>
        </is>
      </c>
      <c r="O125" s="30" t="inlineStr">
        <is>
          <t xml:space="preserve">Personal - regular use</t>
        </is>
      </c>
      <c r="P125" s="30" t="inlineStr">
        <is>
          <t xml:space="preserve">Under 1,000</t>
        </is>
      </c>
      <c r="Q125" s="30" t="inlineStr">
        <is>
          <t xml:space="preserve">Michigan</t>
        </is>
      </c>
      <c r="R125" s="30" t="inlineStr">
        <is>
          <t xml:space="preserve">48226</t>
        </is>
      </c>
      <c r="S125" s="32" t="inlineStr">
        <is>
          <t xml:space="preserve">Severe convective - hail / tornado (moderate)</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17047.35</v>
      </c>
      <c r="AC125" s="37">
        <v>0</v>
      </c>
      <c r="AD125" s="38">
        <f>IF(ISNUMBER($AB125),$AB125*(1+N($AC125)),"")</f>
      </c>
      <c r="AE125" s="35">
        <v>350</v>
      </c>
      <c r="AF125" s="35">
        <v>250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CANON-202602-004832</t>
        </is>
      </c>
      <c r="B126" s="46" t="inlineStr">
        <is>
          <t xml:space="preserve">Cassius Ashcombe</t>
        </is>
      </c>
      <c r="C126" s="47">
        <v>46057</v>
      </c>
      <c r="D126" s="48" t="inlineStr">
        <is>
          <t xml:space="preserve">Bound - within authority</t>
        </is>
      </c>
      <c r="E126" s="48" t="inlineStr">
        <is>
          <t xml:space="preserve">New business</t>
        </is>
      </c>
      <c r="F126" s="46" t="inlineStr">
        <is>
          <t xml:space="preserve">B1234EXOTIC26</t>
        </is>
      </c>
      <c r="G126" s="33">
        <f>IF($A126="","",IF($C126="","",YEAR($C126)))</f>
      </c>
      <c r="H126" s="49">
        <v>1958</v>
      </c>
      <c r="I126" s="46" t="inlineStr">
        <is>
          <t xml:space="preserve">Mercedes-Benz</t>
        </is>
      </c>
      <c r="J126" s="46" t="inlineStr">
        <is>
          <t xml:space="preserve">AMG GT</t>
        </is>
      </c>
      <c r="K126" s="46" t="inlineStr">
        <is>
          <t xml:space="preserve">D4X7KM7GWGYAGEPCF</t>
        </is>
      </c>
      <c r="L126" s="48" t="inlineStr">
        <is>
          <t xml:space="preserve">02 - Sports / GT</t>
        </is>
      </c>
      <c r="M126" s="50">
        <v>540000</v>
      </c>
      <c r="N126" s="48" t="inlineStr">
        <is>
          <t xml:space="preserve">Personal</t>
        </is>
      </c>
      <c r="O126" s="46" t="inlineStr">
        <is>
          <t xml:space="preserve">Personal - regular use</t>
        </is>
      </c>
      <c r="P126" s="46" t="inlineStr">
        <is>
          <t xml:space="preserve">Under 1,000</t>
        </is>
      </c>
      <c r="Q126" s="46" t="inlineStr">
        <is>
          <t xml:space="preserve">Indiana</t>
        </is>
      </c>
      <c r="R126" s="46" t="inlineStr">
        <is>
          <t xml:space="preserve">46204</t>
        </is>
      </c>
      <c r="S126" s="48" t="inlineStr">
        <is>
          <t xml:space="preserve">Severe convective - hail / tornado (moderate)</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7161.83</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CANON-202602-004834</t>
        </is>
      </c>
      <c r="B127" s="30" t="inlineStr">
        <is>
          <t xml:space="preserve">Beatrix Montoya</t>
        </is>
      </c>
      <c r="C127" s="31">
        <v>46077</v>
      </c>
      <c r="D127" s="32" t="inlineStr">
        <is>
          <t xml:space="preserve">Bound - within authority</t>
        </is>
      </c>
      <c r="E127" s="32" t="inlineStr">
        <is>
          <t xml:space="preserve">New business</t>
        </is>
      </c>
      <c r="F127" s="30" t="inlineStr">
        <is>
          <t xml:space="preserve">B1234EXOTIC26</t>
        </is>
      </c>
      <c r="G127" s="33">
        <f>IF($A127="","",IF($C127="","",YEAR($C127)))</f>
      </c>
      <c r="H127" s="34">
        <v>1998</v>
      </c>
      <c r="I127" s="30" t="inlineStr">
        <is>
          <t xml:space="preserve">Porsche</t>
        </is>
      </c>
      <c r="J127" s="30" t="inlineStr">
        <is>
          <t xml:space="preserve">911 Turbo S</t>
        </is>
      </c>
      <c r="K127" s="30" t="inlineStr">
        <is>
          <t xml:space="preserve">3PU87NA240T8GY8HJ</t>
        </is>
      </c>
      <c r="L127" s="32" t="inlineStr">
        <is>
          <t xml:space="preserve">02 - Sports / GT</t>
        </is>
      </c>
      <c r="M127" s="35">
        <v>935000</v>
      </c>
      <c r="N127" s="32" t="inlineStr">
        <is>
          <t xml:space="preserve">Personal</t>
        </is>
      </c>
      <c r="O127" s="30" t="inlineStr">
        <is>
          <t xml:space="preserve">Personal - regular use</t>
        </is>
      </c>
      <c r="P127" s="30" t="inlineStr">
        <is>
          <t xml:space="preserve">1,000 - 2,500</t>
        </is>
      </c>
      <c r="Q127" s="30" t="inlineStr">
        <is>
          <t xml:space="preserve">New Mexico</t>
        </is>
      </c>
      <c r="R127" s="30" t="inlineStr">
        <is>
          <t xml:space="preserve">87501</t>
        </is>
      </c>
      <c r="S127" s="32" t="inlineStr">
        <is>
          <t xml:space="preserve">Wildfire - WUI high hazard</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12904.67</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CANON-202602-004836</t>
        </is>
      </c>
      <c r="B128" s="46" t="inlineStr">
        <is>
          <t xml:space="preserve">Desmond Vandermeer</t>
        </is>
      </c>
      <c r="C128" s="47">
        <v>46056</v>
      </c>
      <c r="D128" s="48" t="inlineStr">
        <is>
          <t xml:space="preserve">Bound - within authority</t>
        </is>
      </c>
      <c r="E128" s="48" t="inlineStr">
        <is>
          <t xml:space="preserve">New business</t>
        </is>
      </c>
      <c r="F128" s="46" t="inlineStr">
        <is>
          <t xml:space="preserve">B1234EXOTIC26</t>
        </is>
      </c>
      <c r="G128" s="33">
        <f>IF($A128="","",IF($C128="","",YEAR($C128)))</f>
      </c>
      <c r="H128" s="49">
        <v>2001</v>
      </c>
      <c r="I128" s="46" t="inlineStr">
        <is>
          <t xml:space="preserve">BMW</t>
        </is>
      </c>
      <c r="J128" s="46" t="inlineStr">
        <is>
          <t xml:space="preserve">M8 Competition</t>
        </is>
      </c>
      <c r="K128" s="46" t="inlineStr">
        <is>
          <t xml:space="preserve">49ZR81R5JGLLRAT0S</t>
        </is>
      </c>
      <c r="L128" s="48" t="inlineStr">
        <is>
          <t xml:space="preserve">02 - Sports / GT</t>
        </is>
      </c>
      <c r="M128" s="50">
        <v>1950000</v>
      </c>
      <c r="N128" s="48" t="inlineStr">
        <is>
          <t xml:space="preserve">Personal</t>
        </is>
      </c>
      <c r="O128" s="46" t="inlineStr">
        <is>
          <t xml:space="preserve">Personal - regular use</t>
        </is>
      </c>
      <c r="P128" s="46" t="inlineStr">
        <is>
          <t xml:space="preserve">Under 1,000</t>
        </is>
      </c>
      <c r="Q128" s="46" t="inlineStr">
        <is>
          <t xml:space="preserve">West Virginia</t>
        </is>
      </c>
      <c r="R128" s="46" t="inlineStr">
        <is>
          <t xml:space="preserve">25301</t>
        </is>
      </c>
      <c r="S128" s="48" t="inlineStr">
        <is>
          <t xml:space="preserve">Low hazard - inland benign</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23662.51</v>
      </c>
      <c r="AC128" s="51">
        <v>0</v>
      </c>
      <c r="AD128" s="38">
        <f>IF(ISNUMBER($AB128),$AB128*(1+N($AC128)),"")</f>
      </c>
      <c r="AE128" s="50">
        <v>350</v>
      </c>
      <c r="AF128" s="50">
        <v>250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CANON-202602-004840</t>
        </is>
      </c>
      <c r="B129" s="30" t="inlineStr">
        <is>
          <t xml:space="preserve">Saoirse Fairweather</t>
        </is>
      </c>
      <c r="C129" s="31">
        <v>46068</v>
      </c>
      <c r="D129" s="32" t="inlineStr">
        <is>
          <t xml:space="preserve">Bound - within authority</t>
        </is>
      </c>
      <c r="E129" s="32" t="inlineStr">
        <is>
          <t xml:space="preserve">New business</t>
        </is>
      </c>
      <c r="F129" s="30" t="inlineStr">
        <is>
          <t xml:space="preserve">B1234EXOTIC26</t>
        </is>
      </c>
      <c r="G129" s="33">
        <f>IF($A129="","",IF($C129="","",YEAR($C129)))</f>
      </c>
      <c r="H129" s="34">
        <v>1982</v>
      </c>
      <c r="I129" s="30" t="inlineStr">
        <is>
          <t xml:space="preserve">Ferrari</t>
        </is>
      </c>
      <c r="J129" s="30" t="inlineStr">
        <is>
          <t xml:space="preserve">296 GTB</t>
        </is>
      </c>
      <c r="K129" s="30" t="inlineStr">
        <is>
          <t xml:space="preserve">FE9MTY09GK7788U0C</t>
        </is>
      </c>
      <c r="L129" s="32" t="inlineStr">
        <is>
          <t xml:space="preserve">03 - Supercar</t>
        </is>
      </c>
      <c r="M129" s="35">
        <v>1370000</v>
      </c>
      <c r="N129" s="32" t="inlineStr">
        <is>
          <t xml:space="preserve">Personal</t>
        </is>
      </c>
      <c r="O129" s="30" t="inlineStr">
        <is>
          <t xml:space="preserve">Personal - regular use</t>
        </is>
      </c>
      <c r="P129" s="30" t="inlineStr">
        <is>
          <t xml:space="preserve">Under 1,000</t>
        </is>
      </c>
      <c r="Q129" s="30" t="inlineStr">
        <is>
          <t xml:space="preserve">Missouri</t>
        </is>
      </c>
      <c r="R129" s="30" t="inlineStr">
        <is>
          <t xml:space="preserve">63101</t>
        </is>
      </c>
      <c r="S129" s="32" t="inlineStr">
        <is>
          <t xml:space="preserve">Severe convective - hail / tornado (moderate)</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19272.06</v>
      </c>
      <c r="AC129" s="37">
        <v>0</v>
      </c>
      <c r="AD129" s="38">
        <f>IF(ISNUMBER($AB129),$AB129*(1+N($AC129)),"")</f>
      </c>
      <c r="AE129" s="35">
        <v>350</v>
      </c>
      <c r="AF129" s="35">
        <v>250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CANON-202602-004841</t>
        </is>
      </c>
      <c r="B130" s="46" t="inlineStr">
        <is>
          <t xml:space="preserve">Noor Ashcombe</t>
        </is>
      </c>
      <c r="C130" s="47">
        <v>46069</v>
      </c>
      <c r="D130" s="48" t="inlineStr">
        <is>
          <t xml:space="preserve">Bound - within authority</t>
        </is>
      </c>
      <c r="E130" s="48" t="inlineStr">
        <is>
          <t xml:space="preserve">New business</t>
        </is>
      </c>
      <c r="F130" s="46" t="inlineStr">
        <is>
          <t xml:space="preserve">B1234EXOTIC26</t>
        </is>
      </c>
      <c r="G130" s="33">
        <f>IF($A130="","",IF($C130="","",YEAR($C130)))</f>
      </c>
      <c r="H130" s="49">
        <v>1973</v>
      </c>
      <c r="I130" s="46" t="inlineStr">
        <is>
          <t xml:space="preserve">Lamborghini</t>
        </is>
      </c>
      <c r="J130" s="46" t="inlineStr">
        <is>
          <t xml:space="preserve">Huracan EVO</t>
        </is>
      </c>
      <c r="K130" s="46" t="inlineStr">
        <is>
          <t xml:space="preserve">H42TCZS9EE292VTA4</t>
        </is>
      </c>
      <c r="L130" s="48" t="inlineStr">
        <is>
          <t xml:space="preserve">03 - Supercar</t>
        </is>
      </c>
      <c r="M130" s="50">
        <v>810000</v>
      </c>
      <c r="N130" s="48" t="inlineStr">
        <is>
          <t xml:space="preserve">Personal</t>
        </is>
      </c>
      <c r="O130" s="46" t="inlineStr">
        <is>
          <t xml:space="preserve">Personal - regular use</t>
        </is>
      </c>
      <c r="P130" s="46" t="inlineStr">
        <is>
          <t xml:space="preserve">2,500 - 5,000</t>
        </is>
      </c>
      <c r="Q130" s="46" t="inlineStr">
        <is>
          <t xml:space="preserve">Connecticut</t>
        </is>
      </c>
      <c r="R130" s="46" t="inlineStr">
        <is>
          <t xml:space="preserve">06103</t>
        </is>
      </c>
      <c r="S130" s="48" t="inlineStr">
        <is>
          <t xml:space="preserve">Tier 3 - Coastal wind (25-100 miles)</t>
        </is>
      </c>
      <c r="T130" s="36">
        <f>IF($A130="","",IF($S130="","",IFERROR(INDEX('[1]natural catastrophe'!$D$6:$D$17,MATCH($S130,'[1]natural catastrophe'!$B$6:$B$17,0)),"?")))</f>
      </c>
      <c r="U130" s="46" t="inlineStr">
        <is>
          <t xml:space="preserve">2% of agreed value, minimum $10,000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14296.79</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CANON-202602-004843</t>
        </is>
      </c>
      <c r="B131" s="30" t="inlineStr">
        <is>
          <t xml:space="preserve">Desmond Rourke</t>
        </is>
      </c>
      <c r="C131" s="31">
        <v>46068</v>
      </c>
      <c r="D131" s="32" t="inlineStr">
        <is>
          <t xml:space="preserve">Bound - within authority</t>
        </is>
      </c>
      <c r="E131" s="32" t="inlineStr">
        <is>
          <t xml:space="preserve">New business</t>
        </is>
      </c>
      <c r="F131" s="30" t="inlineStr">
        <is>
          <t xml:space="preserve">B1234EXOTIC26</t>
        </is>
      </c>
      <c r="G131" s="33">
        <f>IF($A131="","",IF($C131="","",YEAR($C131)))</f>
      </c>
      <c r="H131" s="34">
        <v>2018</v>
      </c>
      <c r="I131" s="30" t="inlineStr">
        <is>
          <t xml:space="preserve">Bentley</t>
        </is>
      </c>
      <c r="J131" s="30" t="inlineStr">
        <is>
          <t xml:space="preserve">4.5 Litre</t>
        </is>
      </c>
      <c r="K131" s="30" t="inlineStr">
        <is>
          <t xml:space="preserve">82EDTZSKT14B95L32</t>
        </is>
      </c>
      <c r="L131" s="32" t="inlineStr">
        <is>
          <t xml:space="preserve">02 - Sports / GT</t>
        </is>
      </c>
      <c r="M131" s="35">
        <v>415000</v>
      </c>
      <c r="N131" s="32" t="inlineStr">
        <is>
          <t xml:space="preserve">Personal</t>
        </is>
      </c>
      <c r="O131" s="30" t="inlineStr">
        <is>
          <t xml:space="preserve">Personal - regular use</t>
        </is>
      </c>
      <c r="P131" s="30" t="inlineStr">
        <is>
          <t xml:space="preserve">Under 1,000</t>
        </is>
      </c>
      <c r="Q131" s="30" t="inlineStr">
        <is>
          <t xml:space="preserve">Kansas</t>
        </is>
      </c>
      <c r="R131" s="30" t="inlineStr">
        <is>
          <t xml:space="preserve">66603</t>
        </is>
      </c>
      <c r="S131" s="32" t="inlineStr">
        <is>
          <t xml:space="preserve">Severe convective - hail alley (high)</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2804.67</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CANON-202602-004844</t>
        </is>
      </c>
      <c r="B132" s="46" t="inlineStr">
        <is>
          <t xml:space="preserve">Ingrid Thistlewood</t>
        </is>
      </c>
      <c r="C132" s="47">
        <v>46081</v>
      </c>
      <c r="D132" s="48" t="inlineStr">
        <is>
          <t xml:space="preserve">Bound - within authority</t>
        </is>
      </c>
      <c r="E132" s="48" t="inlineStr">
        <is>
          <t xml:space="preserve">New business</t>
        </is>
      </c>
      <c r="F132" s="46" t="inlineStr">
        <is>
          <t xml:space="preserve">B1234EXOTIC26</t>
        </is>
      </c>
      <c r="G132" s="33">
        <f>IF($A132="","",IF($C132="","",YEAR($C132)))</f>
      </c>
      <c r="H132" s="49">
        <v>1969</v>
      </c>
      <c r="I132" s="46" t="inlineStr">
        <is>
          <t xml:space="preserve">Porsche</t>
        </is>
      </c>
      <c r="J132" s="46" t="inlineStr">
        <is>
          <t xml:space="preserve">911 Turbo S</t>
        </is>
      </c>
      <c r="K132" s="46" t="inlineStr">
        <is>
          <t xml:space="preserve">8VM4L7JMCE6UXPSM8</t>
        </is>
      </c>
      <c r="L132" s="48" t="inlineStr">
        <is>
          <t xml:space="preserve">02 - Sports / GT</t>
        </is>
      </c>
      <c r="M132" s="50">
        <v>445000</v>
      </c>
      <c r="N132" s="48" t="inlineStr">
        <is>
          <t xml:space="preserve">Personal</t>
        </is>
      </c>
      <c r="O132" s="46" t="inlineStr">
        <is>
          <t xml:space="preserve">Personal - regular use</t>
        </is>
      </c>
      <c r="P132" s="46" t="inlineStr">
        <is>
          <t xml:space="preserve">2,500 - 5,000</t>
        </is>
      </c>
      <c r="Q132" s="46" t="inlineStr">
        <is>
          <t xml:space="preserve">West Virginia</t>
        </is>
      </c>
      <c r="R132" s="46" t="inlineStr">
        <is>
          <t xml:space="preserve">25301</t>
        </is>
      </c>
      <c r="S132" s="48" t="inlineStr">
        <is>
          <t xml:space="preserve">Low hazard - inland benign</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7363.51</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CANON-202602-004845</t>
        </is>
      </c>
      <c r="B133" s="30" t="inlineStr">
        <is>
          <t xml:space="preserve">Noor Kingsford</t>
        </is>
      </c>
      <c r="C133" s="31">
        <v>46079</v>
      </c>
      <c r="D133" s="32" t="inlineStr">
        <is>
          <t xml:space="preserve">Bound - within authority</t>
        </is>
      </c>
      <c r="E133" s="32" t="inlineStr">
        <is>
          <t xml:space="preserve">New business</t>
        </is>
      </c>
      <c r="F133" s="30" t="inlineStr">
        <is>
          <t xml:space="preserve">B1234EXOTIC26</t>
        </is>
      </c>
      <c r="G133" s="33">
        <f>IF($A133="","",IF($C133="","",YEAR($C133)))</f>
      </c>
      <c r="H133" s="34">
        <v>2023</v>
      </c>
      <c r="I133" s="30" t="inlineStr">
        <is>
          <t xml:space="preserve">Jaguar</t>
        </is>
      </c>
      <c r="J133" s="30" t="inlineStr">
        <is>
          <t xml:space="preserve">E-Type Series 1</t>
        </is>
      </c>
      <c r="K133" s="30" t="inlineStr">
        <is>
          <t xml:space="preserve">FZW5XD371HHFH2N7W</t>
        </is>
      </c>
      <c r="L133" s="32" t="inlineStr">
        <is>
          <t xml:space="preserve">02 - Sports / GT</t>
        </is>
      </c>
      <c r="M133" s="35">
        <v>360000</v>
      </c>
      <c r="N133" s="32" t="inlineStr">
        <is>
          <t xml:space="preserve">Personal</t>
        </is>
      </c>
      <c r="O133" s="30" t="inlineStr">
        <is>
          <t xml:space="preserve">Personal - regular use</t>
        </is>
      </c>
      <c r="P133" s="30" t="inlineStr">
        <is>
          <t xml:space="preserve">1,000 - 2,500</t>
        </is>
      </c>
      <c r="Q133" s="30" t="inlineStr">
        <is>
          <t xml:space="preserve">Illinois</t>
        </is>
      </c>
      <c r="R133" s="30" t="inlineStr">
        <is>
          <t xml:space="preserve">60601</t>
        </is>
      </c>
      <c r="S133" s="32" t="inlineStr">
        <is>
          <t xml:space="preserve">Severe convective - hail / tornado (moderate)</t>
        </is>
      </c>
      <c r="T133" s="36">
        <f>IF($A133="","",IF($S133="","",IFERROR(INDEX('[1]natural catastrophe'!$D$6:$D$17,MATCH($S133,'[1]natural catastrophe'!$B$6:$B$17,0)),"?")))</f>
      </c>
      <c r="U133" s="30" t="inlineStr">
        <is>
          <t xml:space="preserve">$5,000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3898.47</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CANON-202602-004847</t>
        </is>
      </c>
      <c r="B134" s="46" t="inlineStr">
        <is>
          <t xml:space="preserve">Lorenzo Montoya</t>
        </is>
      </c>
      <c r="C134" s="47">
        <v>46055</v>
      </c>
      <c r="D134" s="48" t="inlineStr">
        <is>
          <t xml:space="preserve">Bound - within authority</t>
        </is>
      </c>
      <c r="E134" s="48" t="inlineStr">
        <is>
          <t xml:space="preserve">New business</t>
        </is>
      </c>
      <c r="F134" s="46" t="inlineStr">
        <is>
          <t xml:space="preserve">B1234EXOTIC26</t>
        </is>
      </c>
      <c r="G134" s="33">
        <f>IF($A134="","",IF($C134="","",YEAR($C134)))</f>
      </c>
      <c r="H134" s="49">
        <v>1968</v>
      </c>
      <c r="I134" s="46" t="inlineStr">
        <is>
          <t xml:space="preserve">Porsche</t>
        </is>
      </c>
      <c r="J134" s="46" t="inlineStr">
        <is>
          <t xml:space="preserve">911 Turbo S</t>
        </is>
      </c>
      <c r="K134" s="46" t="inlineStr">
        <is>
          <t xml:space="preserve">JLPENJ1AX1ASXF4YD</t>
        </is>
      </c>
      <c r="L134" s="48" t="inlineStr">
        <is>
          <t xml:space="preserve">02 - Sports / GT</t>
        </is>
      </c>
      <c r="M134" s="50">
        <v>1320000</v>
      </c>
      <c r="N134" s="48" t="inlineStr">
        <is>
          <t xml:space="preserve">Personal</t>
        </is>
      </c>
      <c r="O134" s="46" t="inlineStr">
        <is>
          <t xml:space="preserve">Personal - regular use</t>
        </is>
      </c>
      <c r="P134" s="46" t="inlineStr">
        <is>
          <t xml:space="preserve">2,500 - 5,000</t>
        </is>
      </c>
      <c r="Q134" s="46" t="inlineStr">
        <is>
          <t xml:space="preserve">West Virginia</t>
        </is>
      </c>
      <c r="R134" s="46" t="inlineStr">
        <is>
          <t xml:space="preserve">25301</t>
        </is>
      </c>
      <c r="S134" s="48" t="inlineStr">
        <is>
          <t xml:space="preserve">Low hazard - inland benign</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16017.7</v>
      </c>
      <c r="AC134" s="51">
        <v>0</v>
      </c>
      <c r="AD134" s="38">
        <f>IF(ISNUMBER($AB134),$AB134*(1+N($AC134)),"")</f>
      </c>
      <c r="AE134" s="50">
        <v>350</v>
      </c>
      <c r="AF134" s="50">
        <v>250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CANON-202602-004849</t>
        </is>
      </c>
      <c r="B135" s="30" t="inlineStr">
        <is>
          <t xml:space="preserve">Ingrid Kingsford</t>
        </is>
      </c>
      <c r="C135" s="31">
        <v>46078</v>
      </c>
      <c r="D135" s="32" t="inlineStr">
        <is>
          <t xml:space="preserve">Bound - within authority</t>
        </is>
      </c>
      <c r="E135" s="32" t="inlineStr">
        <is>
          <t xml:space="preserve">New business</t>
        </is>
      </c>
      <c r="F135" s="30" t="inlineStr">
        <is>
          <t xml:space="preserve">B1234EXOTIC26</t>
        </is>
      </c>
      <c r="G135" s="33">
        <f>IF($A135="","",IF($C135="","",YEAR($C135)))</f>
      </c>
      <c r="H135" s="34">
        <v>2015</v>
      </c>
      <c r="I135" s="30" t="inlineStr">
        <is>
          <t xml:space="preserve">McLaren</t>
        </is>
      </c>
      <c r="J135" s="30" t="inlineStr">
        <is>
          <t xml:space="preserve">750S</t>
        </is>
      </c>
      <c r="K135" s="30" t="inlineStr">
        <is>
          <t xml:space="preserve">KSFTW6LKKR2UHV8FG</t>
        </is>
      </c>
      <c r="L135" s="32" t="inlineStr">
        <is>
          <t xml:space="preserve">03 - Supercar</t>
        </is>
      </c>
      <c r="M135" s="35">
        <v>615000</v>
      </c>
      <c r="N135" s="32" t="inlineStr">
        <is>
          <t xml:space="preserve">Personal</t>
        </is>
      </c>
      <c r="O135" s="30" t="inlineStr">
        <is>
          <t xml:space="preserve">Personal - regular use</t>
        </is>
      </c>
      <c r="P135" s="30" t="inlineStr">
        <is>
          <t xml:space="preserve">Under 1,000</t>
        </is>
      </c>
      <c r="Q135" s="30" t="inlineStr">
        <is>
          <t xml:space="preserve">Arizona</t>
        </is>
      </c>
      <c r="R135" s="30" t="inlineStr">
        <is>
          <t xml:space="preserve">85001</t>
        </is>
      </c>
      <c r="S135" s="32" t="inlineStr">
        <is>
          <t xml:space="preserve">Wildfire - WUI high hazard</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9788.85</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CANON-202602-004850</t>
        </is>
      </c>
      <c r="B136" s="46" t="inlineStr">
        <is>
          <t xml:space="preserve">Mireille Okonkwo</t>
        </is>
      </c>
      <c r="C136" s="47">
        <v>46055</v>
      </c>
      <c r="D136" s="48" t="inlineStr">
        <is>
          <t xml:space="preserve">Bound - within authority</t>
        </is>
      </c>
      <c r="E136" s="48" t="inlineStr">
        <is>
          <t xml:space="preserve">New business</t>
        </is>
      </c>
      <c r="F136" s="46" t="inlineStr">
        <is>
          <t xml:space="preserve">B1234EXOTIC26</t>
        </is>
      </c>
      <c r="G136" s="33">
        <f>IF($A136="","",IF($C136="","",YEAR($C136)))</f>
      </c>
      <c r="H136" s="49">
        <v>2024</v>
      </c>
      <c r="I136" s="46" t="inlineStr">
        <is>
          <t xml:space="preserve">Mercedes-Benz</t>
        </is>
      </c>
      <c r="J136" s="46" t="inlineStr">
        <is>
          <t xml:space="preserve">AMG GT</t>
        </is>
      </c>
      <c r="K136" s="46" t="inlineStr">
        <is>
          <t xml:space="preserve">EA3308ELW9HDXAPYN</t>
        </is>
      </c>
      <c r="L136" s="48" t="inlineStr">
        <is>
          <t xml:space="preserve">02 - Sports / GT</t>
        </is>
      </c>
      <c r="M136" s="50">
        <v>805000</v>
      </c>
      <c r="N136" s="48" t="inlineStr">
        <is>
          <t xml:space="preserve">Personal</t>
        </is>
      </c>
      <c r="O136" s="46" t="inlineStr">
        <is>
          <t xml:space="preserve">Personal - regular use</t>
        </is>
      </c>
      <c r="P136" s="46" t="inlineStr">
        <is>
          <t xml:space="preserve">1,000 - 2,500</t>
        </is>
      </c>
      <c r="Q136" s="46" t="inlineStr">
        <is>
          <t xml:space="preserve">South Carolina</t>
        </is>
      </c>
      <c r="R136" s="46" t="inlineStr">
        <is>
          <t xml:space="preserve">29401</t>
        </is>
      </c>
      <c r="S136" s="48" t="inlineStr">
        <is>
          <t xml:space="preserve">Tier 2 - Coastal wind (1-25 miles)</t>
        </is>
      </c>
      <c r="T136" s="36">
        <f>IF($A136="","",IF($S136="","",IFERROR(INDEX('[1]natural catastrophe'!$D$6:$D$17,MATCH($S136,'[1]natural catastrophe'!$B$6:$B$17,0)),"?")))</f>
      </c>
      <c r="U136" s="46" t="inlineStr">
        <is>
          <t xml:space="preserve">2% of agreed value, minimum $10,000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10763.24</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CANON-202602-004851</t>
        </is>
      </c>
      <c r="B137" s="30" t="inlineStr">
        <is>
          <t xml:space="preserve">Noor Montoya</t>
        </is>
      </c>
      <c r="C137" s="31">
        <v>46072</v>
      </c>
      <c r="D137" s="32" t="inlineStr">
        <is>
          <t xml:space="preserve">Bound - within authority</t>
        </is>
      </c>
      <c r="E137" s="32" t="inlineStr">
        <is>
          <t xml:space="preserve">New business</t>
        </is>
      </c>
      <c r="F137" s="30" t="inlineStr">
        <is>
          <t xml:space="preserve">B1234EXOTIC26</t>
        </is>
      </c>
      <c r="G137" s="33">
        <f>IF($A137="","",IF($C137="","",YEAR($C137)))</f>
      </c>
      <c r="H137" s="34">
        <v>2005</v>
      </c>
      <c r="I137" s="30" t="inlineStr">
        <is>
          <t xml:space="preserve">Jaguar</t>
        </is>
      </c>
      <c r="J137" s="30" t="inlineStr">
        <is>
          <t xml:space="preserve">E-Type Series 1</t>
        </is>
      </c>
      <c r="K137" s="30" t="inlineStr">
        <is>
          <t xml:space="preserve">GU1GK80XV36WRA8AD</t>
        </is>
      </c>
      <c r="L137" s="32" t="inlineStr">
        <is>
          <t xml:space="preserve">09 - Youngtimer / Collectible (2000-2010)</t>
        </is>
      </c>
      <c r="M137" s="35">
        <v>450000</v>
      </c>
      <c r="N137" s="32" t="inlineStr">
        <is>
          <t xml:space="preserve">Personal</t>
        </is>
      </c>
      <c r="O137" s="30" t="inlineStr">
        <is>
          <t xml:space="preserve">Personal - regular use</t>
        </is>
      </c>
      <c r="P137" s="30" t="inlineStr">
        <is>
          <t xml:space="preserve">1,000 - 2,500</t>
        </is>
      </c>
      <c r="Q137" s="30" t="inlineStr">
        <is>
          <t xml:space="preserve">Alaska</t>
        </is>
      </c>
      <c r="R137" s="30" t="inlineStr">
        <is>
          <t xml:space="preserve">99501</t>
        </is>
      </c>
      <c r="S137" s="32" t="inlineStr">
        <is>
          <t xml:space="preserve">Earthquake - high (CA, Cascadia, New Madrid)</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4084.8</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CANON-202602-004852</t>
        </is>
      </c>
      <c r="B138" s="46" t="inlineStr">
        <is>
          <t xml:space="preserve">Cassius Underwood</t>
        </is>
      </c>
      <c r="C138" s="47">
        <v>46071</v>
      </c>
      <c r="D138" s="48" t="inlineStr">
        <is>
          <t xml:space="preserve">Bound - within authority</t>
        </is>
      </c>
      <c r="E138" s="48" t="inlineStr">
        <is>
          <t xml:space="preserve">New business</t>
        </is>
      </c>
      <c r="F138" s="46" t="inlineStr">
        <is>
          <t xml:space="preserve">B1234EXOTIC26</t>
        </is>
      </c>
      <c r="G138" s="33">
        <f>IF($A138="","",IF($C138="","",YEAR($C138)))</f>
      </c>
      <c r="H138" s="49">
        <v>2018</v>
      </c>
      <c r="I138" s="46" t="inlineStr">
        <is>
          <t xml:space="preserve">Ferrari</t>
        </is>
      </c>
      <c r="J138" s="46" t="inlineStr">
        <is>
          <t xml:space="preserve">296 GTB</t>
        </is>
      </c>
      <c r="K138" s="46" t="inlineStr">
        <is>
          <t xml:space="preserve">4RDKYMST8UUV4HD4G</t>
        </is>
      </c>
      <c r="L138" s="48" t="inlineStr">
        <is>
          <t xml:space="preserve">03 - Supercar</t>
        </is>
      </c>
      <c r="M138" s="50">
        <v>475000</v>
      </c>
      <c r="N138" s="48" t="inlineStr">
        <is>
          <t xml:space="preserve">Personal</t>
        </is>
      </c>
      <c r="O138" s="46" t="inlineStr">
        <is>
          <t xml:space="preserve">Personal - regular use</t>
        </is>
      </c>
      <c r="P138" s="46" t="inlineStr">
        <is>
          <t xml:space="preserve">Under 1,000</t>
        </is>
      </c>
      <c r="Q138" s="46" t="inlineStr">
        <is>
          <t xml:space="preserve">Hawaii</t>
        </is>
      </c>
      <c r="R138" s="46" t="inlineStr">
        <is>
          <t xml:space="preserve">96813</t>
        </is>
      </c>
      <c r="S138" s="48" t="inlineStr">
        <is>
          <t xml:space="preserve">Earthquake - high (CA, Cascadia, New Madrid)</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11780.03</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CANON-202602-004854</t>
        </is>
      </c>
      <c r="B139" s="30" t="inlineStr">
        <is>
          <t xml:space="preserve">Ottilie Farkas</t>
        </is>
      </c>
      <c r="C139" s="31">
        <v>46068</v>
      </c>
      <c r="D139" s="32" t="inlineStr">
        <is>
          <t xml:space="preserve">Bound - within authority</t>
        </is>
      </c>
      <c r="E139" s="32" t="inlineStr">
        <is>
          <t xml:space="preserve">New business</t>
        </is>
      </c>
      <c r="F139" s="30" t="inlineStr">
        <is>
          <t xml:space="preserve">B1234EXOTIC26</t>
        </is>
      </c>
      <c r="G139" s="33">
        <f>IF($A139="","",IF($C139="","",YEAR($C139)))</f>
      </c>
      <c r="H139" s="34">
        <v>2001</v>
      </c>
      <c r="I139" s="30" t="inlineStr">
        <is>
          <t xml:space="preserve">Bentley</t>
        </is>
      </c>
      <c r="J139" s="30" t="inlineStr">
        <is>
          <t xml:space="preserve">Continental GT</t>
        </is>
      </c>
      <c r="K139" s="30" t="inlineStr">
        <is>
          <t xml:space="preserve">5EUP9HAB74VEDF1AS</t>
        </is>
      </c>
      <c r="L139" s="32" t="inlineStr">
        <is>
          <t xml:space="preserve">02 - Sports / GT</t>
        </is>
      </c>
      <c r="M139" s="35">
        <v>275000</v>
      </c>
      <c r="N139" s="32" t="inlineStr">
        <is>
          <t xml:space="preserve">Personal</t>
        </is>
      </c>
      <c r="O139" s="30" t="inlineStr">
        <is>
          <t xml:space="preserve">Personal - regular use</t>
        </is>
      </c>
      <c r="P139" s="30" t="inlineStr">
        <is>
          <t xml:space="preserve">1,000 - 2,500</t>
        </is>
      </c>
      <c r="Q139" s="30" t="inlineStr">
        <is>
          <t xml:space="preserve">South Carolina</t>
        </is>
      </c>
      <c r="R139" s="30" t="inlineStr">
        <is>
          <t xml:space="preserve">29401</t>
        </is>
      </c>
      <c r="S139" s="32" t="inlineStr">
        <is>
          <t xml:space="preserve">Tier 2 - Coastal wind (1-25 miles)</t>
        </is>
      </c>
      <c r="T139" s="36">
        <f>IF($A139="","",IF($S139="","",IFERROR(INDEX('[1]natural catastrophe'!$D$6:$D$17,MATCH($S139,'[1]natural catastrophe'!$B$6:$B$17,0)),"?")))</f>
      </c>
      <c r="U139" s="30" t="inlineStr">
        <is>
          <t xml:space="preserve">2% of agreed value, minimum $10,000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4242.55</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CANON-202602-004856</t>
        </is>
      </c>
      <c r="B140" s="46" t="inlineStr">
        <is>
          <t xml:space="preserve">Desmond Underwood</t>
        </is>
      </c>
      <c r="C140" s="47">
        <v>46067</v>
      </c>
      <c r="D140" s="48" t="inlineStr">
        <is>
          <t xml:space="preserve">Bound - within authority</t>
        </is>
      </c>
      <c r="E140" s="48" t="inlineStr">
        <is>
          <t xml:space="preserve">New business</t>
        </is>
      </c>
      <c r="F140" s="46" t="inlineStr">
        <is>
          <t xml:space="preserve">B1234EXOTIC26</t>
        </is>
      </c>
      <c r="G140" s="33">
        <f>IF($A140="","",IF($C140="","",YEAR($C140)))</f>
      </c>
      <c r="H140" s="49">
        <v>1992</v>
      </c>
      <c r="I140" s="46" t="inlineStr">
        <is>
          <t xml:space="preserve">Lamborghini</t>
        </is>
      </c>
      <c r="J140" s="46" t="inlineStr">
        <is>
          <t xml:space="preserve">Huracan EVO</t>
        </is>
      </c>
      <c r="K140" s="46" t="inlineStr">
        <is>
          <t xml:space="preserve">DM1FEDX09XXX5GFLN</t>
        </is>
      </c>
      <c r="L140" s="48" t="inlineStr">
        <is>
          <t xml:space="preserve">03 - Supercar</t>
        </is>
      </c>
      <c r="M140" s="50">
        <v>1060000</v>
      </c>
      <c r="N140" s="48" t="inlineStr">
        <is>
          <t xml:space="preserve">Personal</t>
        </is>
      </c>
      <c r="O140" s="46" t="inlineStr">
        <is>
          <t xml:space="preserve">Personal - regular use</t>
        </is>
      </c>
      <c r="P140" s="46" t="inlineStr">
        <is>
          <t xml:space="preserve">1,000 - 2,500</t>
        </is>
      </c>
      <c r="Q140" s="46" t="inlineStr">
        <is>
          <t xml:space="preserve">Idaho</t>
        </is>
      </c>
      <c r="R140" s="46" t="inlineStr">
        <is>
          <t xml:space="preserve">83702</t>
        </is>
      </c>
      <c r="S140" s="48" t="inlineStr">
        <is>
          <t xml:space="preserve">Wildfire - WUI high hazard</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13926.53</v>
      </c>
      <c r="AC140" s="51">
        <v>0</v>
      </c>
      <c r="AD140" s="38">
        <f>IF(ISNUMBER($AB140),$AB140*(1+N($AC140)),"")</f>
      </c>
      <c r="AE140" s="50">
        <v>350</v>
      </c>
      <c r="AF140" s="50">
        <v>250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CANON-202602-004857</t>
        </is>
      </c>
      <c r="B141" s="30" t="inlineStr">
        <is>
          <t xml:space="preserve">Marisol Harrington</t>
        </is>
      </c>
      <c r="C141" s="31">
        <v>46080</v>
      </c>
      <c r="D141" s="32" t="inlineStr">
        <is>
          <t xml:space="preserve">Bound - within authority</t>
        </is>
      </c>
      <c r="E141" s="32" t="inlineStr">
        <is>
          <t xml:space="preserve">New business</t>
        </is>
      </c>
      <c r="F141" s="30" t="inlineStr">
        <is>
          <t xml:space="preserve">B1234EXOTIC26</t>
        </is>
      </c>
      <c r="G141" s="33">
        <f>IF($A141="","",IF($C141="","",YEAR($C141)))</f>
      </c>
      <c r="H141" s="34">
        <v>2001</v>
      </c>
      <c r="I141" s="30" t="inlineStr">
        <is>
          <t xml:space="preserve">Bentley</t>
        </is>
      </c>
      <c r="J141" s="30" t="inlineStr">
        <is>
          <t xml:space="preserve">Continental GT</t>
        </is>
      </c>
      <c r="K141" s="30" t="inlineStr">
        <is>
          <t xml:space="preserve">W2A7FS3918JFWPHS5</t>
        </is>
      </c>
      <c r="L141" s="32" t="inlineStr">
        <is>
          <t xml:space="preserve">02 - Sports / GT</t>
        </is>
      </c>
      <c r="M141" s="35">
        <v>1925000</v>
      </c>
      <c r="N141" s="32" t="inlineStr">
        <is>
          <t xml:space="preserve">Personal</t>
        </is>
      </c>
      <c r="O141" s="30" t="inlineStr">
        <is>
          <t xml:space="preserve">Personal - regular use</t>
        </is>
      </c>
      <c r="P141" s="30" t="inlineStr">
        <is>
          <t xml:space="preserve">2,500 - 5,000</t>
        </is>
      </c>
      <c r="Q141" s="30" t="inlineStr">
        <is>
          <t xml:space="preserve">Michigan</t>
        </is>
      </c>
      <c r="R141" s="30" t="inlineStr">
        <is>
          <t xml:space="preserve">48226</t>
        </is>
      </c>
      <c r="S141" s="32" t="inlineStr">
        <is>
          <t xml:space="preserve">Severe convective - hail / tornado (moderate)</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27223.06</v>
      </c>
      <c r="AC141" s="37">
        <v>0</v>
      </c>
      <c r="AD141" s="38">
        <f>IF(ISNUMBER($AB141),$AB141*(1+N($AC141)),"")</f>
      </c>
      <c r="AE141" s="35">
        <v>350</v>
      </c>
      <c r="AF141" s="35">
        <v>250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CANON-202602-004858</t>
        </is>
      </c>
      <c r="B142" s="46" t="inlineStr">
        <is>
          <t xml:space="preserve">Mireille Whitlock</t>
        </is>
      </c>
      <c r="C142" s="47">
        <v>46070</v>
      </c>
      <c r="D142" s="48" t="inlineStr">
        <is>
          <t xml:space="preserve">Bound - within authority</t>
        </is>
      </c>
      <c r="E142" s="48" t="inlineStr">
        <is>
          <t xml:space="preserve">New business</t>
        </is>
      </c>
      <c r="F142" s="46" t="inlineStr">
        <is>
          <t xml:space="preserve">B1234EXOTIC26</t>
        </is>
      </c>
      <c r="G142" s="33">
        <f>IF($A142="","",IF($C142="","",YEAR($C142)))</f>
      </c>
      <c r="H142" s="49">
        <v>2013</v>
      </c>
      <c r="I142" s="46" t="inlineStr">
        <is>
          <t xml:space="preserve">Porsche</t>
        </is>
      </c>
      <c r="J142" s="46" t="inlineStr">
        <is>
          <t xml:space="preserve">911 Turbo S</t>
        </is>
      </c>
      <c r="K142" s="46" t="inlineStr">
        <is>
          <t xml:space="preserve">1RJFPM0W7H31YX7RF</t>
        </is>
      </c>
      <c r="L142" s="48" t="inlineStr">
        <is>
          <t xml:space="preserve">02 - Sports / GT</t>
        </is>
      </c>
      <c r="M142" s="50">
        <v>390000</v>
      </c>
      <c r="N142" s="48" t="inlineStr">
        <is>
          <t xml:space="preserve">Personal</t>
        </is>
      </c>
      <c r="O142" s="46" t="inlineStr">
        <is>
          <t xml:space="preserve">Personal - regular use</t>
        </is>
      </c>
      <c r="P142" s="46" t="inlineStr">
        <is>
          <t xml:space="preserve">2,500 - 5,000</t>
        </is>
      </c>
      <c r="Q142" s="46" t="inlineStr">
        <is>
          <t xml:space="preserve">Pennsylvania</t>
        </is>
      </c>
      <c r="R142" s="46" t="inlineStr">
        <is>
          <t xml:space="preserve">19103</t>
        </is>
      </c>
      <c r="S142" s="48" t="inlineStr">
        <is>
          <t xml:space="preserve">Low hazard - inland benign</t>
        </is>
      </c>
      <c r="T142" s="36">
        <f>IF($A142="","",IF($S142="","",IFERROR(INDEX('[1]natural catastrophe'!$D$6:$D$17,MATCH($S142,'[1]natural catastrophe'!$B$6:$B$17,0)),"?")))</f>
      </c>
      <c r="U142" s="46" t="inlineStr">
        <is>
          <t xml:space="preserve">$5,000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4852.19</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CANON-202602-004859</t>
        </is>
      </c>
      <c r="B143" s="30" t="inlineStr">
        <is>
          <t xml:space="preserve">Thaddeus Okonkwo</t>
        </is>
      </c>
      <c r="C143" s="31">
        <v>46062</v>
      </c>
      <c r="D143" s="32" t="inlineStr">
        <is>
          <t xml:space="preserve">Bound - within authority</t>
        </is>
      </c>
      <c r="E143" s="32" t="inlineStr">
        <is>
          <t xml:space="preserve">New business</t>
        </is>
      </c>
      <c r="F143" s="30" t="inlineStr">
        <is>
          <t xml:space="preserve">B1234EXOTIC26</t>
        </is>
      </c>
      <c r="G143" s="33">
        <f>IF($A143="","",IF($C143="","",YEAR($C143)))</f>
      </c>
      <c r="H143" s="34">
        <v>1986</v>
      </c>
      <c r="I143" s="30" t="inlineStr">
        <is>
          <t xml:space="preserve">Ferrari</t>
        </is>
      </c>
      <c r="J143" s="30" t="inlineStr">
        <is>
          <t xml:space="preserve">275 GTB/4</t>
        </is>
      </c>
      <c r="K143" s="30" t="inlineStr">
        <is>
          <t xml:space="preserve">59CF9JKXSHNKENB72</t>
        </is>
      </c>
      <c r="L143" s="32" t="inlineStr">
        <is>
          <t xml:space="preserve">08 - Modern Classic (1973-1999)</t>
        </is>
      </c>
      <c r="M143" s="35">
        <v>445000</v>
      </c>
      <c r="N143" s="32" t="inlineStr">
        <is>
          <t xml:space="preserve">Personal</t>
        </is>
      </c>
      <c r="O143" s="30" t="inlineStr">
        <is>
          <t xml:space="preserve">Personal - regular use</t>
        </is>
      </c>
      <c r="P143" s="30" t="inlineStr">
        <is>
          <t xml:space="preserve">1,000 - 2,500</t>
        </is>
      </c>
      <c r="Q143" s="30" t="inlineStr">
        <is>
          <t xml:space="preserve">California</t>
        </is>
      </c>
      <c r="R143" s="30" t="inlineStr">
        <is>
          <t xml:space="preserve">90012</t>
        </is>
      </c>
      <c r="S143" s="32" t="inlineStr">
        <is>
          <t xml:space="preserve">Earthquake - high (CA, Cascadia, New Madrid)</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4783.51</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CANON-202602-004860</t>
        </is>
      </c>
      <c r="B144" s="46" t="inlineStr">
        <is>
          <t xml:space="preserve">Ottilie Kingsford</t>
        </is>
      </c>
      <c r="C144" s="47">
        <v>46078</v>
      </c>
      <c r="D144" s="48" t="inlineStr">
        <is>
          <t xml:space="preserve">Bound - within authority</t>
        </is>
      </c>
      <c r="E144" s="48" t="inlineStr">
        <is>
          <t xml:space="preserve">New business</t>
        </is>
      </c>
      <c r="F144" s="46" t="inlineStr">
        <is>
          <t xml:space="preserve">B1234EXOTIC26</t>
        </is>
      </c>
      <c r="G144" s="33">
        <f>IF($A144="","",IF($C144="","",YEAR($C144)))</f>
      </c>
      <c r="H144" s="49">
        <v>1973</v>
      </c>
      <c r="I144" s="46" t="inlineStr">
        <is>
          <t xml:space="preserve">Lamborghini</t>
        </is>
      </c>
      <c r="J144" s="46" t="inlineStr">
        <is>
          <t xml:space="preserve">Huracan EVO</t>
        </is>
      </c>
      <c r="K144" s="46" t="inlineStr">
        <is>
          <t xml:space="preserve">SCCF5P5G1CD319TKU</t>
        </is>
      </c>
      <c r="L144" s="48" t="inlineStr">
        <is>
          <t xml:space="preserve">03 - Supercar</t>
        </is>
      </c>
      <c r="M144" s="50">
        <v>645000</v>
      </c>
      <c r="N144" s="48" t="inlineStr">
        <is>
          <t xml:space="preserve">Personal</t>
        </is>
      </c>
      <c r="O144" s="46" t="inlineStr">
        <is>
          <t xml:space="preserve">Personal - regular use</t>
        </is>
      </c>
      <c r="P144" s="46" t="inlineStr">
        <is>
          <t xml:space="preserve">2,500 - 5,000</t>
        </is>
      </c>
      <c r="Q144" s="46" t="inlineStr">
        <is>
          <t xml:space="preserve">Arkansas</t>
        </is>
      </c>
      <c r="R144" s="46" t="inlineStr">
        <is>
          <t xml:space="preserve">72201</t>
        </is>
      </c>
      <c r="S144" s="48" t="inlineStr">
        <is>
          <t xml:space="preserve">Severe convective - hail / tornado (moderate)</t>
        </is>
      </c>
      <c r="T144" s="36">
        <f>IF($A144="","",IF($S144="","",IFERROR(INDEX('[1]natural catastrophe'!$D$6:$D$17,MATCH($S144,'[1]natural catastrophe'!$B$6:$B$17,0)),"?")))</f>
      </c>
      <c r="U144" s="46" t="inlineStr">
        <is>
          <t xml:space="preserve">$5,000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14027.3</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CANON-202602-004861</t>
        </is>
      </c>
      <c r="B145" s="30" t="inlineStr">
        <is>
          <t xml:space="preserve">Delphine Harrington</t>
        </is>
      </c>
      <c r="C145" s="31">
        <v>46074</v>
      </c>
      <c r="D145" s="32" t="inlineStr">
        <is>
          <t xml:space="preserve">Bound - within authority</t>
        </is>
      </c>
      <c r="E145" s="32" t="inlineStr">
        <is>
          <t xml:space="preserve">New business</t>
        </is>
      </c>
      <c r="F145" s="30" t="inlineStr">
        <is>
          <t xml:space="preserve">B1234EXOTIC26</t>
        </is>
      </c>
      <c r="G145" s="33">
        <f>IF($A145="","",IF($C145="","",YEAR($C145)))</f>
      </c>
      <c r="H145" s="34">
        <v>1976</v>
      </c>
      <c r="I145" s="30" t="inlineStr">
        <is>
          <t xml:space="preserve">Porsche</t>
        </is>
      </c>
      <c r="J145" s="30" t="inlineStr">
        <is>
          <t xml:space="preserve">911 Turbo S</t>
        </is>
      </c>
      <c r="K145" s="30" t="inlineStr">
        <is>
          <t xml:space="preserve">ZFBK0TEUPJ5VJ52XP</t>
        </is>
      </c>
      <c r="L145" s="32" t="inlineStr">
        <is>
          <t xml:space="preserve">02 - Sports / GT</t>
        </is>
      </c>
      <c r="M145" s="35">
        <v>830000</v>
      </c>
      <c r="N145" s="32" t="inlineStr">
        <is>
          <t xml:space="preserve">Personal</t>
        </is>
      </c>
      <c r="O145" s="30" t="inlineStr">
        <is>
          <t xml:space="preserve">Personal - regular use</t>
        </is>
      </c>
      <c r="P145" s="30" t="inlineStr">
        <is>
          <t xml:space="preserve">1,000 - 2,500</t>
        </is>
      </c>
      <c r="Q145" s="30" t="inlineStr">
        <is>
          <t xml:space="preserve">Massachusetts</t>
        </is>
      </c>
      <c r="R145" s="30" t="inlineStr">
        <is>
          <t xml:space="preserve">02108</t>
        </is>
      </c>
      <c r="S145" s="32" t="inlineStr">
        <is>
          <t xml:space="preserve">Tier 3 - Coastal wind (25-100 miles)</t>
        </is>
      </c>
      <c r="T145" s="36">
        <f>IF($A145="","",IF($S145="","",IFERROR(INDEX('[1]natural catastrophe'!$D$6:$D$17,MATCH($S145,'[1]natural catastrophe'!$B$6:$B$17,0)),"?")))</f>
      </c>
      <c r="U145" s="30" t="inlineStr">
        <is>
          <t xml:space="preserve">2% of agreed value, minimum $10,000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11186.99</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CANON-202602-004862</t>
        </is>
      </c>
      <c r="B146" s="46" t="inlineStr">
        <is>
          <t xml:space="preserve">Fenwick Whitlock</t>
        </is>
      </c>
      <c r="C146" s="47">
        <v>46065</v>
      </c>
      <c r="D146" s="48" t="inlineStr">
        <is>
          <t xml:space="preserve">Bound - within authority</t>
        </is>
      </c>
      <c r="E146" s="48" t="inlineStr">
        <is>
          <t xml:space="preserve">New business</t>
        </is>
      </c>
      <c r="F146" s="46" t="inlineStr">
        <is>
          <t xml:space="preserve">B1234EXOTIC26</t>
        </is>
      </c>
      <c r="G146" s="33">
        <f>IF($A146="","",IF($C146="","",YEAR($C146)))</f>
      </c>
      <c r="H146" s="49">
        <v>1961</v>
      </c>
      <c r="I146" s="46" t="inlineStr">
        <is>
          <t xml:space="preserve">Maserati</t>
        </is>
      </c>
      <c r="J146" s="46" t="inlineStr">
        <is>
          <t xml:space="preserve">GranTurismo</t>
        </is>
      </c>
      <c r="K146" s="46" t="inlineStr">
        <is>
          <t xml:space="preserve">4KP6XT0XPSG6MJ076</t>
        </is>
      </c>
      <c r="L146" s="48" t="inlineStr">
        <is>
          <t xml:space="preserve">02 - Sports / GT</t>
        </is>
      </c>
      <c r="M146" s="50">
        <v>1950000</v>
      </c>
      <c r="N146" s="48" t="inlineStr">
        <is>
          <t xml:space="preserve">Personal</t>
        </is>
      </c>
      <c r="O146" s="46" t="inlineStr">
        <is>
          <t xml:space="preserve">Personal - regular use</t>
        </is>
      </c>
      <c r="P146" s="46" t="inlineStr">
        <is>
          <t xml:space="preserve">2,500 - 5,000</t>
        </is>
      </c>
      <c r="Q146" s="46" t="inlineStr">
        <is>
          <t xml:space="preserve">Pennsylvania</t>
        </is>
      </c>
      <c r="R146" s="46" t="inlineStr">
        <is>
          <t xml:space="preserve">19103</t>
        </is>
      </c>
      <c r="S146" s="48" t="inlineStr">
        <is>
          <t xml:space="preserve">Low hazard - inland benign</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17791.36</v>
      </c>
      <c r="AC146" s="51">
        <v>0</v>
      </c>
      <c r="AD146" s="38">
        <f>IF(ISNUMBER($AB146),$AB146*(1+N($AC146)),"")</f>
      </c>
      <c r="AE146" s="50">
        <v>350</v>
      </c>
      <c r="AF146" s="50">
        <v>250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CANON-202602-004864</t>
        </is>
      </c>
      <c r="B147" s="30" t="inlineStr">
        <is>
          <t xml:space="preserve">Anouk Okonkwo</t>
        </is>
      </c>
      <c r="C147" s="31">
        <v>46073</v>
      </c>
      <c r="D147" s="32" t="inlineStr">
        <is>
          <t xml:space="preserve">Bound - within authority</t>
        </is>
      </c>
      <c r="E147" s="32" t="inlineStr">
        <is>
          <t xml:space="preserve">New business</t>
        </is>
      </c>
      <c r="F147" s="30" t="inlineStr">
        <is>
          <t xml:space="preserve">B1234EXOTIC26</t>
        </is>
      </c>
      <c r="G147" s="33">
        <f>IF($A147="","",IF($C147="","",YEAR($C147)))</f>
      </c>
      <c r="H147" s="34">
        <v>2015</v>
      </c>
      <c r="I147" s="30" t="inlineStr">
        <is>
          <t xml:space="preserve">Aston Martin</t>
        </is>
      </c>
      <c r="J147" s="30" t="inlineStr">
        <is>
          <t xml:space="preserve">DB5</t>
        </is>
      </c>
      <c r="K147" s="30" t="inlineStr">
        <is>
          <t xml:space="preserve">B6KAFK99D2BJH41L3</t>
        </is>
      </c>
      <c r="L147" s="32" t="inlineStr">
        <is>
          <t xml:space="preserve">02 - Sports / GT</t>
        </is>
      </c>
      <c r="M147" s="35">
        <v>830000</v>
      </c>
      <c r="N147" s="32" t="inlineStr">
        <is>
          <t xml:space="preserve">Personal</t>
        </is>
      </c>
      <c r="O147" s="30" t="inlineStr">
        <is>
          <t xml:space="preserve">Personal - regular use</t>
        </is>
      </c>
      <c r="P147" s="30" t="inlineStr">
        <is>
          <t xml:space="preserve">2,500 - 5,000</t>
        </is>
      </c>
      <c r="Q147" s="30" t="inlineStr">
        <is>
          <t xml:space="preserve">Arkansas</t>
        </is>
      </c>
      <c r="R147" s="30" t="inlineStr">
        <is>
          <t xml:space="preserve">72201</t>
        </is>
      </c>
      <c r="S147" s="32" t="inlineStr">
        <is>
          <t xml:space="preserve">Severe convective - hail / tornado (moderate)</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8170.29</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CANON-202602-004865</t>
        </is>
      </c>
      <c r="B148" s="46" t="inlineStr">
        <is>
          <t xml:space="preserve">Aurelio Kingsford</t>
        </is>
      </c>
      <c r="C148" s="47">
        <v>46058</v>
      </c>
      <c r="D148" s="48" t="inlineStr">
        <is>
          <t xml:space="preserve">Bound - within authority</t>
        </is>
      </c>
      <c r="E148" s="48" t="inlineStr">
        <is>
          <t xml:space="preserve">New business</t>
        </is>
      </c>
      <c r="F148" s="46" t="inlineStr">
        <is>
          <t xml:space="preserve">B1234EXOTIC26</t>
        </is>
      </c>
      <c r="G148" s="33">
        <f>IF($A148="","",IF($C148="","",YEAR($C148)))</f>
      </c>
      <c r="H148" s="49">
        <v>2000</v>
      </c>
      <c r="I148" s="46" t="inlineStr">
        <is>
          <t xml:space="preserve">Mercedes-Benz</t>
        </is>
      </c>
      <c r="J148" s="46" t="inlineStr">
        <is>
          <t xml:space="preserve">AMG GT</t>
        </is>
      </c>
      <c r="K148" s="46" t="inlineStr">
        <is>
          <t xml:space="preserve">B6CZ8H9W8351KGZW0</t>
        </is>
      </c>
      <c r="L148" s="48" t="inlineStr">
        <is>
          <t xml:space="preserve">02 - Sports / GT</t>
        </is>
      </c>
      <c r="M148" s="50">
        <v>845000</v>
      </c>
      <c r="N148" s="48" t="inlineStr">
        <is>
          <t xml:space="preserve">Personal</t>
        </is>
      </c>
      <c r="O148" s="46" t="inlineStr">
        <is>
          <t xml:space="preserve">Personal - regular use</t>
        </is>
      </c>
      <c r="P148" s="46" t="inlineStr">
        <is>
          <t xml:space="preserve">Under 1,000</t>
        </is>
      </c>
      <c r="Q148" s="46" t="inlineStr">
        <is>
          <t xml:space="preserve">Utah</t>
        </is>
      </c>
      <c r="R148" s="46" t="inlineStr">
        <is>
          <t xml:space="preserve">84101</t>
        </is>
      </c>
      <c r="S148" s="48" t="inlineStr">
        <is>
          <t xml:space="preserve">Wildfire - WUI high hazard</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12300.3</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CANON-202602-004866</t>
        </is>
      </c>
      <c r="B149" s="30" t="inlineStr">
        <is>
          <t xml:space="preserve">Callum Larsson</t>
        </is>
      </c>
      <c r="C149" s="31">
        <v>46067</v>
      </c>
      <c r="D149" s="32" t="inlineStr">
        <is>
          <t xml:space="preserve">Bound - within authority</t>
        </is>
      </c>
      <c r="E149" s="32" t="inlineStr">
        <is>
          <t xml:space="preserve">New business</t>
        </is>
      </c>
      <c r="F149" s="30" t="inlineStr">
        <is>
          <t xml:space="preserve">B1234EXOTIC26</t>
        </is>
      </c>
      <c r="G149" s="33">
        <f>IF($A149="","",IF($C149="","",YEAR($C149)))</f>
      </c>
      <c r="H149" s="34">
        <v>1989</v>
      </c>
      <c r="I149" s="30" t="inlineStr">
        <is>
          <t xml:space="preserve">Ferrari</t>
        </is>
      </c>
      <c r="J149" s="30" t="inlineStr">
        <is>
          <t xml:space="preserve">296 GTB</t>
        </is>
      </c>
      <c r="K149" s="30" t="inlineStr">
        <is>
          <t xml:space="preserve">3DL4LM31P5U9KDUKH</t>
        </is>
      </c>
      <c r="L149" s="32" t="inlineStr">
        <is>
          <t xml:space="preserve">03 - Supercar</t>
        </is>
      </c>
      <c r="M149" s="35">
        <v>355000</v>
      </c>
      <c r="N149" s="32" t="inlineStr">
        <is>
          <t xml:space="preserve">Personal</t>
        </is>
      </c>
      <c r="O149" s="30" t="inlineStr">
        <is>
          <t xml:space="preserve">Personal - regular use</t>
        </is>
      </c>
      <c r="P149" s="30" t="inlineStr">
        <is>
          <t xml:space="preserve">1,000 - 2,500</t>
        </is>
      </c>
      <c r="Q149" s="30" t="inlineStr">
        <is>
          <t xml:space="preserve">Vermont</t>
        </is>
      </c>
      <c r="R149" s="30" t="inlineStr">
        <is>
          <t xml:space="preserve">05601</t>
        </is>
      </c>
      <c r="S149" s="32" t="inlineStr">
        <is>
          <t xml:space="preserve">Low hazard - inland benign</t>
        </is>
      </c>
      <c r="T149" s="36">
        <f>IF($A149="","",IF($S149="","",IFERROR(INDEX('[1]natural catastrophe'!$D$6:$D$17,MATCH($S149,'[1]natural catastrophe'!$B$6:$B$17,0)),"?")))</f>
      </c>
      <c r="U149" s="30" t="inlineStr">
        <is>
          <t xml:space="preserve">$5,000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8262.24</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CANON-202602-004867</t>
        </is>
      </c>
      <c r="B150" s="46" t="inlineStr">
        <is>
          <t xml:space="preserve">Wilhelmina Harrington</t>
        </is>
      </c>
      <c r="C150" s="47">
        <v>46068</v>
      </c>
      <c r="D150" s="48" t="inlineStr">
        <is>
          <t xml:space="preserve">Bound - within authority</t>
        </is>
      </c>
      <c r="E150" s="48" t="inlineStr">
        <is>
          <t xml:space="preserve">New business</t>
        </is>
      </c>
      <c r="F150" s="46" t="inlineStr">
        <is>
          <t xml:space="preserve">B1234EXOTIC26</t>
        </is>
      </c>
      <c r="G150" s="33">
        <f>IF($A150="","",IF($C150="","",YEAR($C150)))</f>
      </c>
      <c r="H150" s="49">
        <v>1990</v>
      </c>
      <c r="I150" s="46" t="inlineStr">
        <is>
          <t xml:space="preserve">Mercedes-Benz</t>
        </is>
      </c>
      <c r="J150" s="46" t="inlineStr">
        <is>
          <t xml:space="preserve">280SL Pagoda</t>
        </is>
      </c>
      <c r="K150" s="46" t="inlineStr">
        <is>
          <t xml:space="preserve">Y4R7H3ULD7UY29BE2</t>
        </is>
      </c>
      <c r="L150" s="48" t="inlineStr">
        <is>
          <t xml:space="preserve">08 - Modern Classic (1973-1999)</t>
        </is>
      </c>
      <c r="M150" s="50">
        <v>295000</v>
      </c>
      <c r="N150" s="48" t="inlineStr">
        <is>
          <t xml:space="preserve">Personal</t>
        </is>
      </c>
      <c r="O150" s="46" t="inlineStr">
        <is>
          <t xml:space="preserve">Personal - regular use</t>
        </is>
      </c>
      <c r="P150" s="46" t="inlineStr">
        <is>
          <t xml:space="preserve">2,500 - 5,000</t>
        </is>
      </c>
      <c r="Q150" s="46" t="inlineStr">
        <is>
          <t xml:space="preserve">Michigan</t>
        </is>
      </c>
      <c r="R150" s="46" t="inlineStr">
        <is>
          <t xml:space="preserve">48226</t>
        </is>
      </c>
      <c r="S150" s="48" t="inlineStr">
        <is>
          <t xml:space="preserve">Severe convective - hail / tornado (moderate)</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3640.88</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CANON-202602-004870</t>
        </is>
      </c>
      <c r="B151" s="30" t="inlineStr">
        <is>
          <t xml:space="preserve">Lorenzo Thistlewood</t>
        </is>
      </c>
      <c r="C151" s="31">
        <v>46077</v>
      </c>
      <c r="D151" s="32" t="inlineStr">
        <is>
          <t xml:space="preserve">Bound - within authority</t>
        </is>
      </c>
      <c r="E151" s="32" t="inlineStr">
        <is>
          <t xml:space="preserve">New business</t>
        </is>
      </c>
      <c r="F151" s="30" t="inlineStr">
        <is>
          <t xml:space="preserve">B1234EXOTIC26</t>
        </is>
      </c>
      <c r="G151" s="33">
        <f>IF($A151="","",IF($C151="","",YEAR($C151)))</f>
      </c>
      <c r="H151" s="34">
        <v>1991</v>
      </c>
      <c r="I151" s="30" t="inlineStr">
        <is>
          <t xml:space="preserve">Ferrari</t>
        </is>
      </c>
      <c r="J151" s="30" t="inlineStr">
        <is>
          <t xml:space="preserve">296 GTB</t>
        </is>
      </c>
      <c r="K151" s="30" t="inlineStr">
        <is>
          <t xml:space="preserve">WUKWD02KDJRTAN60G</t>
        </is>
      </c>
      <c r="L151" s="32" t="inlineStr">
        <is>
          <t xml:space="preserve">03 - Supercar</t>
        </is>
      </c>
      <c r="M151" s="35">
        <v>825000</v>
      </c>
      <c r="N151" s="32" t="inlineStr">
        <is>
          <t xml:space="preserve">Personal</t>
        </is>
      </c>
      <c r="O151" s="30" t="inlineStr">
        <is>
          <t xml:space="preserve">Personal - regular use</t>
        </is>
      </c>
      <c r="P151" s="30" t="inlineStr">
        <is>
          <t xml:space="preserve">Under 1,000</t>
        </is>
      </c>
      <c r="Q151" s="30" t="inlineStr">
        <is>
          <t xml:space="preserve">Massachusetts</t>
        </is>
      </c>
      <c r="R151" s="30" t="inlineStr">
        <is>
          <t xml:space="preserve">02108</t>
        </is>
      </c>
      <c r="S151" s="32" t="inlineStr">
        <is>
          <t xml:space="preserve">Tier 3 - Coastal wind (25-100 miles)</t>
        </is>
      </c>
      <c r="T151" s="36">
        <f>IF($A151="","",IF($S151="","",IFERROR(INDEX('[1]natural catastrophe'!$D$6:$D$17,MATCH($S151,'[1]natural catastrophe'!$B$6:$B$17,0)),"?")))</f>
      </c>
      <c r="U151" s="30" t="inlineStr">
        <is>
          <t xml:space="preserve">2% of agreed value, minimum $10,000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16251.72</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CANON-202602-004871</t>
        </is>
      </c>
      <c r="B152" s="46" t="inlineStr">
        <is>
          <t xml:space="preserve">Ottilie Pennington</t>
        </is>
      </c>
      <c r="C152" s="47">
        <v>46060</v>
      </c>
      <c r="D152" s="48" t="inlineStr">
        <is>
          <t xml:space="preserve">Bound - within authority</t>
        </is>
      </c>
      <c r="E152" s="48" t="inlineStr">
        <is>
          <t xml:space="preserve">New business</t>
        </is>
      </c>
      <c r="F152" s="46" t="inlineStr">
        <is>
          <t xml:space="preserve">B1234EXOTIC26</t>
        </is>
      </c>
      <c r="G152" s="33">
        <f>IF($A152="","",IF($C152="","",YEAR($C152)))</f>
      </c>
      <c r="H152" s="49">
        <v>1974</v>
      </c>
      <c r="I152" s="46" t="inlineStr">
        <is>
          <t xml:space="preserve">BMW</t>
        </is>
      </c>
      <c r="J152" s="46" t="inlineStr">
        <is>
          <t xml:space="preserve">M8 Competition</t>
        </is>
      </c>
      <c r="K152" s="46" t="inlineStr">
        <is>
          <t xml:space="preserve">N4CNEXFZ933217ZV5</t>
        </is>
      </c>
      <c r="L152" s="48" t="inlineStr">
        <is>
          <t xml:space="preserve">02 - Sports / GT</t>
        </is>
      </c>
      <c r="M152" s="50">
        <v>585000</v>
      </c>
      <c r="N152" s="48" t="inlineStr">
        <is>
          <t xml:space="preserve">Personal</t>
        </is>
      </c>
      <c r="O152" s="46" t="inlineStr">
        <is>
          <t xml:space="preserve">Personal - regular use</t>
        </is>
      </c>
      <c r="P152" s="46" t="inlineStr">
        <is>
          <t xml:space="preserve">Under 1,000</t>
        </is>
      </c>
      <c r="Q152" s="46" t="inlineStr">
        <is>
          <t xml:space="preserve">Illinois</t>
        </is>
      </c>
      <c r="R152" s="46" t="inlineStr">
        <is>
          <t xml:space="preserve">60601</t>
        </is>
      </c>
      <c r="S152" s="48" t="inlineStr">
        <is>
          <t xml:space="preserve">Severe convective - hail / tornado (moderate)</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8578.67</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CANON-202602-004872</t>
        </is>
      </c>
      <c r="B153" s="30" t="inlineStr">
        <is>
          <t xml:space="preserve">Delphine Castellanos</t>
        </is>
      </c>
      <c r="C153" s="31">
        <v>46057</v>
      </c>
      <c r="D153" s="32" t="inlineStr">
        <is>
          <t xml:space="preserve">Bound - within authority</t>
        </is>
      </c>
      <c r="E153" s="32" t="inlineStr">
        <is>
          <t xml:space="preserve">New business</t>
        </is>
      </c>
      <c r="F153" s="30" t="inlineStr">
        <is>
          <t xml:space="preserve">B1234EXOTIC26</t>
        </is>
      </c>
      <c r="G153" s="33">
        <f>IF($A153="","",IF($C153="","",YEAR($C153)))</f>
      </c>
      <c r="H153" s="34">
        <v>2007</v>
      </c>
      <c r="I153" s="30" t="inlineStr">
        <is>
          <t xml:space="preserve">McLaren</t>
        </is>
      </c>
      <c r="J153" s="30" t="inlineStr">
        <is>
          <t xml:space="preserve">750S</t>
        </is>
      </c>
      <c r="K153" s="30" t="inlineStr">
        <is>
          <t xml:space="preserve">Z1VXV07XUAF7ZG5FZ</t>
        </is>
      </c>
      <c r="L153" s="32" t="inlineStr">
        <is>
          <t xml:space="preserve">03 - Supercar</t>
        </is>
      </c>
      <c r="M153" s="35">
        <v>1365000</v>
      </c>
      <c r="N153" s="32" t="inlineStr">
        <is>
          <t xml:space="preserve">Personal</t>
        </is>
      </c>
      <c r="O153" s="30" t="inlineStr">
        <is>
          <t xml:space="preserve">Personal - regular use</t>
        </is>
      </c>
      <c r="P153" s="30" t="inlineStr">
        <is>
          <t xml:space="preserve">2,500 - 5,000</t>
        </is>
      </c>
      <c r="Q153" s="30" t="inlineStr">
        <is>
          <t xml:space="preserve">Wisconsin</t>
        </is>
      </c>
      <c r="R153" s="30" t="inlineStr">
        <is>
          <t xml:space="preserve">53202</t>
        </is>
      </c>
      <c r="S153" s="32" t="inlineStr">
        <is>
          <t xml:space="preserve">Severe convective - hail / tornado (moderate)</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21737.81</v>
      </c>
      <c r="AC153" s="37">
        <v>0</v>
      </c>
      <c r="AD153" s="38">
        <f>IF(ISNUMBER($AB153),$AB153*(1+N($AC153)),"")</f>
      </c>
      <c r="AE153" s="35">
        <v>350</v>
      </c>
      <c r="AF153" s="35">
        <v>250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CANON-202602-004873</t>
        </is>
      </c>
      <c r="B154" s="46" t="inlineStr">
        <is>
          <t xml:space="preserve">Noor Blackwood</t>
        </is>
      </c>
      <c r="C154" s="47">
        <v>46077</v>
      </c>
      <c r="D154" s="48" t="inlineStr">
        <is>
          <t xml:space="preserve">Bound - within authority</t>
        </is>
      </c>
      <c r="E154" s="48" t="inlineStr">
        <is>
          <t xml:space="preserve">New business</t>
        </is>
      </c>
      <c r="F154" s="46" t="inlineStr">
        <is>
          <t xml:space="preserve">B1234EXOTIC26</t>
        </is>
      </c>
      <c r="G154" s="33">
        <f>IF($A154="","",IF($C154="","",YEAR($C154)))</f>
      </c>
      <c r="H154" s="49">
        <v>2011</v>
      </c>
      <c r="I154" s="46" t="inlineStr">
        <is>
          <t xml:space="preserve">Porsche</t>
        </is>
      </c>
      <c r="J154" s="46" t="inlineStr">
        <is>
          <t xml:space="preserve">911 Turbo S</t>
        </is>
      </c>
      <c r="K154" s="46" t="inlineStr">
        <is>
          <t xml:space="preserve">3DPEANUR47WVT3DEB</t>
        </is>
      </c>
      <c r="L154" s="48" t="inlineStr">
        <is>
          <t xml:space="preserve">02 - Sports / GT</t>
        </is>
      </c>
      <c r="M154" s="50">
        <v>715000</v>
      </c>
      <c r="N154" s="48" t="inlineStr">
        <is>
          <t xml:space="preserve">Personal</t>
        </is>
      </c>
      <c r="O154" s="46" t="inlineStr">
        <is>
          <t xml:space="preserve">Personal - regular use</t>
        </is>
      </c>
      <c r="P154" s="46" t="inlineStr">
        <is>
          <t xml:space="preserve">Under 1,000</t>
        </is>
      </c>
      <c r="Q154" s="46" t="inlineStr">
        <is>
          <t xml:space="preserve">California</t>
        </is>
      </c>
      <c r="R154" s="46" t="inlineStr">
        <is>
          <t xml:space="preserve">90012</t>
        </is>
      </c>
      <c r="S154" s="48" t="inlineStr">
        <is>
          <t xml:space="preserve">Earthquake - high (CA, Cascadia, New Madrid)</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10407.94</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CANON-202602-004874</t>
        </is>
      </c>
      <c r="B155" s="30" t="inlineStr">
        <is>
          <t xml:space="preserve">Marisol Ashcombe</t>
        </is>
      </c>
      <c r="C155" s="31">
        <v>46067</v>
      </c>
      <c r="D155" s="32" t="inlineStr">
        <is>
          <t xml:space="preserve">Bound - within authority</t>
        </is>
      </c>
      <c r="E155" s="32" t="inlineStr">
        <is>
          <t xml:space="preserve">New business</t>
        </is>
      </c>
      <c r="F155" s="30" t="inlineStr">
        <is>
          <t xml:space="preserve">B1234EXOTIC26</t>
        </is>
      </c>
      <c r="G155" s="33">
        <f>IF($A155="","",IF($C155="","",YEAR($C155)))</f>
      </c>
      <c r="H155" s="34">
        <v>2001</v>
      </c>
      <c r="I155" s="30" t="inlineStr">
        <is>
          <t xml:space="preserve">Mercedes-Benz</t>
        </is>
      </c>
      <c r="J155" s="30" t="inlineStr">
        <is>
          <t xml:space="preserve">AMG GT</t>
        </is>
      </c>
      <c r="K155" s="30" t="inlineStr">
        <is>
          <t xml:space="preserve">34AF8JSNE4R11M6RN</t>
        </is>
      </c>
      <c r="L155" s="32" t="inlineStr">
        <is>
          <t xml:space="preserve">02 - Sports / GT</t>
        </is>
      </c>
      <c r="M155" s="35">
        <v>525000</v>
      </c>
      <c r="N155" s="32" t="inlineStr">
        <is>
          <t xml:space="preserve">Personal</t>
        </is>
      </c>
      <c r="O155" s="30" t="inlineStr">
        <is>
          <t xml:space="preserve">Personal - regular use</t>
        </is>
      </c>
      <c r="P155" s="30" t="inlineStr">
        <is>
          <t xml:space="preserve">2,500 - 5,000</t>
        </is>
      </c>
      <c r="Q155" s="30" t="inlineStr">
        <is>
          <t xml:space="preserve">South Dakota</t>
        </is>
      </c>
      <c r="R155" s="30" t="inlineStr">
        <is>
          <t xml:space="preserve">57501</t>
        </is>
      </c>
      <c r="S155" s="32" t="inlineStr">
        <is>
          <t xml:space="preserve">Severe convective - hail alley (high)</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6283.58</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CANON-202602-004875</t>
        </is>
      </c>
      <c r="B156" s="46" t="inlineStr">
        <is>
          <t xml:space="preserve">Marisol Thistlewood</t>
        </is>
      </c>
      <c r="C156" s="47">
        <v>46080</v>
      </c>
      <c r="D156" s="48" t="inlineStr">
        <is>
          <t xml:space="preserve">Bound - within authority</t>
        </is>
      </c>
      <c r="E156" s="48" t="inlineStr">
        <is>
          <t xml:space="preserve">New business</t>
        </is>
      </c>
      <c r="F156" s="46" t="inlineStr">
        <is>
          <t xml:space="preserve">B1234EXOTIC26</t>
        </is>
      </c>
      <c r="G156" s="33">
        <f>IF($A156="","",IF($C156="","",YEAR($C156)))</f>
      </c>
      <c r="H156" s="49">
        <v>1958</v>
      </c>
      <c r="I156" s="46" t="inlineStr">
        <is>
          <t xml:space="preserve">BMW</t>
        </is>
      </c>
      <c r="J156" s="46" t="inlineStr">
        <is>
          <t xml:space="preserve">M8 Competition</t>
        </is>
      </c>
      <c r="K156" s="46" t="inlineStr">
        <is>
          <t xml:space="preserve">B2D5HBN7Z9LUET52M</t>
        </is>
      </c>
      <c r="L156" s="48" t="inlineStr">
        <is>
          <t xml:space="preserve">02 - Sports / GT</t>
        </is>
      </c>
      <c r="M156" s="50">
        <v>270000</v>
      </c>
      <c r="N156" s="48" t="inlineStr">
        <is>
          <t xml:space="preserve">Personal</t>
        </is>
      </c>
      <c r="O156" s="46" t="inlineStr">
        <is>
          <t xml:space="preserve">Personal - regular use</t>
        </is>
      </c>
      <c r="P156" s="46" t="inlineStr">
        <is>
          <t xml:space="preserve">Under 1,000</t>
        </is>
      </c>
      <c r="Q156" s="46" t="inlineStr">
        <is>
          <t xml:space="preserve">Colorado</t>
        </is>
      </c>
      <c r="R156" s="46" t="inlineStr">
        <is>
          <t xml:space="preserve">80202</t>
        </is>
      </c>
      <c r="S156" s="48" t="inlineStr">
        <is>
          <t xml:space="preserve">Severe convective - hail alley (high)</t>
        </is>
      </c>
      <c r="T156" s="36">
        <f>IF($A156="","",IF($S156="","",IFERROR(INDEX('[1]natural catastrophe'!$D$6:$D$17,MATCH($S156,'[1]natural catastrophe'!$B$6:$B$17,0)),"?")))</f>
      </c>
      <c r="U156" s="46" t="inlineStr">
        <is>
          <t xml:space="preserve">$5,000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3695.13</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CANON-202602-004876</t>
        </is>
      </c>
      <c r="B157" s="30" t="inlineStr">
        <is>
          <t xml:space="preserve">Fitzgerald Castellanos</t>
        </is>
      </c>
      <c r="C157" s="31">
        <v>46081</v>
      </c>
      <c r="D157" s="32" t="inlineStr">
        <is>
          <t xml:space="preserve">Bound - within authority</t>
        </is>
      </c>
      <c r="E157" s="32" t="inlineStr">
        <is>
          <t xml:space="preserve">New business</t>
        </is>
      </c>
      <c r="F157" s="30" t="inlineStr">
        <is>
          <t xml:space="preserve">B1234EXOTIC26</t>
        </is>
      </c>
      <c r="G157" s="33">
        <f>IF($A157="","",IF($C157="","",YEAR($C157)))</f>
      </c>
      <c r="H157" s="34">
        <v>2018</v>
      </c>
      <c r="I157" s="30" t="inlineStr">
        <is>
          <t xml:space="preserve">Maserati</t>
        </is>
      </c>
      <c r="J157" s="30" t="inlineStr">
        <is>
          <t xml:space="preserve">GranTurismo</t>
        </is>
      </c>
      <c r="K157" s="30" t="inlineStr">
        <is>
          <t xml:space="preserve">XA4T2EGFLSW859BN4</t>
        </is>
      </c>
      <c r="L157" s="32" t="inlineStr">
        <is>
          <t xml:space="preserve">02 - Sports / GT</t>
        </is>
      </c>
      <c r="M157" s="35">
        <v>935000</v>
      </c>
      <c r="N157" s="32" t="inlineStr">
        <is>
          <t xml:space="preserve">Personal</t>
        </is>
      </c>
      <c r="O157" s="30" t="inlineStr">
        <is>
          <t xml:space="preserve">Personal - regular use</t>
        </is>
      </c>
      <c r="P157" s="30" t="inlineStr">
        <is>
          <t xml:space="preserve">Under 1,000</t>
        </is>
      </c>
      <c r="Q157" s="30" t="inlineStr">
        <is>
          <t xml:space="preserve">Hawaii</t>
        </is>
      </c>
      <c r="R157" s="30" t="inlineStr">
        <is>
          <t xml:space="preserve">96813</t>
        </is>
      </c>
      <c r="S157" s="32" t="inlineStr">
        <is>
          <t xml:space="preserve">Earthquake - high (CA, Cascadia, New Madrid)</t>
        </is>
      </c>
      <c r="T157" s="36">
        <f>IF($A157="","",IF($S157="","",IFERROR(INDEX('[1]natural catastrophe'!$D$6:$D$17,MATCH($S157,'[1]natural catastrophe'!$B$6:$B$17,0)),"?")))</f>
      </c>
      <c r="U157" s="30" t="inlineStr">
        <is>
          <t xml:space="preserve">$5,000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13106.3</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CANON-202602-004877</t>
        </is>
      </c>
      <c r="B158" s="46" t="inlineStr">
        <is>
          <t xml:space="preserve">Lorenzo Vandermeer</t>
        </is>
      </c>
      <c r="C158" s="47">
        <v>46068</v>
      </c>
      <c r="D158" s="48" t="inlineStr">
        <is>
          <t xml:space="preserve">Bound - within authority</t>
        </is>
      </c>
      <c r="E158" s="48" t="inlineStr">
        <is>
          <t xml:space="preserve">New business</t>
        </is>
      </c>
      <c r="F158" s="46" t="inlineStr">
        <is>
          <t xml:space="preserve">B1234EXOTIC26</t>
        </is>
      </c>
      <c r="G158" s="33">
        <f>IF($A158="","",IF($C158="","",YEAR($C158)))</f>
      </c>
      <c r="H158" s="49">
        <v>1993</v>
      </c>
      <c r="I158" s="46" t="inlineStr">
        <is>
          <t xml:space="preserve">Bentley</t>
        </is>
      </c>
      <c r="J158" s="46" t="inlineStr">
        <is>
          <t xml:space="preserve">Continental GT</t>
        </is>
      </c>
      <c r="K158" s="46" t="inlineStr">
        <is>
          <t xml:space="preserve">02LCEB1YSYTY6F9UD</t>
        </is>
      </c>
      <c r="L158" s="48" t="inlineStr">
        <is>
          <t xml:space="preserve">02 - Sports / GT</t>
        </is>
      </c>
      <c r="M158" s="50">
        <v>590000</v>
      </c>
      <c r="N158" s="48" t="inlineStr">
        <is>
          <t xml:space="preserve">Personal</t>
        </is>
      </c>
      <c r="O158" s="46" t="inlineStr">
        <is>
          <t xml:space="preserve">Personal - regular use</t>
        </is>
      </c>
      <c r="P158" s="46" t="inlineStr">
        <is>
          <t xml:space="preserve">Under 1,000</t>
        </is>
      </c>
      <c r="Q158" s="46" t="inlineStr">
        <is>
          <t xml:space="preserve">Ohio</t>
        </is>
      </c>
      <c r="R158" s="46" t="inlineStr">
        <is>
          <t xml:space="preserve">43215</t>
        </is>
      </c>
      <c r="S158" s="48" t="inlineStr">
        <is>
          <t xml:space="preserve">Severe convective - hail / tornado (moderate)</t>
        </is>
      </c>
      <c r="T158" s="36">
        <f>IF($A158="","",IF($S158="","",IFERROR(INDEX('[1]natural catastrophe'!$D$6:$D$17,MATCH($S158,'[1]natural catastrophe'!$B$6:$B$17,0)),"?")))</f>
      </c>
      <c r="U158" s="46" t="inlineStr">
        <is>
          <t xml:space="preserve">$5,000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8842.84</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CANON-202602-004878</t>
        </is>
      </c>
      <c r="B159" s="30" t="inlineStr">
        <is>
          <t xml:space="preserve">Horace Delacroix</t>
        </is>
      </c>
      <c r="C159" s="31">
        <v>46070</v>
      </c>
      <c r="D159" s="32" t="inlineStr">
        <is>
          <t xml:space="preserve">Bound - within authority</t>
        </is>
      </c>
      <c r="E159" s="32" t="inlineStr">
        <is>
          <t xml:space="preserve">New business</t>
        </is>
      </c>
      <c r="F159" s="30" t="inlineStr">
        <is>
          <t xml:space="preserve">B1234EXOTIC26</t>
        </is>
      </c>
      <c r="G159" s="33">
        <f>IF($A159="","",IF($C159="","",YEAR($C159)))</f>
      </c>
      <c r="H159" s="34">
        <v>1991</v>
      </c>
      <c r="I159" s="30" t="inlineStr">
        <is>
          <t xml:space="preserve">Maserati</t>
        </is>
      </c>
      <c r="J159" s="30" t="inlineStr">
        <is>
          <t xml:space="preserve">GranTurismo</t>
        </is>
      </c>
      <c r="K159" s="30" t="inlineStr">
        <is>
          <t xml:space="preserve">X1E7CYC469Y84KUF5</t>
        </is>
      </c>
      <c r="L159" s="32" t="inlineStr">
        <is>
          <t xml:space="preserve">02 - Sports / GT</t>
        </is>
      </c>
      <c r="M159" s="35">
        <v>135000</v>
      </c>
      <c r="N159" s="32" t="inlineStr">
        <is>
          <t xml:space="preserve">Personal</t>
        </is>
      </c>
      <c r="O159" s="30" t="inlineStr">
        <is>
          <t xml:space="preserve">Personal - regular use</t>
        </is>
      </c>
      <c r="P159" s="30" t="inlineStr">
        <is>
          <t xml:space="preserve">2,500 - 5,000</t>
        </is>
      </c>
      <c r="Q159" s="30" t="inlineStr">
        <is>
          <t xml:space="preserve">New Mexico</t>
        </is>
      </c>
      <c r="R159" s="30" t="inlineStr">
        <is>
          <t xml:space="preserve">87501</t>
        </is>
      </c>
      <c r="S159" s="32" t="inlineStr">
        <is>
          <t xml:space="preserve">Wildfire - WUI high hazard</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2637.2</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CANON-202602-004879</t>
        </is>
      </c>
      <c r="B160" s="46" t="inlineStr">
        <is>
          <t xml:space="preserve">Ramona Castellanos</t>
        </is>
      </c>
      <c r="C160" s="47">
        <v>46061</v>
      </c>
      <c r="D160" s="48" t="inlineStr">
        <is>
          <t xml:space="preserve">Bound - within authority</t>
        </is>
      </c>
      <c r="E160" s="48" t="inlineStr">
        <is>
          <t xml:space="preserve">New business</t>
        </is>
      </c>
      <c r="F160" s="46" t="inlineStr">
        <is>
          <t xml:space="preserve">B1234EXOTIC26</t>
        </is>
      </c>
      <c r="G160" s="33">
        <f>IF($A160="","",IF($C160="","",YEAR($C160)))</f>
      </c>
      <c r="H160" s="49">
        <v>1994</v>
      </c>
      <c r="I160" s="46" t="inlineStr">
        <is>
          <t xml:space="preserve">McLaren</t>
        </is>
      </c>
      <c r="J160" s="46" t="inlineStr">
        <is>
          <t xml:space="preserve">750S</t>
        </is>
      </c>
      <c r="K160" s="46" t="inlineStr">
        <is>
          <t xml:space="preserve">NUTNF04BJHBZB64PY</t>
        </is>
      </c>
      <c r="L160" s="48" t="inlineStr">
        <is>
          <t xml:space="preserve">03 - Supercar</t>
        </is>
      </c>
      <c r="M160" s="50">
        <v>810000</v>
      </c>
      <c r="N160" s="48" t="inlineStr">
        <is>
          <t xml:space="preserve">Personal</t>
        </is>
      </c>
      <c r="O160" s="46" t="inlineStr">
        <is>
          <t xml:space="preserve">Personal - regular use</t>
        </is>
      </c>
      <c r="P160" s="46" t="inlineStr">
        <is>
          <t xml:space="preserve">1,000 - 2,500</t>
        </is>
      </c>
      <c r="Q160" s="46" t="inlineStr">
        <is>
          <t xml:space="preserve">Massachusetts</t>
        </is>
      </c>
      <c r="R160" s="46" t="inlineStr">
        <is>
          <t xml:space="preserve">02108</t>
        </is>
      </c>
      <c r="S160" s="48" t="inlineStr">
        <is>
          <t xml:space="preserve">Tier 3 - Coastal wind (25-100 miles)</t>
        </is>
      </c>
      <c r="T160" s="36">
        <f>IF($A160="","",IF($S160="","",IFERROR(INDEX('[1]natural catastrophe'!$D$6:$D$17,MATCH($S160,'[1]natural catastrophe'!$B$6:$B$17,0)),"?")))</f>
      </c>
      <c r="U160" s="46" t="inlineStr">
        <is>
          <t xml:space="preserve">2% of agreed value, minimum $10,000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15956.23</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CANON-202602-004880</t>
        </is>
      </c>
      <c r="B161" s="30" t="inlineStr">
        <is>
          <t xml:space="preserve">Marisol Bellandi</t>
        </is>
      </c>
      <c r="C161" s="31">
        <v>46056</v>
      </c>
      <c r="D161" s="32" t="inlineStr">
        <is>
          <t xml:space="preserve">Bound - within authority</t>
        </is>
      </c>
      <c r="E161" s="32" t="inlineStr">
        <is>
          <t xml:space="preserve">New business</t>
        </is>
      </c>
      <c r="F161" s="30" t="inlineStr">
        <is>
          <t xml:space="preserve">B1234EXOTIC26</t>
        </is>
      </c>
      <c r="G161" s="33">
        <f>IF($A161="","",IF($C161="","",YEAR($C161)))</f>
      </c>
      <c r="H161" s="34">
        <v>1977</v>
      </c>
      <c r="I161" s="30" t="inlineStr">
        <is>
          <t xml:space="preserve">Maserati</t>
        </is>
      </c>
      <c r="J161" s="30" t="inlineStr">
        <is>
          <t xml:space="preserve">GranTurismo</t>
        </is>
      </c>
      <c r="K161" s="30" t="inlineStr">
        <is>
          <t xml:space="preserve">3J77AXDPXYNMHJ9JH</t>
        </is>
      </c>
      <c r="L161" s="32" t="inlineStr">
        <is>
          <t xml:space="preserve">02 - Sports / GT</t>
        </is>
      </c>
      <c r="M161" s="35">
        <v>935000</v>
      </c>
      <c r="N161" s="32" t="inlineStr">
        <is>
          <t xml:space="preserve">Personal</t>
        </is>
      </c>
      <c r="O161" s="30" t="inlineStr">
        <is>
          <t xml:space="preserve">Personal - regular use</t>
        </is>
      </c>
      <c r="P161" s="30" t="inlineStr">
        <is>
          <t xml:space="preserve">Under 1,000</t>
        </is>
      </c>
      <c r="Q161" s="30" t="inlineStr">
        <is>
          <t xml:space="preserve">Washington</t>
        </is>
      </c>
      <c r="R161" s="30" t="inlineStr">
        <is>
          <t xml:space="preserve">98101</t>
        </is>
      </c>
      <c r="S161" s="32" t="inlineStr">
        <is>
          <t xml:space="preserve">Earthquake - high (CA, Cascadia, New Madrid)</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9678.5</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CANON-202602-004882</t>
        </is>
      </c>
      <c r="B162" s="46" t="inlineStr">
        <is>
          <t xml:space="preserve">Noor Delacroix</t>
        </is>
      </c>
      <c r="C162" s="47">
        <v>46070</v>
      </c>
      <c r="D162" s="48" t="inlineStr">
        <is>
          <t xml:space="preserve">Bound - within authority</t>
        </is>
      </c>
      <c r="E162" s="48" t="inlineStr">
        <is>
          <t xml:space="preserve">New business</t>
        </is>
      </c>
      <c r="F162" s="46" t="inlineStr">
        <is>
          <t xml:space="preserve">B1234EXOTIC26</t>
        </is>
      </c>
      <c r="G162" s="33">
        <f>IF($A162="","",IF($C162="","",YEAR($C162)))</f>
      </c>
      <c r="H162" s="49">
        <v>2003</v>
      </c>
      <c r="I162" s="46" t="inlineStr">
        <is>
          <t xml:space="preserve">Porsche</t>
        </is>
      </c>
      <c r="J162" s="46" t="inlineStr">
        <is>
          <t xml:space="preserve">911 Turbo S</t>
        </is>
      </c>
      <c r="K162" s="46" t="inlineStr">
        <is>
          <t xml:space="preserve">JZFY5T9F19DJJFWPC</t>
        </is>
      </c>
      <c r="L162" s="48" t="inlineStr">
        <is>
          <t xml:space="preserve">02 - Sports / GT</t>
        </is>
      </c>
      <c r="M162" s="50">
        <v>305000</v>
      </c>
      <c r="N162" s="48" t="inlineStr">
        <is>
          <t xml:space="preserve">Personal</t>
        </is>
      </c>
      <c r="O162" s="46" t="inlineStr">
        <is>
          <t xml:space="preserve">Personal - regular use</t>
        </is>
      </c>
      <c r="P162" s="46" t="inlineStr">
        <is>
          <t xml:space="preserve">Under 1,000</t>
        </is>
      </c>
      <c r="Q162" s="46" t="inlineStr">
        <is>
          <t xml:space="preserve">New Jersey</t>
        </is>
      </c>
      <c r="R162" s="46" t="inlineStr">
        <is>
          <t xml:space="preserve">07102</t>
        </is>
      </c>
      <c r="S162" s="48" t="inlineStr">
        <is>
          <t xml:space="preserve">Tier 3 - Coastal wind (25-100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3453.14</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CANON-202602-004883</t>
        </is>
      </c>
      <c r="B163" s="30" t="inlineStr">
        <is>
          <t xml:space="preserve">Emiliano Bellandi</t>
        </is>
      </c>
      <c r="C163" s="31">
        <v>46072</v>
      </c>
      <c r="D163" s="32" t="inlineStr">
        <is>
          <t xml:space="preserve">Bound - within authority</t>
        </is>
      </c>
      <c r="E163" s="32" t="inlineStr">
        <is>
          <t xml:space="preserve">New business</t>
        </is>
      </c>
      <c r="F163" s="30" t="inlineStr">
        <is>
          <t xml:space="preserve">B1234EXOTIC26</t>
        </is>
      </c>
      <c r="G163" s="33">
        <f>IF($A163="","",IF($C163="","",YEAR($C163)))</f>
      </c>
      <c r="H163" s="34">
        <v>2020</v>
      </c>
      <c r="I163" s="30" t="inlineStr">
        <is>
          <t xml:space="preserve">Ringbrothers</t>
        </is>
      </c>
      <c r="J163" s="30" t="inlineStr">
        <is>
          <t xml:space="preserve">Mustang</t>
        </is>
      </c>
      <c r="K163" s="30" t="inlineStr">
        <is>
          <t xml:space="preserve">5YSZJU79Z5REVCAD7</t>
        </is>
      </c>
      <c r="L163" s="32" t="inlineStr">
        <is>
          <t xml:space="preserve">11 - Restomod / Coachbuilt / Bespoke</t>
        </is>
      </c>
      <c r="M163" s="35">
        <v>1000000</v>
      </c>
      <c r="N163" s="32" t="inlineStr">
        <is>
          <t xml:space="preserve">Personal</t>
        </is>
      </c>
      <c r="O163" s="30" t="inlineStr">
        <is>
          <t xml:space="preserve">Personal - regular use</t>
        </is>
      </c>
      <c r="P163" s="30" t="inlineStr">
        <is>
          <t xml:space="preserve">1,000 - 2,500</t>
        </is>
      </c>
      <c r="Q163" s="30" t="inlineStr">
        <is>
          <t xml:space="preserve">New York</t>
        </is>
      </c>
      <c r="R163" s="30" t="inlineStr">
        <is>
          <t xml:space="preserve">10022</t>
        </is>
      </c>
      <c r="S163" s="32" t="inlineStr">
        <is>
          <t xml:space="preserve">Tier 3 - Coastal wind (25-100 miles)</t>
        </is>
      </c>
      <c r="T163" s="36">
        <f>IF($A163="","",IF($S163="","",IFERROR(INDEX('[1]natural catastrophe'!$D$6:$D$17,MATCH($S163,'[1]natural catastrophe'!$B$6:$B$17,0)),"?")))</f>
      </c>
      <c r="U163" s="30" t="inlineStr">
        <is>
          <t xml:space="preserve">2% of agreed value, minimum $10,000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14438.79</v>
      </c>
      <c r="AC163" s="37">
        <v>0</v>
      </c>
      <c r="AD163" s="38">
        <f>IF(ISNUMBER($AB163),$AB163*(1+N($AC163)),"")</f>
      </c>
      <c r="AE163" s="35">
        <v>350</v>
      </c>
      <c r="AF163" s="35">
        <v>250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CANON-202602-004884</t>
        </is>
      </c>
      <c r="B164" s="46" t="inlineStr">
        <is>
          <t xml:space="preserve">Ottilie Underwood</t>
        </is>
      </c>
      <c r="C164" s="47">
        <v>46065</v>
      </c>
      <c r="D164" s="48" t="inlineStr">
        <is>
          <t xml:space="preserve">Bound - within authority</t>
        </is>
      </c>
      <c r="E164" s="48" t="inlineStr">
        <is>
          <t xml:space="preserve">New business</t>
        </is>
      </c>
      <c r="F164" s="46" t="inlineStr">
        <is>
          <t xml:space="preserve">B1234EXOTIC26</t>
        </is>
      </c>
      <c r="G164" s="33">
        <f>IF($A164="","",IF($C164="","",YEAR($C164)))</f>
      </c>
      <c r="H164" s="49">
        <v>2004</v>
      </c>
      <c r="I164" s="46" t="inlineStr">
        <is>
          <t xml:space="preserve">Bentley</t>
        </is>
      </c>
      <c r="J164" s="46" t="inlineStr">
        <is>
          <t xml:space="preserve">Continental GT</t>
        </is>
      </c>
      <c r="K164" s="46" t="inlineStr">
        <is>
          <t xml:space="preserve">TDDB7YEF45HBWK35S</t>
        </is>
      </c>
      <c r="L164" s="48" t="inlineStr">
        <is>
          <t xml:space="preserve">02 - Sports / GT</t>
        </is>
      </c>
      <c r="M164" s="50">
        <v>335000</v>
      </c>
      <c r="N164" s="48" t="inlineStr">
        <is>
          <t xml:space="preserve">Personal</t>
        </is>
      </c>
      <c r="O164" s="46" t="inlineStr">
        <is>
          <t xml:space="preserve">Personal - regular use</t>
        </is>
      </c>
      <c r="P164" s="46" t="inlineStr">
        <is>
          <t xml:space="preserve">1,000 - 2,500</t>
        </is>
      </c>
      <c r="Q164" s="46" t="inlineStr">
        <is>
          <t xml:space="preserve">Illinois</t>
        </is>
      </c>
      <c r="R164" s="46" t="inlineStr">
        <is>
          <t xml:space="preserve">60601</t>
        </is>
      </c>
      <c r="S164" s="48" t="inlineStr">
        <is>
          <t xml:space="preserve">Severe convective - hail / tornado (moderate)</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5668.35</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CANON-202602-004886</t>
        </is>
      </c>
      <c r="B165" s="30" t="inlineStr">
        <is>
          <t xml:space="preserve">Delphine Chattopadhyay</t>
        </is>
      </c>
      <c r="C165" s="31">
        <v>46067</v>
      </c>
      <c r="D165" s="32" t="inlineStr">
        <is>
          <t xml:space="preserve">Bound - within authority</t>
        </is>
      </c>
      <c r="E165" s="32" t="inlineStr">
        <is>
          <t xml:space="preserve">New business</t>
        </is>
      </c>
      <c r="F165" s="30" t="inlineStr">
        <is>
          <t xml:space="preserve">B1234EXOTIC26</t>
        </is>
      </c>
      <c r="G165" s="33">
        <f>IF($A165="","",IF($C165="","",YEAR($C165)))</f>
      </c>
      <c r="H165" s="34">
        <v>1977</v>
      </c>
      <c r="I165" s="30" t="inlineStr">
        <is>
          <t xml:space="preserve">Ferrari</t>
        </is>
      </c>
      <c r="J165" s="30" t="inlineStr">
        <is>
          <t xml:space="preserve">SF90 Stradale</t>
        </is>
      </c>
      <c r="K165" s="30" t="inlineStr">
        <is>
          <t xml:space="preserve">AMGPB82CXS2KVA7YX</t>
        </is>
      </c>
      <c r="L165" s="32" t="inlineStr">
        <is>
          <t xml:space="preserve">03 - Supercar</t>
        </is>
      </c>
      <c r="M165" s="35">
        <v>410000</v>
      </c>
      <c r="N165" s="32" t="inlineStr">
        <is>
          <t xml:space="preserve">Personal</t>
        </is>
      </c>
      <c r="O165" s="30" t="inlineStr">
        <is>
          <t xml:space="preserve">Personal - regular use</t>
        </is>
      </c>
      <c r="P165" s="30" t="inlineStr">
        <is>
          <t xml:space="preserve">1,000 - 2,500</t>
        </is>
      </c>
      <c r="Q165" s="30" t="inlineStr">
        <is>
          <t xml:space="preserve">Wisconsin</t>
        </is>
      </c>
      <c r="R165" s="30" t="inlineStr">
        <is>
          <t xml:space="preserve">53202</t>
        </is>
      </c>
      <c r="S165" s="32" t="inlineStr">
        <is>
          <t xml:space="preserve">Severe convective - hail / tornado (moderate)</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9385.87</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CANON-202602-004887</t>
        </is>
      </c>
      <c r="B166" s="46" t="inlineStr">
        <is>
          <t xml:space="preserve">Thaddeus Pennington</t>
        </is>
      </c>
      <c r="C166" s="47">
        <v>46057</v>
      </c>
      <c r="D166" s="48" t="inlineStr">
        <is>
          <t xml:space="preserve">Bound - within authority</t>
        </is>
      </c>
      <c r="E166" s="48" t="inlineStr">
        <is>
          <t xml:space="preserve">New business</t>
        </is>
      </c>
      <c r="F166" s="46" t="inlineStr">
        <is>
          <t xml:space="preserve">B1234EXOTIC26</t>
        </is>
      </c>
      <c r="G166" s="33">
        <f>IF($A166="","",IF($C166="","",YEAR($C166)))</f>
      </c>
      <c r="H166" s="49">
        <v>2018</v>
      </c>
      <c r="I166" s="46" t="inlineStr">
        <is>
          <t xml:space="preserve">Bentley</t>
        </is>
      </c>
      <c r="J166" s="46" t="inlineStr">
        <is>
          <t xml:space="preserve">Continental GT</t>
        </is>
      </c>
      <c r="K166" s="46" t="inlineStr">
        <is>
          <t xml:space="preserve">RAZ6K0T0T5RXXGN72</t>
        </is>
      </c>
      <c r="L166" s="48" t="inlineStr">
        <is>
          <t xml:space="preserve">02 - Sports / GT</t>
        </is>
      </c>
      <c r="M166" s="50">
        <v>450000</v>
      </c>
      <c r="N166" s="48" t="inlineStr">
        <is>
          <t xml:space="preserve">Personal</t>
        </is>
      </c>
      <c r="O166" s="46" t="inlineStr">
        <is>
          <t xml:space="preserve">Personal - regular use</t>
        </is>
      </c>
      <c r="P166" s="46" t="inlineStr">
        <is>
          <t xml:space="preserve">2,500 - 5,000</t>
        </is>
      </c>
      <c r="Q166" s="46" t="inlineStr">
        <is>
          <t xml:space="preserve">Michigan</t>
        </is>
      </c>
      <c r="R166" s="46" t="inlineStr">
        <is>
          <t xml:space="preserve">48226</t>
        </is>
      </c>
      <c r="S166" s="48" t="inlineStr">
        <is>
          <t xml:space="preserve">Severe convective - hail / tornado (moderate)</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8677.95</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CANON-202602-004888</t>
        </is>
      </c>
      <c r="B167" s="30" t="inlineStr">
        <is>
          <t xml:space="preserve">Cassius Okonkwo</t>
        </is>
      </c>
      <c r="C167" s="31">
        <v>46074</v>
      </c>
      <c r="D167" s="32" t="inlineStr">
        <is>
          <t xml:space="preserve">Bound - within authority</t>
        </is>
      </c>
      <c r="E167" s="32" t="inlineStr">
        <is>
          <t xml:space="preserve">New business</t>
        </is>
      </c>
      <c r="F167" s="30" t="inlineStr">
        <is>
          <t xml:space="preserve">B1234EXOTIC26</t>
        </is>
      </c>
      <c r="G167" s="33">
        <f>IF($A167="","",IF($C167="","",YEAR($C167)))</f>
      </c>
      <c r="H167" s="34">
        <v>2016</v>
      </c>
      <c r="I167" s="30" t="inlineStr">
        <is>
          <t xml:space="preserve">Aston Martin</t>
        </is>
      </c>
      <c r="J167" s="30" t="inlineStr">
        <is>
          <t xml:space="preserve">DB12</t>
        </is>
      </c>
      <c r="K167" s="30" t="inlineStr">
        <is>
          <t xml:space="preserve">UCKAJNM7U33LZABBJ</t>
        </is>
      </c>
      <c r="L167" s="32" t="inlineStr">
        <is>
          <t xml:space="preserve">02 - Sports / GT</t>
        </is>
      </c>
      <c r="M167" s="35">
        <v>770000</v>
      </c>
      <c r="N167" s="32" t="inlineStr">
        <is>
          <t xml:space="preserve">Personal</t>
        </is>
      </c>
      <c r="O167" s="30" t="inlineStr">
        <is>
          <t xml:space="preserve">Personal - regular use</t>
        </is>
      </c>
      <c r="P167" s="30" t="inlineStr">
        <is>
          <t xml:space="preserve">Under 1,000</t>
        </is>
      </c>
      <c r="Q167" s="30" t="inlineStr">
        <is>
          <t xml:space="preserve">Washington</t>
        </is>
      </c>
      <c r="R167" s="30" t="inlineStr">
        <is>
          <t xml:space="preserve">98101</t>
        </is>
      </c>
      <c r="S167" s="32" t="inlineStr">
        <is>
          <t xml:space="preserve">Earthquake - high (CA, Cascadia, New Madrid)</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7970.53</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CANON-202602-004889</t>
        </is>
      </c>
      <c r="B168" s="46" t="inlineStr">
        <is>
          <t xml:space="preserve">Everett Vasquez</t>
        </is>
      </c>
      <c r="C168" s="47">
        <v>46076</v>
      </c>
      <c r="D168" s="48" t="inlineStr">
        <is>
          <t xml:space="preserve">Bound - within authority</t>
        </is>
      </c>
      <c r="E168" s="48" t="inlineStr">
        <is>
          <t xml:space="preserve">New business</t>
        </is>
      </c>
      <c r="F168" s="46" t="inlineStr">
        <is>
          <t xml:space="preserve">B1234EXOTIC26</t>
        </is>
      </c>
      <c r="G168" s="33">
        <f>IF($A168="","",IF($C168="","",YEAR($C168)))</f>
      </c>
      <c r="H168" s="49">
        <v>2018</v>
      </c>
      <c r="I168" s="46" t="inlineStr">
        <is>
          <t xml:space="preserve">Maserati</t>
        </is>
      </c>
      <c r="J168" s="46" t="inlineStr">
        <is>
          <t xml:space="preserve">GranTurismo</t>
        </is>
      </c>
      <c r="K168" s="46" t="inlineStr">
        <is>
          <t xml:space="preserve">MP9EG25CNZ0VMJY2B</t>
        </is>
      </c>
      <c r="L168" s="48" t="inlineStr">
        <is>
          <t xml:space="preserve">02 - Sports / GT</t>
        </is>
      </c>
      <c r="M168" s="50">
        <v>260000</v>
      </c>
      <c r="N168" s="48" t="inlineStr">
        <is>
          <t xml:space="preserve">Personal</t>
        </is>
      </c>
      <c r="O168" s="46" t="inlineStr">
        <is>
          <t xml:space="preserve">Personal - regular use</t>
        </is>
      </c>
      <c r="P168" s="46" t="inlineStr">
        <is>
          <t xml:space="preserve">1,000 - 2,500</t>
        </is>
      </c>
      <c r="Q168" s="46" t="inlineStr">
        <is>
          <t xml:space="preserve">Alabama</t>
        </is>
      </c>
      <c r="R168" s="46" t="inlineStr">
        <is>
          <t xml:space="preserve">35203</t>
        </is>
      </c>
      <c r="S168" s="48" t="inlineStr">
        <is>
          <t xml:space="preserve">Tier 2 - Coastal wind (1-25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4108.19</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CANON-202602-004890</t>
        </is>
      </c>
      <c r="B169" s="30" t="inlineStr">
        <is>
          <t xml:space="preserve">Ingrid Nakashima</t>
        </is>
      </c>
      <c r="C169" s="31">
        <v>46058</v>
      </c>
      <c r="D169" s="32" t="inlineStr">
        <is>
          <t xml:space="preserve">Bound - within authority</t>
        </is>
      </c>
      <c r="E169" s="32" t="inlineStr">
        <is>
          <t xml:space="preserve">New business</t>
        </is>
      </c>
      <c r="F169" s="30" t="inlineStr">
        <is>
          <t xml:space="preserve">B1234EXOTIC26</t>
        </is>
      </c>
      <c r="G169" s="33">
        <f>IF($A169="","",IF($C169="","",YEAR($C169)))</f>
      </c>
      <c r="H169" s="34">
        <v>2017</v>
      </c>
      <c r="I169" s="30" t="inlineStr">
        <is>
          <t xml:space="preserve">Lamborghini</t>
        </is>
      </c>
      <c r="J169" s="30" t="inlineStr">
        <is>
          <t xml:space="preserve">Huracan EVO</t>
        </is>
      </c>
      <c r="K169" s="30" t="inlineStr">
        <is>
          <t xml:space="preserve">0RKLZ2F6LVVEUH7AP</t>
        </is>
      </c>
      <c r="L169" s="32" t="inlineStr">
        <is>
          <t xml:space="preserve">03 - Supercar</t>
        </is>
      </c>
      <c r="M169" s="35">
        <v>1160000</v>
      </c>
      <c r="N169" s="32" t="inlineStr">
        <is>
          <t xml:space="preserve">Personal</t>
        </is>
      </c>
      <c r="O169" s="30" t="inlineStr">
        <is>
          <t xml:space="preserve">Personal - regular use</t>
        </is>
      </c>
      <c r="P169" s="30" t="inlineStr">
        <is>
          <t xml:space="preserve">Under 1,000</t>
        </is>
      </c>
      <c r="Q169" s="30" t="inlineStr">
        <is>
          <t xml:space="preserve">Nebraska</t>
        </is>
      </c>
      <c r="R169" s="30" t="inlineStr">
        <is>
          <t xml:space="preserve">68102</t>
        </is>
      </c>
      <c r="S169" s="32" t="inlineStr">
        <is>
          <t xml:space="preserve">Severe convective - hail alley (high)</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20012.58</v>
      </c>
      <c r="AC169" s="37">
        <v>0</v>
      </c>
      <c r="AD169" s="38">
        <f>IF(ISNUMBER($AB169),$AB169*(1+N($AC169)),"")</f>
      </c>
      <c r="AE169" s="35">
        <v>350</v>
      </c>
      <c r="AF169" s="35">
        <v>250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CANON-202602-004892</t>
        </is>
      </c>
      <c r="B170" s="46" t="inlineStr">
        <is>
          <t xml:space="preserve">Wilhelmina Farkas</t>
        </is>
      </c>
      <c r="C170" s="47">
        <v>46081</v>
      </c>
      <c r="D170" s="48" t="inlineStr">
        <is>
          <t xml:space="preserve">Bound - within authority</t>
        </is>
      </c>
      <c r="E170" s="48" t="inlineStr">
        <is>
          <t xml:space="preserve">New business</t>
        </is>
      </c>
      <c r="F170" s="46" t="inlineStr">
        <is>
          <t xml:space="preserve">B1234EXOTIC26</t>
        </is>
      </c>
      <c r="G170" s="33">
        <f>IF($A170="","",IF($C170="","",YEAR($C170)))</f>
      </c>
      <c r="H170" s="49">
        <v>1991</v>
      </c>
      <c r="I170" s="46" t="inlineStr">
        <is>
          <t xml:space="preserve">Ferrari</t>
        </is>
      </c>
      <c r="J170" s="46" t="inlineStr">
        <is>
          <t xml:space="preserve">296 GTB</t>
        </is>
      </c>
      <c r="K170" s="46" t="inlineStr">
        <is>
          <t xml:space="preserve">7TH4TFPL9MZYBS0B7</t>
        </is>
      </c>
      <c r="L170" s="48" t="inlineStr">
        <is>
          <t xml:space="preserve">03 - Supercar</t>
        </is>
      </c>
      <c r="M170" s="50">
        <v>820000</v>
      </c>
      <c r="N170" s="48" t="inlineStr">
        <is>
          <t xml:space="preserve">Personal</t>
        </is>
      </c>
      <c r="O170" s="46" t="inlineStr">
        <is>
          <t xml:space="preserve">Personal - regular use</t>
        </is>
      </c>
      <c r="P170" s="46" t="inlineStr">
        <is>
          <t xml:space="preserve">1,000 - 2,500</t>
        </is>
      </c>
      <c r="Q170" s="46" t="inlineStr">
        <is>
          <t xml:space="preserve">Utah</t>
        </is>
      </c>
      <c r="R170" s="46" t="inlineStr">
        <is>
          <t xml:space="preserve">84101</t>
        </is>
      </c>
      <c r="S170" s="48" t="inlineStr">
        <is>
          <t xml:space="preserve">Wildfire - WUI high hazard</t>
        </is>
      </c>
      <c r="T170" s="36">
        <f>IF($A170="","",IF($S170="","",IFERROR(INDEX('[1]natural catastrophe'!$D$6:$D$17,MATCH($S170,'[1]natural catastrophe'!$B$6:$B$17,0)),"?")))</f>
      </c>
      <c r="U170" s="46" t="inlineStr">
        <is>
          <t xml:space="preserve">$5,000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17445.48</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CANON-202602-004893</t>
        </is>
      </c>
      <c r="B171" s="30" t="inlineStr">
        <is>
          <t xml:space="preserve">Ottilie Ashcombe</t>
        </is>
      </c>
      <c r="C171" s="31">
        <v>46062</v>
      </c>
      <c r="D171" s="32" t="inlineStr">
        <is>
          <t xml:space="preserve">Bound - within authority</t>
        </is>
      </c>
      <c r="E171" s="32" t="inlineStr">
        <is>
          <t xml:space="preserve">New business</t>
        </is>
      </c>
      <c r="F171" s="30" t="inlineStr">
        <is>
          <t xml:space="preserve">B1234EXOTIC26</t>
        </is>
      </c>
      <c r="G171" s="33">
        <f>IF($A171="","",IF($C171="","",YEAR($C171)))</f>
      </c>
      <c r="H171" s="34">
        <v>1957</v>
      </c>
      <c r="I171" s="30" t="inlineStr">
        <is>
          <t xml:space="preserve">BMW</t>
        </is>
      </c>
      <c r="J171" s="30" t="inlineStr">
        <is>
          <t xml:space="preserve">M8 Competition</t>
        </is>
      </c>
      <c r="K171" s="30" t="inlineStr">
        <is>
          <t xml:space="preserve">3H3MDPR2NHMGK9PKC</t>
        </is>
      </c>
      <c r="L171" s="32" t="inlineStr">
        <is>
          <t xml:space="preserve">02 - Sports / GT</t>
        </is>
      </c>
      <c r="M171" s="35">
        <v>1215000</v>
      </c>
      <c r="N171" s="32" t="inlineStr">
        <is>
          <t xml:space="preserve">Personal</t>
        </is>
      </c>
      <c r="O171" s="30" t="inlineStr">
        <is>
          <t xml:space="preserve">Personal - regular use</t>
        </is>
      </c>
      <c r="P171" s="30" t="inlineStr">
        <is>
          <t xml:space="preserve">1,000 - 2,500</t>
        </is>
      </c>
      <c r="Q171" s="30" t="inlineStr">
        <is>
          <t xml:space="preserve">South Carolina</t>
        </is>
      </c>
      <c r="R171" s="30" t="inlineStr">
        <is>
          <t xml:space="preserve">29401</t>
        </is>
      </c>
      <c r="S171" s="32" t="inlineStr">
        <is>
          <t xml:space="preserve">Tier 2 - Coastal wind (1-25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13745.88</v>
      </c>
      <c r="AC171" s="37">
        <v>0</v>
      </c>
      <c r="AD171" s="38">
        <f>IF(ISNUMBER($AB171),$AB171*(1+N($AC171)),"")</f>
      </c>
      <c r="AE171" s="35">
        <v>350</v>
      </c>
      <c r="AF171" s="35">
        <v>250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CANON-202602-004894</t>
        </is>
      </c>
      <c r="B172" s="46" t="inlineStr">
        <is>
          <t xml:space="preserve">Leopold Blackwood</t>
        </is>
      </c>
      <c r="C172" s="47">
        <v>46075</v>
      </c>
      <c r="D172" s="48" t="inlineStr">
        <is>
          <t xml:space="preserve">Bound - within authority</t>
        </is>
      </c>
      <c r="E172" s="48" t="inlineStr">
        <is>
          <t xml:space="preserve">New business</t>
        </is>
      </c>
      <c r="F172" s="46" t="inlineStr">
        <is>
          <t xml:space="preserve">B1234EXOTIC26</t>
        </is>
      </c>
      <c r="G172" s="33">
        <f>IF($A172="","",IF($C172="","",YEAR($C172)))</f>
      </c>
      <c r="H172" s="49">
        <v>2023</v>
      </c>
      <c r="I172" s="46" t="inlineStr">
        <is>
          <t xml:space="preserve">Maserati</t>
        </is>
      </c>
      <c r="J172" s="46" t="inlineStr">
        <is>
          <t xml:space="preserve">GranTurismo</t>
        </is>
      </c>
      <c r="K172" s="46" t="inlineStr">
        <is>
          <t xml:space="preserve">JLMY9KKLMZ74ZBTZL</t>
        </is>
      </c>
      <c r="L172" s="48" t="inlineStr">
        <is>
          <t xml:space="preserve">02 - Sports / GT</t>
        </is>
      </c>
      <c r="M172" s="50">
        <v>625000</v>
      </c>
      <c r="N172" s="48" t="inlineStr">
        <is>
          <t xml:space="preserve">Personal</t>
        </is>
      </c>
      <c r="O172" s="46" t="inlineStr">
        <is>
          <t xml:space="preserve">Personal - regular use</t>
        </is>
      </c>
      <c r="P172" s="46" t="inlineStr">
        <is>
          <t xml:space="preserve">1,000 - 2,500</t>
        </is>
      </c>
      <c r="Q172" s="46" t="inlineStr">
        <is>
          <t xml:space="preserve">Idaho</t>
        </is>
      </c>
      <c r="R172" s="46" t="inlineStr">
        <is>
          <t xml:space="preserve">83702</t>
        </is>
      </c>
      <c r="S172" s="48" t="inlineStr">
        <is>
          <t xml:space="preserve">Wildfire - WUI high hazard</t>
        </is>
      </c>
      <c r="T172" s="36">
        <f>IF($A172="","",IF($S172="","",IFERROR(INDEX('[1]natural catastrophe'!$D$6:$D$17,MATCH($S172,'[1]natural catastrophe'!$B$6:$B$17,0)),"?")))</f>
      </c>
      <c r="U172" s="46" t="inlineStr">
        <is>
          <t xml:space="preserve">$5,000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6671.76</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CANON-202602-004895</t>
        </is>
      </c>
      <c r="B173" s="30" t="inlineStr">
        <is>
          <t xml:space="preserve">Ottilie Montoya</t>
        </is>
      </c>
      <c r="C173" s="31">
        <v>46056</v>
      </c>
      <c r="D173" s="32" t="inlineStr">
        <is>
          <t xml:space="preserve">Bound - within authority</t>
        </is>
      </c>
      <c r="E173" s="32" t="inlineStr">
        <is>
          <t xml:space="preserve">New business</t>
        </is>
      </c>
      <c r="F173" s="30" t="inlineStr">
        <is>
          <t xml:space="preserve">B1234EXOTIC26</t>
        </is>
      </c>
      <c r="G173" s="33">
        <f>IF($A173="","",IF($C173="","",YEAR($C173)))</f>
      </c>
      <c r="H173" s="34">
        <v>1960</v>
      </c>
      <c r="I173" s="30" t="inlineStr">
        <is>
          <t xml:space="preserve">Mercedes-Benz</t>
        </is>
      </c>
      <c r="J173" s="30" t="inlineStr">
        <is>
          <t xml:space="preserve">AMG GT</t>
        </is>
      </c>
      <c r="K173" s="30" t="inlineStr">
        <is>
          <t xml:space="preserve">55MWWNZ2H8A6CE1DJ</t>
        </is>
      </c>
      <c r="L173" s="32" t="inlineStr">
        <is>
          <t xml:space="preserve">02 - Sports / GT</t>
        </is>
      </c>
      <c r="M173" s="35">
        <v>285000</v>
      </c>
      <c r="N173" s="32" t="inlineStr">
        <is>
          <t xml:space="preserve">Personal</t>
        </is>
      </c>
      <c r="O173" s="30" t="inlineStr">
        <is>
          <t xml:space="preserve">Personal - regular use</t>
        </is>
      </c>
      <c r="P173" s="30" t="inlineStr">
        <is>
          <t xml:space="preserve">1,000 - 2,500</t>
        </is>
      </c>
      <c r="Q173" s="30" t="inlineStr">
        <is>
          <t xml:space="preserve">California</t>
        </is>
      </c>
      <c r="R173" s="30" t="inlineStr">
        <is>
          <t xml:space="preserve">90012</t>
        </is>
      </c>
      <c r="S173" s="32" t="inlineStr">
        <is>
          <t xml:space="preserve">Earthquake - high (CA, Cascadia, New Madrid)</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4786.87</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CANON-202602-004896</t>
        </is>
      </c>
      <c r="B174" s="46" t="inlineStr">
        <is>
          <t xml:space="preserve">Saoirse Nakashima</t>
        </is>
      </c>
      <c r="C174" s="47">
        <v>46074</v>
      </c>
      <c r="D174" s="48" t="inlineStr">
        <is>
          <t xml:space="preserve">Bound - within authority</t>
        </is>
      </c>
      <c r="E174" s="48" t="inlineStr">
        <is>
          <t xml:space="preserve">New business</t>
        </is>
      </c>
      <c r="F174" s="46" t="inlineStr">
        <is>
          <t xml:space="preserve">B1234EXOTIC26</t>
        </is>
      </c>
      <c r="G174" s="33">
        <f>IF($A174="","",IF($C174="","",YEAR($C174)))</f>
      </c>
      <c r="H174" s="49">
        <v>2005</v>
      </c>
      <c r="I174" s="46" t="inlineStr">
        <is>
          <t xml:space="preserve">Maserati</t>
        </is>
      </c>
      <c r="J174" s="46" t="inlineStr">
        <is>
          <t xml:space="preserve">GranTurismo</t>
        </is>
      </c>
      <c r="K174" s="46" t="inlineStr">
        <is>
          <t xml:space="preserve">6SASNZ1N7NYK8RW6D</t>
        </is>
      </c>
      <c r="L174" s="48" t="inlineStr">
        <is>
          <t xml:space="preserve">02 - Sports / GT</t>
        </is>
      </c>
      <c r="M174" s="50">
        <v>515000</v>
      </c>
      <c r="N174" s="48" t="inlineStr">
        <is>
          <t xml:space="preserve">Personal</t>
        </is>
      </c>
      <c r="O174" s="46" t="inlineStr">
        <is>
          <t xml:space="preserve">Personal - regular use</t>
        </is>
      </c>
      <c r="P174" s="46" t="inlineStr">
        <is>
          <t xml:space="preserve">1,000 - 2,500</t>
        </is>
      </c>
      <c r="Q174" s="46" t="inlineStr">
        <is>
          <t xml:space="preserve">Missouri</t>
        </is>
      </c>
      <c r="R174" s="46" t="inlineStr">
        <is>
          <t xml:space="preserve">63101</t>
        </is>
      </c>
      <c r="S174" s="48" t="inlineStr">
        <is>
          <t xml:space="preserve">Severe convective - hail / tornado (moderate)</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5886.24</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CANON-202602-004897</t>
        </is>
      </c>
      <c r="B175" s="30" t="inlineStr">
        <is>
          <t xml:space="preserve">Noor Thistlewood</t>
        </is>
      </c>
      <c r="C175" s="31">
        <v>46060</v>
      </c>
      <c r="D175" s="32" t="inlineStr">
        <is>
          <t xml:space="preserve">Bound - within authority</t>
        </is>
      </c>
      <c r="E175" s="32" t="inlineStr">
        <is>
          <t xml:space="preserve">New business</t>
        </is>
      </c>
      <c r="F175" s="30" t="inlineStr">
        <is>
          <t xml:space="preserve">B1234EXOTIC26</t>
        </is>
      </c>
      <c r="G175" s="33">
        <f>IF($A175="","",IF($C175="","",YEAR($C175)))</f>
      </c>
      <c r="H175" s="34">
        <v>2003</v>
      </c>
      <c r="I175" s="30" t="inlineStr">
        <is>
          <t xml:space="preserve">BMW</t>
        </is>
      </c>
      <c r="J175" s="30" t="inlineStr">
        <is>
          <t xml:space="preserve">M8 Competition</t>
        </is>
      </c>
      <c r="K175" s="30" t="inlineStr">
        <is>
          <t xml:space="preserve">PWNPRGNVHS3NY85RB</t>
        </is>
      </c>
      <c r="L175" s="32" t="inlineStr">
        <is>
          <t xml:space="preserve">02 - Sports / GT</t>
        </is>
      </c>
      <c r="M175" s="35">
        <v>1305000</v>
      </c>
      <c r="N175" s="32" t="inlineStr">
        <is>
          <t xml:space="preserve">Personal</t>
        </is>
      </c>
      <c r="O175" s="30" t="inlineStr">
        <is>
          <t xml:space="preserve">Personal - regular use</t>
        </is>
      </c>
      <c r="P175" s="30" t="inlineStr">
        <is>
          <t xml:space="preserve">1,000 - 2,500</t>
        </is>
      </c>
      <c r="Q175" s="30" t="inlineStr">
        <is>
          <t xml:space="preserve">Massachusetts</t>
        </is>
      </c>
      <c r="R175" s="30" t="inlineStr">
        <is>
          <t xml:space="preserve">02108</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14883.16</v>
      </c>
      <c r="AC175" s="37">
        <v>0</v>
      </c>
      <c r="AD175" s="38">
        <f>IF(ISNUMBER($AB175),$AB175*(1+N($AC175)),"")</f>
      </c>
      <c r="AE175" s="35">
        <v>350</v>
      </c>
      <c r="AF175" s="35">
        <v>250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CANON-202602-004898</t>
        </is>
      </c>
      <c r="B176" s="46" t="inlineStr">
        <is>
          <t xml:space="preserve">Callum Delacroix</t>
        </is>
      </c>
      <c r="C176" s="47">
        <v>46063</v>
      </c>
      <c r="D176" s="48" t="inlineStr">
        <is>
          <t xml:space="preserve">Bound - within authority</t>
        </is>
      </c>
      <c r="E176" s="48" t="inlineStr">
        <is>
          <t xml:space="preserve">New business</t>
        </is>
      </c>
      <c r="F176" s="46" t="inlineStr">
        <is>
          <t xml:space="preserve">B1234EXOTIC26</t>
        </is>
      </c>
      <c r="G176" s="33">
        <f>IF($A176="","",IF($C176="","",YEAR($C176)))</f>
      </c>
      <c r="H176" s="49">
        <v>2008</v>
      </c>
      <c r="I176" s="46" t="inlineStr">
        <is>
          <t xml:space="preserve">Bentley</t>
        </is>
      </c>
      <c r="J176" s="46" t="inlineStr">
        <is>
          <t xml:space="preserve">Continental GT</t>
        </is>
      </c>
      <c r="K176" s="46" t="inlineStr">
        <is>
          <t xml:space="preserve">2MT3239W80TEFZASH</t>
        </is>
      </c>
      <c r="L176" s="48" t="inlineStr">
        <is>
          <t xml:space="preserve">02 - Sports / GT</t>
        </is>
      </c>
      <c r="M176" s="50">
        <v>385000</v>
      </c>
      <c r="N176" s="48" t="inlineStr">
        <is>
          <t xml:space="preserve">Personal</t>
        </is>
      </c>
      <c r="O176" s="46" t="inlineStr">
        <is>
          <t xml:space="preserve">Personal - regular use</t>
        </is>
      </c>
      <c r="P176" s="46" t="inlineStr">
        <is>
          <t xml:space="preserve">Under 1,000</t>
        </is>
      </c>
      <c r="Q176" s="46" t="inlineStr">
        <is>
          <t xml:space="preserve">Michigan</t>
        </is>
      </c>
      <c r="R176" s="46" t="inlineStr">
        <is>
          <t xml:space="preserve">48226</t>
        </is>
      </c>
      <c r="S176" s="48" t="inlineStr">
        <is>
          <t xml:space="preserve">Severe convective - hail / tornado (moderate)</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7424.47</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CANON-202602-004899</t>
        </is>
      </c>
      <c r="B177" s="30" t="inlineStr">
        <is>
          <t xml:space="preserve">Lorenzo Okonkwo</t>
        </is>
      </c>
      <c r="C177" s="31">
        <v>46078</v>
      </c>
      <c r="D177" s="32" t="inlineStr">
        <is>
          <t xml:space="preserve">Bound - within authority</t>
        </is>
      </c>
      <c r="E177" s="32" t="inlineStr">
        <is>
          <t xml:space="preserve">New business</t>
        </is>
      </c>
      <c r="F177" s="30" t="inlineStr">
        <is>
          <t xml:space="preserve">B1234EXOTIC26</t>
        </is>
      </c>
      <c r="G177" s="33">
        <f>IF($A177="","",IF($C177="","",YEAR($C177)))</f>
      </c>
      <c r="H177" s="34">
        <v>1964</v>
      </c>
      <c r="I177" s="30" t="inlineStr">
        <is>
          <t xml:space="preserve">Aston Martin</t>
        </is>
      </c>
      <c r="J177" s="30" t="inlineStr">
        <is>
          <t xml:space="preserve">DB5</t>
        </is>
      </c>
      <c r="K177" s="30" t="inlineStr">
        <is>
          <t xml:space="preserve">JKGFZ92K2DYCEN250</t>
        </is>
      </c>
      <c r="L177" s="32" t="inlineStr">
        <is>
          <t xml:space="preserve">07 - Post-War Classic (1946-1972)</t>
        </is>
      </c>
      <c r="M177" s="35">
        <v>730000</v>
      </c>
      <c r="N177" s="32" t="inlineStr">
        <is>
          <t xml:space="preserve">Personal</t>
        </is>
      </c>
      <c r="O177" s="30" t="inlineStr">
        <is>
          <t xml:space="preserve">Personal - regular use</t>
        </is>
      </c>
      <c r="P177" s="30" t="inlineStr">
        <is>
          <t xml:space="preserve">2,500 - 5,000</t>
        </is>
      </c>
      <c r="Q177" s="30" t="inlineStr">
        <is>
          <t xml:space="preserve">Pennsylvania</t>
        </is>
      </c>
      <c r="R177" s="30" t="inlineStr">
        <is>
          <t xml:space="preserve">19103</t>
        </is>
      </c>
      <c r="S177" s="32" t="inlineStr">
        <is>
          <t xml:space="preserve">Low hazard - inland benign</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5207.19</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CANON-202602-004900</t>
        </is>
      </c>
      <c r="B178" s="46" t="inlineStr">
        <is>
          <t xml:space="preserve">Fenwick Ashcombe</t>
        </is>
      </c>
      <c r="C178" s="47">
        <v>46068</v>
      </c>
      <c r="D178" s="48" t="inlineStr">
        <is>
          <t xml:space="preserve">Bound - within authority</t>
        </is>
      </c>
      <c r="E178" s="48" t="inlineStr">
        <is>
          <t xml:space="preserve">New business</t>
        </is>
      </c>
      <c r="F178" s="46" t="inlineStr">
        <is>
          <t xml:space="preserve">B1234EXOTIC26</t>
        </is>
      </c>
      <c r="G178" s="33">
        <f>IF($A178="","",IF($C178="","",YEAR($C178)))</f>
      </c>
      <c r="H178" s="49">
        <v>1970</v>
      </c>
      <c r="I178" s="46" t="inlineStr">
        <is>
          <t xml:space="preserve">Lamborghini</t>
        </is>
      </c>
      <c r="J178" s="46" t="inlineStr">
        <is>
          <t xml:space="preserve">Huracan EVO</t>
        </is>
      </c>
      <c r="K178" s="46" t="inlineStr">
        <is>
          <t xml:space="preserve">HKXAE17D0P4JLA527</t>
        </is>
      </c>
      <c r="L178" s="48" t="inlineStr">
        <is>
          <t xml:space="preserve">03 - Supercar</t>
        </is>
      </c>
      <c r="M178" s="50">
        <v>895000</v>
      </c>
      <c r="N178" s="48" t="inlineStr">
        <is>
          <t xml:space="preserve">Personal</t>
        </is>
      </c>
      <c r="O178" s="46" t="inlineStr">
        <is>
          <t xml:space="preserve">Personal - regular use</t>
        </is>
      </c>
      <c r="P178" s="46" t="inlineStr">
        <is>
          <t xml:space="preserve">1,000 - 2,500</t>
        </is>
      </c>
      <c r="Q178" s="46" t="inlineStr">
        <is>
          <t xml:space="preserve">Washington</t>
        </is>
      </c>
      <c r="R178" s="46" t="inlineStr">
        <is>
          <t xml:space="preserve">98101</t>
        </is>
      </c>
      <c r="S178" s="48" t="inlineStr">
        <is>
          <t xml:space="preserve">Earthquake - high (CA, Cascadia, New Madrid)</t>
        </is>
      </c>
      <c r="T178" s="36">
        <f>IF($A178="","",IF($S178="","",IFERROR(INDEX('[1]natural catastrophe'!$D$6:$D$17,MATCH($S178,'[1]natural catastrophe'!$B$6:$B$17,0)),"?")))</f>
      </c>
      <c r="U178" s="46" t="inlineStr">
        <is>
          <t xml:space="preserve">$5,000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13540.34</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CANON-202602-004901</t>
        </is>
      </c>
      <c r="B179" s="30" t="inlineStr">
        <is>
          <t xml:space="preserve">Marisol Nakashima</t>
        </is>
      </c>
      <c r="C179" s="31">
        <v>46078</v>
      </c>
      <c r="D179" s="32" t="inlineStr">
        <is>
          <t xml:space="preserve">Bound - within authority</t>
        </is>
      </c>
      <c r="E179" s="32" t="inlineStr">
        <is>
          <t xml:space="preserve">New business</t>
        </is>
      </c>
      <c r="F179" s="30" t="inlineStr">
        <is>
          <t xml:space="preserve">B1234EXOTIC26</t>
        </is>
      </c>
      <c r="G179" s="33">
        <f>IF($A179="","",IF($C179="","",YEAR($C179)))</f>
      </c>
      <c r="H179" s="34">
        <v>1957</v>
      </c>
      <c r="I179" s="30" t="inlineStr">
        <is>
          <t xml:space="preserve">Ferrari</t>
        </is>
      </c>
      <c r="J179" s="30" t="inlineStr">
        <is>
          <t xml:space="preserve">SF90 Stradale</t>
        </is>
      </c>
      <c r="K179" s="30" t="inlineStr">
        <is>
          <t xml:space="preserve">647MR06E7Y3KS6W8W</t>
        </is>
      </c>
      <c r="L179" s="32" t="inlineStr">
        <is>
          <t xml:space="preserve">03 - Supercar</t>
        </is>
      </c>
      <c r="M179" s="35">
        <v>785000</v>
      </c>
      <c r="N179" s="32" t="inlineStr">
        <is>
          <t xml:space="preserve">Personal</t>
        </is>
      </c>
      <c r="O179" s="30" t="inlineStr">
        <is>
          <t xml:space="preserve">Personal - regular use</t>
        </is>
      </c>
      <c r="P179" s="30" t="inlineStr">
        <is>
          <t xml:space="preserve">1,000 - 2,500</t>
        </is>
      </c>
      <c r="Q179" s="30" t="inlineStr">
        <is>
          <t xml:space="preserve">Delaware</t>
        </is>
      </c>
      <c r="R179" s="30" t="inlineStr">
        <is>
          <t xml:space="preserve">19801</t>
        </is>
      </c>
      <c r="S179" s="32" t="inlineStr">
        <is>
          <t xml:space="preserve">Tier 3 - Coastal wind (25-100 miles)</t>
        </is>
      </c>
      <c r="T179" s="36">
        <f>IF($A179="","",IF($S179="","",IFERROR(INDEX('[1]natural catastrophe'!$D$6:$D$17,MATCH($S179,'[1]natural catastrophe'!$B$6:$B$17,0)),"?")))</f>
      </c>
      <c r="U179" s="30" t="inlineStr">
        <is>
          <t xml:space="preserve">2% of agreed value, minimum $10,000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15463.76</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CANON-202602-004902</t>
        </is>
      </c>
      <c r="B180" s="46" t="inlineStr">
        <is>
          <t xml:space="preserve">Lorenzo Harrington</t>
        </is>
      </c>
      <c r="C180" s="47">
        <v>46074</v>
      </c>
      <c r="D180" s="48" t="inlineStr">
        <is>
          <t xml:space="preserve">Bound - within authority</t>
        </is>
      </c>
      <c r="E180" s="48" t="inlineStr">
        <is>
          <t xml:space="preserve">New business</t>
        </is>
      </c>
      <c r="F180" s="46" t="inlineStr">
        <is>
          <t xml:space="preserve">B1234EXOTIC26</t>
        </is>
      </c>
      <c r="G180" s="33">
        <f>IF($A180="","",IF($C180="","",YEAR($C180)))</f>
      </c>
      <c r="H180" s="49">
        <v>2023</v>
      </c>
      <c r="I180" s="46" t="inlineStr">
        <is>
          <t xml:space="preserve">Maserati</t>
        </is>
      </c>
      <c r="J180" s="46" t="inlineStr">
        <is>
          <t xml:space="preserve">GranTurismo</t>
        </is>
      </c>
      <c r="K180" s="46" t="inlineStr">
        <is>
          <t xml:space="preserve">SR5GY4X2BCE1N3S2U</t>
        </is>
      </c>
      <c r="L180" s="48" t="inlineStr">
        <is>
          <t xml:space="preserve">02 - Sports / GT</t>
        </is>
      </c>
      <c r="M180" s="50">
        <v>510000</v>
      </c>
      <c r="N180" s="48" t="inlineStr">
        <is>
          <t xml:space="preserve">Personal</t>
        </is>
      </c>
      <c r="O180" s="46" t="inlineStr">
        <is>
          <t xml:space="preserve">Personal - regular use</t>
        </is>
      </c>
      <c r="P180" s="46" t="inlineStr">
        <is>
          <t xml:space="preserve">1,000 - 2,500</t>
        </is>
      </c>
      <c r="Q180" s="46" t="inlineStr">
        <is>
          <t xml:space="preserve">New York</t>
        </is>
      </c>
      <c r="R180" s="46" t="inlineStr">
        <is>
          <t xml:space="preserve">10022</t>
        </is>
      </c>
      <c r="S180" s="48" t="inlineStr">
        <is>
          <t xml:space="preserve">Tier 3 - Coastal wind (25-100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7038.91</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CANON-202602-004903</t>
        </is>
      </c>
      <c r="B181" s="30" t="inlineStr">
        <is>
          <t xml:space="preserve">Ramona Pennington</t>
        </is>
      </c>
      <c r="C181" s="31">
        <v>46074</v>
      </c>
      <c r="D181" s="32" t="inlineStr">
        <is>
          <t xml:space="preserve">Bound - within authority</t>
        </is>
      </c>
      <c r="E181" s="32" t="inlineStr">
        <is>
          <t xml:space="preserve">New business</t>
        </is>
      </c>
      <c r="F181" s="30" t="inlineStr">
        <is>
          <t xml:space="preserve">B1234EXOTIC26</t>
        </is>
      </c>
      <c r="G181" s="33">
        <f>IF($A181="","",IF($C181="","",YEAR($C181)))</f>
      </c>
      <c r="H181" s="34">
        <v>2001</v>
      </c>
      <c r="I181" s="30" t="inlineStr">
        <is>
          <t xml:space="preserve">BMW</t>
        </is>
      </c>
      <c r="J181" s="30" t="inlineStr">
        <is>
          <t xml:space="preserve">M8 Competition</t>
        </is>
      </c>
      <c r="K181" s="30" t="inlineStr">
        <is>
          <t xml:space="preserve">59GCVF3BH60MA9P9H</t>
        </is>
      </c>
      <c r="L181" s="32" t="inlineStr">
        <is>
          <t xml:space="preserve">02 - Sports / GT</t>
        </is>
      </c>
      <c r="M181" s="35">
        <v>180000</v>
      </c>
      <c r="N181" s="32" t="inlineStr">
        <is>
          <t xml:space="preserve">Personal</t>
        </is>
      </c>
      <c r="O181" s="30" t="inlineStr">
        <is>
          <t xml:space="preserve">Personal - regular use</t>
        </is>
      </c>
      <c r="P181" s="30" t="inlineStr">
        <is>
          <t xml:space="preserve">2,500 - 5,000</t>
        </is>
      </c>
      <c r="Q181" s="30" t="inlineStr">
        <is>
          <t xml:space="preserve">Montana</t>
        </is>
      </c>
      <c r="R181" s="30" t="inlineStr">
        <is>
          <t xml:space="preserve">59601</t>
        </is>
      </c>
      <c r="S181" s="32" t="inlineStr">
        <is>
          <t xml:space="preserve">Wildfire - WUI high hazard</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2554.79</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CANON-202602-004904</t>
        </is>
      </c>
      <c r="B182" s="46" t="inlineStr">
        <is>
          <t xml:space="preserve">Leopold Merriweather</t>
        </is>
      </c>
      <c r="C182" s="47">
        <v>46070</v>
      </c>
      <c r="D182" s="48" t="inlineStr">
        <is>
          <t xml:space="preserve">Bound - within authority</t>
        </is>
      </c>
      <c r="E182" s="48" t="inlineStr">
        <is>
          <t xml:space="preserve">New business</t>
        </is>
      </c>
      <c r="F182" s="46" t="inlineStr">
        <is>
          <t xml:space="preserve">B1234EXOTIC26</t>
        </is>
      </c>
      <c r="G182" s="33">
        <f>IF($A182="","",IF($C182="","",YEAR($C182)))</f>
      </c>
      <c r="H182" s="49">
        <v>1983</v>
      </c>
      <c r="I182" s="46" t="inlineStr">
        <is>
          <t xml:space="preserve">BMW</t>
        </is>
      </c>
      <c r="J182" s="46" t="inlineStr">
        <is>
          <t xml:space="preserve">M8 Competition</t>
        </is>
      </c>
      <c r="K182" s="46" t="inlineStr">
        <is>
          <t xml:space="preserve">LV7WF4YN4J5RWNHBB</t>
        </is>
      </c>
      <c r="L182" s="48" t="inlineStr">
        <is>
          <t xml:space="preserve">02 - Sports / GT</t>
        </is>
      </c>
      <c r="M182" s="50">
        <v>540000</v>
      </c>
      <c r="N182" s="48" t="inlineStr">
        <is>
          <t xml:space="preserve">Personal</t>
        </is>
      </c>
      <c r="O182" s="46" t="inlineStr">
        <is>
          <t xml:space="preserve">Personal - regular use</t>
        </is>
      </c>
      <c r="P182" s="46" t="inlineStr">
        <is>
          <t xml:space="preserve">Under 1,000</t>
        </is>
      </c>
      <c r="Q182" s="46" t="inlineStr">
        <is>
          <t xml:space="preserve">Tennessee</t>
        </is>
      </c>
      <c r="R182" s="46" t="inlineStr">
        <is>
          <t xml:space="preserve">37203</t>
        </is>
      </c>
      <c r="S182" s="48" t="inlineStr">
        <is>
          <t xml:space="preserve">Severe convective - hail / tornado (moderate)</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5706.18</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CANON-202602-004907</t>
        </is>
      </c>
      <c r="B183" s="30" t="inlineStr">
        <is>
          <t xml:space="preserve">Leopold Underwood</t>
        </is>
      </c>
      <c r="C183" s="31">
        <v>46064</v>
      </c>
      <c r="D183" s="32" t="inlineStr">
        <is>
          <t xml:space="preserve">Bound - within authority</t>
        </is>
      </c>
      <c r="E183" s="32" t="inlineStr">
        <is>
          <t xml:space="preserve">New business</t>
        </is>
      </c>
      <c r="F183" s="30" t="inlineStr">
        <is>
          <t xml:space="preserve">B1234EXOTIC26</t>
        </is>
      </c>
      <c r="G183" s="33">
        <f>IF($A183="","",IF($C183="","",YEAR($C183)))</f>
      </c>
      <c r="H183" s="34">
        <v>1960</v>
      </c>
      <c r="I183" s="30" t="inlineStr">
        <is>
          <t xml:space="preserve">Ferrari</t>
        </is>
      </c>
      <c r="J183" s="30" t="inlineStr">
        <is>
          <t xml:space="preserve">SF90 Stradale</t>
        </is>
      </c>
      <c r="K183" s="30" t="inlineStr">
        <is>
          <t xml:space="preserve">4T15282WZ8CR5DBM4</t>
        </is>
      </c>
      <c r="L183" s="32" t="inlineStr">
        <is>
          <t xml:space="preserve">03 - Supercar</t>
        </is>
      </c>
      <c r="M183" s="35">
        <v>615000</v>
      </c>
      <c r="N183" s="32" t="inlineStr">
        <is>
          <t xml:space="preserve">Personal</t>
        </is>
      </c>
      <c r="O183" s="30" t="inlineStr">
        <is>
          <t xml:space="preserve">Personal - regular use</t>
        </is>
      </c>
      <c r="P183" s="30" t="inlineStr">
        <is>
          <t xml:space="preserve">2,500 - 5,000</t>
        </is>
      </c>
      <c r="Q183" s="30" t="inlineStr">
        <is>
          <t xml:space="preserve">Washington</t>
        </is>
      </c>
      <c r="R183" s="30" t="inlineStr">
        <is>
          <t xml:space="preserve">98101</t>
        </is>
      </c>
      <c r="S183" s="32" t="inlineStr">
        <is>
          <t xml:space="preserve">Earthquake - high (CA, Cascadia, New Madrid)</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9304.26</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CANON-202602-004910</t>
        </is>
      </c>
      <c r="B184" s="46" t="inlineStr">
        <is>
          <t xml:space="preserve">Mireille Vasquez</t>
        </is>
      </c>
      <c r="C184" s="47">
        <v>46078</v>
      </c>
      <c r="D184" s="48" t="inlineStr">
        <is>
          <t xml:space="preserve">Bound - within authority</t>
        </is>
      </c>
      <c r="E184" s="48" t="inlineStr">
        <is>
          <t xml:space="preserve">New business</t>
        </is>
      </c>
      <c r="F184" s="46" t="inlineStr">
        <is>
          <t xml:space="preserve">B1234EXOTIC26</t>
        </is>
      </c>
      <c r="G184" s="33">
        <f>IF($A184="","",IF($C184="","",YEAR($C184)))</f>
      </c>
      <c r="H184" s="49">
        <v>1994</v>
      </c>
      <c r="I184" s="46" t="inlineStr">
        <is>
          <t xml:space="preserve">Bentley</t>
        </is>
      </c>
      <c r="J184" s="46" t="inlineStr">
        <is>
          <t xml:space="preserve">Continental GT</t>
        </is>
      </c>
      <c r="K184" s="46" t="inlineStr">
        <is>
          <t xml:space="preserve">XBL81B03B3F0B6H6Z</t>
        </is>
      </c>
      <c r="L184" s="48" t="inlineStr">
        <is>
          <t xml:space="preserve">02 - Sports / GT</t>
        </is>
      </c>
      <c r="M184" s="50">
        <v>805000</v>
      </c>
      <c r="N184" s="48" t="inlineStr">
        <is>
          <t xml:space="preserve">Personal</t>
        </is>
      </c>
      <c r="O184" s="46" t="inlineStr">
        <is>
          <t xml:space="preserve">Personal - regular use</t>
        </is>
      </c>
      <c r="P184" s="46" t="inlineStr">
        <is>
          <t xml:space="preserve">Under 1,000</t>
        </is>
      </c>
      <c r="Q184" s="46" t="inlineStr">
        <is>
          <t xml:space="preserve">Maryland</t>
        </is>
      </c>
      <c r="R184" s="46" t="inlineStr">
        <is>
          <t xml:space="preserve">21201</t>
        </is>
      </c>
      <c r="S184" s="48" t="inlineStr">
        <is>
          <t xml:space="preserve">Tier 3 - Coastal wind (25-100 miles)</t>
        </is>
      </c>
      <c r="T184" s="36">
        <f>IF($A184="","",IF($S184="","",IFERROR(INDEX('[1]natural catastrophe'!$D$6:$D$17,MATCH($S184,'[1]natural catastrophe'!$B$6:$B$17,0)),"?")))</f>
      </c>
      <c r="U184" s="46" t="inlineStr">
        <is>
          <t xml:space="preserve">2% of agreed value, minimum $10,000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8246.03</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CANON-202602-004911</t>
        </is>
      </c>
      <c r="B185" s="30" t="inlineStr">
        <is>
          <t xml:space="preserve">Ramona Montoya</t>
        </is>
      </c>
      <c r="C185" s="31">
        <v>46064</v>
      </c>
      <c r="D185" s="32" t="inlineStr">
        <is>
          <t xml:space="preserve">Bound - within authority</t>
        </is>
      </c>
      <c r="E185" s="32" t="inlineStr">
        <is>
          <t xml:space="preserve">New business</t>
        </is>
      </c>
      <c r="F185" s="30" t="inlineStr">
        <is>
          <t xml:space="preserve">B1234EXOTIC26</t>
        </is>
      </c>
      <c r="G185" s="33">
        <f>IF($A185="","",IF($C185="","",YEAR($C185)))</f>
      </c>
      <c r="H185" s="34">
        <v>1989</v>
      </c>
      <c r="I185" s="30" t="inlineStr">
        <is>
          <t xml:space="preserve">McLaren</t>
        </is>
      </c>
      <c r="J185" s="30" t="inlineStr">
        <is>
          <t xml:space="preserve">750S</t>
        </is>
      </c>
      <c r="K185" s="30" t="inlineStr">
        <is>
          <t xml:space="preserve">7BTSXAJT89R1HX3RC</t>
        </is>
      </c>
      <c r="L185" s="32" t="inlineStr">
        <is>
          <t xml:space="preserve">03 - Supercar</t>
        </is>
      </c>
      <c r="M185" s="35">
        <v>410000</v>
      </c>
      <c r="N185" s="32" t="inlineStr">
        <is>
          <t xml:space="preserve">Personal</t>
        </is>
      </c>
      <c r="O185" s="30" t="inlineStr">
        <is>
          <t xml:space="preserve">Personal - regular use</t>
        </is>
      </c>
      <c r="P185" s="30" t="inlineStr">
        <is>
          <t xml:space="preserve">1,000 - 2,500</t>
        </is>
      </c>
      <c r="Q185" s="30" t="inlineStr">
        <is>
          <t xml:space="preserve">New Mexico</t>
        </is>
      </c>
      <c r="R185" s="30" t="inlineStr">
        <is>
          <t xml:space="preserve">87501</t>
        </is>
      </c>
      <c r="S185" s="32" t="inlineStr">
        <is>
          <t xml:space="preserve">Wildfire - WUI high hazard</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10011.6</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CANON-202602-004913</t>
        </is>
      </c>
      <c r="B186" s="46" t="inlineStr">
        <is>
          <t xml:space="preserve">Ottilie Kingsford</t>
        </is>
      </c>
      <c r="C186" s="47">
        <v>46059</v>
      </c>
      <c r="D186" s="48" t="inlineStr">
        <is>
          <t xml:space="preserve">Bound - within authority</t>
        </is>
      </c>
      <c r="E186" s="48" t="inlineStr">
        <is>
          <t xml:space="preserve">New business</t>
        </is>
      </c>
      <c r="F186" s="46" t="inlineStr">
        <is>
          <t xml:space="preserve">B1234EXOTIC26</t>
        </is>
      </c>
      <c r="G186" s="33">
        <f>IF($A186="","",IF($C186="","",YEAR($C186)))</f>
      </c>
      <c r="H186" s="49">
        <v>1999</v>
      </c>
      <c r="I186" s="46" t="inlineStr">
        <is>
          <t xml:space="preserve">Mercedes-Benz</t>
        </is>
      </c>
      <c r="J186" s="46" t="inlineStr">
        <is>
          <t xml:space="preserve">AMG GT</t>
        </is>
      </c>
      <c r="K186" s="46" t="inlineStr">
        <is>
          <t xml:space="preserve">AJ49EW0PGL2N9LLZJ</t>
        </is>
      </c>
      <c r="L186" s="48" t="inlineStr">
        <is>
          <t xml:space="preserve">02 - Sports / GT</t>
        </is>
      </c>
      <c r="M186" s="50">
        <v>800000</v>
      </c>
      <c r="N186" s="48" t="inlineStr">
        <is>
          <t xml:space="preserve">Personal</t>
        </is>
      </c>
      <c r="O186" s="46" t="inlineStr">
        <is>
          <t xml:space="preserve">Personal - regular use</t>
        </is>
      </c>
      <c r="P186" s="46" t="inlineStr">
        <is>
          <t xml:space="preserve">Under 1,000</t>
        </is>
      </c>
      <c r="Q186" s="46" t="inlineStr">
        <is>
          <t xml:space="preserve">Alaska</t>
        </is>
      </c>
      <c r="R186" s="46" t="inlineStr">
        <is>
          <t xml:space="preserve">99501</t>
        </is>
      </c>
      <c r="S186" s="48" t="inlineStr">
        <is>
          <t xml:space="preserve">Earthquake - high (CA, Cascadia, New Madrid)</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9833.77</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CANON-202602-004914</t>
        </is>
      </c>
      <c r="B187" s="30" t="inlineStr">
        <is>
          <t xml:space="preserve">Beatrix Thistlewood</t>
        </is>
      </c>
      <c r="C187" s="31">
        <v>46080</v>
      </c>
      <c r="D187" s="32" t="inlineStr">
        <is>
          <t xml:space="preserve">Bound - within authority</t>
        </is>
      </c>
      <c r="E187" s="32" t="inlineStr">
        <is>
          <t xml:space="preserve">New business</t>
        </is>
      </c>
      <c r="F187" s="30" t="inlineStr">
        <is>
          <t xml:space="preserve">B1234EXOTIC26</t>
        </is>
      </c>
      <c r="G187" s="33">
        <f>IF($A187="","",IF($C187="","",YEAR($C187)))</f>
      </c>
      <c r="H187" s="34">
        <v>2011</v>
      </c>
      <c r="I187" s="30" t="inlineStr">
        <is>
          <t xml:space="preserve">Aston Martin</t>
        </is>
      </c>
      <c r="J187" s="30" t="inlineStr">
        <is>
          <t xml:space="preserve">DB12</t>
        </is>
      </c>
      <c r="K187" s="30" t="inlineStr">
        <is>
          <t xml:space="preserve">41T93GXN2JHW01LH8</t>
        </is>
      </c>
      <c r="L187" s="32" t="inlineStr">
        <is>
          <t xml:space="preserve">02 - Sports / GT</t>
        </is>
      </c>
      <c r="M187" s="35">
        <v>995000</v>
      </c>
      <c r="N187" s="32" t="inlineStr">
        <is>
          <t xml:space="preserve">Personal</t>
        </is>
      </c>
      <c r="O187" s="30" t="inlineStr">
        <is>
          <t xml:space="preserve">Personal - regular use</t>
        </is>
      </c>
      <c r="P187" s="30" t="inlineStr">
        <is>
          <t xml:space="preserve">Under 1,000</t>
        </is>
      </c>
      <c r="Q187" s="30" t="inlineStr">
        <is>
          <t xml:space="preserve">Tennessee</t>
        </is>
      </c>
      <c r="R187" s="30" t="inlineStr">
        <is>
          <t xml:space="preserve">37203</t>
        </is>
      </c>
      <c r="S187" s="32" t="inlineStr">
        <is>
          <t xml:space="preserve">Severe convective - hail / tornado (moderate)</t>
        </is>
      </c>
      <c r="T187" s="36">
        <f>IF($A187="","",IF($S187="","",IFERROR(INDEX('[1]natural catastrophe'!$D$6:$D$17,MATCH($S187,'[1]natural catastrophe'!$B$6:$B$17,0)),"?")))</f>
      </c>
      <c r="U187" s="30" t="inlineStr">
        <is>
          <t xml:space="preserve">$5,000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10514.15</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CANON-202602-004915</t>
        </is>
      </c>
      <c r="B188" s="46" t="inlineStr">
        <is>
          <t xml:space="preserve">Ramona Merriweather</t>
        </is>
      </c>
      <c r="C188" s="47">
        <v>46073</v>
      </c>
      <c r="D188" s="48" t="inlineStr">
        <is>
          <t xml:space="preserve">Bound - within authority</t>
        </is>
      </c>
      <c r="E188" s="48" t="inlineStr">
        <is>
          <t xml:space="preserve">New business</t>
        </is>
      </c>
      <c r="F188" s="46" t="inlineStr">
        <is>
          <t xml:space="preserve">B1234EXOTIC26</t>
        </is>
      </c>
      <c r="G188" s="33">
        <f>IF($A188="","",IF($C188="","",YEAR($C188)))</f>
      </c>
      <c r="H188" s="49">
        <v>2007</v>
      </c>
      <c r="I188" s="46" t="inlineStr">
        <is>
          <t xml:space="preserve">Ferrari</t>
        </is>
      </c>
      <c r="J188" s="46" t="inlineStr">
        <is>
          <t xml:space="preserve">275 GTB/4</t>
        </is>
      </c>
      <c r="K188" s="46" t="inlineStr">
        <is>
          <t xml:space="preserve">GG9UJHGN5DZ8CTJ6R</t>
        </is>
      </c>
      <c r="L188" s="48" t="inlineStr">
        <is>
          <t xml:space="preserve">09 - Youngtimer / Collectible (2000-2010)</t>
        </is>
      </c>
      <c r="M188" s="50">
        <v>950000</v>
      </c>
      <c r="N188" s="48" t="inlineStr">
        <is>
          <t xml:space="preserve">Personal</t>
        </is>
      </c>
      <c r="O188" s="46" t="inlineStr">
        <is>
          <t xml:space="preserve">Personal - regular use</t>
        </is>
      </c>
      <c r="P188" s="46" t="inlineStr">
        <is>
          <t xml:space="preserve">Under 1,000</t>
        </is>
      </c>
      <c r="Q188" s="46" t="inlineStr">
        <is>
          <t xml:space="preserve">North Carolina</t>
        </is>
      </c>
      <c r="R188" s="46" t="inlineStr">
        <is>
          <t xml:space="preserve">28202</t>
        </is>
      </c>
      <c r="S188" s="48" t="inlineStr">
        <is>
          <t xml:space="preserve">Tier 2 - Coastal wind (1-25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7792.95</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CANON-202602-004916</t>
        </is>
      </c>
      <c r="B189" s="30" t="inlineStr">
        <is>
          <t xml:space="preserve">Marisol Farkas</t>
        </is>
      </c>
      <c r="C189" s="31">
        <v>46060</v>
      </c>
      <c r="D189" s="32" t="inlineStr">
        <is>
          <t xml:space="preserve">Bound - within authority</t>
        </is>
      </c>
      <c r="E189" s="32" t="inlineStr">
        <is>
          <t xml:space="preserve">New business</t>
        </is>
      </c>
      <c r="F189" s="30" t="inlineStr">
        <is>
          <t xml:space="preserve">B1234EXOTIC26</t>
        </is>
      </c>
      <c r="G189" s="33">
        <f>IF($A189="","",IF($C189="","",YEAR($C189)))</f>
      </c>
      <c r="H189" s="34">
        <v>1977</v>
      </c>
      <c r="I189" s="30" t="inlineStr">
        <is>
          <t xml:space="preserve">McLaren</t>
        </is>
      </c>
      <c r="J189" s="30" t="inlineStr">
        <is>
          <t xml:space="preserve">750S</t>
        </is>
      </c>
      <c r="K189" s="30" t="inlineStr">
        <is>
          <t xml:space="preserve">WMAZ19TMLXR9N9ZC6</t>
        </is>
      </c>
      <c r="L189" s="32" t="inlineStr">
        <is>
          <t xml:space="preserve">03 - Supercar</t>
        </is>
      </c>
      <c r="M189" s="35">
        <v>1270000</v>
      </c>
      <c r="N189" s="32" t="inlineStr">
        <is>
          <t xml:space="preserve">Personal</t>
        </is>
      </c>
      <c r="O189" s="30" t="inlineStr">
        <is>
          <t xml:space="preserve">Personal - regular use</t>
        </is>
      </c>
      <c r="P189" s="30" t="inlineStr">
        <is>
          <t xml:space="preserve">2,500 - 5,000</t>
        </is>
      </c>
      <c r="Q189" s="30" t="inlineStr">
        <is>
          <t xml:space="preserve">Missouri</t>
        </is>
      </c>
      <c r="R189" s="30" t="inlineStr">
        <is>
          <t xml:space="preserve">63101</t>
        </is>
      </c>
      <c r="S189" s="32" t="inlineStr">
        <is>
          <t xml:space="preserve">Severe convective - hail / tornado (moderate)</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17865.34</v>
      </c>
      <c r="AC189" s="37">
        <v>0</v>
      </c>
      <c r="AD189" s="38">
        <f>IF(ISNUMBER($AB189),$AB189*(1+N($AC189)),"")</f>
      </c>
      <c r="AE189" s="35">
        <v>350</v>
      </c>
      <c r="AF189" s="35">
        <v>250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CANON-202602-004917</t>
        </is>
      </c>
      <c r="B190" s="46" t="inlineStr">
        <is>
          <t xml:space="preserve">Ingrid Fairweather</t>
        </is>
      </c>
      <c r="C190" s="47">
        <v>46072</v>
      </c>
      <c r="D190" s="48" t="inlineStr">
        <is>
          <t xml:space="preserve">Bound - within authority</t>
        </is>
      </c>
      <c r="E190" s="48" t="inlineStr">
        <is>
          <t xml:space="preserve">New business</t>
        </is>
      </c>
      <c r="F190" s="46" t="inlineStr">
        <is>
          <t xml:space="preserve">B1234EXOTIC26</t>
        </is>
      </c>
      <c r="G190" s="33">
        <f>IF($A190="","",IF($C190="","",YEAR($C190)))</f>
      </c>
      <c r="H190" s="49">
        <v>1995</v>
      </c>
      <c r="I190" s="46" t="inlineStr">
        <is>
          <t xml:space="preserve">Mercedes-Benz</t>
        </is>
      </c>
      <c r="J190" s="46" t="inlineStr">
        <is>
          <t xml:space="preserve">AMG GT</t>
        </is>
      </c>
      <c r="K190" s="46" t="inlineStr">
        <is>
          <t xml:space="preserve">034V1RWUBV09FNM99</t>
        </is>
      </c>
      <c r="L190" s="48" t="inlineStr">
        <is>
          <t xml:space="preserve">02 - Sports / GT</t>
        </is>
      </c>
      <c r="M190" s="50">
        <v>580000</v>
      </c>
      <c r="N190" s="48" t="inlineStr">
        <is>
          <t xml:space="preserve">Personal</t>
        </is>
      </c>
      <c r="O190" s="46" t="inlineStr">
        <is>
          <t xml:space="preserve">Personal - regular use</t>
        </is>
      </c>
      <c r="P190" s="46" t="inlineStr">
        <is>
          <t xml:space="preserve">1,000 - 2,500</t>
        </is>
      </c>
      <c r="Q190" s="46" t="inlineStr">
        <is>
          <t xml:space="preserve">Montana</t>
        </is>
      </c>
      <c r="R190" s="46" t="inlineStr">
        <is>
          <t xml:space="preserve">59601</t>
        </is>
      </c>
      <c r="S190" s="48" t="inlineStr">
        <is>
          <t xml:space="preserve">Wildfire - WUI high hazard</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5816.15</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CANON-202602-004918</t>
        </is>
      </c>
      <c r="B191" s="30" t="inlineStr">
        <is>
          <t xml:space="preserve">Emiliano Blackwood</t>
        </is>
      </c>
      <c r="C191" s="31">
        <v>46063</v>
      </c>
      <c r="D191" s="32" t="inlineStr">
        <is>
          <t xml:space="preserve">Bound - within authority</t>
        </is>
      </c>
      <c r="E191" s="32" t="inlineStr">
        <is>
          <t xml:space="preserve">New business</t>
        </is>
      </c>
      <c r="F191" s="30" t="inlineStr">
        <is>
          <t xml:space="preserve">B1234EXOTIC26</t>
        </is>
      </c>
      <c r="G191" s="33">
        <f>IF($A191="","",IF($C191="","",YEAR($C191)))</f>
      </c>
      <c r="H191" s="34">
        <v>1991</v>
      </c>
      <c r="I191" s="30" t="inlineStr">
        <is>
          <t xml:space="preserve">Bugatti</t>
        </is>
      </c>
      <c r="J191" s="30" t="inlineStr">
        <is>
          <t xml:space="preserve">Type 57</t>
        </is>
      </c>
      <c r="K191" s="30" t="inlineStr">
        <is>
          <t xml:space="preserve">4A3HG14VBJ6X4EN9V</t>
        </is>
      </c>
      <c r="L191" s="32" t="inlineStr">
        <is>
          <t xml:space="preserve">08 - Modern Classic (1973-1999)</t>
        </is>
      </c>
      <c r="M191" s="35">
        <v>715000</v>
      </c>
      <c r="N191" s="32" t="inlineStr">
        <is>
          <t xml:space="preserve">Personal</t>
        </is>
      </c>
      <c r="O191" s="30" t="inlineStr">
        <is>
          <t xml:space="preserve">Personal - regular use</t>
        </is>
      </c>
      <c r="P191" s="30" t="inlineStr">
        <is>
          <t xml:space="preserve">1,000 - 2,500</t>
        </is>
      </c>
      <c r="Q191" s="30" t="inlineStr">
        <is>
          <t xml:space="preserve">California</t>
        </is>
      </c>
      <c r="R191" s="30" t="inlineStr">
        <is>
          <t xml:space="preserve">90012</t>
        </is>
      </c>
      <c r="S191" s="32" t="inlineStr">
        <is>
          <t xml:space="preserve">Earthquake - high (CA, Cascadia, New Madrid)</t>
        </is>
      </c>
      <c r="T191" s="36">
        <f>IF($A191="","",IF($S191="","",IFERROR(INDEX('[1]natural catastrophe'!$D$6:$D$17,MATCH($S191,'[1]natural catastrophe'!$B$6:$B$17,0)),"?")))</f>
      </c>
      <c r="U191" s="30" t="inlineStr">
        <is>
          <t xml:space="preserve">$5,000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6084.64</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CANON-202602-004919</t>
        </is>
      </c>
      <c r="B192" s="46" t="inlineStr">
        <is>
          <t xml:space="preserve">Ingrid Vandermeer</t>
        </is>
      </c>
      <c r="C192" s="47">
        <v>46065</v>
      </c>
      <c r="D192" s="48" t="inlineStr">
        <is>
          <t xml:space="preserve">Bound - within authority</t>
        </is>
      </c>
      <c r="E192" s="48" t="inlineStr">
        <is>
          <t xml:space="preserve">New business</t>
        </is>
      </c>
      <c r="F192" s="46" t="inlineStr">
        <is>
          <t xml:space="preserve">B1234EXOTIC26</t>
        </is>
      </c>
      <c r="G192" s="33">
        <f>IF($A192="","",IF($C192="","",YEAR($C192)))</f>
      </c>
      <c r="H192" s="49">
        <v>1976</v>
      </c>
      <c r="I192" s="46" t="inlineStr">
        <is>
          <t xml:space="preserve">Bentley</t>
        </is>
      </c>
      <c r="J192" s="46" t="inlineStr">
        <is>
          <t xml:space="preserve">4.5 Litre</t>
        </is>
      </c>
      <c r="K192" s="46" t="inlineStr">
        <is>
          <t xml:space="preserve">2W3024D916NACRB03</t>
        </is>
      </c>
      <c r="L192" s="48" t="inlineStr">
        <is>
          <t xml:space="preserve">08 - Modern Classic (1973-1999)</t>
        </is>
      </c>
      <c r="M192" s="50">
        <v>1950000</v>
      </c>
      <c r="N192" s="48" t="inlineStr">
        <is>
          <t xml:space="preserve">Personal</t>
        </is>
      </c>
      <c r="O192" s="46" t="inlineStr">
        <is>
          <t xml:space="preserve">Personal - regular use</t>
        </is>
      </c>
      <c r="P192" s="46" t="inlineStr">
        <is>
          <t xml:space="preserve">2,500 - 5,000</t>
        </is>
      </c>
      <c r="Q192" s="46" t="inlineStr">
        <is>
          <t xml:space="preserve">Washington</t>
        </is>
      </c>
      <c r="R192" s="46" t="inlineStr">
        <is>
          <t xml:space="preserve">98101</t>
        </is>
      </c>
      <c r="S192" s="48" t="inlineStr">
        <is>
          <t xml:space="preserve">Earthquake - high (CA, Cascadia, New Madrid)</t>
        </is>
      </c>
      <c r="T192" s="36">
        <f>IF($A192="","",IF($S192="","",IFERROR(INDEX('[1]natural catastrophe'!$D$6:$D$17,MATCH($S192,'[1]natural catastrophe'!$B$6:$B$17,0)),"?")))</f>
      </c>
      <c r="U192" s="46" t="inlineStr">
        <is>
          <t xml:space="preserve">$5,000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10558.37</v>
      </c>
      <c r="AC192" s="51">
        <v>0</v>
      </c>
      <c r="AD192" s="38">
        <f>IF(ISNUMBER($AB192),$AB192*(1+N($AC192)),"")</f>
      </c>
      <c r="AE192" s="50">
        <v>350</v>
      </c>
      <c r="AF192" s="50">
        <v>250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CANON-202602-004920</t>
        </is>
      </c>
      <c r="B193" s="30" t="inlineStr">
        <is>
          <t xml:space="preserve">Horace Blackwood</t>
        </is>
      </c>
      <c r="C193" s="31">
        <v>46064</v>
      </c>
      <c r="D193" s="32" t="inlineStr">
        <is>
          <t xml:space="preserve">Bound - within authority</t>
        </is>
      </c>
      <c r="E193" s="32" t="inlineStr">
        <is>
          <t xml:space="preserve">New business</t>
        </is>
      </c>
      <c r="F193" s="30" t="inlineStr">
        <is>
          <t xml:space="preserve">B1234EXOTIC26</t>
        </is>
      </c>
      <c r="G193" s="33">
        <f>IF($A193="","",IF($C193="","",YEAR($C193)))</f>
      </c>
      <c r="H193" s="34">
        <v>2021</v>
      </c>
      <c r="I193" s="30" t="inlineStr">
        <is>
          <t xml:space="preserve">Aston Martin</t>
        </is>
      </c>
      <c r="J193" s="30" t="inlineStr">
        <is>
          <t xml:space="preserve">DB12</t>
        </is>
      </c>
      <c r="K193" s="30" t="inlineStr">
        <is>
          <t xml:space="preserve">YK4Z3C2L2Y8H5VT77</t>
        </is>
      </c>
      <c r="L193" s="32" t="inlineStr">
        <is>
          <t xml:space="preserve">02 - Sports / GT</t>
        </is>
      </c>
      <c r="M193" s="35">
        <v>850000</v>
      </c>
      <c r="N193" s="32" t="inlineStr">
        <is>
          <t xml:space="preserve">Personal</t>
        </is>
      </c>
      <c r="O193" s="30" t="inlineStr">
        <is>
          <t xml:space="preserve">Personal - regular use</t>
        </is>
      </c>
      <c r="P193" s="30" t="inlineStr">
        <is>
          <t xml:space="preserve">1,000 - 2,500</t>
        </is>
      </c>
      <c r="Q193" s="30" t="inlineStr">
        <is>
          <t xml:space="preserve">Virginia</t>
        </is>
      </c>
      <c r="R193" s="30" t="inlineStr">
        <is>
          <t xml:space="preserve">23219</t>
        </is>
      </c>
      <c r="S193" s="32" t="inlineStr">
        <is>
          <t xml:space="preserve">Tier 3 - Coastal wind (25-100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9990.12</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CANON-202602-004921</t>
        </is>
      </c>
      <c r="B194" s="46" t="inlineStr">
        <is>
          <t xml:space="preserve">Callum Merriweather</t>
        </is>
      </c>
      <c r="C194" s="47">
        <v>46055</v>
      </c>
      <c r="D194" s="48" t="inlineStr">
        <is>
          <t xml:space="preserve">Bound - within authority</t>
        </is>
      </c>
      <c r="E194" s="48" t="inlineStr">
        <is>
          <t xml:space="preserve">New business</t>
        </is>
      </c>
      <c r="F194" s="46" t="inlineStr">
        <is>
          <t xml:space="preserve">B1234EXOTIC26</t>
        </is>
      </c>
      <c r="G194" s="33">
        <f>IF($A194="","",IF($C194="","",YEAR($C194)))</f>
      </c>
      <c r="H194" s="49">
        <v>2014</v>
      </c>
      <c r="I194" s="46" t="inlineStr">
        <is>
          <t xml:space="preserve">Bentley</t>
        </is>
      </c>
      <c r="J194" s="46" t="inlineStr">
        <is>
          <t xml:space="preserve">Continental GT</t>
        </is>
      </c>
      <c r="K194" s="46" t="inlineStr">
        <is>
          <t xml:space="preserve">5RUXUG5LGR1TW2AFN</t>
        </is>
      </c>
      <c r="L194" s="48" t="inlineStr">
        <is>
          <t xml:space="preserve">02 - Sports / GT</t>
        </is>
      </c>
      <c r="M194" s="50">
        <v>800000</v>
      </c>
      <c r="N194" s="48" t="inlineStr">
        <is>
          <t xml:space="preserve">Personal</t>
        </is>
      </c>
      <c r="O194" s="46" t="inlineStr">
        <is>
          <t xml:space="preserve">Personal - regular use</t>
        </is>
      </c>
      <c r="P194" s="46" t="inlineStr">
        <is>
          <t xml:space="preserve">1,000 - 2,500</t>
        </is>
      </c>
      <c r="Q194" s="46" t="inlineStr">
        <is>
          <t xml:space="preserve">South Dakota</t>
        </is>
      </c>
      <c r="R194" s="46" t="inlineStr">
        <is>
          <t xml:space="preserve">57501</t>
        </is>
      </c>
      <c r="S194" s="48" t="inlineStr">
        <is>
          <t xml:space="preserve">Severe convective - hail alley (high)</t>
        </is>
      </c>
      <c r="T194" s="36">
        <f>IF($A194="","",IF($S194="","",IFERROR(INDEX('[1]natural catastrophe'!$D$6:$D$17,MATCH($S194,'[1]natural catastrophe'!$B$6:$B$17,0)),"?")))</f>
      </c>
      <c r="U194" s="46" t="inlineStr">
        <is>
          <t xml:space="preserve">$5,000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9574.99</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CANON-202602-004922</t>
        </is>
      </c>
      <c r="B195" s="30" t="inlineStr">
        <is>
          <t xml:space="preserve">Sunniva Harrington</t>
        </is>
      </c>
      <c r="C195" s="31">
        <v>46070</v>
      </c>
      <c r="D195" s="32" t="inlineStr">
        <is>
          <t xml:space="preserve">Bound - within authority</t>
        </is>
      </c>
      <c r="E195" s="32" t="inlineStr">
        <is>
          <t xml:space="preserve">New business</t>
        </is>
      </c>
      <c r="F195" s="30" t="inlineStr">
        <is>
          <t xml:space="preserve">B1234EXOTIC26</t>
        </is>
      </c>
      <c r="G195" s="33">
        <f>IF($A195="","",IF($C195="","",YEAR($C195)))</f>
      </c>
      <c r="H195" s="34">
        <v>1965</v>
      </c>
      <c r="I195" s="30" t="inlineStr">
        <is>
          <t xml:space="preserve">BMW</t>
        </is>
      </c>
      <c r="J195" s="30" t="inlineStr">
        <is>
          <t xml:space="preserve">M8 Competition</t>
        </is>
      </c>
      <c r="K195" s="30" t="inlineStr">
        <is>
          <t xml:space="preserve">ZFXW2R3PR0WEHXF8G</t>
        </is>
      </c>
      <c r="L195" s="32" t="inlineStr">
        <is>
          <t xml:space="preserve">02 - Sports / GT</t>
        </is>
      </c>
      <c r="M195" s="35">
        <v>750000</v>
      </c>
      <c r="N195" s="32" t="inlineStr">
        <is>
          <t xml:space="preserve">Personal</t>
        </is>
      </c>
      <c r="O195" s="30" t="inlineStr">
        <is>
          <t xml:space="preserve">Personal - regular use</t>
        </is>
      </c>
      <c r="P195" s="30" t="inlineStr">
        <is>
          <t xml:space="preserve">1,000 - 2,500</t>
        </is>
      </c>
      <c r="Q195" s="30" t="inlineStr">
        <is>
          <t xml:space="preserve">Kentucky</t>
        </is>
      </c>
      <c r="R195" s="30" t="inlineStr">
        <is>
          <t xml:space="preserve">40202</t>
        </is>
      </c>
      <c r="S195" s="32" t="inlineStr">
        <is>
          <t xml:space="preserve">Severe convective - hail / tornado (moderate)</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10836.55</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CANON-202602-004924</t>
        </is>
      </c>
      <c r="B196" s="46" t="inlineStr">
        <is>
          <t xml:space="preserve">Sunniva Nakashima</t>
        </is>
      </c>
      <c r="C196" s="47">
        <v>46062</v>
      </c>
      <c r="D196" s="48" t="inlineStr">
        <is>
          <t xml:space="preserve">Bound - within authority</t>
        </is>
      </c>
      <c r="E196" s="48" t="inlineStr">
        <is>
          <t xml:space="preserve">New business</t>
        </is>
      </c>
      <c r="F196" s="46" t="inlineStr">
        <is>
          <t xml:space="preserve">B1234EXOTIC26</t>
        </is>
      </c>
      <c r="G196" s="33">
        <f>IF($A196="","",IF($C196="","",YEAR($C196)))</f>
      </c>
      <c r="H196" s="49">
        <v>1982</v>
      </c>
      <c r="I196" s="46" t="inlineStr">
        <is>
          <t xml:space="preserve">McLaren</t>
        </is>
      </c>
      <c r="J196" s="46" t="inlineStr">
        <is>
          <t xml:space="preserve">750S</t>
        </is>
      </c>
      <c r="K196" s="46" t="inlineStr">
        <is>
          <t xml:space="preserve">6S6T3FG1D0HMPDA8T</t>
        </is>
      </c>
      <c r="L196" s="48" t="inlineStr">
        <is>
          <t xml:space="preserve">03 - Supercar</t>
        </is>
      </c>
      <c r="M196" s="50">
        <v>740000</v>
      </c>
      <c r="N196" s="48" t="inlineStr">
        <is>
          <t xml:space="preserve">Personal</t>
        </is>
      </c>
      <c r="O196" s="46" t="inlineStr">
        <is>
          <t xml:space="preserve">Personal - regular use</t>
        </is>
      </c>
      <c r="P196" s="46" t="inlineStr">
        <is>
          <t xml:space="preserve">Under 1,000</t>
        </is>
      </c>
      <c r="Q196" s="46" t="inlineStr">
        <is>
          <t xml:space="preserve">Maryland</t>
        </is>
      </c>
      <c r="R196" s="46" t="inlineStr">
        <is>
          <t xml:space="preserve">21201</t>
        </is>
      </c>
      <c r="S196" s="48" t="inlineStr">
        <is>
          <t xml:space="preserve">Tier 3 - Coastal wind (25-100 miles)</t>
        </is>
      </c>
      <c r="T196" s="36">
        <f>IF($A196="","",IF($S196="","",IFERROR(INDEX('[1]natural catastrophe'!$D$6:$D$17,MATCH($S196,'[1]natural catastrophe'!$B$6:$B$17,0)),"?")))</f>
      </c>
      <c r="U196" s="46" t="inlineStr">
        <is>
          <t xml:space="preserve">2% of agreed value, minimum $10,000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11078.75</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CANON-202602-004926</t>
        </is>
      </c>
      <c r="B197" s="30" t="inlineStr">
        <is>
          <t xml:space="preserve">Emiliano Bellandi</t>
        </is>
      </c>
      <c r="C197" s="31">
        <v>46063</v>
      </c>
      <c r="D197" s="32" t="inlineStr">
        <is>
          <t xml:space="preserve">Bound - within authority</t>
        </is>
      </c>
      <c r="E197" s="32" t="inlineStr">
        <is>
          <t xml:space="preserve">New business</t>
        </is>
      </c>
      <c r="F197" s="30" t="inlineStr">
        <is>
          <t xml:space="preserve">B1234EXOTIC26</t>
        </is>
      </c>
      <c r="G197" s="33">
        <f>IF($A197="","",IF($C197="","",YEAR($C197)))</f>
      </c>
      <c r="H197" s="34">
        <v>1956</v>
      </c>
      <c r="I197" s="30" t="inlineStr">
        <is>
          <t xml:space="preserve">McLaren</t>
        </is>
      </c>
      <c r="J197" s="30" t="inlineStr">
        <is>
          <t xml:space="preserve">750S</t>
        </is>
      </c>
      <c r="K197" s="30" t="inlineStr">
        <is>
          <t xml:space="preserve">DBZ0EXTNSDUUZUYY8</t>
        </is>
      </c>
      <c r="L197" s="32" t="inlineStr">
        <is>
          <t xml:space="preserve">03 - Supercar</t>
        </is>
      </c>
      <c r="M197" s="35">
        <v>1175000</v>
      </c>
      <c r="N197" s="32" t="inlineStr">
        <is>
          <t xml:space="preserve">Personal</t>
        </is>
      </c>
      <c r="O197" s="30" t="inlineStr">
        <is>
          <t xml:space="preserve">Personal - regular use</t>
        </is>
      </c>
      <c r="P197" s="30" t="inlineStr">
        <is>
          <t xml:space="preserve">2,500 - 5,000</t>
        </is>
      </c>
      <c r="Q197" s="30" t="inlineStr">
        <is>
          <t xml:space="preserve">Idaho</t>
        </is>
      </c>
      <c r="R197" s="30" t="inlineStr">
        <is>
          <t xml:space="preserve">83702</t>
        </is>
      </c>
      <c r="S197" s="32" t="inlineStr">
        <is>
          <t xml:space="preserve">Wildfire - WUI high hazard</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15437.42</v>
      </c>
      <c r="AC197" s="37">
        <v>0</v>
      </c>
      <c r="AD197" s="38">
        <f>IF(ISNUMBER($AB197),$AB197*(1+N($AC197)),"")</f>
      </c>
      <c r="AE197" s="35">
        <v>350</v>
      </c>
      <c r="AF197" s="35">
        <v>250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CANON-202602-004927</t>
        </is>
      </c>
      <c r="B198" s="46" t="inlineStr">
        <is>
          <t xml:space="preserve">Leopold Vandermeer</t>
        </is>
      </c>
      <c r="C198" s="47">
        <v>46054</v>
      </c>
      <c r="D198" s="48" t="inlineStr">
        <is>
          <t xml:space="preserve">Bound - within authority</t>
        </is>
      </c>
      <c r="E198" s="48" t="inlineStr">
        <is>
          <t xml:space="preserve">New business</t>
        </is>
      </c>
      <c r="F198" s="46" t="inlineStr">
        <is>
          <t xml:space="preserve">B1234EXOTIC26</t>
        </is>
      </c>
      <c r="G198" s="33">
        <f>IF($A198="","",IF($C198="","",YEAR($C198)))</f>
      </c>
      <c r="H198" s="49">
        <v>1992</v>
      </c>
      <c r="I198" s="46" t="inlineStr">
        <is>
          <t xml:space="preserve">Maserati</t>
        </is>
      </c>
      <c r="J198" s="46" t="inlineStr">
        <is>
          <t xml:space="preserve">GranTurismo</t>
        </is>
      </c>
      <c r="K198" s="46" t="inlineStr">
        <is>
          <t xml:space="preserve">Y1NRNTEGUNSMC1AAB</t>
        </is>
      </c>
      <c r="L198" s="48" t="inlineStr">
        <is>
          <t xml:space="preserve">02 - Sports / GT</t>
        </is>
      </c>
      <c r="M198" s="50">
        <v>240000</v>
      </c>
      <c r="N198" s="48" t="inlineStr">
        <is>
          <t xml:space="preserve">Personal</t>
        </is>
      </c>
      <c r="O198" s="46" t="inlineStr">
        <is>
          <t xml:space="preserve">Personal - regular use</t>
        </is>
      </c>
      <c r="P198" s="46" t="inlineStr">
        <is>
          <t xml:space="preserve">Under 1,000</t>
        </is>
      </c>
      <c r="Q198" s="46" t="inlineStr">
        <is>
          <t xml:space="preserve">South Carolina</t>
        </is>
      </c>
      <c r="R198" s="46" t="inlineStr">
        <is>
          <t xml:space="preserve">29401</t>
        </is>
      </c>
      <c r="S198" s="48" t="inlineStr">
        <is>
          <t xml:space="preserve">Tier 2 - Coastal wind (1-25 miles)</t>
        </is>
      </c>
      <c r="T198" s="36">
        <f>IF($A198="","",IF($S198="","",IFERROR(INDEX('[1]natural catastrophe'!$D$6:$D$17,MATCH($S198,'[1]natural catastrophe'!$B$6:$B$17,0)),"?")))</f>
      </c>
      <c r="U198" s="46" t="inlineStr">
        <is>
          <t xml:space="preserve">2% of agreed value, minimum $10,000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4541.85</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CANON-202602-004928</t>
        </is>
      </c>
      <c r="B199" s="30" t="inlineStr">
        <is>
          <t xml:space="preserve">Fenwick Fairweather</t>
        </is>
      </c>
      <c r="C199" s="31">
        <v>46057</v>
      </c>
      <c r="D199" s="32" t="inlineStr">
        <is>
          <t xml:space="preserve">Bound - within authority</t>
        </is>
      </c>
      <c r="E199" s="32" t="inlineStr">
        <is>
          <t xml:space="preserve">New business</t>
        </is>
      </c>
      <c r="F199" s="30" t="inlineStr">
        <is>
          <t xml:space="preserve">B1234EXOTIC26</t>
        </is>
      </c>
      <c r="G199" s="33">
        <f>IF($A199="","",IF($C199="","",YEAR($C199)))</f>
      </c>
      <c r="H199" s="34">
        <v>2003</v>
      </c>
      <c r="I199" s="30" t="inlineStr">
        <is>
          <t xml:space="preserve">Porsche</t>
        </is>
      </c>
      <c r="J199" s="30" t="inlineStr">
        <is>
          <t xml:space="preserve">911 Turbo S</t>
        </is>
      </c>
      <c r="K199" s="30" t="inlineStr">
        <is>
          <t xml:space="preserve">MT7D7FDRN51WRLDP4</t>
        </is>
      </c>
      <c r="L199" s="32" t="inlineStr">
        <is>
          <t xml:space="preserve">02 - Sports / GT</t>
        </is>
      </c>
      <c r="M199" s="35">
        <v>560000</v>
      </c>
      <c r="N199" s="32" t="inlineStr">
        <is>
          <t xml:space="preserve">Personal</t>
        </is>
      </c>
      <c r="O199" s="30" t="inlineStr">
        <is>
          <t xml:space="preserve">Personal - regular use</t>
        </is>
      </c>
      <c r="P199" s="30" t="inlineStr">
        <is>
          <t xml:space="preserve">1,000 - 2,500</t>
        </is>
      </c>
      <c r="Q199" s="30" t="inlineStr">
        <is>
          <t xml:space="preserve">Florida</t>
        </is>
      </c>
      <c r="R199" s="30" t="inlineStr">
        <is>
          <t xml:space="preserve">33139</t>
        </is>
      </c>
      <c r="S199" s="32" t="inlineStr">
        <is>
          <t xml:space="preserve">Tier 2 - Coastal wind (1-25 miles)</t>
        </is>
      </c>
      <c r="T199" s="36">
        <f>IF($A199="","",IF($S199="","",IFERROR(INDEX('[1]natural catastrophe'!$D$6:$D$17,MATCH($S199,'[1]natural catastrophe'!$B$6:$B$17,0)),"?")))</f>
      </c>
      <c r="U199" s="30" t="inlineStr">
        <is>
          <t xml:space="preserve">2% of agreed value, minimum $10,000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8574.35</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CANON-202602-004929</t>
        </is>
      </c>
      <c r="B200" s="46" t="inlineStr">
        <is>
          <t xml:space="preserve">Aurelio Castellanos</t>
        </is>
      </c>
      <c r="C200" s="47">
        <v>46055</v>
      </c>
      <c r="D200" s="48" t="inlineStr">
        <is>
          <t xml:space="preserve">Bound - within authority</t>
        </is>
      </c>
      <c r="E200" s="48" t="inlineStr">
        <is>
          <t xml:space="preserve">New business</t>
        </is>
      </c>
      <c r="F200" s="46" t="inlineStr">
        <is>
          <t xml:space="preserve">B1234EXOTIC26</t>
        </is>
      </c>
      <c r="G200" s="33">
        <f>IF($A200="","",IF($C200="","",YEAR($C200)))</f>
      </c>
      <c r="H200" s="49">
        <v>2003</v>
      </c>
      <c r="I200" s="46" t="inlineStr">
        <is>
          <t xml:space="preserve">Bentley</t>
        </is>
      </c>
      <c r="J200" s="46" t="inlineStr">
        <is>
          <t xml:space="preserve">Continental GT</t>
        </is>
      </c>
      <c r="K200" s="46" t="inlineStr">
        <is>
          <t xml:space="preserve">PR0CXDF9WE8LVH4F7</t>
        </is>
      </c>
      <c r="L200" s="48" t="inlineStr">
        <is>
          <t xml:space="preserve">02 - Sports / GT</t>
        </is>
      </c>
      <c r="M200" s="50">
        <v>665000</v>
      </c>
      <c r="N200" s="48" t="inlineStr">
        <is>
          <t xml:space="preserve">Personal</t>
        </is>
      </c>
      <c r="O200" s="46" t="inlineStr">
        <is>
          <t xml:space="preserve">Personal - regular use</t>
        </is>
      </c>
      <c r="P200" s="46" t="inlineStr">
        <is>
          <t xml:space="preserve">2,500 - 5,000</t>
        </is>
      </c>
      <c r="Q200" s="46" t="inlineStr">
        <is>
          <t xml:space="preserve">Indiana</t>
        </is>
      </c>
      <c r="R200" s="46" t="inlineStr">
        <is>
          <t xml:space="preserve">46204</t>
        </is>
      </c>
      <c r="S200" s="48" t="inlineStr">
        <is>
          <t xml:space="preserve">Severe convective - hail / tornado (moderate)</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8819.66</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CANON-202602-004930</t>
        </is>
      </c>
      <c r="B201" s="30" t="inlineStr">
        <is>
          <t xml:space="preserve">Emiliano Chattopadhyay</t>
        </is>
      </c>
      <c r="C201" s="31">
        <v>46072</v>
      </c>
      <c r="D201" s="32" t="inlineStr">
        <is>
          <t xml:space="preserve">Bound - within authority</t>
        </is>
      </c>
      <c r="E201" s="32" t="inlineStr">
        <is>
          <t xml:space="preserve">New business</t>
        </is>
      </c>
      <c r="F201" s="30" t="inlineStr">
        <is>
          <t xml:space="preserve">B1234EXOTIC26</t>
        </is>
      </c>
      <c r="G201" s="33">
        <f>IF($A201="","",IF($C201="","",YEAR($C201)))</f>
      </c>
      <c r="H201" s="34">
        <v>2011</v>
      </c>
      <c r="I201" s="30" t="inlineStr">
        <is>
          <t xml:space="preserve">McLaren</t>
        </is>
      </c>
      <c r="J201" s="30" t="inlineStr">
        <is>
          <t xml:space="preserve">750S</t>
        </is>
      </c>
      <c r="K201" s="30" t="inlineStr">
        <is>
          <t xml:space="preserve">4KTKXZ92BHZVCM4YL</t>
        </is>
      </c>
      <c r="L201" s="32" t="inlineStr">
        <is>
          <t xml:space="preserve">03 - Supercar</t>
        </is>
      </c>
      <c r="M201" s="35">
        <v>640000</v>
      </c>
      <c r="N201" s="32" t="inlineStr">
        <is>
          <t xml:space="preserve">Personal</t>
        </is>
      </c>
      <c r="O201" s="30" t="inlineStr">
        <is>
          <t xml:space="preserve">Personal - regular use</t>
        </is>
      </c>
      <c r="P201" s="30" t="inlineStr">
        <is>
          <t xml:space="preserve">2,500 - 5,000</t>
        </is>
      </c>
      <c r="Q201" s="30" t="inlineStr">
        <is>
          <t xml:space="preserve">Connecticut</t>
        </is>
      </c>
      <c r="R201" s="30" t="inlineStr">
        <is>
          <t xml:space="preserve">06103</t>
        </is>
      </c>
      <c r="S201" s="32" t="inlineStr">
        <is>
          <t xml:space="preserve">Tier 3 - Coastal wind (25-100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11296.23</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CANON-202602-004931</t>
        </is>
      </c>
      <c r="B202" s="46" t="inlineStr">
        <is>
          <t xml:space="preserve">Callum Bellandi</t>
        </is>
      </c>
      <c r="C202" s="47">
        <v>46054</v>
      </c>
      <c r="D202" s="48" t="inlineStr">
        <is>
          <t xml:space="preserve">Bound - within authority</t>
        </is>
      </c>
      <c r="E202" s="48" t="inlineStr">
        <is>
          <t xml:space="preserve">New business</t>
        </is>
      </c>
      <c r="F202" s="46" t="inlineStr">
        <is>
          <t xml:space="preserve">B1234EXOTIC26</t>
        </is>
      </c>
      <c r="G202" s="33">
        <f>IF($A202="","",IF($C202="","",YEAR($C202)))</f>
      </c>
      <c r="H202" s="49">
        <v>1965</v>
      </c>
      <c r="I202" s="46" t="inlineStr">
        <is>
          <t xml:space="preserve">BMW</t>
        </is>
      </c>
      <c r="J202" s="46" t="inlineStr">
        <is>
          <t xml:space="preserve">M8 Competition</t>
        </is>
      </c>
      <c r="K202" s="46" t="inlineStr">
        <is>
          <t xml:space="preserve">8N75U8CGBSXXVM04C</t>
        </is>
      </c>
      <c r="L202" s="48" t="inlineStr">
        <is>
          <t xml:space="preserve">02 - Sports / GT</t>
        </is>
      </c>
      <c r="M202" s="50">
        <v>390000</v>
      </c>
      <c r="N202" s="48" t="inlineStr">
        <is>
          <t xml:space="preserve">Personal</t>
        </is>
      </c>
      <c r="O202" s="46" t="inlineStr">
        <is>
          <t xml:space="preserve">Personal - regular use</t>
        </is>
      </c>
      <c r="P202" s="46" t="inlineStr">
        <is>
          <t xml:space="preserve">1,000 - 2,500</t>
        </is>
      </c>
      <c r="Q202" s="46" t="inlineStr">
        <is>
          <t xml:space="preserve">Utah</t>
        </is>
      </c>
      <c r="R202" s="46" t="inlineStr">
        <is>
          <t xml:space="preserve">84101</t>
        </is>
      </c>
      <c r="S202" s="48" t="inlineStr">
        <is>
          <t xml:space="preserve">Wildfire - WUI high hazard</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6550.45</v>
      </c>
      <c r="AC202" s="51">
        <v>0</v>
      </c>
      <c r="AD202" s="38">
        <f>IF(ISNUMBER($AB202),$AB202*(1+N($AC202)),"")</f>
      </c>
      <c r="AE202" s="50">
        <v>350</v>
      </c>
      <c r="AF202" s="50">
        <v>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CANON-202602-004932</t>
        </is>
      </c>
      <c r="B203" s="30" t="inlineStr">
        <is>
          <t xml:space="preserve">Aurelio Vasquez</t>
        </is>
      </c>
      <c r="C203" s="31">
        <v>46077</v>
      </c>
      <c r="D203" s="32" t="inlineStr">
        <is>
          <t xml:space="preserve">Bound - within authority</t>
        </is>
      </c>
      <c r="E203" s="32" t="inlineStr">
        <is>
          <t xml:space="preserve">New business</t>
        </is>
      </c>
      <c r="F203" s="30" t="inlineStr">
        <is>
          <t xml:space="preserve">B1234EXOTIC26</t>
        </is>
      </c>
      <c r="G203" s="33">
        <f>IF($A203="","",IF($C203="","",YEAR($C203)))</f>
      </c>
      <c r="H203" s="34">
        <v>1960</v>
      </c>
      <c r="I203" s="30" t="inlineStr">
        <is>
          <t xml:space="preserve">Mercedes-Benz</t>
        </is>
      </c>
      <c r="J203" s="30" t="inlineStr">
        <is>
          <t xml:space="preserve">AMG GT</t>
        </is>
      </c>
      <c r="K203" s="30" t="inlineStr">
        <is>
          <t xml:space="preserve">6MSYHRN8S1SU5ZKCN</t>
        </is>
      </c>
      <c r="L203" s="32" t="inlineStr">
        <is>
          <t xml:space="preserve">02 - Sports / GT</t>
        </is>
      </c>
      <c r="M203" s="35">
        <v>545000</v>
      </c>
      <c r="N203" s="32" t="inlineStr">
        <is>
          <t xml:space="preserve">Personal</t>
        </is>
      </c>
      <c r="O203" s="30" t="inlineStr">
        <is>
          <t xml:space="preserve">Personal - regular use</t>
        </is>
      </c>
      <c r="P203" s="30" t="inlineStr">
        <is>
          <t xml:space="preserve">Under 1,000</t>
        </is>
      </c>
      <c r="Q203" s="30" t="inlineStr">
        <is>
          <t xml:space="preserve">Wyoming</t>
        </is>
      </c>
      <c r="R203" s="30" t="inlineStr">
        <is>
          <t xml:space="preserve">82001</t>
        </is>
      </c>
      <c r="S203" s="32" t="inlineStr">
        <is>
          <t xml:space="preserve">Severe convective - hail alley (high)</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6287.9</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CANON-202602-004933</t>
        </is>
      </c>
      <c r="B204" s="46" t="inlineStr">
        <is>
          <t xml:space="preserve">Cassius Pennington</t>
        </is>
      </c>
      <c r="C204" s="47">
        <v>46072</v>
      </c>
      <c r="D204" s="48" t="inlineStr">
        <is>
          <t xml:space="preserve">Bound - within authority</t>
        </is>
      </c>
      <c r="E204" s="48" t="inlineStr">
        <is>
          <t xml:space="preserve">New business</t>
        </is>
      </c>
      <c r="F204" s="46" t="inlineStr">
        <is>
          <t xml:space="preserve">B1234EXOTIC26</t>
        </is>
      </c>
      <c r="G204" s="33">
        <f>IF($A204="","",IF($C204="","",YEAR($C204)))</f>
      </c>
      <c r="H204" s="49">
        <v>2023</v>
      </c>
      <c r="I204" s="46" t="inlineStr">
        <is>
          <t xml:space="preserve">Mercedes-Benz</t>
        </is>
      </c>
      <c r="J204" s="46" t="inlineStr">
        <is>
          <t xml:space="preserve">AMG GT</t>
        </is>
      </c>
      <c r="K204" s="46" t="inlineStr">
        <is>
          <t xml:space="preserve">L4Z69DYJFCDLW55KD</t>
        </is>
      </c>
      <c r="L204" s="48" t="inlineStr">
        <is>
          <t xml:space="preserve">02 - Sports / GT</t>
        </is>
      </c>
      <c r="M204" s="50">
        <v>330000</v>
      </c>
      <c r="N204" s="48" t="inlineStr">
        <is>
          <t xml:space="preserve">Personal</t>
        </is>
      </c>
      <c r="O204" s="46" t="inlineStr">
        <is>
          <t xml:space="preserve">Personal - regular use</t>
        </is>
      </c>
      <c r="P204" s="46" t="inlineStr">
        <is>
          <t xml:space="preserve">2,500 - 5,000</t>
        </is>
      </c>
      <c r="Q204" s="46" t="inlineStr">
        <is>
          <t xml:space="preserve">New Jersey</t>
        </is>
      </c>
      <c r="R204" s="46" t="inlineStr">
        <is>
          <t xml:space="preserve">07102</t>
        </is>
      </c>
      <c r="S204" s="48" t="inlineStr">
        <is>
          <t xml:space="preserve">Tier 3 - Coastal wind (25-100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3736.19</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CANON-202602-004934</t>
        </is>
      </c>
      <c r="B205" s="30" t="inlineStr">
        <is>
          <t xml:space="preserve">Mireille Whitlock</t>
        </is>
      </c>
      <c r="C205" s="31">
        <v>46055</v>
      </c>
      <c r="D205" s="32" t="inlineStr">
        <is>
          <t xml:space="preserve">Bound - within authority</t>
        </is>
      </c>
      <c r="E205" s="32" t="inlineStr">
        <is>
          <t xml:space="preserve">New business</t>
        </is>
      </c>
      <c r="F205" s="30" t="inlineStr">
        <is>
          <t xml:space="preserve">B1234EXOTIC26</t>
        </is>
      </c>
      <c r="G205" s="33">
        <f>IF($A205="","",IF($C205="","",YEAR($C205)))</f>
      </c>
      <c r="H205" s="34">
        <v>1974</v>
      </c>
      <c r="I205" s="30" t="inlineStr">
        <is>
          <t xml:space="preserve">Bentley</t>
        </is>
      </c>
      <c r="J205" s="30" t="inlineStr">
        <is>
          <t xml:space="preserve">Continental GT</t>
        </is>
      </c>
      <c r="K205" s="30" t="inlineStr">
        <is>
          <t xml:space="preserve">ET7KZDTRJ7YL45MY9</t>
        </is>
      </c>
      <c r="L205" s="32" t="inlineStr">
        <is>
          <t xml:space="preserve">02 - Sports / GT</t>
        </is>
      </c>
      <c r="M205" s="35">
        <v>690000</v>
      </c>
      <c r="N205" s="32" t="inlineStr">
        <is>
          <t xml:space="preserve">Personal</t>
        </is>
      </c>
      <c r="O205" s="30" t="inlineStr">
        <is>
          <t xml:space="preserve">Personal - regular use</t>
        </is>
      </c>
      <c r="P205" s="30" t="inlineStr">
        <is>
          <t xml:space="preserve">Under 1,000</t>
        </is>
      </c>
      <c r="Q205" s="30" t="inlineStr">
        <is>
          <t xml:space="preserve">Iowa</t>
        </is>
      </c>
      <c r="R205" s="30" t="inlineStr">
        <is>
          <t xml:space="preserve">50309</t>
        </is>
      </c>
      <c r="S205" s="32" t="inlineStr">
        <is>
          <t xml:space="preserve">Severe convective - hail alley (high)</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8184.02</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CANON-202602-004935</t>
        </is>
      </c>
      <c r="B206" s="46" t="inlineStr">
        <is>
          <t xml:space="preserve">Priya Whitlock</t>
        </is>
      </c>
      <c r="C206" s="47">
        <v>46067</v>
      </c>
      <c r="D206" s="48" t="inlineStr">
        <is>
          <t xml:space="preserve">Bound - within authority</t>
        </is>
      </c>
      <c r="E206" s="48" t="inlineStr">
        <is>
          <t xml:space="preserve">New business</t>
        </is>
      </c>
      <c r="F206" s="46" t="inlineStr">
        <is>
          <t xml:space="preserve">B1234EXOTIC26</t>
        </is>
      </c>
      <c r="G206" s="33">
        <f>IF($A206="","",IF($C206="","",YEAR($C206)))</f>
      </c>
      <c r="H206" s="49">
        <v>1970</v>
      </c>
      <c r="I206" s="46" t="inlineStr">
        <is>
          <t xml:space="preserve">Bugatti</t>
        </is>
      </c>
      <c r="J206" s="46" t="inlineStr">
        <is>
          <t xml:space="preserve">Type 57</t>
        </is>
      </c>
      <c r="K206" s="46" t="inlineStr">
        <is>
          <t xml:space="preserve">L7JLXPBWN082ET5UT</t>
        </is>
      </c>
      <c r="L206" s="48" t="inlineStr">
        <is>
          <t xml:space="preserve">07 - Post-War Classic (1946-1972)</t>
        </is>
      </c>
      <c r="M206" s="50">
        <v>340000</v>
      </c>
      <c r="N206" s="48" t="inlineStr">
        <is>
          <t xml:space="preserve">Personal</t>
        </is>
      </c>
      <c r="O206" s="46" t="inlineStr">
        <is>
          <t xml:space="preserve">Personal - regular use</t>
        </is>
      </c>
      <c r="P206" s="46" t="inlineStr">
        <is>
          <t xml:space="preserve">1,000 - 2,500</t>
        </is>
      </c>
      <c r="Q206" s="46" t="inlineStr">
        <is>
          <t xml:space="preserve">Michigan</t>
        </is>
      </c>
      <c r="R206" s="46" t="inlineStr">
        <is>
          <t xml:space="preserve">48226</t>
        </is>
      </c>
      <c r="S206" s="48" t="inlineStr">
        <is>
          <t xml:space="preserve">Severe convective - hail / tornado (moderate)</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3671.74</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CANON-202602-004936</t>
        </is>
      </c>
      <c r="B207" s="30" t="inlineStr">
        <is>
          <t xml:space="preserve">Wilhelmina Vandermeer</t>
        </is>
      </c>
      <c r="C207" s="31">
        <v>46060</v>
      </c>
      <c r="D207" s="32" t="inlineStr">
        <is>
          <t xml:space="preserve">Bound - within authority</t>
        </is>
      </c>
      <c r="E207" s="32" t="inlineStr">
        <is>
          <t xml:space="preserve">New business</t>
        </is>
      </c>
      <c r="F207" s="30" t="inlineStr">
        <is>
          <t xml:space="preserve">B1234EXOTIC26</t>
        </is>
      </c>
      <c r="G207" s="33">
        <f>IF($A207="","",IF($C207="","",YEAR($C207)))</f>
      </c>
      <c r="H207" s="34">
        <v>2015</v>
      </c>
      <c r="I207" s="30" t="inlineStr">
        <is>
          <t xml:space="preserve">Aston Martin</t>
        </is>
      </c>
      <c r="J207" s="30" t="inlineStr">
        <is>
          <t xml:space="preserve">DB12</t>
        </is>
      </c>
      <c r="K207" s="30" t="inlineStr">
        <is>
          <t xml:space="preserve">81BL33LY0RAJY39ER</t>
        </is>
      </c>
      <c r="L207" s="32" t="inlineStr">
        <is>
          <t xml:space="preserve">02 - Sports / GT</t>
        </is>
      </c>
      <c r="M207" s="35">
        <v>545000</v>
      </c>
      <c r="N207" s="32" t="inlineStr">
        <is>
          <t xml:space="preserve">Personal</t>
        </is>
      </c>
      <c r="O207" s="30" t="inlineStr">
        <is>
          <t xml:space="preserve">Personal - regular use</t>
        </is>
      </c>
      <c r="P207" s="30" t="inlineStr">
        <is>
          <t xml:space="preserve">1,000 - 2,500</t>
        </is>
      </c>
      <c r="Q207" s="30" t="inlineStr">
        <is>
          <t xml:space="preserve">Vermont</t>
        </is>
      </c>
      <c r="R207" s="30" t="inlineStr">
        <is>
          <t xml:space="preserve">05601</t>
        </is>
      </c>
      <c r="S207" s="32" t="inlineStr">
        <is>
          <t xml:space="preserve">Low hazard - inland benign</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7169.37</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CANON-202602-004938</t>
        </is>
      </c>
      <c r="B208" s="46" t="inlineStr">
        <is>
          <t xml:space="preserve">Cassius Delacroix</t>
        </is>
      </c>
      <c r="C208" s="47">
        <v>46070</v>
      </c>
      <c r="D208" s="48" t="inlineStr">
        <is>
          <t xml:space="preserve">Bound - within authority</t>
        </is>
      </c>
      <c r="E208" s="48" t="inlineStr">
        <is>
          <t xml:space="preserve">New business</t>
        </is>
      </c>
      <c r="F208" s="46" t="inlineStr">
        <is>
          <t xml:space="preserve">B1234EXOTIC26</t>
        </is>
      </c>
      <c r="G208" s="33">
        <f>IF($A208="","",IF($C208="","",YEAR($C208)))</f>
      </c>
      <c r="H208" s="49">
        <v>1982</v>
      </c>
      <c r="I208" s="46" t="inlineStr">
        <is>
          <t xml:space="preserve">Maserati</t>
        </is>
      </c>
      <c r="J208" s="46" t="inlineStr">
        <is>
          <t xml:space="preserve">GranTurismo</t>
        </is>
      </c>
      <c r="K208" s="46" t="inlineStr">
        <is>
          <t xml:space="preserve">DZY69MUMHBNK5S5JY</t>
        </is>
      </c>
      <c r="L208" s="48" t="inlineStr">
        <is>
          <t xml:space="preserve">02 - Sports / GT</t>
        </is>
      </c>
      <c r="M208" s="50">
        <v>1030000</v>
      </c>
      <c r="N208" s="48" t="inlineStr">
        <is>
          <t xml:space="preserve">Personal</t>
        </is>
      </c>
      <c r="O208" s="46" t="inlineStr">
        <is>
          <t xml:space="preserve">Personal - regular use</t>
        </is>
      </c>
      <c r="P208" s="46" t="inlineStr">
        <is>
          <t xml:space="preserve">2,500 - 5,000</t>
        </is>
      </c>
      <c r="Q208" s="46" t="inlineStr">
        <is>
          <t xml:space="preserve">Florida</t>
        </is>
      </c>
      <c r="R208" s="46" t="inlineStr">
        <is>
          <t xml:space="preserve">33139</t>
        </is>
      </c>
      <c r="S208" s="48" t="inlineStr">
        <is>
          <t xml:space="preserve">Tier 2 - Coastal wind (1-25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13344.43</v>
      </c>
      <c r="AC208" s="51">
        <v>0</v>
      </c>
      <c r="AD208" s="38">
        <f>IF(ISNUMBER($AB208),$AB208*(1+N($AC208)),"")</f>
      </c>
      <c r="AE208" s="50">
        <v>350</v>
      </c>
      <c r="AF208" s="50">
        <v>250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CANON-202602-004939</t>
        </is>
      </c>
      <c r="B209" s="30" t="inlineStr">
        <is>
          <t xml:space="preserve">Desmond Pennington</t>
        </is>
      </c>
      <c r="C209" s="31">
        <v>46070</v>
      </c>
      <c r="D209" s="32" t="inlineStr">
        <is>
          <t xml:space="preserve">Bound - within authority</t>
        </is>
      </c>
      <c r="E209" s="32" t="inlineStr">
        <is>
          <t xml:space="preserve">New business</t>
        </is>
      </c>
      <c r="F209" s="30" t="inlineStr">
        <is>
          <t xml:space="preserve">B1234EXOTIC26</t>
        </is>
      </c>
      <c r="G209" s="33">
        <f>IF($A209="","",IF($C209="","",YEAR($C209)))</f>
      </c>
      <c r="H209" s="34">
        <v>1982</v>
      </c>
      <c r="I209" s="30" t="inlineStr">
        <is>
          <t xml:space="preserve">Porsche</t>
        </is>
      </c>
      <c r="J209" s="30" t="inlineStr">
        <is>
          <t xml:space="preserve">911 Turbo S</t>
        </is>
      </c>
      <c r="K209" s="30" t="inlineStr">
        <is>
          <t xml:space="preserve">SKS38X2LA2TUE1TGG</t>
        </is>
      </c>
      <c r="L209" s="32" t="inlineStr">
        <is>
          <t xml:space="preserve">02 - Sports / GT</t>
        </is>
      </c>
      <c r="M209" s="35">
        <v>410000</v>
      </c>
      <c r="N209" s="32" t="inlineStr">
        <is>
          <t xml:space="preserve">Personal</t>
        </is>
      </c>
      <c r="O209" s="30" t="inlineStr">
        <is>
          <t xml:space="preserve">Personal - regular use</t>
        </is>
      </c>
      <c r="P209" s="30" t="inlineStr">
        <is>
          <t xml:space="preserve">1,000 - 2,500</t>
        </is>
      </c>
      <c r="Q209" s="30" t="inlineStr">
        <is>
          <t xml:space="preserve">Florida</t>
        </is>
      </c>
      <c r="R209" s="30" t="inlineStr">
        <is>
          <t xml:space="preserve">33139</t>
        </is>
      </c>
      <c r="S209" s="32" t="inlineStr">
        <is>
          <t xml:space="preserve">Tier 2 - Coastal wind (1-25 miles)</t>
        </is>
      </c>
      <c r="T209" s="36">
        <f>IF($A209="","",IF($S209="","",IFERROR(INDEX('[1]natural catastrophe'!$D$6:$D$17,MATCH($S209,'[1]natural catastrophe'!$B$6:$B$17,0)),"?")))</f>
      </c>
      <c r="U209" s="30" t="inlineStr">
        <is>
          <t xml:space="preserve">2% of agreed value, minimum $10,000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7243.45</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CANON-202602-004940</t>
        </is>
      </c>
      <c r="B210" s="46" t="inlineStr">
        <is>
          <t xml:space="preserve">Sunniva Castellanos</t>
        </is>
      </c>
      <c r="C210" s="47">
        <v>46069</v>
      </c>
      <c r="D210" s="48" t="inlineStr">
        <is>
          <t xml:space="preserve">Bound - within authority</t>
        </is>
      </c>
      <c r="E210" s="48" t="inlineStr">
        <is>
          <t xml:space="preserve">New business</t>
        </is>
      </c>
      <c r="F210" s="46" t="inlineStr">
        <is>
          <t xml:space="preserve">B1234EXOTIC26</t>
        </is>
      </c>
      <c r="G210" s="33">
        <f>IF($A210="","",IF($C210="","",YEAR($C210)))</f>
      </c>
      <c r="H210" s="49">
        <v>1997</v>
      </c>
      <c r="I210" s="46" t="inlineStr">
        <is>
          <t xml:space="preserve">BMW</t>
        </is>
      </c>
      <c r="J210" s="46" t="inlineStr">
        <is>
          <t xml:space="preserve">M8 Competition</t>
        </is>
      </c>
      <c r="K210" s="46" t="inlineStr">
        <is>
          <t xml:space="preserve">DPAP49XNAJS07EFY5</t>
        </is>
      </c>
      <c r="L210" s="48" t="inlineStr">
        <is>
          <t xml:space="preserve">02 - Sports / GT</t>
        </is>
      </c>
      <c r="M210" s="50">
        <v>365000</v>
      </c>
      <c r="N210" s="48" t="inlineStr">
        <is>
          <t xml:space="preserve">Personal</t>
        </is>
      </c>
      <c r="O210" s="46" t="inlineStr">
        <is>
          <t xml:space="preserve">Personal - regular use</t>
        </is>
      </c>
      <c r="P210" s="46" t="inlineStr">
        <is>
          <t xml:space="preserve">2,500 - 5,000</t>
        </is>
      </c>
      <c r="Q210" s="46" t="inlineStr">
        <is>
          <t xml:space="preserve">Kansas</t>
        </is>
      </c>
      <c r="R210" s="46" t="inlineStr">
        <is>
          <t xml:space="preserve">66603</t>
        </is>
      </c>
      <c r="S210" s="48" t="inlineStr">
        <is>
          <t xml:space="preserve">Severe convective - hail alley (high)</t>
        </is>
      </c>
      <c r="T210" s="36">
        <f>IF($A210="","",IF($S210="","",IFERROR(INDEX('[1]natural catastrophe'!$D$6:$D$17,MATCH($S210,'[1]natural catastrophe'!$B$6:$B$17,0)),"?")))</f>
      </c>
      <c r="U210" s="46" t="inlineStr">
        <is>
          <t xml:space="preserve">$5,000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4404.92</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CANON-202602-004942</t>
        </is>
      </c>
      <c r="B211" s="30" t="inlineStr">
        <is>
          <t xml:space="preserve">Callum Kingsford</t>
        </is>
      </c>
      <c r="C211" s="31">
        <v>46078</v>
      </c>
      <c r="D211" s="32" t="inlineStr">
        <is>
          <t xml:space="preserve">Bound - within authority</t>
        </is>
      </c>
      <c r="E211" s="32" t="inlineStr">
        <is>
          <t xml:space="preserve">New business</t>
        </is>
      </c>
      <c r="F211" s="30" t="inlineStr">
        <is>
          <t xml:space="preserve">B1234EXOTIC26</t>
        </is>
      </c>
      <c r="G211" s="33">
        <f>IF($A211="","",IF($C211="","",YEAR($C211)))</f>
      </c>
      <c r="H211" s="34">
        <v>2018</v>
      </c>
      <c r="I211" s="30" t="inlineStr">
        <is>
          <t xml:space="preserve">Aston Martin</t>
        </is>
      </c>
      <c r="J211" s="30" t="inlineStr">
        <is>
          <t xml:space="preserve">DB12</t>
        </is>
      </c>
      <c r="K211" s="30" t="inlineStr">
        <is>
          <t xml:space="preserve">239W2CMXST4P2RB0A</t>
        </is>
      </c>
      <c r="L211" s="32" t="inlineStr">
        <is>
          <t xml:space="preserve">02 - Sports / GT</t>
        </is>
      </c>
      <c r="M211" s="35">
        <v>805000</v>
      </c>
      <c r="N211" s="32" t="inlineStr">
        <is>
          <t xml:space="preserve">Personal</t>
        </is>
      </c>
      <c r="O211" s="30" t="inlineStr">
        <is>
          <t xml:space="preserve">Personal - regular use</t>
        </is>
      </c>
      <c r="P211" s="30" t="inlineStr">
        <is>
          <t xml:space="preserve">Under 1,000</t>
        </is>
      </c>
      <c r="Q211" s="30" t="inlineStr">
        <is>
          <t xml:space="preserve">Ohio</t>
        </is>
      </c>
      <c r="R211" s="30" t="inlineStr">
        <is>
          <t xml:space="preserve">43215</t>
        </is>
      </c>
      <c r="S211" s="32" t="inlineStr">
        <is>
          <t xml:space="preserve">Severe convective - hail / tornado (moderate)</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12065.24</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CANON-202602-004945</t>
        </is>
      </c>
      <c r="B212" s="46" t="inlineStr">
        <is>
          <t xml:space="preserve">Leopold Blackwood</t>
        </is>
      </c>
      <c r="C212" s="47">
        <v>46073</v>
      </c>
      <c r="D212" s="48" t="inlineStr">
        <is>
          <t xml:space="preserve">Bound - within authority</t>
        </is>
      </c>
      <c r="E212" s="48" t="inlineStr">
        <is>
          <t xml:space="preserve">New business</t>
        </is>
      </c>
      <c r="F212" s="46" t="inlineStr">
        <is>
          <t xml:space="preserve">B1234EXOTIC26</t>
        </is>
      </c>
      <c r="G212" s="33">
        <f>IF($A212="","",IF($C212="","",YEAR($C212)))</f>
      </c>
      <c r="H212" s="49">
        <v>1979</v>
      </c>
      <c r="I212" s="46" t="inlineStr">
        <is>
          <t xml:space="preserve">Ringbrothers</t>
        </is>
      </c>
      <c r="J212" s="46" t="inlineStr">
        <is>
          <t xml:space="preserve">Mustang</t>
        </is>
      </c>
      <c r="K212" s="46" t="inlineStr">
        <is>
          <t xml:space="preserve">WEBWFG2A9MW3Z5GH6</t>
        </is>
      </c>
      <c r="L212" s="48" t="inlineStr">
        <is>
          <t xml:space="preserve">11 - Restomod / Coachbuilt / Bespoke</t>
        </is>
      </c>
      <c r="M212" s="50">
        <v>1050000</v>
      </c>
      <c r="N212" s="48" t="inlineStr">
        <is>
          <t xml:space="preserve">Personal</t>
        </is>
      </c>
      <c r="O212" s="46" t="inlineStr">
        <is>
          <t xml:space="preserve">Personal - regular use</t>
        </is>
      </c>
      <c r="P212" s="46" t="inlineStr">
        <is>
          <t xml:space="preserve">Under 1,000</t>
        </is>
      </c>
      <c r="Q212" s="46" t="inlineStr">
        <is>
          <t xml:space="preserve">Maryland</t>
        </is>
      </c>
      <c r="R212" s="46" t="inlineStr">
        <is>
          <t xml:space="preserve">21201</t>
        </is>
      </c>
      <c r="S212" s="48" t="inlineStr">
        <is>
          <t xml:space="preserve">Tier 3 - Coastal wind (25-100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11252.1</v>
      </c>
      <c r="AC212" s="51">
        <v>0</v>
      </c>
      <c r="AD212" s="38">
        <f>IF(ISNUMBER($AB212),$AB212*(1+N($AC212)),"")</f>
      </c>
      <c r="AE212" s="50">
        <v>350</v>
      </c>
      <c r="AF212" s="50">
        <v>250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CANON-202602-004946</t>
        </is>
      </c>
      <c r="B213" s="30" t="inlineStr">
        <is>
          <t xml:space="preserve">Marisol Merriweather</t>
        </is>
      </c>
      <c r="C213" s="31">
        <v>46067</v>
      </c>
      <c r="D213" s="32" t="inlineStr">
        <is>
          <t xml:space="preserve">Bound - within authority</t>
        </is>
      </c>
      <c r="E213" s="32" t="inlineStr">
        <is>
          <t xml:space="preserve">New business</t>
        </is>
      </c>
      <c r="F213" s="30" t="inlineStr">
        <is>
          <t xml:space="preserve">B1234EXOTIC26</t>
        </is>
      </c>
      <c r="G213" s="33">
        <f>IF($A213="","",IF($C213="","",YEAR($C213)))</f>
      </c>
      <c r="H213" s="34">
        <v>1975</v>
      </c>
      <c r="I213" s="30" t="inlineStr">
        <is>
          <t xml:space="preserve">Porsche</t>
        </is>
      </c>
      <c r="J213" s="30" t="inlineStr">
        <is>
          <t xml:space="preserve">911 Turbo S</t>
        </is>
      </c>
      <c r="K213" s="30" t="inlineStr">
        <is>
          <t xml:space="preserve">Y89HESDEEL5S1DG65</t>
        </is>
      </c>
      <c r="L213" s="32" t="inlineStr">
        <is>
          <t xml:space="preserve">02 - Sports / GT</t>
        </is>
      </c>
      <c r="M213" s="35">
        <v>580000</v>
      </c>
      <c r="N213" s="32" t="inlineStr">
        <is>
          <t xml:space="preserve">Personal</t>
        </is>
      </c>
      <c r="O213" s="30" t="inlineStr">
        <is>
          <t xml:space="preserve">Personal - regular use</t>
        </is>
      </c>
      <c r="P213" s="30" t="inlineStr">
        <is>
          <t xml:space="preserve">Under 1,000</t>
        </is>
      </c>
      <c r="Q213" s="30" t="inlineStr">
        <is>
          <t xml:space="preserve">New Jersey</t>
        </is>
      </c>
      <c r="R213" s="30" t="inlineStr">
        <is>
          <t xml:space="preserve">07102</t>
        </is>
      </c>
      <c r="S213" s="32" t="inlineStr">
        <is>
          <t xml:space="preserve">Tier 3 - Coastal wind (25-100 miles)</t>
        </is>
      </c>
      <c r="T213" s="36">
        <f>IF($A213="","",IF($S213="","",IFERROR(INDEX('[1]natural catastrophe'!$D$6:$D$17,MATCH($S213,'[1]natural catastrophe'!$B$6:$B$17,0)),"?")))</f>
      </c>
      <c r="U213" s="30" t="inlineStr">
        <is>
          <t xml:space="preserve">2% of agreed value, minimum $10,000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5691.08</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CANON-202602-004947</t>
        </is>
      </c>
      <c r="B214" s="46" t="inlineStr">
        <is>
          <t xml:space="preserve">Wilhelmina Ashcombe</t>
        </is>
      </c>
      <c r="C214" s="47">
        <v>46068</v>
      </c>
      <c r="D214" s="48" t="inlineStr">
        <is>
          <t xml:space="preserve">Bound - within authority</t>
        </is>
      </c>
      <c r="E214" s="48" t="inlineStr">
        <is>
          <t xml:space="preserve">New business</t>
        </is>
      </c>
      <c r="F214" s="46" t="inlineStr">
        <is>
          <t xml:space="preserve">B1234EXOTIC26</t>
        </is>
      </c>
      <c r="G214" s="33">
        <f>IF($A214="","",IF($C214="","",YEAR($C214)))</f>
      </c>
      <c r="H214" s="49">
        <v>1987</v>
      </c>
      <c r="I214" s="46" t="inlineStr">
        <is>
          <t xml:space="preserve">Bentley</t>
        </is>
      </c>
      <c r="J214" s="46" t="inlineStr">
        <is>
          <t xml:space="preserve">Continental GT</t>
        </is>
      </c>
      <c r="K214" s="46" t="inlineStr">
        <is>
          <t xml:space="preserve">YTF4SDUPCALZW9KTT</t>
        </is>
      </c>
      <c r="L214" s="48" t="inlineStr">
        <is>
          <t xml:space="preserve">02 - Sports / GT</t>
        </is>
      </c>
      <c r="M214" s="50">
        <v>1125000</v>
      </c>
      <c r="N214" s="48" t="inlineStr">
        <is>
          <t xml:space="preserve">Personal</t>
        </is>
      </c>
      <c r="O214" s="46" t="inlineStr">
        <is>
          <t xml:space="preserve">Personal - regular use</t>
        </is>
      </c>
      <c r="P214" s="46" t="inlineStr">
        <is>
          <t xml:space="preserve">2,500 - 5,000</t>
        </is>
      </c>
      <c r="Q214" s="46" t="inlineStr">
        <is>
          <t xml:space="preserve">Texas</t>
        </is>
      </c>
      <c r="R214" s="46" t="inlineStr">
        <is>
          <t xml:space="preserve">75201</t>
        </is>
      </c>
      <c r="S214" s="48" t="inlineStr">
        <is>
          <t xml:space="preserve">Tier 2 - Coastal wind (1-25 miles)</t>
        </is>
      </c>
      <c r="T214" s="36">
        <f>IF($A214="","",IF($S214="","",IFERROR(INDEX('[1]natural catastrophe'!$D$6:$D$17,MATCH($S214,'[1]natural catastrophe'!$B$6:$B$17,0)),"?")))</f>
      </c>
      <c r="U214" s="46" t="inlineStr">
        <is>
          <t xml:space="preserve">2% of agreed value, minimum $10,000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11803.88</v>
      </c>
      <c r="AC214" s="51">
        <v>0</v>
      </c>
      <c r="AD214" s="38">
        <f>IF(ISNUMBER($AB214),$AB214*(1+N($AC214)),"")</f>
      </c>
      <c r="AE214" s="50">
        <v>350</v>
      </c>
      <c r="AF214" s="50">
        <v>250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CANON-202602-004948</t>
        </is>
      </c>
      <c r="B215" s="30" t="inlineStr">
        <is>
          <t xml:space="preserve">Horace Merriweather</t>
        </is>
      </c>
      <c r="C215" s="31">
        <v>46069</v>
      </c>
      <c r="D215" s="32" t="inlineStr">
        <is>
          <t xml:space="preserve">Bound - within authority</t>
        </is>
      </c>
      <c r="E215" s="32" t="inlineStr">
        <is>
          <t xml:space="preserve">New business</t>
        </is>
      </c>
      <c r="F215" s="30" t="inlineStr">
        <is>
          <t xml:space="preserve">B1234EXOTIC26</t>
        </is>
      </c>
      <c r="G215" s="33">
        <f>IF($A215="","",IF($C215="","",YEAR($C215)))</f>
      </c>
      <c r="H215" s="34">
        <v>1985</v>
      </c>
      <c r="I215" s="30" t="inlineStr">
        <is>
          <t xml:space="preserve">Maserati</t>
        </is>
      </c>
      <c r="J215" s="30" t="inlineStr">
        <is>
          <t xml:space="preserve">GranTurismo</t>
        </is>
      </c>
      <c r="K215" s="30" t="inlineStr">
        <is>
          <t xml:space="preserve">B0KX54ERJC8L57HW9</t>
        </is>
      </c>
      <c r="L215" s="32" t="inlineStr">
        <is>
          <t xml:space="preserve">02 - Sports / GT</t>
        </is>
      </c>
      <c r="M215" s="35">
        <v>430000</v>
      </c>
      <c r="N215" s="32" t="inlineStr">
        <is>
          <t xml:space="preserve">Personal</t>
        </is>
      </c>
      <c r="O215" s="30" t="inlineStr">
        <is>
          <t xml:space="preserve">Personal - regular use</t>
        </is>
      </c>
      <c r="P215" s="30" t="inlineStr">
        <is>
          <t xml:space="preserve">1,000 - 2,500</t>
        </is>
      </c>
      <c r="Q215" s="30" t="inlineStr">
        <is>
          <t xml:space="preserve">New Hampshire</t>
        </is>
      </c>
      <c r="R215" s="30" t="inlineStr">
        <is>
          <t xml:space="preserve">03301</t>
        </is>
      </c>
      <c r="S215" s="32" t="inlineStr">
        <is>
          <t xml:space="preserve">Tier 3 - Coastal wind (25-100 miles)</t>
        </is>
      </c>
      <c r="T215" s="36">
        <f>IF($A215="","",IF($S215="","",IFERROR(INDEX('[1]natural catastrophe'!$D$6:$D$17,MATCH($S215,'[1]natural catastrophe'!$B$6:$B$17,0)),"?")))</f>
      </c>
      <c r="U215" s="30" t="inlineStr">
        <is>
          <t xml:space="preserve">2% of agreed value, minimum $10,000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5563.84</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CANON-202602-004950</t>
        </is>
      </c>
      <c r="B216" s="46" t="inlineStr">
        <is>
          <t xml:space="preserve">Lorenzo Whitlock</t>
        </is>
      </c>
      <c r="C216" s="47">
        <v>46063</v>
      </c>
      <c r="D216" s="48" t="inlineStr">
        <is>
          <t xml:space="preserve">Bound - within authority</t>
        </is>
      </c>
      <c r="E216" s="48" t="inlineStr">
        <is>
          <t xml:space="preserve">New business</t>
        </is>
      </c>
      <c r="F216" s="46" t="inlineStr">
        <is>
          <t xml:space="preserve">B1234EXOTIC26</t>
        </is>
      </c>
      <c r="G216" s="33">
        <f>IF($A216="","",IF($C216="","",YEAR($C216)))</f>
      </c>
      <c r="H216" s="49">
        <v>2017</v>
      </c>
      <c r="I216" s="46" t="inlineStr">
        <is>
          <t xml:space="preserve">Ferrari</t>
        </is>
      </c>
      <c r="J216" s="46" t="inlineStr">
        <is>
          <t xml:space="preserve">296 GTB</t>
        </is>
      </c>
      <c r="K216" s="46" t="inlineStr">
        <is>
          <t xml:space="preserve">HXYCRDT0FGUP3MSCX</t>
        </is>
      </c>
      <c r="L216" s="48" t="inlineStr">
        <is>
          <t xml:space="preserve">03 - Supercar</t>
        </is>
      </c>
      <c r="M216" s="50">
        <v>465000</v>
      </c>
      <c r="N216" s="48" t="inlineStr">
        <is>
          <t xml:space="preserve">Personal</t>
        </is>
      </c>
      <c r="O216" s="46" t="inlineStr">
        <is>
          <t xml:space="preserve">Personal - regular use</t>
        </is>
      </c>
      <c r="P216" s="46" t="inlineStr">
        <is>
          <t xml:space="preserve">2,500 - 5,000</t>
        </is>
      </c>
      <c r="Q216" s="46" t="inlineStr">
        <is>
          <t xml:space="preserve">Idaho</t>
        </is>
      </c>
      <c r="R216" s="46" t="inlineStr">
        <is>
          <t xml:space="preserve">83702</t>
        </is>
      </c>
      <c r="S216" s="48" t="inlineStr">
        <is>
          <t xml:space="preserve">Wildfire - WUI high hazard</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8782.09</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CANON-202602-004951</t>
        </is>
      </c>
      <c r="B217" s="30" t="inlineStr">
        <is>
          <t xml:space="preserve">Saoirse Vandermeer</t>
        </is>
      </c>
      <c r="C217" s="31">
        <v>46076</v>
      </c>
      <c r="D217" s="32" t="inlineStr">
        <is>
          <t xml:space="preserve">Bound - within authority</t>
        </is>
      </c>
      <c r="E217" s="32" t="inlineStr">
        <is>
          <t xml:space="preserve">New business</t>
        </is>
      </c>
      <c r="F217" s="30" t="inlineStr">
        <is>
          <t xml:space="preserve">B1234EXOTIC26</t>
        </is>
      </c>
      <c r="G217" s="33">
        <f>IF($A217="","",IF($C217="","",YEAR($C217)))</f>
      </c>
      <c r="H217" s="34">
        <v>2007</v>
      </c>
      <c r="I217" s="30" t="inlineStr">
        <is>
          <t xml:space="preserve">Maserati</t>
        </is>
      </c>
      <c r="J217" s="30" t="inlineStr">
        <is>
          <t xml:space="preserve">GranTurismo</t>
        </is>
      </c>
      <c r="K217" s="30" t="inlineStr">
        <is>
          <t xml:space="preserve">E1XSMRK6LFB0E7HUK</t>
        </is>
      </c>
      <c r="L217" s="32" t="inlineStr">
        <is>
          <t xml:space="preserve">02 - Sports / GT</t>
        </is>
      </c>
      <c r="M217" s="35">
        <v>175000</v>
      </c>
      <c r="N217" s="32" t="inlineStr">
        <is>
          <t xml:space="preserve">Personal</t>
        </is>
      </c>
      <c r="O217" s="30" t="inlineStr">
        <is>
          <t xml:space="preserve">Personal - regular use</t>
        </is>
      </c>
      <c r="P217" s="30" t="inlineStr">
        <is>
          <t xml:space="preserve">Under 1,000</t>
        </is>
      </c>
      <c r="Q217" s="30" t="inlineStr">
        <is>
          <t xml:space="preserve">Ohio</t>
        </is>
      </c>
      <c r="R217" s="30" t="inlineStr">
        <is>
          <t xml:space="preserve">43215</t>
        </is>
      </c>
      <c r="S217" s="32" t="inlineStr">
        <is>
          <t xml:space="preserve">Severe convective - hail / tornado (moderate)</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3712.38</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CANON-202602-004955</t>
        </is>
      </c>
      <c r="B218" s="46" t="inlineStr">
        <is>
          <t xml:space="preserve">Lorenzo Thistlewood</t>
        </is>
      </c>
      <c r="C218" s="47">
        <v>46071</v>
      </c>
      <c r="D218" s="48" t="inlineStr">
        <is>
          <t xml:space="preserve">Bound - within authority</t>
        </is>
      </c>
      <c r="E218" s="48" t="inlineStr">
        <is>
          <t xml:space="preserve">New business</t>
        </is>
      </c>
      <c r="F218" s="46" t="inlineStr">
        <is>
          <t xml:space="preserve">B1234EXOTIC26</t>
        </is>
      </c>
      <c r="G218" s="33">
        <f>IF($A218="","",IF($C218="","",YEAR($C218)))</f>
      </c>
      <c r="H218" s="49">
        <v>1999</v>
      </c>
      <c r="I218" s="46" t="inlineStr">
        <is>
          <t xml:space="preserve">Bentley</t>
        </is>
      </c>
      <c r="J218" s="46" t="inlineStr">
        <is>
          <t xml:space="preserve">Continental GT</t>
        </is>
      </c>
      <c r="K218" s="46" t="inlineStr">
        <is>
          <t xml:space="preserve">6P0BMUAH9JDRGJMYN</t>
        </is>
      </c>
      <c r="L218" s="48" t="inlineStr">
        <is>
          <t xml:space="preserve">02 - Sports / GT</t>
        </is>
      </c>
      <c r="M218" s="50">
        <v>625000</v>
      </c>
      <c r="N218" s="48" t="inlineStr">
        <is>
          <t xml:space="preserve">Personal</t>
        </is>
      </c>
      <c r="O218" s="46" t="inlineStr">
        <is>
          <t xml:space="preserve">Personal - regular use</t>
        </is>
      </c>
      <c r="P218" s="46" t="inlineStr">
        <is>
          <t xml:space="preserve">1,000 - 2,500</t>
        </is>
      </c>
      <c r="Q218" s="46" t="inlineStr">
        <is>
          <t xml:space="preserve">Maryland</t>
        </is>
      </c>
      <c r="R218" s="46" t="inlineStr">
        <is>
          <t xml:space="preserve">21201</t>
        </is>
      </c>
      <c r="S218" s="48" t="inlineStr">
        <is>
          <t xml:space="preserve">Tier 3 - Coastal wind (25-100 miles)</t>
        </is>
      </c>
      <c r="T218" s="36">
        <f>IF($A218="","",IF($S218="","",IFERROR(INDEX('[1]natural catastrophe'!$D$6:$D$17,MATCH($S218,'[1]natural catastrophe'!$B$6:$B$17,0)),"?")))</f>
      </c>
      <c r="U218" s="46" t="inlineStr">
        <is>
          <t xml:space="preserve">2% of agreed value, minimum $10,000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6402.19</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CANON-202602-004956</t>
        </is>
      </c>
      <c r="B219" s="30" t="inlineStr">
        <is>
          <t xml:space="preserve">Leopold Fairweather</t>
        </is>
      </c>
      <c r="C219" s="31">
        <v>46077</v>
      </c>
      <c r="D219" s="32" t="inlineStr">
        <is>
          <t xml:space="preserve">Bound - within authority</t>
        </is>
      </c>
      <c r="E219" s="32" t="inlineStr">
        <is>
          <t xml:space="preserve">New business</t>
        </is>
      </c>
      <c r="F219" s="30" t="inlineStr">
        <is>
          <t xml:space="preserve">B1234EXOTIC26</t>
        </is>
      </c>
      <c r="G219" s="33">
        <f>IF($A219="","",IF($C219="","",YEAR($C219)))</f>
      </c>
      <c r="H219" s="34">
        <v>2002</v>
      </c>
      <c r="I219" s="30" t="inlineStr">
        <is>
          <t xml:space="preserve">Aston Martin</t>
        </is>
      </c>
      <c r="J219" s="30" t="inlineStr">
        <is>
          <t xml:space="preserve">DB12</t>
        </is>
      </c>
      <c r="K219" s="30" t="inlineStr">
        <is>
          <t xml:space="preserve">9HPTLLVE7BSK3W2WJ</t>
        </is>
      </c>
      <c r="L219" s="32" t="inlineStr">
        <is>
          <t xml:space="preserve">02 - Sports / GT</t>
        </is>
      </c>
      <c r="M219" s="35">
        <v>715000</v>
      </c>
      <c r="N219" s="32" t="inlineStr">
        <is>
          <t xml:space="preserve">Personal</t>
        </is>
      </c>
      <c r="O219" s="30" t="inlineStr">
        <is>
          <t xml:space="preserve">Personal - regular use</t>
        </is>
      </c>
      <c r="P219" s="30" t="inlineStr">
        <is>
          <t xml:space="preserve">1,000 - 2,500</t>
        </is>
      </c>
      <c r="Q219" s="30" t="inlineStr">
        <is>
          <t xml:space="preserve">Washington</t>
        </is>
      </c>
      <c r="R219" s="30" t="inlineStr">
        <is>
          <t xml:space="preserve">98101</t>
        </is>
      </c>
      <c r="S219" s="32" t="inlineStr">
        <is>
          <t xml:space="preserve">Earthquake - high (CA, Cascadia, New Madrid)</t>
        </is>
      </c>
      <c r="T219" s="36">
        <f>IF($A219="","",IF($S219="","",IFERROR(INDEX('[1]natural catastrophe'!$D$6:$D$17,MATCH($S219,'[1]natural catastrophe'!$B$6:$B$17,0)),"?")))</f>
      </c>
      <c r="U219" s="30" t="inlineStr">
        <is>
          <t xml:space="preserve">$5,000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7401.2</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CANON-202602-004957</t>
        </is>
      </c>
      <c r="B220" s="46" t="inlineStr">
        <is>
          <t xml:space="preserve">Fitzgerald Bellandi</t>
        </is>
      </c>
      <c r="C220" s="47">
        <v>46076</v>
      </c>
      <c r="D220" s="48" t="inlineStr">
        <is>
          <t xml:space="preserve">Bound - within authority</t>
        </is>
      </c>
      <c r="E220" s="48" t="inlineStr">
        <is>
          <t xml:space="preserve">New business</t>
        </is>
      </c>
      <c r="F220" s="46" t="inlineStr">
        <is>
          <t xml:space="preserve">B1234EXOTIC26</t>
        </is>
      </c>
      <c r="G220" s="33">
        <f>IF($A220="","",IF($C220="","",YEAR($C220)))</f>
      </c>
      <c r="H220" s="49">
        <v>2018</v>
      </c>
      <c r="I220" s="46" t="inlineStr">
        <is>
          <t xml:space="preserve">Maserati</t>
        </is>
      </c>
      <c r="J220" s="46" t="inlineStr">
        <is>
          <t xml:space="preserve">GranTurismo</t>
        </is>
      </c>
      <c r="K220" s="46" t="inlineStr">
        <is>
          <t xml:space="preserve">WEJBT7GDZB4LG1YNV</t>
        </is>
      </c>
      <c r="L220" s="48" t="inlineStr">
        <is>
          <t xml:space="preserve">02 - Sports / GT</t>
        </is>
      </c>
      <c r="M220" s="50">
        <v>565000</v>
      </c>
      <c r="N220" s="48" t="inlineStr">
        <is>
          <t xml:space="preserve">Personal</t>
        </is>
      </c>
      <c r="O220" s="46" t="inlineStr">
        <is>
          <t xml:space="preserve">Personal - regular use</t>
        </is>
      </c>
      <c r="P220" s="46" t="inlineStr">
        <is>
          <t xml:space="preserve">Under 1,000</t>
        </is>
      </c>
      <c r="Q220" s="46" t="inlineStr">
        <is>
          <t xml:space="preserve">Vermont</t>
        </is>
      </c>
      <c r="R220" s="46" t="inlineStr">
        <is>
          <t xml:space="preserve">05601</t>
        </is>
      </c>
      <c r="S220" s="48" t="inlineStr">
        <is>
          <t xml:space="preserve">Low hazard - inland benign</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7432.48</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CANON-202602-004958</t>
        </is>
      </c>
      <c r="B221" s="30" t="inlineStr">
        <is>
          <t xml:space="preserve">Beatrix Harrington</t>
        </is>
      </c>
      <c r="C221" s="31">
        <v>46081</v>
      </c>
      <c r="D221" s="32" t="inlineStr">
        <is>
          <t xml:space="preserve">Bound - within authority</t>
        </is>
      </c>
      <c r="E221" s="32" t="inlineStr">
        <is>
          <t xml:space="preserve">New business</t>
        </is>
      </c>
      <c r="F221" s="30" t="inlineStr">
        <is>
          <t xml:space="preserve">B1234EXOTIC26</t>
        </is>
      </c>
      <c r="G221" s="33">
        <f>IF($A221="","",IF($C221="","",YEAR($C221)))</f>
      </c>
      <c r="H221" s="34">
        <v>2017</v>
      </c>
      <c r="I221" s="30" t="inlineStr">
        <is>
          <t xml:space="preserve">Lamborghini</t>
        </is>
      </c>
      <c r="J221" s="30" t="inlineStr">
        <is>
          <t xml:space="preserve">Huracan EVO</t>
        </is>
      </c>
      <c r="K221" s="30" t="inlineStr">
        <is>
          <t xml:space="preserve">0NJ2149CURTLRRZYT</t>
        </is>
      </c>
      <c r="L221" s="32" t="inlineStr">
        <is>
          <t xml:space="preserve">03 - Supercar</t>
        </is>
      </c>
      <c r="M221" s="35">
        <v>805000</v>
      </c>
      <c r="N221" s="32" t="inlineStr">
        <is>
          <t xml:space="preserve">Personal</t>
        </is>
      </c>
      <c r="O221" s="30" t="inlineStr">
        <is>
          <t xml:space="preserve">Personal - regular use</t>
        </is>
      </c>
      <c r="P221" s="30" t="inlineStr">
        <is>
          <t xml:space="preserve">1,000 - 2,500</t>
        </is>
      </c>
      <c r="Q221" s="30" t="inlineStr">
        <is>
          <t xml:space="preserve">Arizona</t>
        </is>
      </c>
      <c r="R221" s="30" t="inlineStr">
        <is>
          <t xml:space="preserve">85001</t>
        </is>
      </c>
      <c r="S221" s="32" t="inlineStr">
        <is>
          <t xml:space="preserve">Wildfire - WUI high hazard</t>
        </is>
      </c>
      <c r="T221" s="36">
        <f>IF($A221="","",IF($S221="","",IFERROR(INDEX('[1]natural catastrophe'!$D$6:$D$17,MATCH($S221,'[1]natural catastrophe'!$B$6:$B$17,0)),"?")))</f>
      </c>
      <c r="U221" s="30" t="inlineStr">
        <is>
          <t xml:space="preserve">$5,000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12813.06</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CANON-202602-004962</t>
        </is>
      </c>
      <c r="B222" s="46" t="inlineStr">
        <is>
          <t xml:space="preserve">Ingrid Chattopadhyay</t>
        </is>
      </c>
      <c r="C222" s="47">
        <v>46076</v>
      </c>
      <c r="D222" s="48" t="inlineStr">
        <is>
          <t xml:space="preserve">Bound - within authority</t>
        </is>
      </c>
      <c r="E222" s="48" t="inlineStr">
        <is>
          <t xml:space="preserve">New business</t>
        </is>
      </c>
      <c r="F222" s="46" t="inlineStr">
        <is>
          <t xml:space="preserve">B1234EXOTIC26</t>
        </is>
      </c>
      <c r="G222" s="33">
        <f>IF($A222="","",IF($C222="","",YEAR($C222)))</f>
      </c>
      <c r="H222" s="49">
        <v>1980</v>
      </c>
      <c r="I222" s="46" t="inlineStr">
        <is>
          <t xml:space="preserve">Porsche</t>
        </is>
      </c>
      <c r="J222" s="46" t="inlineStr">
        <is>
          <t xml:space="preserve">911 Turbo S</t>
        </is>
      </c>
      <c r="K222" s="46" t="inlineStr">
        <is>
          <t xml:space="preserve">NTFEPZDHFPK0PV70N</t>
        </is>
      </c>
      <c r="L222" s="48" t="inlineStr">
        <is>
          <t xml:space="preserve">02 - Sports / GT</t>
        </is>
      </c>
      <c r="M222" s="50">
        <v>730000</v>
      </c>
      <c r="N222" s="48" t="inlineStr">
        <is>
          <t xml:space="preserve">Personal</t>
        </is>
      </c>
      <c r="O222" s="46" t="inlineStr">
        <is>
          <t xml:space="preserve">Personal - regular use</t>
        </is>
      </c>
      <c r="P222" s="46" t="inlineStr">
        <is>
          <t xml:space="preserve">2,500 - 5,000</t>
        </is>
      </c>
      <c r="Q222" s="46" t="inlineStr">
        <is>
          <t xml:space="preserve">Washington</t>
        </is>
      </c>
      <c r="R222" s="46" t="inlineStr">
        <is>
          <t xml:space="preserve">98101</t>
        </is>
      </c>
      <c r="S222" s="48" t="inlineStr">
        <is>
          <t xml:space="preserve">Earthquake - high (CA, Cascadia, New Madrid)</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7556.48</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CANON-202602-004963</t>
        </is>
      </c>
      <c r="B223" s="30" t="inlineStr">
        <is>
          <t xml:space="preserve">Thaddeus Vandermeer</t>
        </is>
      </c>
      <c r="C223" s="31">
        <v>46060</v>
      </c>
      <c r="D223" s="32" t="inlineStr">
        <is>
          <t xml:space="preserve">Bound - within authority</t>
        </is>
      </c>
      <c r="E223" s="32" t="inlineStr">
        <is>
          <t xml:space="preserve">New business</t>
        </is>
      </c>
      <c r="F223" s="30" t="inlineStr">
        <is>
          <t xml:space="preserve">B1234EXOTIC26</t>
        </is>
      </c>
      <c r="G223" s="33">
        <f>IF($A223="","",IF($C223="","",YEAR($C223)))</f>
      </c>
      <c r="H223" s="34">
        <v>1992</v>
      </c>
      <c r="I223" s="30" t="inlineStr">
        <is>
          <t xml:space="preserve">Jaguar</t>
        </is>
      </c>
      <c r="J223" s="30" t="inlineStr">
        <is>
          <t xml:space="preserve">E-Type Series 1</t>
        </is>
      </c>
      <c r="K223" s="30" t="inlineStr">
        <is>
          <t xml:space="preserve">W5L85Y2YLBKUDPKM7</t>
        </is>
      </c>
      <c r="L223" s="32" t="inlineStr">
        <is>
          <t xml:space="preserve">08 - Modern Classic (1973-1999)</t>
        </is>
      </c>
      <c r="M223" s="35">
        <v>320000</v>
      </c>
      <c r="N223" s="32" t="inlineStr">
        <is>
          <t xml:space="preserve">Personal</t>
        </is>
      </c>
      <c r="O223" s="30" t="inlineStr">
        <is>
          <t xml:space="preserve">Personal - regular use</t>
        </is>
      </c>
      <c r="P223" s="30" t="inlineStr">
        <is>
          <t xml:space="preserve">1,000 - 2,500</t>
        </is>
      </c>
      <c r="Q223" s="30" t="inlineStr">
        <is>
          <t xml:space="preserve">Tennessee</t>
        </is>
      </c>
      <c r="R223" s="30" t="inlineStr">
        <is>
          <t xml:space="preserve">37203</t>
        </is>
      </c>
      <c r="S223" s="32" t="inlineStr">
        <is>
          <t xml:space="preserve">Severe convective - hail / tornado (moderate)</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2497.06</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CANON-202602-004964</t>
        </is>
      </c>
      <c r="B224" s="46" t="inlineStr">
        <is>
          <t xml:space="preserve">Delphine Bellandi</t>
        </is>
      </c>
      <c r="C224" s="47">
        <v>46070</v>
      </c>
      <c r="D224" s="48" t="inlineStr">
        <is>
          <t xml:space="preserve">Bound - within authority</t>
        </is>
      </c>
      <c r="E224" s="48" t="inlineStr">
        <is>
          <t xml:space="preserve">New business</t>
        </is>
      </c>
      <c r="F224" s="46" t="inlineStr">
        <is>
          <t xml:space="preserve">B1234EXOTIC26</t>
        </is>
      </c>
      <c r="G224" s="33">
        <f>IF($A224="","",IF($C224="","",YEAR($C224)))</f>
      </c>
      <c r="H224" s="49">
        <v>1972</v>
      </c>
      <c r="I224" s="46" t="inlineStr">
        <is>
          <t xml:space="preserve">Aston Martin</t>
        </is>
      </c>
      <c r="J224" s="46" t="inlineStr">
        <is>
          <t xml:space="preserve">DB5</t>
        </is>
      </c>
      <c r="K224" s="46" t="inlineStr">
        <is>
          <t xml:space="preserve">JDPSNMY4WS9X918TZ</t>
        </is>
      </c>
      <c r="L224" s="48" t="inlineStr">
        <is>
          <t xml:space="preserve">07 - Post-War Classic (1946-1972)</t>
        </is>
      </c>
      <c r="M224" s="50">
        <v>640000</v>
      </c>
      <c r="N224" s="48" t="inlineStr">
        <is>
          <t xml:space="preserve">Personal</t>
        </is>
      </c>
      <c r="O224" s="46" t="inlineStr">
        <is>
          <t xml:space="preserve">Personal - regular use</t>
        </is>
      </c>
      <c r="P224" s="46" t="inlineStr">
        <is>
          <t xml:space="preserve">2,500 - 5,000</t>
        </is>
      </c>
      <c r="Q224" s="46" t="inlineStr">
        <is>
          <t xml:space="preserve">Arizona</t>
        </is>
      </c>
      <c r="R224" s="46" t="inlineStr">
        <is>
          <t xml:space="preserve">85001</t>
        </is>
      </c>
      <c r="S224" s="48" t="inlineStr">
        <is>
          <t xml:space="preserve">Wildfire - WUI high hazard</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4610.86</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CANON-202602-004965</t>
        </is>
      </c>
      <c r="B225" s="30" t="inlineStr">
        <is>
          <t xml:space="preserve">Everett Delacroix</t>
        </is>
      </c>
      <c r="C225" s="31">
        <v>46080</v>
      </c>
      <c r="D225" s="32" t="inlineStr">
        <is>
          <t xml:space="preserve">Bound - within authority</t>
        </is>
      </c>
      <c r="E225" s="32" t="inlineStr">
        <is>
          <t xml:space="preserve">New business</t>
        </is>
      </c>
      <c r="F225" s="30" t="inlineStr">
        <is>
          <t xml:space="preserve">B1234EXOTIC26</t>
        </is>
      </c>
      <c r="G225" s="33">
        <f>IF($A225="","",IF($C225="","",YEAR($C225)))</f>
      </c>
      <c r="H225" s="34">
        <v>1960</v>
      </c>
      <c r="I225" s="30" t="inlineStr">
        <is>
          <t xml:space="preserve">Bentley</t>
        </is>
      </c>
      <c r="J225" s="30" t="inlineStr">
        <is>
          <t xml:space="preserve">Continental GT</t>
        </is>
      </c>
      <c r="K225" s="30" t="inlineStr">
        <is>
          <t xml:space="preserve">KNE8NJX93HG7SENMB</t>
        </is>
      </c>
      <c r="L225" s="32" t="inlineStr">
        <is>
          <t xml:space="preserve">02 - Sports / GT</t>
        </is>
      </c>
      <c r="M225" s="35">
        <v>295000</v>
      </c>
      <c r="N225" s="32" t="inlineStr">
        <is>
          <t xml:space="preserve">Personal</t>
        </is>
      </c>
      <c r="O225" s="30" t="inlineStr">
        <is>
          <t xml:space="preserve">Personal - regular use</t>
        </is>
      </c>
      <c r="P225" s="30" t="inlineStr">
        <is>
          <t xml:space="preserve">1,000 - 2,500</t>
        </is>
      </c>
      <c r="Q225" s="30" t="inlineStr">
        <is>
          <t xml:space="preserve">Montana</t>
        </is>
      </c>
      <c r="R225" s="30" t="inlineStr">
        <is>
          <t xml:space="preserve">59601</t>
        </is>
      </c>
      <c r="S225" s="32" t="inlineStr">
        <is>
          <t xml:space="preserve">Wildfire - WUI high hazard</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3413.33</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CANON-202602-004966</t>
        </is>
      </c>
      <c r="B226" s="46" t="inlineStr">
        <is>
          <t xml:space="preserve">Horace Underwood</t>
        </is>
      </c>
      <c r="C226" s="47">
        <v>46054</v>
      </c>
      <c r="D226" s="48" t="inlineStr">
        <is>
          <t xml:space="preserve">Bound - within authority</t>
        </is>
      </c>
      <c r="E226" s="48" t="inlineStr">
        <is>
          <t xml:space="preserve">New business</t>
        </is>
      </c>
      <c r="F226" s="46" t="inlineStr">
        <is>
          <t xml:space="preserve">B1234EXOTIC26</t>
        </is>
      </c>
      <c r="G226" s="33">
        <f>IF($A226="","",IF($C226="","",YEAR($C226)))</f>
      </c>
      <c r="H226" s="49">
        <v>1970</v>
      </c>
      <c r="I226" s="46" t="inlineStr">
        <is>
          <t xml:space="preserve">Jaguar</t>
        </is>
      </c>
      <c r="J226" s="46" t="inlineStr">
        <is>
          <t xml:space="preserve">E-Type Series 1</t>
        </is>
      </c>
      <c r="K226" s="46" t="inlineStr">
        <is>
          <t xml:space="preserve">YJV10S4RMEHMLEYKH</t>
        </is>
      </c>
      <c r="L226" s="48" t="inlineStr">
        <is>
          <t xml:space="preserve">07 - Post-War Classic (1946-1972)</t>
        </is>
      </c>
      <c r="M226" s="50">
        <v>1260000</v>
      </c>
      <c r="N226" s="48" t="inlineStr">
        <is>
          <t xml:space="preserve">Personal</t>
        </is>
      </c>
      <c r="O226" s="46" t="inlineStr">
        <is>
          <t xml:space="preserve">Personal - regular use</t>
        </is>
      </c>
      <c r="P226" s="46" t="inlineStr">
        <is>
          <t xml:space="preserve">1,000 - 2,500</t>
        </is>
      </c>
      <c r="Q226" s="46" t="inlineStr">
        <is>
          <t xml:space="preserve">Nevada</t>
        </is>
      </c>
      <c r="R226" s="46" t="inlineStr">
        <is>
          <t xml:space="preserve">89101</t>
        </is>
      </c>
      <c r="S226" s="48" t="inlineStr">
        <is>
          <t xml:space="preserve">Wildfire - WUI high hazard</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9292.92</v>
      </c>
      <c r="AC226" s="51">
        <v>0</v>
      </c>
      <c r="AD226" s="38">
        <f>IF(ISNUMBER($AB226),$AB226*(1+N($AC226)),"")</f>
      </c>
      <c r="AE226" s="50">
        <v>350</v>
      </c>
      <c r="AF226" s="50">
        <v>250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CANON-202602-004967</t>
        </is>
      </c>
      <c r="B227" s="30" t="inlineStr">
        <is>
          <t xml:space="preserve">Fenwick Larsson</t>
        </is>
      </c>
      <c r="C227" s="31">
        <v>46071</v>
      </c>
      <c r="D227" s="32" t="inlineStr">
        <is>
          <t xml:space="preserve">Bound - within authority</t>
        </is>
      </c>
      <c r="E227" s="32" t="inlineStr">
        <is>
          <t xml:space="preserve">New business</t>
        </is>
      </c>
      <c r="F227" s="30" t="inlineStr">
        <is>
          <t xml:space="preserve">B1234EXOTIC26</t>
        </is>
      </c>
      <c r="G227" s="33">
        <f>IF($A227="","",IF($C227="","",YEAR($C227)))</f>
      </c>
      <c r="H227" s="34">
        <v>1987</v>
      </c>
      <c r="I227" s="30" t="inlineStr">
        <is>
          <t xml:space="preserve">Aston Martin</t>
        </is>
      </c>
      <c r="J227" s="30" t="inlineStr">
        <is>
          <t xml:space="preserve">DB12</t>
        </is>
      </c>
      <c r="K227" s="30" t="inlineStr">
        <is>
          <t xml:space="preserve">GFCX1UNPYTBYM6HCS</t>
        </is>
      </c>
      <c r="L227" s="32" t="inlineStr">
        <is>
          <t xml:space="preserve">02 - Sports / GT</t>
        </is>
      </c>
      <c r="M227" s="35">
        <v>585000</v>
      </c>
      <c r="N227" s="32" t="inlineStr">
        <is>
          <t xml:space="preserve">Personal</t>
        </is>
      </c>
      <c r="O227" s="30" t="inlineStr">
        <is>
          <t xml:space="preserve">Personal - regular use</t>
        </is>
      </c>
      <c r="P227" s="30" t="inlineStr">
        <is>
          <t xml:space="preserve">1,000 - 2,500</t>
        </is>
      </c>
      <c r="Q227" s="30" t="inlineStr">
        <is>
          <t xml:space="preserve">Washington</t>
        </is>
      </c>
      <c r="R227" s="30" t="inlineStr">
        <is>
          <t xml:space="preserve">98101</t>
        </is>
      </c>
      <c r="S227" s="32" t="inlineStr">
        <is>
          <t xml:space="preserve">Earthquake - high (CA, Cascadia, New Madrid)</t>
        </is>
      </c>
      <c r="T227" s="36">
        <f>IF($A227="","",IF($S227="","",IFERROR(INDEX('[1]natural catastrophe'!$D$6:$D$17,MATCH($S227,'[1]natural catastrophe'!$B$6:$B$17,0)),"?")))</f>
      </c>
      <c r="U227" s="30" t="inlineStr">
        <is>
          <t xml:space="preserve">$5,000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6055.53</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CANON-202602-004968</t>
        </is>
      </c>
      <c r="B228" s="46" t="inlineStr">
        <is>
          <t xml:space="preserve">Aurelio Okonkwo</t>
        </is>
      </c>
      <c r="C228" s="47">
        <v>46062</v>
      </c>
      <c r="D228" s="48" t="inlineStr">
        <is>
          <t xml:space="preserve">Bound - within authority</t>
        </is>
      </c>
      <c r="E228" s="48" t="inlineStr">
        <is>
          <t xml:space="preserve">New business</t>
        </is>
      </c>
      <c r="F228" s="46" t="inlineStr">
        <is>
          <t xml:space="preserve">B1234EXOTIC26</t>
        </is>
      </c>
      <c r="G228" s="33">
        <f>IF($A228="","",IF($C228="","",YEAR($C228)))</f>
      </c>
      <c r="H228" s="49">
        <v>2018</v>
      </c>
      <c r="I228" s="46" t="inlineStr">
        <is>
          <t xml:space="preserve">Ferrari</t>
        </is>
      </c>
      <c r="J228" s="46" t="inlineStr">
        <is>
          <t xml:space="preserve">SF90 Stradale</t>
        </is>
      </c>
      <c r="K228" s="46" t="inlineStr">
        <is>
          <t xml:space="preserve">1S56EBSNUD6MGFDKH</t>
        </is>
      </c>
      <c r="L228" s="48" t="inlineStr">
        <is>
          <t xml:space="preserve">03 - Supercar</t>
        </is>
      </c>
      <c r="M228" s="50">
        <v>795000</v>
      </c>
      <c r="N228" s="48" t="inlineStr">
        <is>
          <t xml:space="preserve">Personal</t>
        </is>
      </c>
      <c r="O228" s="46" t="inlineStr">
        <is>
          <t xml:space="preserve">Personal - regular use</t>
        </is>
      </c>
      <c r="P228" s="46" t="inlineStr">
        <is>
          <t xml:space="preserve">2,500 - 5,000</t>
        </is>
      </c>
      <c r="Q228" s="46" t="inlineStr">
        <is>
          <t xml:space="preserve">Arizona</t>
        </is>
      </c>
      <c r="R228" s="46" t="inlineStr">
        <is>
          <t xml:space="preserve">85001</t>
        </is>
      </c>
      <c r="S228" s="48" t="inlineStr">
        <is>
          <t xml:space="preserve">Wildfire - WUI high hazard</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12653.89</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CANON-202602-004969</t>
        </is>
      </c>
      <c r="B229" s="30" t="inlineStr">
        <is>
          <t xml:space="preserve">Desmond Harrington</t>
        </is>
      </c>
      <c r="C229" s="31">
        <v>46070</v>
      </c>
      <c r="D229" s="32" t="inlineStr">
        <is>
          <t xml:space="preserve">Bound - within authority</t>
        </is>
      </c>
      <c r="E229" s="32" t="inlineStr">
        <is>
          <t xml:space="preserve">New business</t>
        </is>
      </c>
      <c r="F229" s="30" t="inlineStr">
        <is>
          <t xml:space="preserve">B1234EXOTIC26</t>
        </is>
      </c>
      <c r="G229" s="33">
        <f>IF($A229="","",IF($C229="","",YEAR($C229)))</f>
      </c>
      <c r="H229" s="34">
        <v>2024</v>
      </c>
      <c r="I229" s="30" t="inlineStr">
        <is>
          <t xml:space="preserve">Porsche</t>
        </is>
      </c>
      <c r="J229" s="30" t="inlineStr">
        <is>
          <t xml:space="preserve">911 Turbo S</t>
        </is>
      </c>
      <c r="K229" s="30" t="inlineStr">
        <is>
          <t xml:space="preserve">GPA0Y88NNR7XX0XH1</t>
        </is>
      </c>
      <c r="L229" s="32" t="inlineStr">
        <is>
          <t xml:space="preserve">02 - Sports / GT</t>
        </is>
      </c>
      <c r="M229" s="35">
        <v>410000</v>
      </c>
      <c r="N229" s="32" t="inlineStr">
        <is>
          <t xml:space="preserve">Personal</t>
        </is>
      </c>
      <c r="O229" s="30" t="inlineStr">
        <is>
          <t xml:space="preserve">Personal - regular use</t>
        </is>
      </c>
      <c r="P229" s="30" t="inlineStr">
        <is>
          <t xml:space="preserve">Under 1,000</t>
        </is>
      </c>
      <c r="Q229" s="30" t="inlineStr">
        <is>
          <t xml:space="preserve">Illinois</t>
        </is>
      </c>
      <c r="R229" s="30" t="inlineStr">
        <is>
          <t xml:space="preserve">60601</t>
        </is>
      </c>
      <c r="S229" s="32" t="inlineStr">
        <is>
          <t xml:space="preserve">Severe convective - hail / tornado (moderate)</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6937.39</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CANON-202602-004970</t>
        </is>
      </c>
      <c r="B230" s="46" t="inlineStr">
        <is>
          <t xml:space="preserve">Marisol Rourke</t>
        </is>
      </c>
      <c r="C230" s="47">
        <v>46061</v>
      </c>
      <c r="D230" s="48" t="inlineStr">
        <is>
          <t xml:space="preserve">Bound - within authority</t>
        </is>
      </c>
      <c r="E230" s="48" t="inlineStr">
        <is>
          <t xml:space="preserve">New business</t>
        </is>
      </c>
      <c r="F230" s="46" t="inlineStr">
        <is>
          <t xml:space="preserve">B1234EXOTIC26</t>
        </is>
      </c>
      <c r="G230" s="33">
        <f>IF($A230="","",IF($C230="","",YEAR($C230)))</f>
      </c>
      <c r="H230" s="49">
        <v>1972</v>
      </c>
      <c r="I230" s="46" t="inlineStr">
        <is>
          <t xml:space="preserve">Ferrari</t>
        </is>
      </c>
      <c r="J230" s="46" t="inlineStr">
        <is>
          <t xml:space="preserve">275 GTB/4</t>
        </is>
      </c>
      <c r="K230" s="46" t="inlineStr">
        <is>
          <t xml:space="preserve">Z777EGC4MV9VTJF36</t>
        </is>
      </c>
      <c r="L230" s="48" t="inlineStr">
        <is>
          <t xml:space="preserve">07 - Post-War Classic (1946-1972)</t>
        </is>
      </c>
      <c r="M230" s="50">
        <v>1055000</v>
      </c>
      <c r="N230" s="48" t="inlineStr">
        <is>
          <t xml:space="preserve">Personal</t>
        </is>
      </c>
      <c r="O230" s="46" t="inlineStr">
        <is>
          <t xml:space="preserve">Personal - regular use</t>
        </is>
      </c>
      <c r="P230" s="46" t="inlineStr">
        <is>
          <t xml:space="preserve">2,500 - 5,000</t>
        </is>
      </c>
      <c r="Q230" s="46" t="inlineStr">
        <is>
          <t xml:space="preserve">New York</t>
        </is>
      </c>
      <c r="R230" s="46" t="inlineStr">
        <is>
          <t xml:space="preserve">10022</t>
        </is>
      </c>
      <c r="S230" s="48" t="inlineStr">
        <is>
          <t xml:space="preserve">Tier 3 - Coastal wind (25-100 miles)</t>
        </is>
      </c>
      <c r="T230" s="36">
        <f>IF($A230="","",IF($S230="","",IFERROR(INDEX('[1]natural catastrophe'!$D$6:$D$17,MATCH($S230,'[1]natural catastrophe'!$B$6:$B$17,0)),"?")))</f>
      </c>
      <c r="U230" s="46" t="inlineStr">
        <is>
          <t xml:space="preserve">2% of agreed value, minimum $10,000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8512.51</v>
      </c>
      <c r="AC230" s="51">
        <v>0</v>
      </c>
      <c r="AD230" s="38">
        <f>IF(ISNUMBER($AB230),$AB230*(1+N($AC230)),"")</f>
      </c>
      <c r="AE230" s="50">
        <v>350</v>
      </c>
      <c r="AF230" s="50">
        <v>250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CANON-202602-004971</t>
        </is>
      </c>
      <c r="B231" s="30" t="inlineStr">
        <is>
          <t xml:space="preserve">Priya Underwood</t>
        </is>
      </c>
      <c r="C231" s="31">
        <v>46080</v>
      </c>
      <c r="D231" s="32" t="inlineStr">
        <is>
          <t xml:space="preserve">Bound - within authority</t>
        </is>
      </c>
      <c r="E231" s="32" t="inlineStr">
        <is>
          <t xml:space="preserve">New business</t>
        </is>
      </c>
      <c r="F231" s="30" t="inlineStr">
        <is>
          <t xml:space="preserve">B1234EXOTIC26</t>
        </is>
      </c>
      <c r="G231" s="33">
        <f>IF($A231="","",IF($C231="","",YEAR($C231)))</f>
      </c>
      <c r="H231" s="34">
        <v>1983</v>
      </c>
      <c r="I231" s="30" t="inlineStr">
        <is>
          <t xml:space="preserve">McLaren</t>
        </is>
      </c>
      <c r="J231" s="30" t="inlineStr">
        <is>
          <t xml:space="preserve">750S</t>
        </is>
      </c>
      <c r="K231" s="30" t="inlineStr">
        <is>
          <t xml:space="preserve">SCN49JPZN9DY70SPD</t>
        </is>
      </c>
      <c r="L231" s="32" t="inlineStr">
        <is>
          <t xml:space="preserve">03 - Supercar</t>
        </is>
      </c>
      <c r="M231" s="35">
        <v>1640000</v>
      </c>
      <c r="N231" s="32" t="inlineStr">
        <is>
          <t xml:space="preserve">Personal</t>
        </is>
      </c>
      <c r="O231" s="30" t="inlineStr">
        <is>
          <t xml:space="preserve">Personal - regular use</t>
        </is>
      </c>
      <c r="P231" s="30" t="inlineStr">
        <is>
          <t xml:space="preserve">1,000 - 2,500</t>
        </is>
      </c>
      <c r="Q231" s="30" t="inlineStr">
        <is>
          <t xml:space="preserve">Maryland</t>
        </is>
      </c>
      <c r="R231" s="30" t="inlineStr">
        <is>
          <t xml:space="preserve">21201</t>
        </is>
      </c>
      <c r="S231" s="32" t="inlineStr">
        <is>
          <t xml:space="preserve">Tier 3 - Coastal wind (25-100 miles)</t>
        </is>
      </c>
      <c r="T231" s="36">
        <f>IF($A231="","",IF($S231="","",IFERROR(INDEX('[1]natural catastrophe'!$D$6:$D$17,MATCH($S231,'[1]natural catastrophe'!$B$6:$B$17,0)),"?")))</f>
      </c>
      <c r="U231" s="30" t="inlineStr">
        <is>
          <t xml:space="preserve">2% of agreed value, minimum $10,000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20676.13</v>
      </c>
      <c r="AC231" s="37">
        <v>0</v>
      </c>
      <c r="AD231" s="38">
        <f>IF(ISNUMBER($AB231),$AB231*(1+N($AC231)),"")</f>
      </c>
      <c r="AE231" s="35">
        <v>350</v>
      </c>
      <c r="AF231" s="35">
        <v>250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CANON-202602-004972</t>
        </is>
      </c>
      <c r="B232" s="46" t="inlineStr">
        <is>
          <t xml:space="preserve">Lorenzo Bellandi</t>
        </is>
      </c>
      <c r="C232" s="47">
        <v>46058</v>
      </c>
      <c r="D232" s="48" t="inlineStr">
        <is>
          <t xml:space="preserve">Bound - within authority</t>
        </is>
      </c>
      <c r="E232" s="48" t="inlineStr">
        <is>
          <t xml:space="preserve">New business</t>
        </is>
      </c>
      <c r="F232" s="46" t="inlineStr">
        <is>
          <t xml:space="preserve">B1234EXOTIC26</t>
        </is>
      </c>
      <c r="G232" s="33">
        <f>IF($A232="","",IF($C232="","",YEAR($C232)))</f>
      </c>
      <c r="H232" s="49">
        <v>1957</v>
      </c>
      <c r="I232" s="46" t="inlineStr">
        <is>
          <t xml:space="preserve">Lamborghini</t>
        </is>
      </c>
      <c r="J232" s="46" t="inlineStr">
        <is>
          <t xml:space="preserve">Huracan EVO</t>
        </is>
      </c>
      <c r="K232" s="46" t="inlineStr">
        <is>
          <t xml:space="preserve">BZGYU7NF7LA8E7R3U</t>
        </is>
      </c>
      <c r="L232" s="48" t="inlineStr">
        <is>
          <t xml:space="preserve">03 - Supercar</t>
        </is>
      </c>
      <c r="M232" s="50">
        <v>1530000</v>
      </c>
      <c r="N232" s="48" t="inlineStr">
        <is>
          <t xml:space="preserve">Personal</t>
        </is>
      </c>
      <c r="O232" s="46" t="inlineStr">
        <is>
          <t xml:space="preserve">Personal - regular use</t>
        </is>
      </c>
      <c r="P232" s="46" t="inlineStr">
        <is>
          <t xml:space="preserve">2,500 - 5,000</t>
        </is>
      </c>
      <c r="Q232" s="46" t="inlineStr">
        <is>
          <t xml:space="preserve">Louisiana</t>
        </is>
      </c>
      <c r="R232" s="46" t="inlineStr">
        <is>
          <t xml:space="preserve">70112</t>
        </is>
      </c>
      <c r="S232" s="48" t="inlineStr">
        <is>
          <t xml:space="preserve">Tier 2 - Coastal wind (1-25 miles)</t>
        </is>
      </c>
      <c r="T232" s="36">
        <f>IF($A232="","",IF($S232="","",IFERROR(INDEX('[1]natural catastrophe'!$D$6:$D$17,MATCH($S232,'[1]natural catastrophe'!$B$6:$B$17,0)),"?")))</f>
      </c>
      <c r="U232" s="46" t="inlineStr">
        <is>
          <t xml:space="preserve">2% of agreed value, minimum $10,000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24568.5</v>
      </c>
      <c r="AC232" s="51">
        <v>0</v>
      </c>
      <c r="AD232" s="38">
        <f>IF(ISNUMBER($AB232),$AB232*(1+N($AC232)),"")</f>
      </c>
      <c r="AE232" s="50">
        <v>350</v>
      </c>
      <c r="AF232" s="50">
        <v>250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CANON-202602-004973</t>
        </is>
      </c>
      <c r="B233" s="30" t="inlineStr">
        <is>
          <t xml:space="preserve">Fitzgerald Nakashima</t>
        </is>
      </c>
      <c r="C233" s="31">
        <v>46070</v>
      </c>
      <c r="D233" s="32" t="inlineStr">
        <is>
          <t xml:space="preserve">Bound - within authority</t>
        </is>
      </c>
      <c r="E233" s="32" t="inlineStr">
        <is>
          <t xml:space="preserve">New business</t>
        </is>
      </c>
      <c r="F233" s="30" t="inlineStr">
        <is>
          <t xml:space="preserve">B1234EXOTIC26</t>
        </is>
      </c>
      <c r="G233" s="33">
        <f>IF($A233="","",IF($C233="","",YEAR($C233)))</f>
      </c>
      <c r="H233" s="34">
        <v>2009</v>
      </c>
      <c r="I233" s="30" t="inlineStr">
        <is>
          <t xml:space="preserve">McLaren</t>
        </is>
      </c>
      <c r="J233" s="30" t="inlineStr">
        <is>
          <t xml:space="preserve">750S</t>
        </is>
      </c>
      <c r="K233" s="30" t="inlineStr">
        <is>
          <t xml:space="preserve">1HTLC990B79UB645G</t>
        </is>
      </c>
      <c r="L233" s="32" t="inlineStr">
        <is>
          <t xml:space="preserve">03 - Supercar</t>
        </is>
      </c>
      <c r="M233" s="35">
        <v>540000</v>
      </c>
      <c r="N233" s="32" t="inlineStr">
        <is>
          <t xml:space="preserve">Personal</t>
        </is>
      </c>
      <c r="O233" s="30" t="inlineStr">
        <is>
          <t xml:space="preserve">Personal - regular use</t>
        </is>
      </c>
      <c r="P233" s="30" t="inlineStr">
        <is>
          <t xml:space="preserve">Under 1,000</t>
        </is>
      </c>
      <c r="Q233" s="30" t="inlineStr">
        <is>
          <t xml:space="preserve">Ohio</t>
        </is>
      </c>
      <c r="R233" s="30" t="inlineStr">
        <is>
          <t xml:space="preserve">43215</t>
        </is>
      </c>
      <c r="S233" s="32" t="inlineStr">
        <is>
          <t xml:space="preserve">Severe convective - hail / tornado (moderate)</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11828.89</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CANON-202602-004974</t>
        </is>
      </c>
      <c r="B234" s="46" t="inlineStr">
        <is>
          <t xml:space="preserve">Beatrix Harrington</t>
        </is>
      </c>
      <c r="C234" s="47">
        <v>46072</v>
      </c>
      <c r="D234" s="48" t="inlineStr">
        <is>
          <t xml:space="preserve">Bound - within authority</t>
        </is>
      </c>
      <c r="E234" s="48" t="inlineStr">
        <is>
          <t xml:space="preserve">New business</t>
        </is>
      </c>
      <c r="F234" s="46" t="inlineStr">
        <is>
          <t xml:space="preserve">B1234EXOTIC26</t>
        </is>
      </c>
      <c r="G234" s="33">
        <f>IF($A234="","",IF($C234="","",YEAR($C234)))</f>
      </c>
      <c r="H234" s="49">
        <v>1959</v>
      </c>
      <c r="I234" s="46" t="inlineStr">
        <is>
          <t xml:space="preserve">Mercedes-Benz</t>
        </is>
      </c>
      <c r="J234" s="46" t="inlineStr">
        <is>
          <t xml:space="preserve">AMG GT</t>
        </is>
      </c>
      <c r="K234" s="46" t="inlineStr">
        <is>
          <t xml:space="preserve">JEVRULPP8LY7KWFK4</t>
        </is>
      </c>
      <c r="L234" s="48" t="inlineStr">
        <is>
          <t xml:space="preserve">02 - Sports / GT</t>
        </is>
      </c>
      <c r="M234" s="50">
        <v>235000</v>
      </c>
      <c r="N234" s="48" t="inlineStr">
        <is>
          <t xml:space="preserve">Personal</t>
        </is>
      </c>
      <c r="O234" s="46" t="inlineStr">
        <is>
          <t xml:space="preserve">Personal - regular use</t>
        </is>
      </c>
      <c r="P234" s="46" t="inlineStr">
        <is>
          <t xml:space="preserve">1,000 - 2,500</t>
        </is>
      </c>
      <c r="Q234" s="46" t="inlineStr">
        <is>
          <t xml:space="preserve">Tennessee</t>
        </is>
      </c>
      <c r="R234" s="46" t="inlineStr">
        <is>
          <t xml:space="preserve">37203</t>
        </is>
      </c>
      <c r="S234" s="48" t="inlineStr">
        <is>
          <t xml:space="preserve">Severe convective - hail / tornado (moderate)</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3514.74</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CANON-202602-004976</t>
        </is>
      </c>
      <c r="B235" s="30" t="inlineStr">
        <is>
          <t xml:space="preserve">Anouk Castellanos</t>
        </is>
      </c>
      <c r="C235" s="31">
        <v>46076</v>
      </c>
      <c r="D235" s="32" t="inlineStr">
        <is>
          <t xml:space="preserve">Bound - within authority</t>
        </is>
      </c>
      <c r="E235" s="32" t="inlineStr">
        <is>
          <t xml:space="preserve">New business</t>
        </is>
      </c>
      <c r="F235" s="30" t="inlineStr">
        <is>
          <t xml:space="preserve">B1234EXOTIC26</t>
        </is>
      </c>
      <c r="G235" s="33">
        <f>IF($A235="","",IF($C235="","",YEAR($C235)))</f>
      </c>
      <c r="H235" s="34">
        <v>1982</v>
      </c>
      <c r="I235" s="30" t="inlineStr">
        <is>
          <t xml:space="preserve">Ferrari</t>
        </is>
      </c>
      <c r="J235" s="30" t="inlineStr">
        <is>
          <t xml:space="preserve">296 GTB</t>
        </is>
      </c>
      <c r="K235" s="30" t="inlineStr">
        <is>
          <t xml:space="preserve">37J069ERSV6LV6JDY</t>
        </is>
      </c>
      <c r="L235" s="32" t="inlineStr">
        <is>
          <t xml:space="preserve">03 - Supercar</t>
        </is>
      </c>
      <c r="M235" s="35">
        <v>595000</v>
      </c>
      <c r="N235" s="32" t="inlineStr">
        <is>
          <t xml:space="preserve">Personal</t>
        </is>
      </c>
      <c r="O235" s="30" t="inlineStr">
        <is>
          <t xml:space="preserve">Personal - regular use</t>
        </is>
      </c>
      <c r="P235" s="30" t="inlineStr">
        <is>
          <t xml:space="preserve">1,000 - 2,500</t>
        </is>
      </c>
      <c r="Q235" s="30" t="inlineStr">
        <is>
          <t xml:space="preserve">Alaska</t>
        </is>
      </c>
      <c r="R235" s="30" t="inlineStr">
        <is>
          <t xml:space="preserve">99501</t>
        </is>
      </c>
      <c r="S235" s="32" t="inlineStr">
        <is>
          <t xml:space="preserve">Earthquake - high (CA, Cascadia, New Madrid)</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10689.5</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CANON-202602-004977</t>
        </is>
      </c>
      <c r="B236" s="46" t="inlineStr">
        <is>
          <t xml:space="preserve">Desmond Montoya</t>
        </is>
      </c>
      <c r="C236" s="47">
        <v>46077</v>
      </c>
      <c r="D236" s="48" t="inlineStr">
        <is>
          <t xml:space="preserve">Bound - within authority</t>
        </is>
      </c>
      <c r="E236" s="48" t="inlineStr">
        <is>
          <t xml:space="preserve">New business</t>
        </is>
      </c>
      <c r="F236" s="46" t="inlineStr">
        <is>
          <t xml:space="preserve">B1234EXOTIC26</t>
        </is>
      </c>
      <c r="G236" s="33">
        <f>IF($A236="","",IF($C236="","",YEAR($C236)))</f>
      </c>
      <c r="H236" s="49">
        <v>1997</v>
      </c>
      <c r="I236" s="46" t="inlineStr">
        <is>
          <t xml:space="preserve">Maserati</t>
        </is>
      </c>
      <c r="J236" s="46" t="inlineStr">
        <is>
          <t xml:space="preserve">GranTurismo</t>
        </is>
      </c>
      <c r="K236" s="46" t="inlineStr">
        <is>
          <t xml:space="preserve">TDPSA6EH96EAEMTYG</t>
        </is>
      </c>
      <c r="L236" s="48" t="inlineStr">
        <is>
          <t xml:space="preserve">02 - Sports / GT</t>
        </is>
      </c>
      <c r="M236" s="50">
        <v>430000</v>
      </c>
      <c r="N236" s="48" t="inlineStr">
        <is>
          <t xml:space="preserve">Personal</t>
        </is>
      </c>
      <c r="O236" s="46" t="inlineStr">
        <is>
          <t xml:space="preserve">Personal - regular use</t>
        </is>
      </c>
      <c r="P236" s="46" t="inlineStr">
        <is>
          <t xml:space="preserve">1,000 - 2,500</t>
        </is>
      </c>
      <c r="Q236" s="46" t="inlineStr">
        <is>
          <t xml:space="preserve">Oklahoma</t>
        </is>
      </c>
      <c r="R236" s="46" t="inlineStr">
        <is>
          <t xml:space="preserve">73102</t>
        </is>
      </c>
      <c r="S236" s="48" t="inlineStr">
        <is>
          <t xml:space="preserve">Severe convective - hail alley (high)</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6740.81</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CANON-202602-004978</t>
        </is>
      </c>
      <c r="B237" s="30" t="inlineStr">
        <is>
          <t xml:space="preserve">Marisol Bellandi</t>
        </is>
      </c>
      <c r="C237" s="31">
        <v>46081</v>
      </c>
      <c r="D237" s="32" t="inlineStr">
        <is>
          <t xml:space="preserve">Bound - within authority</t>
        </is>
      </c>
      <c r="E237" s="32" t="inlineStr">
        <is>
          <t xml:space="preserve">New business</t>
        </is>
      </c>
      <c r="F237" s="30" t="inlineStr">
        <is>
          <t xml:space="preserve">B1234EXOTIC26</t>
        </is>
      </c>
      <c r="G237" s="33">
        <f>IF($A237="","",IF($C237="","",YEAR($C237)))</f>
      </c>
      <c r="H237" s="34">
        <v>1974</v>
      </c>
      <c r="I237" s="30" t="inlineStr">
        <is>
          <t xml:space="preserve">Porsche</t>
        </is>
      </c>
      <c r="J237" s="30" t="inlineStr">
        <is>
          <t xml:space="preserve">911 Turbo S</t>
        </is>
      </c>
      <c r="K237" s="30" t="inlineStr">
        <is>
          <t xml:space="preserve">MXLFVZ3NDYAL2EAJP</t>
        </is>
      </c>
      <c r="L237" s="32" t="inlineStr">
        <is>
          <t xml:space="preserve">02 - Sports / GT</t>
        </is>
      </c>
      <c r="M237" s="35">
        <v>615000</v>
      </c>
      <c r="N237" s="32" t="inlineStr">
        <is>
          <t xml:space="preserve">Personal</t>
        </is>
      </c>
      <c r="O237" s="30" t="inlineStr">
        <is>
          <t xml:space="preserve">Personal - regular use</t>
        </is>
      </c>
      <c r="P237" s="30" t="inlineStr">
        <is>
          <t xml:space="preserve">Under 1,000</t>
        </is>
      </c>
      <c r="Q237" s="30" t="inlineStr">
        <is>
          <t xml:space="preserve">Massachusetts</t>
        </is>
      </c>
      <c r="R237" s="30" t="inlineStr">
        <is>
          <t xml:space="preserve">02108</t>
        </is>
      </c>
      <c r="S237" s="32" t="inlineStr">
        <is>
          <t xml:space="preserve">Tier 3 - Coastal wind (25-100 miles)</t>
        </is>
      </c>
      <c r="T237" s="36">
        <f>IF($A237="","",IF($S237="","",IFERROR(INDEX('[1]natural catastrophe'!$D$6:$D$17,MATCH($S237,'[1]natural catastrophe'!$B$6:$B$17,0)),"?")))</f>
      </c>
      <c r="U237" s="30" t="inlineStr">
        <is>
          <t xml:space="preserve">2% of agreed value, minimum $10,000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8289.16</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CANON-202602-004980</t>
        </is>
      </c>
      <c r="B238" s="46" t="inlineStr">
        <is>
          <t xml:space="preserve">Callum Vandermeer</t>
        </is>
      </c>
      <c r="C238" s="47">
        <v>46075</v>
      </c>
      <c r="D238" s="48" t="inlineStr">
        <is>
          <t xml:space="preserve">Bound - within authority</t>
        </is>
      </c>
      <c r="E238" s="48" t="inlineStr">
        <is>
          <t xml:space="preserve">New business</t>
        </is>
      </c>
      <c r="F238" s="46" t="inlineStr">
        <is>
          <t xml:space="preserve">B1234EXOTIC26</t>
        </is>
      </c>
      <c r="G238" s="33">
        <f>IF($A238="","",IF($C238="","",YEAR($C238)))</f>
      </c>
      <c r="H238" s="49">
        <v>1957</v>
      </c>
      <c r="I238" s="46" t="inlineStr">
        <is>
          <t xml:space="preserve">BMW</t>
        </is>
      </c>
      <c r="J238" s="46" t="inlineStr">
        <is>
          <t xml:space="preserve">M8 Competition</t>
        </is>
      </c>
      <c r="K238" s="46" t="inlineStr">
        <is>
          <t xml:space="preserve">EN27TR4EPEPV8GJVY</t>
        </is>
      </c>
      <c r="L238" s="48" t="inlineStr">
        <is>
          <t xml:space="preserve">02 - Sports / GT</t>
        </is>
      </c>
      <c r="M238" s="50">
        <v>145000</v>
      </c>
      <c r="N238" s="48" t="inlineStr">
        <is>
          <t xml:space="preserve">Personal</t>
        </is>
      </c>
      <c r="O238" s="46" t="inlineStr">
        <is>
          <t xml:space="preserve">Personal - regular use</t>
        </is>
      </c>
      <c r="P238" s="46" t="inlineStr">
        <is>
          <t xml:space="preserve">2,500 - 5,000</t>
        </is>
      </c>
      <c r="Q238" s="46" t="inlineStr">
        <is>
          <t xml:space="preserve">California</t>
        </is>
      </c>
      <c r="R238" s="46" t="inlineStr">
        <is>
          <t xml:space="preserve">90012</t>
        </is>
      </c>
      <c r="S238" s="48" t="inlineStr">
        <is>
          <t xml:space="preserve">Earthquake - high (CA, Cascadia, New Madrid)</t>
        </is>
      </c>
      <c r="T238" s="36">
        <f>IF($A238="","",IF($S238="","",IFERROR(INDEX('[1]natural catastrophe'!$D$6:$D$17,MATCH($S238,'[1]natural catastrophe'!$B$6:$B$17,0)),"?")))</f>
      </c>
      <c r="U238" s="46" t="inlineStr">
        <is>
          <t xml:space="preserve">$5,000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2987.45</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CANON-202602-004981</t>
        </is>
      </c>
      <c r="B239" s="30" t="inlineStr">
        <is>
          <t xml:space="preserve">Anouk Montoya</t>
        </is>
      </c>
      <c r="C239" s="31">
        <v>46079</v>
      </c>
      <c r="D239" s="32" t="inlineStr">
        <is>
          <t xml:space="preserve">Bound - within authority</t>
        </is>
      </c>
      <c r="E239" s="32" t="inlineStr">
        <is>
          <t xml:space="preserve">New business</t>
        </is>
      </c>
      <c r="F239" s="30" t="inlineStr">
        <is>
          <t xml:space="preserve">B1234EXOTIC26</t>
        </is>
      </c>
      <c r="G239" s="33">
        <f>IF($A239="","",IF($C239="","",YEAR($C239)))</f>
      </c>
      <c r="H239" s="34">
        <v>1956</v>
      </c>
      <c r="I239" s="30" t="inlineStr">
        <is>
          <t xml:space="preserve">BMW</t>
        </is>
      </c>
      <c r="J239" s="30" t="inlineStr">
        <is>
          <t xml:space="preserve">M8 Competition</t>
        </is>
      </c>
      <c r="K239" s="30" t="inlineStr">
        <is>
          <t xml:space="preserve">AMVFVTRHYZ7AJJT84</t>
        </is>
      </c>
      <c r="L239" s="32" t="inlineStr">
        <is>
          <t xml:space="preserve">02 - Sports / GT</t>
        </is>
      </c>
      <c r="M239" s="35">
        <v>855000</v>
      </c>
      <c r="N239" s="32" t="inlineStr">
        <is>
          <t xml:space="preserve">Personal</t>
        </is>
      </c>
      <c r="O239" s="30" t="inlineStr">
        <is>
          <t xml:space="preserve">Personal - regular use</t>
        </is>
      </c>
      <c r="P239" s="30" t="inlineStr">
        <is>
          <t xml:space="preserve">2,500 - 5,000</t>
        </is>
      </c>
      <c r="Q239" s="30" t="inlineStr">
        <is>
          <t xml:space="preserve">Wyoming</t>
        </is>
      </c>
      <c r="R239" s="30" t="inlineStr">
        <is>
          <t xml:space="preserve">82001</t>
        </is>
      </c>
      <c r="S239" s="32" t="inlineStr">
        <is>
          <t xml:space="preserve">Severe convective - hail alley (high)</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9864.5</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CANON-202602-004983</t>
        </is>
      </c>
      <c r="B240" s="46" t="inlineStr">
        <is>
          <t xml:space="preserve">Fenwick Pennington</t>
        </is>
      </c>
      <c r="C240" s="47">
        <v>46076</v>
      </c>
      <c r="D240" s="48" t="inlineStr">
        <is>
          <t xml:space="preserve">Bound - within authority</t>
        </is>
      </c>
      <c r="E240" s="48" t="inlineStr">
        <is>
          <t xml:space="preserve">New business</t>
        </is>
      </c>
      <c r="F240" s="46" t="inlineStr">
        <is>
          <t xml:space="preserve">B1234EXOTIC26</t>
        </is>
      </c>
      <c r="G240" s="33">
        <f>IF($A240="","",IF($C240="","",YEAR($C240)))</f>
      </c>
      <c r="H240" s="49">
        <v>1976</v>
      </c>
      <c r="I240" s="46" t="inlineStr">
        <is>
          <t xml:space="preserve">BMW</t>
        </is>
      </c>
      <c r="J240" s="46" t="inlineStr">
        <is>
          <t xml:space="preserve">M8 Competition</t>
        </is>
      </c>
      <c r="K240" s="46" t="inlineStr">
        <is>
          <t xml:space="preserve">TK8NV86FRZZGSHBBX</t>
        </is>
      </c>
      <c r="L240" s="48" t="inlineStr">
        <is>
          <t xml:space="preserve">02 - Sports / GT</t>
        </is>
      </c>
      <c r="M240" s="50">
        <v>1105000</v>
      </c>
      <c r="N240" s="48" t="inlineStr">
        <is>
          <t xml:space="preserve">Personal</t>
        </is>
      </c>
      <c r="O240" s="46" t="inlineStr">
        <is>
          <t xml:space="preserve">Personal - regular use</t>
        </is>
      </c>
      <c r="P240" s="46" t="inlineStr">
        <is>
          <t xml:space="preserve">1,000 - 2,500</t>
        </is>
      </c>
      <c r="Q240" s="46" t="inlineStr">
        <is>
          <t xml:space="preserve">Kansas</t>
        </is>
      </c>
      <c r="R240" s="46" t="inlineStr">
        <is>
          <t xml:space="preserve">66603</t>
        </is>
      </c>
      <c r="S240" s="48" t="inlineStr">
        <is>
          <t xml:space="preserve">Severe convective - hail alley (high)</t>
        </is>
      </c>
      <c r="T240" s="36">
        <f>IF($A240="","",IF($S240="","",IFERROR(INDEX('[1]natural catastrophe'!$D$6:$D$17,MATCH($S240,'[1]natural catastrophe'!$B$6:$B$17,0)),"?")))</f>
      </c>
      <c r="U240" s="46" t="inlineStr">
        <is>
          <t xml:space="preserve">$5,000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9779.32</v>
      </c>
      <c r="AC240" s="51">
        <v>0</v>
      </c>
      <c r="AD240" s="38">
        <f>IF(ISNUMBER($AB240),$AB240*(1+N($AC240)),"")</f>
      </c>
      <c r="AE240" s="50">
        <v>350</v>
      </c>
      <c r="AF240" s="50">
        <v>250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CANON-202602-004984</t>
        </is>
      </c>
      <c r="B241" s="30" t="inlineStr">
        <is>
          <t xml:space="preserve">Priya Underwood</t>
        </is>
      </c>
      <c r="C241" s="31">
        <v>46062</v>
      </c>
      <c r="D241" s="32" t="inlineStr">
        <is>
          <t xml:space="preserve">Bound - within authority</t>
        </is>
      </c>
      <c r="E241" s="32" t="inlineStr">
        <is>
          <t xml:space="preserve">New business</t>
        </is>
      </c>
      <c r="F241" s="30" t="inlineStr">
        <is>
          <t xml:space="preserve">B1234EXOTIC26</t>
        </is>
      </c>
      <c r="G241" s="33">
        <f>IF($A241="","",IF($C241="","",YEAR($C241)))</f>
      </c>
      <c r="H241" s="34">
        <v>2012</v>
      </c>
      <c r="I241" s="30" t="inlineStr">
        <is>
          <t xml:space="preserve">Bentley</t>
        </is>
      </c>
      <c r="J241" s="30" t="inlineStr">
        <is>
          <t xml:space="preserve">Continental GT</t>
        </is>
      </c>
      <c r="K241" s="30" t="inlineStr">
        <is>
          <t xml:space="preserve">L7MUJKBU66RPRUBCM</t>
        </is>
      </c>
      <c r="L241" s="32" t="inlineStr">
        <is>
          <t xml:space="preserve">02 - Sports / GT</t>
        </is>
      </c>
      <c r="M241" s="35">
        <v>500000</v>
      </c>
      <c r="N241" s="32" t="inlineStr">
        <is>
          <t xml:space="preserve">Personal</t>
        </is>
      </c>
      <c r="O241" s="30" t="inlineStr">
        <is>
          <t xml:space="preserve">Personal - regular use</t>
        </is>
      </c>
      <c r="P241" s="30" t="inlineStr">
        <is>
          <t xml:space="preserve">2,500 - 5,000</t>
        </is>
      </c>
      <c r="Q241" s="30" t="inlineStr">
        <is>
          <t xml:space="preserve">Illinois</t>
        </is>
      </c>
      <c r="R241" s="30" t="inlineStr">
        <is>
          <t xml:space="preserve">60601</t>
        </is>
      </c>
      <c r="S241" s="32" t="inlineStr">
        <is>
          <t xml:space="preserve">Severe convective - hail / tornado (moderate)</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7332.19</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CANON-202602-004985</t>
        </is>
      </c>
      <c r="B242" s="46" t="inlineStr">
        <is>
          <t xml:space="preserve">Everett Montoya</t>
        </is>
      </c>
      <c r="C242" s="47">
        <v>46074</v>
      </c>
      <c r="D242" s="48" t="inlineStr">
        <is>
          <t xml:space="preserve">Bound - within authority</t>
        </is>
      </c>
      <c r="E242" s="48" t="inlineStr">
        <is>
          <t xml:space="preserve">New business</t>
        </is>
      </c>
      <c r="F242" s="46" t="inlineStr">
        <is>
          <t xml:space="preserve">B1234EXOTIC26</t>
        </is>
      </c>
      <c r="G242" s="33">
        <f>IF($A242="","",IF($C242="","",YEAR($C242)))</f>
      </c>
      <c r="H242" s="49">
        <v>2017</v>
      </c>
      <c r="I242" s="46" t="inlineStr">
        <is>
          <t xml:space="preserve">Bentley</t>
        </is>
      </c>
      <c r="J242" s="46" t="inlineStr">
        <is>
          <t xml:space="preserve">Continental GT</t>
        </is>
      </c>
      <c r="K242" s="46" t="inlineStr">
        <is>
          <t xml:space="preserve">K4JFNE1GEUGSD7HTW</t>
        </is>
      </c>
      <c r="L242" s="48" t="inlineStr">
        <is>
          <t xml:space="preserve">02 - Sports / GT</t>
        </is>
      </c>
      <c r="M242" s="50">
        <v>760000</v>
      </c>
      <c r="N242" s="48" t="inlineStr">
        <is>
          <t xml:space="preserve">Personal</t>
        </is>
      </c>
      <c r="O242" s="46" t="inlineStr">
        <is>
          <t xml:space="preserve">Personal - regular use</t>
        </is>
      </c>
      <c r="P242" s="46" t="inlineStr">
        <is>
          <t xml:space="preserve">Under 1,000</t>
        </is>
      </c>
      <c r="Q242" s="46" t="inlineStr">
        <is>
          <t xml:space="preserve">New York</t>
        </is>
      </c>
      <c r="R242" s="46" t="inlineStr">
        <is>
          <t xml:space="preserve">10022</t>
        </is>
      </c>
      <c r="S242" s="48" t="inlineStr">
        <is>
          <t xml:space="preserve">Tier 3 - Coastal wind (25-100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10489.36</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CANON-202602-004987</t>
        </is>
      </c>
      <c r="B243" s="30" t="inlineStr">
        <is>
          <t xml:space="preserve">Sunniva Ashcombe</t>
        </is>
      </c>
      <c r="C243" s="31">
        <v>46059</v>
      </c>
      <c r="D243" s="32" t="inlineStr">
        <is>
          <t xml:space="preserve">Bound - within authority</t>
        </is>
      </c>
      <c r="E243" s="32" t="inlineStr">
        <is>
          <t xml:space="preserve">New business</t>
        </is>
      </c>
      <c r="F243" s="30" t="inlineStr">
        <is>
          <t xml:space="preserve">B1234EXOTIC26</t>
        </is>
      </c>
      <c r="G243" s="33">
        <f>IF($A243="","",IF($C243="","",YEAR($C243)))</f>
      </c>
      <c r="H243" s="34">
        <v>2020</v>
      </c>
      <c r="I243" s="30" t="inlineStr">
        <is>
          <t xml:space="preserve">Lamborghini</t>
        </is>
      </c>
      <c r="J243" s="30" t="inlineStr">
        <is>
          <t xml:space="preserve">Huracan EVO</t>
        </is>
      </c>
      <c r="K243" s="30" t="inlineStr">
        <is>
          <t xml:space="preserve">3ZH1266HRTB88M081</t>
        </is>
      </c>
      <c r="L243" s="32" t="inlineStr">
        <is>
          <t xml:space="preserve">03 - Supercar</t>
        </is>
      </c>
      <c r="M243" s="35">
        <v>600000</v>
      </c>
      <c r="N243" s="32" t="inlineStr">
        <is>
          <t xml:space="preserve">Personal</t>
        </is>
      </c>
      <c r="O243" s="30" t="inlineStr">
        <is>
          <t xml:space="preserve">Personal - regular use</t>
        </is>
      </c>
      <c r="P243" s="30" t="inlineStr">
        <is>
          <t xml:space="preserve">Under 1,000</t>
        </is>
      </c>
      <c r="Q243" s="30" t="inlineStr">
        <is>
          <t xml:space="preserve">Oklahoma</t>
        </is>
      </c>
      <c r="R243" s="30" t="inlineStr">
        <is>
          <t xml:space="preserve">73102</t>
        </is>
      </c>
      <c r="S243" s="32" t="inlineStr">
        <is>
          <t xml:space="preserve">Severe convective - hail alley (high)</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11913.99</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CANON-202602-004988</t>
        </is>
      </c>
      <c r="B244" s="46" t="inlineStr">
        <is>
          <t xml:space="preserve">Priya Harrington</t>
        </is>
      </c>
      <c r="C244" s="47">
        <v>46076</v>
      </c>
      <c r="D244" s="48" t="inlineStr">
        <is>
          <t xml:space="preserve">Bound - within authority</t>
        </is>
      </c>
      <c r="E244" s="48" t="inlineStr">
        <is>
          <t xml:space="preserve">New business</t>
        </is>
      </c>
      <c r="F244" s="46" t="inlineStr">
        <is>
          <t xml:space="preserve">B1234EXOTIC26</t>
        </is>
      </c>
      <c r="G244" s="33">
        <f>IF($A244="","",IF($C244="","",YEAR($C244)))</f>
      </c>
      <c r="H244" s="49">
        <v>1959</v>
      </c>
      <c r="I244" s="46" t="inlineStr">
        <is>
          <t xml:space="preserve">Ferrari</t>
        </is>
      </c>
      <c r="J244" s="46" t="inlineStr">
        <is>
          <t xml:space="preserve">SF90 Stradale</t>
        </is>
      </c>
      <c r="K244" s="46" t="inlineStr">
        <is>
          <t xml:space="preserve">V63WVHDDK9AU3S35E</t>
        </is>
      </c>
      <c r="L244" s="48" t="inlineStr">
        <is>
          <t xml:space="preserve">03 - Supercar</t>
        </is>
      </c>
      <c r="M244" s="50">
        <v>910000</v>
      </c>
      <c r="N244" s="48" t="inlineStr">
        <is>
          <t xml:space="preserve">Personal</t>
        </is>
      </c>
      <c r="O244" s="46" t="inlineStr">
        <is>
          <t xml:space="preserve">Personal - regular use</t>
        </is>
      </c>
      <c r="P244" s="46" t="inlineStr">
        <is>
          <t xml:space="preserve">1,000 - 2,500</t>
        </is>
      </c>
      <c r="Q244" s="46" t="inlineStr">
        <is>
          <t xml:space="preserve">Florida</t>
        </is>
      </c>
      <c r="R244" s="46" t="inlineStr">
        <is>
          <t xml:space="preserve">33139</t>
        </is>
      </c>
      <c r="S244" s="48" t="inlineStr">
        <is>
          <t xml:space="preserve">Tier 2 - Coastal wind (1-25 miles)</t>
        </is>
      </c>
      <c r="T244" s="36">
        <f>IF($A244="","",IF($S244="","",IFERROR(INDEX('[1]natural catastrophe'!$D$6:$D$17,MATCH($S244,'[1]natural catastrophe'!$B$6:$B$17,0)),"?")))</f>
      </c>
      <c r="U244" s="46" t="inlineStr">
        <is>
          <t xml:space="preserve">2% of agreed value, minimum $10,000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20364.1</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CANON-202602-004989</t>
        </is>
      </c>
      <c r="B245" s="30" t="inlineStr">
        <is>
          <t xml:space="preserve">Wilhelmina Delacroix</t>
        </is>
      </c>
      <c r="C245" s="31">
        <v>46061</v>
      </c>
      <c r="D245" s="32" t="inlineStr">
        <is>
          <t xml:space="preserve">Bound - within authority</t>
        </is>
      </c>
      <c r="E245" s="32" t="inlineStr">
        <is>
          <t xml:space="preserve">New business</t>
        </is>
      </c>
      <c r="F245" s="30" t="inlineStr">
        <is>
          <t xml:space="preserve">B1234EXOTIC26</t>
        </is>
      </c>
      <c r="G245" s="33">
        <f>IF($A245="","",IF($C245="","",YEAR($C245)))</f>
      </c>
      <c r="H245" s="34">
        <v>2014</v>
      </c>
      <c r="I245" s="30" t="inlineStr">
        <is>
          <t xml:space="preserve">Porsche</t>
        </is>
      </c>
      <c r="J245" s="30" t="inlineStr">
        <is>
          <t xml:space="preserve">911 Turbo S</t>
        </is>
      </c>
      <c r="K245" s="30" t="inlineStr">
        <is>
          <t xml:space="preserve">2TB44N5WNCJJZ0B0Z</t>
        </is>
      </c>
      <c r="L245" s="32" t="inlineStr">
        <is>
          <t xml:space="preserve">02 - Sports / GT</t>
        </is>
      </c>
      <c r="M245" s="35">
        <v>230000</v>
      </c>
      <c r="N245" s="32" t="inlineStr">
        <is>
          <t xml:space="preserve">Personal</t>
        </is>
      </c>
      <c r="O245" s="30" t="inlineStr">
        <is>
          <t xml:space="preserve">Personal - regular use</t>
        </is>
      </c>
      <c r="P245" s="30" t="inlineStr">
        <is>
          <t xml:space="preserve">2,500 - 5,000</t>
        </is>
      </c>
      <c r="Q245" s="30" t="inlineStr">
        <is>
          <t xml:space="preserve">Oklahoma</t>
        </is>
      </c>
      <c r="R245" s="30" t="inlineStr">
        <is>
          <t xml:space="preserve">73102</t>
        </is>
      </c>
      <c r="S245" s="32" t="inlineStr">
        <is>
          <t xml:space="preserve">Severe convective - hail alley (high)</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4422.81</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CANON-202602-004991</t>
        </is>
      </c>
      <c r="B246" s="46" t="inlineStr">
        <is>
          <t xml:space="preserve">Leopold Harrington</t>
        </is>
      </c>
      <c r="C246" s="47">
        <v>46054</v>
      </c>
      <c r="D246" s="48" t="inlineStr">
        <is>
          <t xml:space="preserve">Bound - within authority</t>
        </is>
      </c>
      <c r="E246" s="48" t="inlineStr">
        <is>
          <t xml:space="preserve">New business</t>
        </is>
      </c>
      <c r="F246" s="46" t="inlineStr">
        <is>
          <t xml:space="preserve">B1234EXOTIC26</t>
        </is>
      </c>
      <c r="G246" s="33">
        <f>IF($A246="","",IF($C246="","",YEAR($C246)))</f>
      </c>
      <c r="H246" s="49">
        <v>2006</v>
      </c>
      <c r="I246" s="46" t="inlineStr">
        <is>
          <t xml:space="preserve">Maserati</t>
        </is>
      </c>
      <c r="J246" s="46" t="inlineStr">
        <is>
          <t xml:space="preserve">GranTurismo</t>
        </is>
      </c>
      <c r="K246" s="46" t="inlineStr">
        <is>
          <t xml:space="preserve">DVPPU4RC3V1DH3AC7</t>
        </is>
      </c>
      <c r="L246" s="48" t="inlineStr">
        <is>
          <t xml:space="preserve">02 - Sports / GT</t>
        </is>
      </c>
      <c r="M246" s="50">
        <v>755000</v>
      </c>
      <c r="N246" s="48" t="inlineStr">
        <is>
          <t xml:space="preserve">Personal</t>
        </is>
      </c>
      <c r="O246" s="46" t="inlineStr">
        <is>
          <t xml:space="preserve">Personal - regular use</t>
        </is>
      </c>
      <c r="P246" s="46" t="inlineStr">
        <is>
          <t xml:space="preserve">2,500 - 5,000</t>
        </is>
      </c>
      <c r="Q246" s="46" t="inlineStr">
        <is>
          <t xml:space="preserve">New Jersey</t>
        </is>
      </c>
      <c r="R246" s="46" t="inlineStr">
        <is>
          <t xml:space="preserve">07102</t>
        </is>
      </c>
      <c r="S246" s="48" t="inlineStr">
        <is>
          <t xml:space="preserve">Tier 3 - Coastal wind (25-100 miles)</t>
        </is>
      </c>
      <c r="T246" s="36">
        <f>IF($A246="","",IF($S246="","",IFERROR(INDEX('[1]natural catastrophe'!$D$6:$D$17,MATCH($S246,'[1]natural catastrophe'!$B$6:$B$17,0)),"?")))</f>
      </c>
      <c r="U246" s="46" t="inlineStr">
        <is>
          <t xml:space="preserve">2% of agreed value, minimum $10,000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7408.21</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CANON-202602-004992</t>
        </is>
      </c>
      <c r="B247" s="30" t="inlineStr">
        <is>
          <t xml:space="preserve">Sunniva Ashcombe</t>
        </is>
      </c>
      <c r="C247" s="31">
        <v>46080</v>
      </c>
      <c r="D247" s="32" t="inlineStr">
        <is>
          <t xml:space="preserve">Bound - within authority</t>
        </is>
      </c>
      <c r="E247" s="32" t="inlineStr">
        <is>
          <t xml:space="preserve">New business</t>
        </is>
      </c>
      <c r="F247" s="30" t="inlineStr">
        <is>
          <t xml:space="preserve">B1234EXOTIC26</t>
        </is>
      </c>
      <c r="G247" s="33">
        <f>IF($A247="","",IF($C247="","",YEAR($C247)))</f>
      </c>
      <c r="H247" s="34">
        <v>1965</v>
      </c>
      <c r="I247" s="30" t="inlineStr">
        <is>
          <t xml:space="preserve">Porsche</t>
        </is>
      </c>
      <c r="J247" s="30" t="inlineStr">
        <is>
          <t xml:space="preserve">911 Turbo S</t>
        </is>
      </c>
      <c r="K247" s="30" t="inlineStr">
        <is>
          <t xml:space="preserve">VFDWPBNMGD13PF7NY</t>
        </is>
      </c>
      <c r="L247" s="32" t="inlineStr">
        <is>
          <t xml:space="preserve">02 - Sports / GT</t>
        </is>
      </c>
      <c r="M247" s="35">
        <v>320000</v>
      </c>
      <c r="N247" s="32" t="inlineStr">
        <is>
          <t xml:space="preserve">Personal</t>
        </is>
      </c>
      <c r="O247" s="30" t="inlineStr">
        <is>
          <t xml:space="preserve">Personal - regular use</t>
        </is>
      </c>
      <c r="P247" s="30" t="inlineStr">
        <is>
          <t xml:space="preserve">2,500 - 5,000</t>
        </is>
      </c>
      <c r="Q247" s="30" t="inlineStr">
        <is>
          <t xml:space="preserve">Iowa</t>
        </is>
      </c>
      <c r="R247" s="30" t="inlineStr">
        <is>
          <t xml:space="preserve">50309</t>
        </is>
      </c>
      <c r="S247" s="32" t="inlineStr">
        <is>
          <t xml:space="preserve">Severe convective - hail alley (high)</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4379.41</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CANON-202602-004993</t>
        </is>
      </c>
      <c r="B248" s="46" t="inlineStr">
        <is>
          <t xml:space="preserve">Mireille Thistlewood</t>
        </is>
      </c>
      <c r="C248" s="47">
        <v>46062</v>
      </c>
      <c r="D248" s="48" t="inlineStr">
        <is>
          <t xml:space="preserve">Bound - within authority</t>
        </is>
      </c>
      <c r="E248" s="48" t="inlineStr">
        <is>
          <t xml:space="preserve">New business</t>
        </is>
      </c>
      <c r="F248" s="46" t="inlineStr">
        <is>
          <t xml:space="preserve">B1234EXOTIC26</t>
        </is>
      </c>
      <c r="G248" s="33">
        <f>IF($A248="","",IF($C248="","",YEAR($C248)))</f>
      </c>
      <c r="H248" s="49">
        <v>2020</v>
      </c>
      <c r="I248" s="46" t="inlineStr">
        <is>
          <t xml:space="preserve">Porsche</t>
        </is>
      </c>
      <c r="J248" s="46" t="inlineStr">
        <is>
          <t xml:space="preserve">911 Turbo S</t>
        </is>
      </c>
      <c r="K248" s="46" t="inlineStr">
        <is>
          <t xml:space="preserve">33235HE3FK7EJUTPV</t>
        </is>
      </c>
      <c r="L248" s="48" t="inlineStr">
        <is>
          <t xml:space="preserve">02 - Sports / GT</t>
        </is>
      </c>
      <c r="M248" s="50">
        <v>315000</v>
      </c>
      <c r="N248" s="48" t="inlineStr">
        <is>
          <t xml:space="preserve">Personal</t>
        </is>
      </c>
      <c r="O248" s="46" t="inlineStr">
        <is>
          <t xml:space="preserve">Personal - regular use</t>
        </is>
      </c>
      <c r="P248" s="46" t="inlineStr">
        <is>
          <t xml:space="preserve">2,500 - 5,000</t>
        </is>
      </c>
      <c r="Q248" s="46" t="inlineStr">
        <is>
          <t xml:space="preserve">Ohio</t>
        </is>
      </c>
      <c r="R248" s="46" t="inlineStr">
        <is>
          <t xml:space="preserve">43215</t>
        </is>
      </c>
      <c r="S248" s="48" t="inlineStr">
        <is>
          <t xml:space="preserve">Severe convective - hail / tornado (moderate)</t>
        </is>
      </c>
      <c r="T248" s="36">
        <f>IF($A248="","",IF($S248="","",IFERROR(INDEX('[1]natural catastrophe'!$D$6:$D$17,MATCH($S248,'[1]natural catastrophe'!$B$6:$B$17,0)),"?")))</f>
      </c>
      <c r="U248" s="46" t="inlineStr">
        <is>
          <t xml:space="preserve">$5,000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5447.51</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CANON-202602-004995</t>
        </is>
      </c>
      <c r="B249" s="30" t="inlineStr">
        <is>
          <t xml:space="preserve">Leopold Underwood</t>
        </is>
      </c>
      <c r="C249" s="31">
        <v>46068</v>
      </c>
      <c r="D249" s="32" t="inlineStr">
        <is>
          <t xml:space="preserve">Bound - within authority</t>
        </is>
      </c>
      <c r="E249" s="32" t="inlineStr">
        <is>
          <t xml:space="preserve">New business</t>
        </is>
      </c>
      <c r="F249" s="30" t="inlineStr">
        <is>
          <t xml:space="preserve">B1234EXOTIC26</t>
        </is>
      </c>
      <c r="G249" s="33">
        <f>IF($A249="","",IF($C249="","",YEAR($C249)))</f>
      </c>
      <c r="H249" s="34">
        <v>1961</v>
      </c>
      <c r="I249" s="30" t="inlineStr">
        <is>
          <t xml:space="preserve">Maserati</t>
        </is>
      </c>
      <c r="J249" s="30" t="inlineStr">
        <is>
          <t xml:space="preserve">GranTurismo</t>
        </is>
      </c>
      <c r="K249" s="30" t="inlineStr">
        <is>
          <t xml:space="preserve">KN7ZSABG36U8DUC8B</t>
        </is>
      </c>
      <c r="L249" s="32" t="inlineStr">
        <is>
          <t xml:space="preserve">02 - Sports / GT</t>
        </is>
      </c>
      <c r="M249" s="35">
        <v>355000</v>
      </c>
      <c r="N249" s="32" t="inlineStr">
        <is>
          <t xml:space="preserve">Personal</t>
        </is>
      </c>
      <c r="O249" s="30" t="inlineStr">
        <is>
          <t xml:space="preserve">Personal - regular use</t>
        </is>
      </c>
      <c r="P249" s="30" t="inlineStr">
        <is>
          <t xml:space="preserve">1,000 - 2,500</t>
        </is>
      </c>
      <c r="Q249" s="30" t="inlineStr">
        <is>
          <t xml:space="preserve">New York</t>
        </is>
      </c>
      <c r="R249" s="30" t="inlineStr">
        <is>
          <t xml:space="preserve">10022</t>
        </is>
      </c>
      <c r="S249" s="32" t="inlineStr">
        <is>
          <t xml:space="preserve">Tier 3 - Coastal wind (25-100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5653.42</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CANON-202602-004997</t>
        </is>
      </c>
      <c r="B250" s="46" t="inlineStr">
        <is>
          <t xml:space="preserve">Marisol Ashcombe</t>
        </is>
      </c>
      <c r="C250" s="47">
        <v>46058</v>
      </c>
      <c r="D250" s="48" t="inlineStr">
        <is>
          <t xml:space="preserve">Bound - within authority</t>
        </is>
      </c>
      <c r="E250" s="48" t="inlineStr">
        <is>
          <t xml:space="preserve">New business</t>
        </is>
      </c>
      <c r="F250" s="46" t="inlineStr">
        <is>
          <t xml:space="preserve">B1234EXOTIC26</t>
        </is>
      </c>
      <c r="G250" s="33">
        <f>IF($A250="","",IF($C250="","",YEAR($C250)))</f>
      </c>
      <c r="H250" s="49">
        <v>1969</v>
      </c>
      <c r="I250" s="46" t="inlineStr">
        <is>
          <t xml:space="preserve">Bentley</t>
        </is>
      </c>
      <c r="J250" s="46" t="inlineStr">
        <is>
          <t xml:space="preserve">4.5 Litre</t>
        </is>
      </c>
      <c r="K250" s="46" t="inlineStr">
        <is>
          <t xml:space="preserve">KSJNXBNPA0N946E3J</t>
        </is>
      </c>
      <c r="L250" s="48" t="inlineStr">
        <is>
          <t xml:space="preserve">07 - Post-War Classic (1946-1972)</t>
        </is>
      </c>
      <c r="M250" s="50">
        <v>365000</v>
      </c>
      <c r="N250" s="48" t="inlineStr">
        <is>
          <t xml:space="preserve">Personal</t>
        </is>
      </c>
      <c r="O250" s="46" t="inlineStr">
        <is>
          <t xml:space="preserve">Personal - regular use</t>
        </is>
      </c>
      <c r="P250" s="46" t="inlineStr">
        <is>
          <t xml:space="preserve">Under 1,000</t>
        </is>
      </c>
      <c r="Q250" s="46" t="inlineStr">
        <is>
          <t xml:space="preserve">Michigan</t>
        </is>
      </c>
      <c r="R250" s="46" t="inlineStr">
        <is>
          <t xml:space="preserve">48226</t>
        </is>
      </c>
      <c r="S250" s="48" t="inlineStr">
        <is>
          <t xml:space="preserve">Severe convective - hail / tornado (moderate)</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3941.72</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CANON-202602-004998</t>
        </is>
      </c>
      <c r="B251" s="30" t="inlineStr">
        <is>
          <t xml:space="preserve">Cassius Okonkwo</t>
        </is>
      </c>
      <c r="C251" s="31">
        <v>46081</v>
      </c>
      <c r="D251" s="32" t="inlineStr">
        <is>
          <t xml:space="preserve">Bound - within authority</t>
        </is>
      </c>
      <c r="E251" s="32" t="inlineStr">
        <is>
          <t xml:space="preserve">New business</t>
        </is>
      </c>
      <c r="F251" s="30" t="inlineStr">
        <is>
          <t xml:space="preserve">B1234EXOTIC26</t>
        </is>
      </c>
      <c r="G251" s="33">
        <f>IF($A251="","",IF($C251="","",YEAR($C251)))</f>
      </c>
      <c r="H251" s="34">
        <v>1987</v>
      </c>
      <c r="I251" s="30" t="inlineStr">
        <is>
          <t xml:space="preserve">Bugatti</t>
        </is>
      </c>
      <c r="J251" s="30" t="inlineStr">
        <is>
          <t xml:space="preserve">Type 57</t>
        </is>
      </c>
      <c r="K251" s="30" t="inlineStr">
        <is>
          <t xml:space="preserve">FCYEBC9PHF2RV3V3N</t>
        </is>
      </c>
      <c r="L251" s="32" t="inlineStr">
        <is>
          <t xml:space="preserve">08 - Modern Classic (1973-1999)</t>
        </is>
      </c>
      <c r="M251" s="35">
        <v>465000</v>
      </c>
      <c r="N251" s="32" t="inlineStr">
        <is>
          <t xml:space="preserve">Personal</t>
        </is>
      </c>
      <c r="O251" s="30" t="inlineStr">
        <is>
          <t xml:space="preserve">Personal - regular use</t>
        </is>
      </c>
      <c r="P251" s="30" t="inlineStr">
        <is>
          <t xml:space="preserve">1,000 - 2,500</t>
        </is>
      </c>
      <c r="Q251" s="30" t="inlineStr">
        <is>
          <t xml:space="preserve">Wisconsin</t>
        </is>
      </c>
      <c r="R251" s="30" t="inlineStr">
        <is>
          <t xml:space="preserve">53202</t>
        </is>
      </c>
      <c r="S251" s="32" t="inlineStr">
        <is>
          <t xml:space="preserve">Severe convective - hail / tornado (moderate)</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3887.73</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CANON-202602-005000</t>
        </is>
      </c>
      <c r="B252" s="46" t="inlineStr">
        <is>
          <t xml:space="preserve">Fitzgerald Castellanos</t>
        </is>
      </c>
      <c r="C252" s="47">
        <v>46056</v>
      </c>
      <c r="D252" s="48" t="inlineStr">
        <is>
          <t xml:space="preserve">Bound - within authority</t>
        </is>
      </c>
      <c r="E252" s="48" t="inlineStr">
        <is>
          <t xml:space="preserve">New business</t>
        </is>
      </c>
      <c r="F252" s="46" t="inlineStr">
        <is>
          <t xml:space="preserve">B1234EXOTIC26</t>
        </is>
      </c>
      <c r="G252" s="33">
        <f>IF($A252="","",IF($C252="","",YEAR($C252)))</f>
      </c>
      <c r="H252" s="49">
        <v>1970</v>
      </c>
      <c r="I252" s="46" t="inlineStr">
        <is>
          <t xml:space="preserve">Aston Martin</t>
        </is>
      </c>
      <c r="J252" s="46" t="inlineStr">
        <is>
          <t xml:space="preserve">DB12</t>
        </is>
      </c>
      <c r="K252" s="46" t="inlineStr">
        <is>
          <t xml:space="preserve">4CAP4H2Z6S5F0XSM6</t>
        </is>
      </c>
      <c r="L252" s="48" t="inlineStr">
        <is>
          <t xml:space="preserve">02 - Sports / GT</t>
        </is>
      </c>
      <c r="M252" s="50">
        <v>725000</v>
      </c>
      <c r="N252" s="48" t="inlineStr">
        <is>
          <t xml:space="preserve">Personal</t>
        </is>
      </c>
      <c r="O252" s="46" t="inlineStr">
        <is>
          <t xml:space="preserve">Personal - regular use</t>
        </is>
      </c>
      <c r="P252" s="46" t="inlineStr">
        <is>
          <t xml:space="preserve">1,000 - 2,500</t>
        </is>
      </c>
      <c r="Q252" s="46" t="inlineStr">
        <is>
          <t xml:space="preserve">Ohio</t>
        </is>
      </c>
      <c r="R252" s="46" t="inlineStr">
        <is>
          <t xml:space="preserve">43215</t>
        </is>
      </c>
      <c r="S252" s="48" t="inlineStr">
        <is>
          <t xml:space="preserve">Severe convective - hail / tornado (moderate)</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10866.21</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CANON-202602-005001</t>
        </is>
      </c>
      <c r="B253" s="30" t="inlineStr">
        <is>
          <t xml:space="preserve">Ramona Farkas</t>
        </is>
      </c>
      <c r="C253" s="31">
        <v>46072</v>
      </c>
      <c r="D253" s="32" t="inlineStr">
        <is>
          <t xml:space="preserve">Bound - within authority</t>
        </is>
      </c>
      <c r="E253" s="32" t="inlineStr">
        <is>
          <t xml:space="preserve">New business</t>
        </is>
      </c>
      <c r="F253" s="30" t="inlineStr">
        <is>
          <t xml:space="preserve">B1234EXOTIC26</t>
        </is>
      </c>
      <c r="G253" s="33">
        <f>IF($A253="","",IF($C253="","",YEAR($C253)))</f>
      </c>
      <c r="H253" s="34">
        <v>2003</v>
      </c>
      <c r="I253" s="30" t="inlineStr">
        <is>
          <t xml:space="preserve">BMW</t>
        </is>
      </c>
      <c r="J253" s="30" t="inlineStr">
        <is>
          <t xml:space="preserve">M8 Competition</t>
        </is>
      </c>
      <c r="K253" s="30" t="inlineStr">
        <is>
          <t xml:space="preserve">J0E3W862WLDVE0G03</t>
        </is>
      </c>
      <c r="L253" s="32" t="inlineStr">
        <is>
          <t xml:space="preserve">02 - Sports / GT</t>
        </is>
      </c>
      <c r="M253" s="35">
        <v>135000</v>
      </c>
      <c r="N253" s="32" t="inlineStr">
        <is>
          <t xml:space="preserve">Personal</t>
        </is>
      </c>
      <c r="O253" s="30" t="inlineStr">
        <is>
          <t xml:space="preserve">Personal - regular use</t>
        </is>
      </c>
      <c r="P253" s="30" t="inlineStr">
        <is>
          <t xml:space="preserve">2,500 - 5,000</t>
        </is>
      </c>
      <c r="Q253" s="30" t="inlineStr">
        <is>
          <t xml:space="preserve">North Dakota</t>
        </is>
      </c>
      <c r="R253" s="30" t="inlineStr">
        <is>
          <t xml:space="preserve">58501</t>
        </is>
      </c>
      <c r="S253" s="32" t="inlineStr">
        <is>
          <t xml:space="preserve">Severe convective - hail alley (high)</t>
        </is>
      </c>
      <c r="T253" s="36">
        <f>IF($A253="","",IF($S253="","",IFERROR(INDEX('[1]natural catastrophe'!$D$6:$D$17,MATCH($S253,'[1]natural catastrophe'!$B$6:$B$17,0)),"?")))</f>
      </c>
      <c r="U253" s="30" t="inlineStr">
        <is>
          <t xml:space="preserve">$5,000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2101.52</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CANON-202602-005002</t>
        </is>
      </c>
      <c r="B254" s="46" t="inlineStr">
        <is>
          <t xml:space="preserve">Everett Chattopadhyay</t>
        </is>
      </c>
      <c r="C254" s="47">
        <v>46073</v>
      </c>
      <c r="D254" s="48" t="inlineStr">
        <is>
          <t xml:space="preserve">Bound - within authority</t>
        </is>
      </c>
      <c r="E254" s="48" t="inlineStr">
        <is>
          <t xml:space="preserve">New business</t>
        </is>
      </c>
      <c r="F254" s="46" t="inlineStr">
        <is>
          <t xml:space="preserve">B1234EXOTIC26</t>
        </is>
      </c>
      <c r="G254" s="33">
        <f>IF($A254="","",IF($C254="","",YEAR($C254)))</f>
      </c>
      <c r="H254" s="49">
        <v>1985</v>
      </c>
      <c r="I254" s="46" t="inlineStr">
        <is>
          <t xml:space="preserve">Ferrari</t>
        </is>
      </c>
      <c r="J254" s="46" t="inlineStr">
        <is>
          <t xml:space="preserve">SF90 Stradale</t>
        </is>
      </c>
      <c r="K254" s="46" t="inlineStr">
        <is>
          <t xml:space="preserve">LTEJ585ANHF5MSCW6</t>
        </is>
      </c>
      <c r="L254" s="48" t="inlineStr">
        <is>
          <t xml:space="preserve">03 - Supercar</t>
        </is>
      </c>
      <c r="M254" s="50">
        <v>1620000</v>
      </c>
      <c r="N254" s="48" t="inlineStr">
        <is>
          <t xml:space="preserve">Personal</t>
        </is>
      </c>
      <c r="O254" s="46" t="inlineStr">
        <is>
          <t xml:space="preserve">Personal - regular use</t>
        </is>
      </c>
      <c r="P254" s="46" t="inlineStr">
        <is>
          <t xml:space="preserve">2,500 - 5,000</t>
        </is>
      </c>
      <c r="Q254" s="46" t="inlineStr">
        <is>
          <t xml:space="preserve">Washington</t>
        </is>
      </c>
      <c r="R254" s="46" t="inlineStr">
        <is>
          <t xml:space="preserve">98101</t>
        </is>
      </c>
      <c r="S254" s="48" t="inlineStr">
        <is>
          <t xml:space="preserve">Earthquake - high (CA, Cascadia, New Madrid)</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20638.97</v>
      </c>
      <c r="AC254" s="51">
        <v>0</v>
      </c>
      <c r="AD254" s="38">
        <f>IF(ISNUMBER($AB254),$AB254*(1+N($AC254)),"")</f>
      </c>
      <c r="AE254" s="50">
        <v>350</v>
      </c>
      <c r="AF254" s="50">
        <v>250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CANON-202602-005003</t>
        </is>
      </c>
      <c r="B255" s="30" t="inlineStr">
        <is>
          <t xml:space="preserve">Saoirse Thistlewood</t>
        </is>
      </c>
      <c r="C255" s="31">
        <v>46061</v>
      </c>
      <c r="D255" s="32" t="inlineStr">
        <is>
          <t xml:space="preserve">Bound - within authority</t>
        </is>
      </c>
      <c r="E255" s="32" t="inlineStr">
        <is>
          <t xml:space="preserve">New business</t>
        </is>
      </c>
      <c r="F255" s="30" t="inlineStr">
        <is>
          <t xml:space="preserve">B1234EXOTIC26</t>
        </is>
      </c>
      <c r="G255" s="33">
        <f>IF($A255="","",IF($C255="","",YEAR($C255)))</f>
      </c>
      <c r="H255" s="34">
        <v>1996</v>
      </c>
      <c r="I255" s="30" t="inlineStr">
        <is>
          <t xml:space="preserve">Mercedes-Benz</t>
        </is>
      </c>
      <c r="J255" s="30" t="inlineStr">
        <is>
          <t xml:space="preserve">AMG GT</t>
        </is>
      </c>
      <c r="K255" s="30" t="inlineStr">
        <is>
          <t xml:space="preserve">0DENUHCPCK0YYBVRF</t>
        </is>
      </c>
      <c r="L255" s="32" t="inlineStr">
        <is>
          <t xml:space="preserve">02 - Sports / GT</t>
        </is>
      </c>
      <c r="M255" s="35">
        <v>575000</v>
      </c>
      <c r="N255" s="32" t="inlineStr">
        <is>
          <t xml:space="preserve">Personal</t>
        </is>
      </c>
      <c r="O255" s="30" t="inlineStr">
        <is>
          <t xml:space="preserve">Personal - regular use</t>
        </is>
      </c>
      <c r="P255" s="30" t="inlineStr">
        <is>
          <t xml:space="preserve">Under 1,000</t>
        </is>
      </c>
      <c r="Q255" s="30" t="inlineStr">
        <is>
          <t xml:space="preserve">Utah</t>
        </is>
      </c>
      <c r="R255" s="30" t="inlineStr">
        <is>
          <t xml:space="preserve">84101</t>
        </is>
      </c>
      <c r="S255" s="32" t="inlineStr">
        <is>
          <t xml:space="preserve">Wildfire - WUI high hazard</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8370.03</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CANON-202602-005005</t>
        </is>
      </c>
      <c r="B256" s="46" t="inlineStr">
        <is>
          <t xml:space="preserve">Delphine Kingsford</t>
        </is>
      </c>
      <c r="C256" s="47">
        <v>46055</v>
      </c>
      <c r="D256" s="48" t="inlineStr">
        <is>
          <t xml:space="preserve">Bound - within authority</t>
        </is>
      </c>
      <c r="E256" s="48" t="inlineStr">
        <is>
          <t xml:space="preserve">New business</t>
        </is>
      </c>
      <c r="F256" s="46" t="inlineStr">
        <is>
          <t xml:space="preserve">B1234EXOTIC26</t>
        </is>
      </c>
      <c r="G256" s="33">
        <f>IF($A256="","",IF($C256="","",YEAR($C256)))</f>
      </c>
      <c r="H256" s="49">
        <v>1977</v>
      </c>
      <c r="I256" s="46" t="inlineStr">
        <is>
          <t xml:space="preserve">Alfa Romeo</t>
        </is>
      </c>
      <c r="J256" s="46" t="inlineStr">
        <is>
          <t xml:space="preserve">8C 2900</t>
        </is>
      </c>
      <c r="K256" s="46" t="inlineStr">
        <is>
          <t xml:space="preserve">3WGR9AVTU483RM22H</t>
        </is>
      </c>
      <c r="L256" s="48" t="inlineStr">
        <is>
          <t xml:space="preserve">08 - Modern Classic (1973-1999)</t>
        </is>
      </c>
      <c r="M256" s="50">
        <v>470000</v>
      </c>
      <c r="N256" s="48" t="inlineStr">
        <is>
          <t xml:space="preserve">Personal</t>
        </is>
      </c>
      <c r="O256" s="46" t="inlineStr">
        <is>
          <t xml:space="preserve">Personal - regular use</t>
        </is>
      </c>
      <c r="P256" s="46" t="inlineStr">
        <is>
          <t xml:space="preserve">1,000 - 2,500</t>
        </is>
      </c>
      <c r="Q256" s="46" t="inlineStr">
        <is>
          <t xml:space="preserve">California</t>
        </is>
      </c>
      <c r="R256" s="46" t="inlineStr">
        <is>
          <t xml:space="preserve">90012</t>
        </is>
      </c>
      <c r="S256" s="48" t="inlineStr">
        <is>
          <t xml:space="preserve">Earthquake - high (CA, Cascadia, New Madrid)</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4420.71</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CANON-202602-005006</t>
        </is>
      </c>
      <c r="B257" s="30" t="inlineStr">
        <is>
          <t xml:space="preserve">Desmond Castellanos</t>
        </is>
      </c>
      <c r="C257" s="31">
        <v>46073</v>
      </c>
      <c r="D257" s="32" t="inlineStr">
        <is>
          <t xml:space="preserve">Bound - within authority</t>
        </is>
      </c>
      <c r="E257" s="32" t="inlineStr">
        <is>
          <t xml:space="preserve">New business</t>
        </is>
      </c>
      <c r="F257" s="30" t="inlineStr">
        <is>
          <t xml:space="preserve">B1234EXOTIC26</t>
        </is>
      </c>
      <c r="G257" s="33">
        <f>IF($A257="","",IF($C257="","",YEAR($C257)))</f>
      </c>
      <c r="H257" s="34">
        <v>2017</v>
      </c>
      <c r="I257" s="30" t="inlineStr">
        <is>
          <t xml:space="preserve">Aston Martin</t>
        </is>
      </c>
      <c r="J257" s="30" t="inlineStr">
        <is>
          <t xml:space="preserve">DB12</t>
        </is>
      </c>
      <c r="K257" s="30" t="inlineStr">
        <is>
          <t xml:space="preserve">7SGCX09K5P4HA24S3</t>
        </is>
      </c>
      <c r="L257" s="32" t="inlineStr">
        <is>
          <t xml:space="preserve">02 - Sports / GT</t>
        </is>
      </c>
      <c r="M257" s="35">
        <v>465000</v>
      </c>
      <c r="N257" s="32" t="inlineStr">
        <is>
          <t xml:space="preserve">Personal</t>
        </is>
      </c>
      <c r="O257" s="30" t="inlineStr">
        <is>
          <t xml:space="preserve">Personal - regular use</t>
        </is>
      </c>
      <c r="P257" s="30" t="inlineStr">
        <is>
          <t xml:space="preserve">2,500 - 5,000</t>
        </is>
      </c>
      <c r="Q257" s="30" t="inlineStr">
        <is>
          <t xml:space="preserve">Iowa</t>
        </is>
      </c>
      <c r="R257" s="30" t="inlineStr">
        <is>
          <t xml:space="preserve">50309</t>
        </is>
      </c>
      <c r="S257" s="32" t="inlineStr">
        <is>
          <t xml:space="preserve">Severe convective - hail alley (high)</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6363.83</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CANON-202602-005007</t>
        </is>
      </c>
      <c r="B258" s="46" t="inlineStr">
        <is>
          <t xml:space="preserve">Aurelio Chattopadhyay</t>
        </is>
      </c>
      <c r="C258" s="47">
        <v>46072</v>
      </c>
      <c r="D258" s="48" t="inlineStr">
        <is>
          <t xml:space="preserve">Bound - within authority</t>
        </is>
      </c>
      <c r="E258" s="48" t="inlineStr">
        <is>
          <t xml:space="preserve">New business</t>
        </is>
      </c>
      <c r="F258" s="46" t="inlineStr">
        <is>
          <t xml:space="preserve">B1234EXOTIC26</t>
        </is>
      </c>
      <c r="G258" s="33">
        <f>IF($A258="","",IF($C258="","",YEAR($C258)))</f>
      </c>
      <c r="H258" s="49">
        <v>1979</v>
      </c>
      <c r="I258" s="46" t="inlineStr">
        <is>
          <t xml:space="preserve">Mercedes-Benz</t>
        </is>
      </c>
      <c r="J258" s="46" t="inlineStr">
        <is>
          <t xml:space="preserve">AMG GT</t>
        </is>
      </c>
      <c r="K258" s="46" t="inlineStr">
        <is>
          <t xml:space="preserve">B0U8N0GJG6MGHCASX</t>
        </is>
      </c>
      <c r="L258" s="48" t="inlineStr">
        <is>
          <t xml:space="preserve">02 - Sports / GT</t>
        </is>
      </c>
      <c r="M258" s="50">
        <v>655000</v>
      </c>
      <c r="N258" s="48" t="inlineStr">
        <is>
          <t xml:space="preserve">Personal</t>
        </is>
      </c>
      <c r="O258" s="46" t="inlineStr">
        <is>
          <t xml:space="preserve">Personal - regular use</t>
        </is>
      </c>
      <c r="P258" s="46" t="inlineStr">
        <is>
          <t xml:space="preserve">1,000 - 2,500</t>
        </is>
      </c>
      <c r="Q258" s="46" t="inlineStr">
        <is>
          <t xml:space="preserve">Massachusetts</t>
        </is>
      </c>
      <c r="R258" s="46" t="inlineStr">
        <is>
          <t xml:space="preserve">02108</t>
        </is>
      </c>
      <c r="S258" s="48" t="inlineStr">
        <is>
          <t xml:space="preserve">Tier 3 - Coastal wind (25-100 miles)</t>
        </is>
      </c>
      <c r="T258" s="36">
        <f>IF($A258="","",IF($S258="","",IFERROR(INDEX('[1]natural catastrophe'!$D$6:$D$17,MATCH($S258,'[1]natural catastrophe'!$B$6:$B$17,0)),"?")))</f>
      </c>
      <c r="U258" s="46" t="inlineStr">
        <is>
          <t xml:space="preserve">2% of agreed value, minimum $10,000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8828.28</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CANON-202602-005008</t>
        </is>
      </c>
      <c r="B259" s="30" t="inlineStr">
        <is>
          <t xml:space="preserve">Anouk Underwood</t>
        </is>
      </c>
      <c r="C259" s="31">
        <v>46067</v>
      </c>
      <c r="D259" s="32" t="inlineStr">
        <is>
          <t xml:space="preserve">Bound - within authority</t>
        </is>
      </c>
      <c r="E259" s="32" t="inlineStr">
        <is>
          <t xml:space="preserve">New business</t>
        </is>
      </c>
      <c r="F259" s="30" t="inlineStr">
        <is>
          <t xml:space="preserve">B1234EXOTIC26</t>
        </is>
      </c>
      <c r="G259" s="33">
        <f>IF($A259="","",IF($C259="","",YEAR($C259)))</f>
      </c>
      <c r="H259" s="34">
        <v>1972</v>
      </c>
      <c r="I259" s="30" t="inlineStr">
        <is>
          <t xml:space="preserve">Maserati</t>
        </is>
      </c>
      <c r="J259" s="30" t="inlineStr">
        <is>
          <t xml:space="preserve">GranTurismo</t>
        </is>
      </c>
      <c r="K259" s="30" t="inlineStr">
        <is>
          <t xml:space="preserve">3CWSAGFXVC36NX322</t>
        </is>
      </c>
      <c r="L259" s="32" t="inlineStr">
        <is>
          <t xml:space="preserve">02 - Sports / GT</t>
        </is>
      </c>
      <c r="M259" s="35">
        <v>735000</v>
      </c>
      <c r="N259" s="32" t="inlineStr">
        <is>
          <t xml:space="preserve">Personal</t>
        </is>
      </c>
      <c r="O259" s="30" t="inlineStr">
        <is>
          <t xml:space="preserve">Personal - regular use</t>
        </is>
      </c>
      <c r="P259" s="30" t="inlineStr">
        <is>
          <t xml:space="preserve">1,000 - 2,500</t>
        </is>
      </c>
      <c r="Q259" s="30" t="inlineStr">
        <is>
          <t xml:space="preserve">West Virginia</t>
        </is>
      </c>
      <c r="R259" s="30" t="inlineStr">
        <is>
          <t xml:space="preserve">25301</t>
        </is>
      </c>
      <c r="S259" s="32" t="inlineStr">
        <is>
          <t xml:space="preserve">Low hazard - inland benign</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10540.57</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CANON-202602-005009</t>
        </is>
      </c>
      <c r="B260" s="46" t="inlineStr">
        <is>
          <t xml:space="preserve">Lorenzo Larsson</t>
        </is>
      </c>
      <c r="C260" s="47">
        <v>46077</v>
      </c>
      <c r="D260" s="48" t="inlineStr">
        <is>
          <t xml:space="preserve">Bound - within authority</t>
        </is>
      </c>
      <c r="E260" s="48" t="inlineStr">
        <is>
          <t xml:space="preserve">New business</t>
        </is>
      </c>
      <c r="F260" s="46" t="inlineStr">
        <is>
          <t xml:space="preserve">B1234EXOTIC26</t>
        </is>
      </c>
      <c r="G260" s="33">
        <f>IF($A260="","",IF($C260="","",YEAR($C260)))</f>
      </c>
      <c r="H260" s="49">
        <v>2018</v>
      </c>
      <c r="I260" s="46" t="inlineStr">
        <is>
          <t xml:space="preserve">Bentley</t>
        </is>
      </c>
      <c r="J260" s="46" t="inlineStr">
        <is>
          <t xml:space="preserve">Continental GT</t>
        </is>
      </c>
      <c r="K260" s="46" t="inlineStr">
        <is>
          <t xml:space="preserve">NBGWRE1XBJ5DM6LVF</t>
        </is>
      </c>
      <c r="L260" s="48" t="inlineStr">
        <is>
          <t xml:space="preserve">02 - Sports / GT</t>
        </is>
      </c>
      <c r="M260" s="50">
        <v>850000</v>
      </c>
      <c r="N260" s="48" t="inlineStr">
        <is>
          <t xml:space="preserve">Personal</t>
        </is>
      </c>
      <c r="O260" s="46" t="inlineStr">
        <is>
          <t xml:space="preserve">Personal - regular use</t>
        </is>
      </c>
      <c r="P260" s="46" t="inlineStr">
        <is>
          <t xml:space="preserve">2,500 - 5,000</t>
        </is>
      </c>
      <c r="Q260" s="46" t="inlineStr">
        <is>
          <t xml:space="preserve">New Hampshire</t>
        </is>
      </c>
      <c r="R260" s="46" t="inlineStr">
        <is>
          <t xml:space="preserve">03301</t>
        </is>
      </c>
      <c r="S260" s="48" t="inlineStr">
        <is>
          <t xml:space="preserve">Tier 3 - Coastal wind (25-100 miles)</t>
        </is>
      </c>
      <c r="T260" s="36">
        <f>IF($A260="","",IF($S260="","",IFERROR(INDEX('[1]natural catastrophe'!$D$6:$D$17,MATCH($S260,'[1]natural catastrophe'!$B$6:$B$17,0)),"?")))</f>
      </c>
      <c r="U260" s="46" t="inlineStr">
        <is>
          <t xml:space="preserve">2% of agreed value, minimum $10,000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9531.86</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CANON-202602-005010</t>
        </is>
      </c>
      <c r="B261" s="30" t="inlineStr">
        <is>
          <t xml:space="preserve">Everett Thistlewood</t>
        </is>
      </c>
      <c r="C261" s="31">
        <v>46070</v>
      </c>
      <c r="D261" s="32" t="inlineStr">
        <is>
          <t xml:space="preserve">Bound - within authority</t>
        </is>
      </c>
      <c r="E261" s="32" t="inlineStr">
        <is>
          <t xml:space="preserve">New business</t>
        </is>
      </c>
      <c r="F261" s="30" t="inlineStr">
        <is>
          <t xml:space="preserve">B1234EXOTIC26</t>
        </is>
      </c>
      <c r="G261" s="33">
        <f>IF($A261="","",IF($C261="","",YEAR($C261)))</f>
      </c>
      <c r="H261" s="34">
        <v>2007</v>
      </c>
      <c r="I261" s="30" t="inlineStr">
        <is>
          <t xml:space="preserve">Singer</t>
        </is>
      </c>
      <c r="J261" s="30" t="inlineStr">
        <is>
          <t xml:space="preserve">911 Reimagined</t>
        </is>
      </c>
      <c r="K261" s="30" t="inlineStr">
        <is>
          <t xml:space="preserve">NJ4YPYYY6BB8LS7TV</t>
        </is>
      </c>
      <c r="L261" s="32" t="inlineStr">
        <is>
          <t xml:space="preserve">11 - Restomod / Coachbuilt / Bespoke</t>
        </is>
      </c>
      <c r="M261" s="35">
        <v>350000</v>
      </c>
      <c r="N261" s="32" t="inlineStr">
        <is>
          <t xml:space="preserve">Personal</t>
        </is>
      </c>
      <c r="O261" s="30" t="inlineStr">
        <is>
          <t xml:space="preserve">Personal - regular use</t>
        </is>
      </c>
      <c r="P261" s="30" t="inlineStr">
        <is>
          <t xml:space="preserve">Under 1,000</t>
        </is>
      </c>
      <c r="Q261" s="30" t="inlineStr">
        <is>
          <t xml:space="preserve">Mississippi</t>
        </is>
      </c>
      <c r="R261" s="30" t="inlineStr">
        <is>
          <t xml:space="preserve">39201</t>
        </is>
      </c>
      <c r="S261" s="32" t="inlineStr">
        <is>
          <t xml:space="preserve">Tier 2 - Coastal wind (1-25 miles)</t>
        </is>
      </c>
      <c r="T261" s="36">
        <f>IF($A261="","",IF($S261="","",IFERROR(INDEX('[1]natural catastrophe'!$D$6:$D$17,MATCH($S261,'[1]natural catastrophe'!$B$6:$B$17,0)),"?")))</f>
      </c>
      <c r="U261" s="30" t="inlineStr">
        <is>
          <t xml:space="preserve">2% of agreed value, minimum $10,000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6080.08</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CANON-202602-005011</t>
        </is>
      </c>
      <c r="B262" s="46" t="inlineStr">
        <is>
          <t xml:space="preserve">Priya Underwood</t>
        </is>
      </c>
      <c r="C262" s="47">
        <v>46058</v>
      </c>
      <c r="D262" s="48" t="inlineStr">
        <is>
          <t xml:space="preserve">Bound - within authority</t>
        </is>
      </c>
      <c r="E262" s="48" t="inlineStr">
        <is>
          <t xml:space="preserve">New business</t>
        </is>
      </c>
      <c r="F262" s="46" t="inlineStr">
        <is>
          <t xml:space="preserve">B1234EXOTIC26</t>
        </is>
      </c>
      <c r="G262" s="33">
        <f>IF($A262="","",IF($C262="","",YEAR($C262)))</f>
      </c>
      <c r="H262" s="49">
        <v>1993</v>
      </c>
      <c r="I262" s="46" t="inlineStr">
        <is>
          <t xml:space="preserve">Bentley</t>
        </is>
      </c>
      <c r="J262" s="46" t="inlineStr">
        <is>
          <t xml:space="preserve">Continental GT</t>
        </is>
      </c>
      <c r="K262" s="46" t="inlineStr">
        <is>
          <t xml:space="preserve">EBNKFTEDU3MVKDEKM</t>
        </is>
      </c>
      <c r="L262" s="48" t="inlineStr">
        <is>
          <t xml:space="preserve">02 - Sports / GT</t>
        </is>
      </c>
      <c r="M262" s="50">
        <v>320000</v>
      </c>
      <c r="N262" s="48" t="inlineStr">
        <is>
          <t xml:space="preserve">Personal</t>
        </is>
      </c>
      <c r="O262" s="46" t="inlineStr">
        <is>
          <t xml:space="preserve">Personal - regular use</t>
        </is>
      </c>
      <c r="P262" s="46" t="inlineStr">
        <is>
          <t xml:space="preserve">1,000 - 2,500</t>
        </is>
      </c>
      <c r="Q262" s="46" t="inlineStr">
        <is>
          <t xml:space="preserve">Virginia</t>
        </is>
      </c>
      <c r="R262" s="46" t="inlineStr">
        <is>
          <t xml:space="preserve">23219</t>
        </is>
      </c>
      <c r="S262" s="48" t="inlineStr">
        <is>
          <t xml:space="preserve">Tier 3 - Coastal wind (25-100 miles)</t>
        </is>
      </c>
      <c r="T262" s="36">
        <f>IF($A262="","",IF($S262="","",IFERROR(INDEX('[1]natural catastrophe'!$D$6:$D$17,MATCH($S262,'[1]natural catastrophe'!$B$6:$B$17,0)),"?")))</f>
      </c>
      <c r="U262" s="46" t="inlineStr">
        <is>
          <t xml:space="preserve">2% of agreed value, minimum $10,000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4339.6</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CANON-202602-005012</t>
        </is>
      </c>
      <c r="B263" s="30" t="inlineStr">
        <is>
          <t xml:space="preserve">Sunniva Fairweather</t>
        </is>
      </c>
      <c r="C263" s="31">
        <v>46075</v>
      </c>
      <c r="D263" s="32" t="inlineStr">
        <is>
          <t xml:space="preserve">Bound - within authority</t>
        </is>
      </c>
      <c r="E263" s="32" t="inlineStr">
        <is>
          <t xml:space="preserve">New business</t>
        </is>
      </c>
      <c r="F263" s="30" t="inlineStr">
        <is>
          <t xml:space="preserve">B1234EXOTIC26</t>
        </is>
      </c>
      <c r="G263" s="33">
        <f>IF($A263="","",IF($C263="","",YEAR($C263)))</f>
      </c>
      <c r="H263" s="34">
        <v>1962</v>
      </c>
      <c r="I263" s="30" t="inlineStr">
        <is>
          <t xml:space="preserve">BMW</t>
        </is>
      </c>
      <c r="J263" s="30" t="inlineStr">
        <is>
          <t xml:space="preserve">M8 Competition</t>
        </is>
      </c>
      <c r="K263" s="30" t="inlineStr">
        <is>
          <t xml:space="preserve">2BMV4L1UV89NZX2PT</t>
        </is>
      </c>
      <c r="L263" s="32" t="inlineStr">
        <is>
          <t xml:space="preserve">02 - Sports / GT</t>
        </is>
      </c>
      <c r="M263" s="35">
        <v>495000</v>
      </c>
      <c r="N263" s="32" t="inlineStr">
        <is>
          <t xml:space="preserve">Personal</t>
        </is>
      </c>
      <c r="O263" s="30" t="inlineStr">
        <is>
          <t xml:space="preserve">Personal - regular use</t>
        </is>
      </c>
      <c r="P263" s="30" t="inlineStr">
        <is>
          <t xml:space="preserve">1,000 - 2,500</t>
        </is>
      </c>
      <c r="Q263" s="30" t="inlineStr">
        <is>
          <t xml:space="preserve">New Mexico</t>
        </is>
      </c>
      <c r="R263" s="30" t="inlineStr">
        <is>
          <t xml:space="preserve">87501</t>
        </is>
      </c>
      <c r="S263" s="32" t="inlineStr">
        <is>
          <t xml:space="preserve">Wildfire - WUI high hazard</t>
        </is>
      </c>
      <c r="T263" s="36">
        <f>IF($A263="","",IF($S263="","",IFERROR(INDEX('[1]natural catastrophe'!$D$6:$D$17,MATCH($S263,'[1]natural catastrophe'!$B$6:$B$17,0)),"?")))</f>
      </c>
      <c r="U263" s="30" t="inlineStr">
        <is>
          <t xml:space="preserve">$5,000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7882.94</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CANON-202602-005014</t>
        </is>
      </c>
      <c r="B264" s="46" t="inlineStr">
        <is>
          <t xml:space="preserve">Aurelio Vandermeer</t>
        </is>
      </c>
      <c r="C264" s="47">
        <v>46073</v>
      </c>
      <c r="D264" s="48" t="inlineStr">
        <is>
          <t xml:space="preserve">Bound - within authority</t>
        </is>
      </c>
      <c r="E264" s="48" t="inlineStr">
        <is>
          <t xml:space="preserve">New business</t>
        </is>
      </c>
      <c r="F264" s="46" t="inlineStr">
        <is>
          <t xml:space="preserve">B1234EXOTIC26</t>
        </is>
      </c>
      <c r="G264" s="33">
        <f>IF($A264="","",IF($C264="","",YEAR($C264)))</f>
      </c>
      <c r="H264" s="49">
        <v>2012</v>
      </c>
      <c r="I264" s="46" t="inlineStr">
        <is>
          <t xml:space="preserve">Porsche</t>
        </is>
      </c>
      <c r="J264" s="46" t="inlineStr">
        <is>
          <t xml:space="preserve">911 Turbo S</t>
        </is>
      </c>
      <c r="K264" s="46" t="inlineStr">
        <is>
          <t xml:space="preserve">X58ZCEJLYWNWA9564</t>
        </is>
      </c>
      <c r="L264" s="48" t="inlineStr">
        <is>
          <t xml:space="preserve">02 - Sports / GT</t>
        </is>
      </c>
      <c r="M264" s="50">
        <v>740000</v>
      </c>
      <c r="N264" s="48" t="inlineStr">
        <is>
          <t xml:space="preserve">Personal</t>
        </is>
      </c>
      <c r="O264" s="46" t="inlineStr">
        <is>
          <t xml:space="preserve">Personal - regular use</t>
        </is>
      </c>
      <c r="P264" s="46" t="inlineStr">
        <is>
          <t xml:space="preserve">Under 1,000</t>
        </is>
      </c>
      <c r="Q264" s="46" t="inlineStr">
        <is>
          <t xml:space="preserve">Kansas</t>
        </is>
      </c>
      <c r="R264" s="46" t="inlineStr">
        <is>
          <t xml:space="preserve">66603</t>
        </is>
      </c>
      <c r="S264" s="48" t="inlineStr">
        <is>
          <t xml:space="preserve">Severe convective - hail alley (high)</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7739.78</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CANON-202602-005015</t>
        </is>
      </c>
      <c r="B265" s="30" t="inlineStr">
        <is>
          <t xml:space="preserve">Priya Delacroix</t>
        </is>
      </c>
      <c r="C265" s="31">
        <v>46060</v>
      </c>
      <c r="D265" s="32" t="inlineStr">
        <is>
          <t xml:space="preserve">Bound - within authority</t>
        </is>
      </c>
      <c r="E265" s="32" t="inlineStr">
        <is>
          <t xml:space="preserve">New business</t>
        </is>
      </c>
      <c r="F265" s="30" t="inlineStr">
        <is>
          <t xml:space="preserve">B1234EXOTIC26</t>
        </is>
      </c>
      <c r="G265" s="33">
        <f>IF($A265="","",IF($C265="","",YEAR($C265)))</f>
      </c>
      <c r="H265" s="34">
        <v>2009</v>
      </c>
      <c r="I265" s="30" t="inlineStr">
        <is>
          <t xml:space="preserve">McLaren</t>
        </is>
      </c>
      <c r="J265" s="30" t="inlineStr">
        <is>
          <t xml:space="preserve">750S</t>
        </is>
      </c>
      <c r="K265" s="30" t="inlineStr">
        <is>
          <t xml:space="preserve">MKEN6L7XSTXUB2AAT</t>
        </is>
      </c>
      <c r="L265" s="32" t="inlineStr">
        <is>
          <t xml:space="preserve">03 - Supercar</t>
        </is>
      </c>
      <c r="M265" s="35">
        <v>885000</v>
      </c>
      <c r="N265" s="32" t="inlineStr">
        <is>
          <t xml:space="preserve">Personal</t>
        </is>
      </c>
      <c r="O265" s="30" t="inlineStr">
        <is>
          <t xml:space="preserve">Personal - regular use</t>
        </is>
      </c>
      <c r="P265" s="30" t="inlineStr">
        <is>
          <t xml:space="preserve">1,000 - 2,500</t>
        </is>
      </c>
      <c r="Q265" s="30" t="inlineStr">
        <is>
          <t xml:space="preserve">Oklahoma</t>
        </is>
      </c>
      <c r="R265" s="30" t="inlineStr">
        <is>
          <t xml:space="preserve">73102</t>
        </is>
      </c>
      <c r="S265" s="32" t="inlineStr">
        <is>
          <t xml:space="preserve">Severe convective - hail alley (high)</t>
        </is>
      </c>
      <c r="T265" s="36">
        <f>IF($A265="","",IF($S265="","",IFERROR(INDEX('[1]natural catastrophe'!$D$6:$D$17,MATCH($S265,'[1]natural catastrophe'!$B$6:$B$17,0)),"?")))</f>
      </c>
      <c r="U265" s="30" t="inlineStr">
        <is>
          <t xml:space="preserve">$5,000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17573.13</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CANON-202602-005017</t>
        </is>
      </c>
      <c r="B266" s="46" t="inlineStr">
        <is>
          <t xml:space="preserve">Emiliano Larsson</t>
        </is>
      </c>
      <c r="C266" s="47">
        <v>46068</v>
      </c>
      <c r="D266" s="48" t="inlineStr">
        <is>
          <t xml:space="preserve">Bound - within authority</t>
        </is>
      </c>
      <c r="E266" s="48" t="inlineStr">
        <is>
          <t xml:space="preserve">New business</t>
        </is>
      </c>
      <c r="F266" s="46" t="inlineStr">
        <is>
          <t xml:space="preserve">B1234EXOTIC26</t>
        </is>
      </c>
      <c r="G266" s="33">
        <f>IF($A266="","",IF($C266="","",YEAR($C266)))</f>
      </c>
      <c r="H266" s="49">
        <v>2005</v>
      </c>
      <c r="I266" s="46" t="inlineStr">
        <is>
          <t xml:space="preserve">Aston Martin</t>
        </is>
      </c>
      <c r="J266" s="46" t="inlineStr">
        <is>
          <t xml:space="preserve">DB5</t>
        </is>
      </c>
      <c r="K266" s="46" t="inlineStr">
        <is>
          <t xml:space="preserve">075BBK2T875JRP56F</t>
        </is>
      </c>
      <c r="L266" s="48" t="inlineStr">
        <is>
          <t xml:space="preserve">09 - Youngtimer / Collectible (2000-2010)</t>
        </is>
      </c>
      <c r="M266" s="50">
        <v>630000</v>
      </c>
      <c r="N266" s="48" t="inlineStr">
        <is>
          <t xml:space="preserve">Personal</t>
        </is>
      </c>
      <c r="O266" s="46" t="inlineStr">
        <is>
          <t xml:space="preserve">Personal - regular use</t>
        </is>
      </c>
      <c r="P266" s="46" t="inlineStr">
        <is>
          <t xml:space="preserve">Under 1,000</t>
        </is>
      </c>
      <c r="Q266" s="46" t="inlineStr">
        <is>
          <t xml:space="preserve">Arizona</t>
        </is>
      </c>
      <c r="R266" s="46" t="inlineStr">
        <is>
          <t xml:space="preserve">85001</t>
        </is>
      </c>
      <c r="S266" s="48" t="inlineStr">
        <is>
          <t xml:space="preserve">Wildfire - WUI high hazard</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4538.81</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CANON-202602-005018</t>
        </is>
      </c>
      <c r="B267" s="30" t="inlineStr">
        <is>
          <t xml:space="preserve">Wilhelmina Fairweather</t>
        </is>
      </c>
      <c r="C267" s="31">
        <v>46057</v>
      </c>
      <c r="D267" s="32" t="inlineStr">
        <is>
          <t xml:space="preserve">Bound - within authority</t>
        </is>
      </c>
      <c r="E267" s="32" t="inlineStr">
        <is>
          <t xml:space="preserve">New business</t>
        </is>
      </c>
      <c r="F267" s="30" t="inlineStr">
        <is>
          <t xml:space="preserve">B1234EXOTIC26</t>
        </is>
      </c>
      <c r="G267" s="33">
        <f>IF($A267="","",IF($C267="","",YEAR($C267)))</f>
      </c>
      <c r="H267" s="34">
        <v>2006</v>
      </c>
      <c r="I267" s="30" t="inlineStr">
        <is>
          <t xml:space="preserve">Porsche</t>
        </is>
      </c>
      <c r="J267" s="30" t="inlineStr">
        <is>
          <t xml:space="preserve">911 Turbo S</t>
        </is>
      </c>
      <c r="K267" s="30" t="inlineStr">
        <is>
          <t xml:space="preserve">2KC4TLR3DPARXKPU9</t>
        </is>
      </c>
      <c r="L267" s="32" t="inlineStr">
        <is>
          <t xml:space="preserve">02 - Sports / GT</t>
        </is>
      </c>
      <c r="M267" s="35">
        <v>480000</v>
      </c>
      <c r="N267" s="32" t="inlineStr">
        <is>
          <t xml:space="preserve">Personal</t>
        </is>
      </c>
      <c r="O267" s="30" t="inlineStr">
        <is>
          <t xml:space="preserve">Personal - regular use</t>
        </is>
      </c>
      <c r="P267" s="30" t="inlineStr">
        <is>
          <t xml:space="preserve">2,500 - 5,000</t>
        </is>
      </c>
      <c r="Q267" s="30" t="inlineStr">
        <is>
          <t xml:space="preserve">Texas</t>
        </is>
      </c>
      <c r="R267" s="30" t="inlineStr">
        <is>
          <t xml:space="preserve">75201</t>
        </is>
      </c>
      <c r="S267" s="32" t="inlineStr">
        <is>
          <t xml:space="preserve">Tier 2 - Coastal wind (1-25 miles)</t>
        </is>
      </c>
      <c r="T267" s="36">
        <f>IF($A267="","",IF($S267="","",IFERROR(INDEX('[1]natural catastrophe'!$D$6:$D$17,MATCH($S267,'[1]natural catastrophe'!$B$6:$B$17,0)),"?")))</f>
      </c>
      <c r="U267" s="30" t="inlineStr">
        <is>
          <t xml:space="preserve">2% of agreed value, minimum $10,000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6867.71</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CANON-202602-005019</t>
        </is>
      </c>
      <c r="B268" s="46" t="inlineStr">
        <is>
          <t xml:space="preserve">Saoirse Vasquez</t>
        </is>
      </c>
      <c r="C268" s="47">
        <v>46070</v>
      </c>
      <c r="D268" s="48" t="inlineStr">
        <is>
          <t xml:space="preserve">Bound - within authority</t>
        </is>
      </c>
      <c r="E268" s="48" t="inlineStr">
        <is>
          <t xml:space="preserve">New business</t>
        </is>
      </c>
      <c r="F268" s="46" t="inlineStr">
        <is>
          <t xml:space="preserve">B1234EXOTIC26</t>
        </is>
      </c>
      <c r="G268" s="33">
        <f>IF($A268="","",IF($C268="","",YEAR($C268)))</f>
      </c>
      <c r="H268" s="49">
        <v>1983</v>
      </c>
      <c r="I268" s="46" t="inlineStr">
        <is>
          <t xml:space="preserve">Maserati</t>
        </is>
      </c>
      <c r="J268" s="46" t="inlineStr">
        <is>
          <t xml:space="preserve">GranTurismo</t>
        </is>
      </c>
      <c r="K268" s="46" t="inlineStr">
        <is>
          <t xml:space="preserve">XRSVHZE7JD6ZL2E9M</t>
        </is>
      </c>
      <c r="L268" s="48" t="inlineStr">
        <is>
          <t xml:space="preserve">02 - Sports / GT</t>
        </is>
      </c>
      <c r="M268" s="50">
        <v>425000</v>
      </c>
      <c r="N268" s="48" t="inlineStr">
        <is>
          <t xml:space="preserve">Personal</t>
        </is>
      </c>
      <c r="O268" s="46" t="inlineStr">
        <is>
          <t xml:space="preserve">Personal - regular use</t>
        </is>
      </c>
      <c r="P268" s="46" t="inlineStr">
        <is>
          <t xml:space="preserve">2,500 - 5,000</t>
        </is>
      </c>
      <c r="Q268" s="46" t="inlineStr">
        <is>
          <t xml:space="preserve">Utah</t>
        </is>
      </c>
      <c r="R268" s="46" t="inlineStr">
        <is>
          <t xml:space="preserve">84101</t>
        </is>
      </c>
      <c r="S268" s="48" t="inlineStr">
        <is>
          <t xml:space="preserve">Wildfire - WUI high hazard</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7138.31</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CANON-202602-005020</t>
        </is>
      </c>
      <c r="B269" s="30" t="inlineStr">
        <is>
          <t xml:space="preserve">Fenwick Blackwood</t>
        </is>
      </c>
      <c r="C269" s="31">
        <v>46072</v>
      </c>
      <c r="D269" s="32" t="inlineStr">
        <is>
          <t xml:space="preserve">Bound - within authority</t>
        </is>
      </c>
      <c r="E269" s="32" t="inlineStr">
        <is>
          <t xml:space="preserve">New business</t>
        </is>
      </c>
      <c r="F269" s="30" t="inlineStr">
        <is>
          <t xml:space="preserve">B1234EXOTIC26</t>
        </is>
      </c>
      <c r="G269" s="33">
        <f>IF($A269="","",IF($C269="","",YEAR($C269)))</f>
      </c>
      <c r="H269" s="34">
        <v>1983</v>
      </c>
      <c r="I269" s="30" t="inlineStr">
        <is>
          <t xml:space="preserve">BMW</t>
        </is>
      </c>
      <c r="J269" s="30" t="inlineStr">
        <is>
          <t xml:space="preserve">M8 Competition</t>
        </is>
      </c>
      <c r="K269" s="30" t="inlineStr">
        <is>
          <t xml:space="preserve">59VS3EUZFMC92FGTT</t>
        </is>
      </c>
      <c r="L269" s="32" t="inlineStr">
        <is>
          <t xml:space="preserve">02 - Sports / GT</t>
        </is>
      </c>
      <c r="M269" s="35">
        <v>180000</v>
      </c>
      <c r="N269" s="32" t="inlineStr">
        <is>
          <t xml:space="preserve">Personal</t>
        </is>
      </c>
      <c r="O269" s="30" t="inlineStr">
        <is>
          <t xml:space="preserve">Personal - regular use</t>
        </is>
      </c>
      <c r="P269" s="30" t="inlineStr">
        <is>
          <t xml:space="preserve">Under 1,000</t>
        </is>
      </c>
      <c r="Q269" s="30" t="inlineStr">
        <is>
          <t xml:space="preserve">Ohio</t>
        </is>
      </c>
      <c r="R269" s="30" t="inlineStr">
        <is>
          <t xml:space="preserve">43215</t>
        </is>
      </c>
      <c r="S269" s="32" t="inlineStr">
        <is>
          <t xml:space="preserve">Severe convective - hail / tornado (moderate)</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3818.44</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CANON-202602-005021</t>
        </is>
      </c>
      <c r="B270" s="46" t="inlineStr">
        <is>
          <t xml:space="preserve">Callum Underwood</t>
        </is>
      </c>
      <c r="C270" s="47">
        <v>46074</v>
      </c>
      <c r="D270" s="48" t="inlineStr">
        <is>
          <t xml:space="preserve">Bound - within authority</t>
        </is>
      </c>
      <c r="E270" s="48" t="inlineStr">
        <is>
          <t xml:space="preserve">New business</t>
        </is>
      </c>
      <c r="F270" s="46" t="inlineStr">
        <is>
          <t xml:space="preserve">B1234EXOTIC26</t>
        </is>
      </c>
      <c r="G270" s="33">
        <f>IF($A270="","",IF($C270="","",YEAR($C270)))</f>
      </c>
      <c r="H270" s="49">
        <v>1985</v>
      </c>
      <c r="I270" s="46" t="inlineStr">
        <is>
          <t xml:space="preserve">Ferrari</t>
        </is>
      </c>
      <c r="J270" s="46" t="inlineStr">
        <is>
          <t xml:space="preserve">SF90 Stradale</t>
        </is>
      </c>
      <c r="K270" s="46" t="inlineStr">
        <is>
          <t xml:space="preserve">L5C827JJPGBACEFD1</t>
        </is>
      </c>
      <c r="L270" s="48" t="inlineStr">
        <is>
          <t xml:space="preserve">03 - Supercar</t>
        </is>
      </c>
      <c r="M270" s="50">
        <v>350000</v>
      </c>
      <c r="N270" s="48" t="inlineStr">
        <is>
          <t xml:space="preserve">Personal</t>
        </is>
      </c>
      <c r="O270" s="46" t="inlineStr">
        <is>
          <t xml:space="preserve">Personal - regular use</t>
        </is>
      </c>
      <c r="P270" s="46" t="inlineStr">
        <is>
          <t xml:space="preserve">1,000 - 2,500</t>
        </is>
      </c>
      <c r="Q270" s="46" t="inlineStr">
        <is>
          <t xml:space="preserve">Pennsylvania</t>
        </is>
      </c>
      <c r="R270" s="46" t="inlineStr">
        <is>
          <t xml:space="preserve">19103</t>
        </is>
      </c>
      <c r="S270" s="48" t="inlineStr">
        <is>
          <t xml:space="preserve">Low hazard - inland benign</t>
        </is>
      </c>
      <c r="T270" s="36">
        <f>IF($A270="","",IF($S270="","",IFERROR(INDEX('[1]natural catastrophe'!$D$6:$D$17,MATCH($S270,'[1]natural catastrophe'!$B$6:$B$17,0)),"?")))</f>
      </c>
      <c r="U270" s="46" t="inlineStr">
        <is>
          <t xml:space="preserve">$5,000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6676.94</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CANON-202602-005022</t>
        </is>
      </c>
      <c r="B271" s="30" t="inlineStr">
        <is>
          <t xml:space="preserve">Ottilie Castellanos</t>
        </is>
      </c>
      <c r="C271" s="31">
        <v>46067</v>
      </c>
      <c r="D271" s="32" t="inlineStr">
        <is>
          <t xml:space="preserve">Bound - within authority</t>
        </is>
      </c>
      <c r="E271" s="32" t="inlineStr">
        <is>
          <t xml:space="preserve">New business</t>
        </is>
      </c>
      <c r="F271" s="30" t="inlineStr">
        <is>
          <t xml:space="preserve">B1234EXOTIC26</t>
        </is>
      </c>
      <c r="G271" s="33">
        <f>IF($A271="","",IF($C271="","",YEAR($C271)))</f>
      </c>
      <c r="H271" s="34">
        <v>1969</v>
      </c>
      <c r="I271" s="30" t="inlineStr">
        <is>
          <t xml:space="preserve">Bentley</t>
        </is>
      </c>
      <c r="J271" s="30" t="inlineStr">
        <is>
          <t xml:space="preserve">Continental GT</t>
        </is>
      </c>
      <c r="K271" s="30" t="inlineStr">
        <is>
          <t xml:space="preserve">3YEYX2BYCTSCUS78P</t>
        </is>
      </c>
      <c r="L271" s="32" t="inlineStr">
        <is>
          <t xml:space="preserve">02 - Sports / GT</t>
        </is>
      </c>
      <c r="M271" s="35">
        <v>230000</v>
      </c>
      <c r="N271" s="32" t="inlineStr">
        <is>
          <t xml:space="preserve">Personal</t>
        </is>
      </c>
      <c r="O271" s="30" t="inlineStr">
        <is>
          <t xml:space="preserve">Personal - regular use</t>
        </is>
      </c>
      <c r="P271" s="30" t="inlineStr">
        <is>
          <t xml:space="preserve">Under 1,000</t>
        </is>
      </c>
      <c r="Q271" s="30" t="inlineStr">
        <is>
          <t xml:space="preserve">Florida</t>
        </is>
      </c>
      <c r="R271" s="30" t="inlineStr">
        <is>
          <t xml:space="preserve">33139</t>
        </is>
      </c>
      <c r="S271" s="32" t="inlineStr">
        <is>
          <t xml:space="preserve">Tier 2 - Coastal wind (1-25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4984.43</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CANON-202602-005024</t>
        </is>
      </c>
      <c r="B272" s="46" t="inlineStr">
        <is>
          <t xml:space="preserve">Fenwick Castellanos</t>
        </is>
      </c>
      <c r="C272" s="47">
        <v>46061</v>
      </c>
      <c r="D272" s="48" t="inlineStr">
        <is>
          <t xml:space="preserve">Bound - within authority</t>
        </is>
      </c>
      <c r="E272" s="48" t="inlineStr">
        <is>
          <t xml:space="preserve">New business</t>
        </is>
      </c>
      <c r="F272" s="46" t="inlineStr">
        <is>
          <t xml:space="preserve">B1234EXOTIC26</t>
        </is>
      </c>
      <c r="G272" s="33">
        <f>IF($A272="","",IF($C272="","",YEAR($C272)))</f>
      </c>
      <c r="H272" s="49">
        <v>1974</v>
      </c>
      <c r="I272" s="46" t="inlineStr">
        <is>
          <t xml:space="preserve">McLaren</t>
        </is>
      </c>
      <c r="J272" s="46" t="inlineStr">
        <is>
          <t xml:space="preserve">750S</t>
        </is>
      </c>
      <c r="K272" s="46" t="inlineStr">
        <is>
          <t xml:space="preserve">C7YXJVHGPMGLCL052</t>
        </is>
      </c>
      <c r="L272" s="48" t="inlineStr">
        <is>
          <t xml:space="preserve">03 - Supercar</t>
        </is>
      </c>
      <c r="M272" s="50">
        <v>1185000</v>
      </c>
      <c r="N272" s="48" t="inlineStr">
        <is>
          <t xml:space="preserve">Personal</t>
        </is>
      </c>
      <c r="O272" s="46" t="inlineStr">
        <is>
          <t xml:space="preserve">Personal - regular use</t>
        </is>
      </c>
      <c r="P272" s="46" t="inlineStr">
        <is>
          <t xml:space="preserve">2,500 - 5,000</t>
        </is>
      </c>
      <c r="Q272" s="46" t="inlineStr">
        <is>
          <t xml:space="preserve">Texas</t>
        </is>
      </c>
      <c r="R272" s="46" t="inlineStr">
        <is>
          <t xml:space="preserve">75201</t>
        </is>
      </c>
      <c r="S272" s="48" t="inlineStr">
        <is>
          <t xml:space="preserve">Tier 2 - Coastal wind (1-25 miles)</t>
        </is>
      </c>
      <c r="T272" s="36">
        <f>IF($A272="","",IF($S272="","",IFERROR(INDEX('[1]natural catastrophe'!$D$6:$D$17,MATCH($S272,'[1]natural catastrophe'!$B$6:$B$17,0)),"?")))</f>
      </c>
      <c r="U272" s="46" t="inlineStr">
        <is>
          <t xml:space="preserve">2% of agreed value, minimum $10,000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18084.98</v>
      </c>
      <c r="AC272" s="51">
        <v>0</v>
      </c>
      <c r="AD272" s="38">
        <f>IF(ISNUMBER($AB272),$AB272*(1+N($AC272)),"")</f>
      </c>
      <c r="AE272" s="50">
        <v>350</v>
      </c>
      <c r="AF272" s="50">
        <v>250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CANON-202602-005025</t>
        </is>
      </c>
      <c r="B273" s="30" t="inlineStr">
        <is>
          <t xml:space="preserve">Desmond Montoya</t>
        </is>
      </c>
      <c r="C273" s="31">
        <v>46071</v>
      </c>
      <c r="D273" s="32" t="inlineStr">
        <is>
          <t xml:space="preserve">Bound - within authority</t>
        </is>
      </c>
      <c r="E273" s="32" t="inlineStr">
        <is>
          <t xml:space="preserve">New business</t>
        </is>
      </c>
      <c r="F273" s="30" t="inlineStr">
        <is>
          <t xml:space="preserve">B1234EXOTIC26</t>
        </is>
      </c>
      <c r="G273" s="33">
        <f>IF($A273="","",IF($C273="","",YEAR($C273)))</f>
      </c>
      <c r="H273" s="34">
        <v>1989</v>
      </c>
      <c r="I273" s="30" t="inlineStr">
        <is>
          <t xml:space="preserve">Porsche</t>
        </is>
      </c>
      <c r="J273" s="30" t="inlineStr">
        <is>
          <t xml:space="preserve">911 Turbo S</t>
        </is>
      </c>
      <c r="K273" s="30" t="inlineStr">
        <is>
          <t xml:space="preserve">1XC0J06Y7EA4GJF5D</t>
        </is>
      </c>
      <c r="L273" s="32" t="inlineStr">
        <is>
          <t xml:space="preserve">02 - Sports / GT</t>
        </is>
      </c>
      <c r="M273" s="35">
        <v>365000</v>
      </c>
      <c r="N273" s="32" t="inlineStr">
        <is>
          <t xml:space="preserve">Personal</t>
        </is>
      </c>
      <c r="O273" s="30" t="inlineStr">
        <is>
          <t xml:space="preserve">Personal - regular use</t>
        </is>
      </c>
      <c r="P273" s="30" t="inlineStr">
        <is>
          <t xml:space="preserve">1,000 - 2,500</t>
        </is>
      </c>
      <c r="Q273" s="30" t="inlineStr">
        <is>
          <t xml:space="preserve">Louisiana</t>
        </is>
      </c>
      <c r="R273" s="30" t="inlineStr">
        <is>
          <t xml:space="preserve">70112</t>
        </is>
      </c>
      <c r="S273" s="32" t="inlineStr">
        <is>
          <t xml:space="preserve">Tier 2 - Coastal wind (1-25 miles)</t>
        </is>
      </c>
      <c r="T273" s="36">
        <f>IF($A273="","",IF($S273="","",IFERROR(INDEX('[1]natural catastrophe'!$D$6:$D$17,MATCH($S273,'[1]natural catastrophe'!$B$6:$B$17,0)),"?")))</f>
      </c>
      <c r="U273" s="30" t="inlineStr">
        <is>
          <t xml:space="preserve">2% of agreed value, minimum $10,000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5494.79</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CANON-202602-005027</t>
        </is>
      </c>
      <c r="B274" s="46" t="inlineStr">
        <is>
          <t xml:space="preserve">Beatrix Vasquez</t>
        </is>
      </c>
      <c r="C274" s="47">
        <v>46055</v>
      </c>
      <c r="D274" s="48" t="inlineStr">
        <is>
          <t xml:space="preserve">Bound - within authority</t>
        </is>
      </c>
      <c r="E274" s="48" t="inlineStr">
        <is>
          <t xml:space="preserve">New business</t>
        </is>
      </c>
      <c r="F274" s="46" t="inlineStr">
        <is>
          <t xml:space="preserve">B1234EXOTIC26</t>
        </is>
      </c>
      <c r="G274" s="33">
        <f>IF($A274="","",IF($C274="","",YEAR($C274)))</f>
      </c>
      <c r="H274" s="49">
        <v>2019</v>
      </c>
      <c r="I274" s="46" t="inlineStr">
        <is>
          <t xml:space="preserve">Maserati</t>
        </is>
      </c>
      <c r="J274" s="46" t="inlineStr">
        <is>
          <t xml:space="preserve">GranTurismo</t>
        </is>
      </c>
      <c r="K274" s="46" t="inlineStr">
        <is>
          <t xml:space="preserve">3HYWDB27B6745K1V4</t>
        </is>
      </c>
      <c r="L274" s="48" t="inlineStr">
        <is>
          <t xml:space="preserve">02 - Sports / GT</t>
        </is>
      </c>
      <c r="M274" s="50">
        <v>430000</v>
      </c>
      <c r="N274" s="48" t="inlineStr">
        <is>
          <t xml:space="preserve">Personal</t>
        </is>
      </c>
      <c r="O274" s="46" t="inlineStr">
        <is>
          <t xml:space="preserve">Personal - regular use</t>
        </is>
      </c>
      <c r="P274" s="46" t="inlineStr">
        <is>
          <t xml:space="preserve">Under 1,000</t>
        </is>
      </c>
      <c r="Q274" s="46" t="inlineStr">
        <is>
          <t xml:space="preserve">Texas</t>
        </is>
      </c>
      <c r="R274" s="46" t="inlineStr">
        <is>
          <t xml:space="preserve">75201</t>
        </is>
      </c>
      <c r="S274" s="48" t="inlineStr">
        <is>
          <t xml:space="preserve">Tier 2 - Coastal wind (1-25 miles)</t>
        </is>
      </c>
      <c r="T274" s="36">
        <f>IF($A274="","",IF($S274="","",IFERROR(INDEX('[1]natural catastrophe'!$D$6:$D$17,MATCH($S274,'[1]natural catastrophe'!$B$6:$B$17,0)),"?")))</f>
      </c>
      <c r="U274" s="46" t="inlineStr">
        <is>
          <t xml:space="preserve">2% of agreed value, minimum $10,000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6152.33</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CANON-202602-005029</t>
        </is>
      </c>
      <c r="B275" s="30" t="inlineStr">
        <is>
          <t xml:space="preserve">Sunniva Nakashima</t>
        </is>
      </c>
      <c r="C275" s="31">
        <v>46055</v>
      </c>
      <c r="D275" s="32" t="inlineStr">
        <is>
          <t xml:space="preserve">Bound - within authority</t>
        </is>
      </c>
      <c r="E275" s="32" t="inlineStr">
        <is>
          <t xml:space="preserve">New business</t>
        </is>
      </c>
      <c r="F275" s="30" t="inlineStr">
        <is>
          <t xml:space="preserve">B1234EXOTIC26</t>
        </is>
      </c>
      <c r="G275" s="33">
        <f>IF($A275="","",IF($C275="","",YEAR($C275)))</f>
      </c>
      <c r="H275" s="34">
        <v>2024</v>
      </c>
      <c r="I275" s="30" t="inlineStr">
        <is>
          <t xml:space="preserve">Ferrari</t>
        </is>
      </c>
      <c r="J275" s="30" t="inlineStr">
        <is>
          <t xml:space="preserve">SF90 Stradale</t>
        </is>
      </c>
      <c r="K275" s="30" t="inlineStr">
        <is>
          <t xml:space="preserve">1PAC9B45J2WMGRY6L</t>
        </is>
      </c>
      <c r="L275" s="32" t="inlineStr">
        <is>
          <t xml:space="preserve">03 - Supercar</t>
        </is>
      </c>
      <c r="M275" s="35">
        <v>615000</v>
      </c>
      <c r="N275" s="32" t="inlineStr">
        <is>
          <t xml:space="preserve">Personal</t>
        </is>
      </c>
      <c r="O275" s="30" t="inlineStr">
        <is>
          <t xml:space="preserve">Personal - regular use</t>
        </is>
      </c>
      <c r="P275" s="30" t="inlineStr">
        <is>
          <t xml:space="preserve">2,500 - 5,000</t>
        </is>
      </c>
      <c r="Q275" s="30" t="inlineStr">
        <is>
          <t xml:space="preserve">Montana</t>
        </is>
      </c>
      <c r="R275" s="30" t="inlineStr">
        <is>
          <t xml:space="preserve">59601</t>
        </is>
      </c>
      <c r="S275" s="32" t="inlineStr">
        <is>
          <t xml:space="preserve">Wildfire - WUI high hazard</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9013.5</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CANON-202602-005030</t>
        </is>
      </c>
      <c r="B276" s="46" t="inlineStr">
        <is>
          <t xml:space="preserve">Ramona Rourke</t>
        </is>
      </c>
      <c r="C276" s="47">
        <v>46069</v>
      </c>
      <c r="D276" s="48" t="inlineStr">
        <is>
          <t xml:space="preserve">Bound - within authority</t>
        </is>
      </c>
      <c r="E276" s="48" t="inlineStr">
        <is>
          <t xml:space="preserve">New business</t>
        </is>
      </c>
      <c r="F276" s="46" t="inlineStr">
        <is>
          <t xml:space="preserve">B1234EXOTIC26</t>
        </is>
      </c>
      <c r="G276" s="33">
        <f>IF($A276="","",IF($C276="","",YEAR($C276)))</f>
      </c>
      <c r="H276" s="49">
        <v>1957</v>
      </c>
      <c r="I276" s="46" t="inlineStr">
        <is>
          <t xml:space="preserve">Lamborghini</t>
        </is>
      </c>
      <c r="J276" s="46" t="inlineStr">
        <is>
          <t xml:space="preserve">Huracan EVO</t>
        </is>
      </c>
      <c r="K276" s="46" t="inlineStr">
        <is>
          <t xml:space="preserve">E3ESXWHPRVVCRCMCX</t>
        </is>
      </c>
      <c r="L276" s="48" t="inlineStr">
        <is>
          <t xml:space="preserve">03 - Supercar</t>
        </is>
      </c>
      <c r="M276" s="50">
        <v>1575000</v>
      </c>
      <c r="N276" s="48" t="inlineStr">
        <is>
          <t xml:space="preserve">Personal</t>
        </is>
      </c>
      <c r="O276" s="46" t="inlineStr">
        <is>
          <t xml:space="preserve">Personal - regular use</t>
        </is>
      </c>
      <c r="P276" s="46" t="inlineStr">
        <is>
          <t xml:space="preserve">2,500 - 5,000</t>
        </is>
      </c>
      <c r="Q276" s="46" t="inlineStr">
        <is>
          <t xml:space="preserve">California</t>
        </is>
      </c>
      <c r="R276" s="46" t="inlineStr">
        <is>
          <t xml:space="preserve">90012</t>
        </is>
      </c>
      <c r="S276" s="48" t="inlineStr">
        <is>
          <t xml:space="preserve">Earthquake - high (CA, Cascadia, New Madrid)</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28217.34</v>
      </c>
      <c r="AC276" s="51">
        <v>0</v>
      </c>
      <c r="AD276" s="38">
        <f>IF(ISNUMBER($AB276),$AB276*(1+N($AC276)),"")</f>
      </c>
      <c r="AE276" s="50">
        <v>350</v>
      </c>
      <c r="AF276" s="50">
        <v>250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CANON-202602-005031</t>
        </is>
      </c>
      <c r="B277" s="30" t="inlineStr">
        <is>
          <t xml:space="preserve">Emiliano Nakashima</t>
        </is>
      </c>
      <c r="C277" s="31">
        <v>46056</v>
      </c>
      <c r="D277" s="32" t="inlineStr">
        <is>
          <t xml:space="preserve">Bound - within authority</t>
        </is>
      </c>
      <c r="E277" s="32" t="inlineStr">
        <is>
          <t xml:space="preserve">New business</t>
        </is>
      </c>
      <c r="F277" s="30" t="inlineStr">
        <is>
          <t xml:space="preserve">B1234EXOTIC26</t>
        </is>
      </c>
      <c r="G277" s="33">
        <f>IF($A277="","",IF($C277="","",YEAR($C277)))</f>
      </c>
      <c r="H277" s="34">
        <v>1991</v>
      </c>
      <c r="I277" s="30" t="inlineStr">
        <is>
          <t xml:space="preserve">Jaguar</t>
        </is>
      </c>
      <c r="J277" s="30" t="inlineStr">
        <is>
          <t xml:space="preserve">E-Type Series 1</t>
        </is>
      </c>
      <c r="K277" s="30" t="inlineStr">
        <is>
          <t xml:space="preserve">Z6AST956VF0B7ZLN0</t>
        </is>
      </c>
      <c r="L277" s="32" t="inlineStr">
        <is>
          <t xml:space="preserve">08 - Modern Classic (1973-1999)</t>
        </is>
      </c>
      <c r="M277" s="35">
        <v>820000</v>
      </c>
      <c r="N277" s="32" t="inlineStr">
        <is>
          <t xml:space="preserve">Personal</t>
        </is>
      </c>
      <c r="O277" s="30" t="inlineStr">
        <is>
          <t xml:space="preserve">Personal - regular use</t>
        </is>
      </c>
      <c r="P277" s="30" t="inlineStr">
        <is>
          <t xml:space="preserve">Under 1,000</t>
        </is>
      </c>
      <c r="Q277" s="30" t="inlineStr">
        <is>
          <t xml:space="preserve">Idaho</t>
        </is>
      </c>
      <c r="R277" s="30" t="inlineStr">
        <is>
          <t xml:space="preserve">83702</t>
        </is>
      </c>
      <c r="S277" s="32" t="inlineStr">
        <is>
          <t xml:space="preserve">Wildfire - WUI high hazard</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5790.67</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CANON-202602-005032</t>
        </is>
      </c>
      <c r="B278" s="46" t="inlineStr">
        <is>
          <t xml:space="preserve">Priya Chattopadhyay</t>
        </is>
      </c>
      <c r="C278" s="47">
        <v>46080</v>
      </c>
      <c r="D278" s="48" t="inlineStr">
        <is>
          <t xml:space="preserve">Bound - within authority</t>
        </is>
      </c>
      <c r="E278" s="48" t="inlineStr">
        <is>
          <t xml:space="preserve">New business</t>
        </is>
      </c>
      <c r="F278" s="46" t="inlineStr">
        <is>
          <t xml:space="preserve">B1234EXOTIC26</t>
        </is>
      </c>
      <c r="G278" s="33">
        <f>IF($A278="","",IF($C278="","",YEAR($C278)))</f>
      </c>
      <c r="H278" s="49">
        <v>1972</v>
      </c>
      <c r="I278" s="46" t="inlineStr">
        <is>
          <t xml:space="preserve">BMW</t>
        </is>
      </c>
      <c r="J278" s="46" t="inlineStr">
        <is>
          <t xml:space="preserve">M8 Competition</t>
        </is>
      </c>
      <c r="K278" s="46" t="inlineStr">
        <is>
          <t xml:space="preserve">YVPYXSAM98E813HGZ</t>
        </is>
      </c>
      <c r="L278" s="48" t="inlineStr">
        <is>
          <t xml:space="preserve">02 - Sports / GT</t>
        </is>
      </c>
      <c r="M278" s="50">
        <v>495000</v>
      </c>
      <c r="N278" s="48" t="inlineStr">
        <is>
          <t xml:space="preserve">Personal</t>
        </is>
      </c>
      <c r="O278" s="46" t="inlineStr">
        <is>
          <t xml:space="preserve">Personal - regular use</t>
        </is>
      </c>
      <c r="P278" s="46" t="inlineStr">
        <is>
          <t xml:space="preserve">1,000 - 2,500</t>
        </is>
      </c>
      <c r="Q278" s="46" t="inlineStr">
        <is>
          <t xml:space="preserve">Illinois</t>
        </is>
      </c>
      <c r="R278" s="46" t="inlineStr">
        <is>
          <t xml:space="preserve">60601</t>
        </is>
      </c>
      <c r="S278" s="48" t="inlineStr">
        <is>
          <t xml:space="preserve">Severe convective - hail / tornado (moderate)</t>
        </is>
      </c>
      <c r="T278" s="36">
        <f>IF($A278="","",IF($S278="","",IFERROR(INDEX('[1]natural catastrophe'!$D$6:$D$17,MATCH($S278,'[1]natural catastrophe'!$B$6:$B$17,0)),"?")))</f>
      </c>
      <c r="U278" s="46" t="inlineStr">
        <is>
          <t xml:space="preserve">$5,000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8375.63</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CANON-202602-005034</t>
        </is>
      </c>
      <c r="B279" s="30" t="inlineStr">
        <is>
          <t xml:space="preserve">Horace Delacroix</t>
        </is>
      </c>
      <c r="C279" s="31">
        <v>46059</v>
      </c>
      <c r="D279" s="32" t="inlineStr">
        <is>
          <t xml:space="preserve">Bound - within authority</t>
        </is>
      </c>
      <c r="E279" s="32" t="inlineStr">
        <is>
          <t xml:space="preserve">New business</t>
        </is>
      </c>
      <c r="F279" s="30" t="inlineStr">
        <is>
          <t xml:space="preserve">B1234EXOTIC26</t>
        </is>
      </c>
      <c r="G279" s="33">
        <f>IF($A279="","",IF($C279="","",YEAR($C279)))</f>
      </c>
      <c r="H279" s="34">
        <v>1980</v>
      </c>
      <c r="I279" s="30" t="inlineStr">
        <is>
          <t xml:space="preserve">Ferrari</t>
        </is>
      </c>
      <c r="J279" s="30" t="inlineStr">
        <is>
          <t xml:space="preserve">SF90 Stradale</t>
        </is>
      </c>
      <c r="K279" s="30" t="inlineStr">
        <is>
          <t xml:space="preserve">2V79GMMBL64ZXX8W6</t>
        </is>
      </c>
      <c r="L279" s="32" t="inlineStr">
        <is>
          <t xml:space="preserve">03 - Supercar</t>
        </is>
      </c>
      <c r="M279" s="35">
        <v>880000</v>
      </c>
      <c r="N279" s="32" t="inlineStr">
        <is>
          <t xml:space="preserve">Personal</t>
        </is>
      </c>
      <c r="O279" s="30" t="inlineStr">
        <is>
          <t xml:space="preserve">Personal - regular use</t>
        </is>
      </c>
      <c r="P279" s="30" t="inlineStr">
        <is>
          <t xml:space="preserve">2,500 - 5,000</t>
        </is>
      </c>
      <c r="Q279" s="30" t="inlineStr">
        <is>
          <t xml:space="preserve">Louisiana</t>
        </is>
      </c>
      <c r="R279" s="30" t="inlineStr">
        <is>
          <t xml:space="preserve">70112</t>
        </is>
      </c>
      <c r="S279" s="32" t="inlineStr">
        <is>
          <t xml:space="preserve">Tier 2 - Coastal wind (1-25 miles)</t>
        </is>
      </c>
      <c r="T279" s="36">
        <f>IF($A279="","",IF($S279="","",IFERROR(INDEX('[1]natural catastrophe'!$D$6:$D$17,MATCH($S279,'[1]natural catastrophe'!$B$6:$B$17,0)),"?")))</f>
      </c>
      <c r="U279" s="30" t="inlineStr">
        <is>
          <t xml:space="preserve">2% of agreed value, minimum $10,000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16780.45</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CANON-202602-005035</t>
        </is>
      </c>
      <c r="B280" s="46" t="inlineStr">
        <is>
          <t xml:space="preserve">Cassius Delacroix</t>
        </is>
      </c>
      <c r="C280" s="47">
        <v>46075</v>
      </c>
      <c r="D280" s="48" t="inlineStr">
        <is>
          <t xml:space="preserve">Bound - within authority</t>
        </is>
      </c>
      <c r="E280" s="48" t="inlineStr">
        <is>
          <t xml:space="preserve">New business</t>
        </is>
      </c>
      <c r="F280" s="46" t="inlineStr">
        <is>
          <t xml:space="preserve">B1234EXOTIC26</t>
        </is>
      </c>
      <c r="G280" s="33">
        <f>IF($A280="","",IF($C280="","",YEAR($C280)))</f>
      </c>
      <c r="H280" s="49">
        <v>2018</v>
      </c>
      <c r="I280" s="46" t="inlineStr">
        <is>
          <t xml:space="preserve">Bentley</t>
        </is>
      </c>
      <c r="J280" s="46" t="inlineStr">
        <is>
          <t xml:space="preserve">Continental GT</t>
        </is>
      </c>
      <c r="K280" s="46" t="inlineStr">
        <is>
          <t xml:space="preserve">43HDDEZRJSP3MZG7H</t>
        </is>
      </c>
      <c r="L280" s="48" t="inlineStr">
        <is>
          <t xml:space="preserve">02 - Sports / GT</t>
        </is>
      </c>
      <c r="M280" s="50">
        <v>435000</v>
      </c>
      <c r="N280" s="48" t="inlineStr">
        <is>
          <t xml:space="preserve">Personal</t>
        </is>
      </c>
      <c r="O280" s="46" t="inlineStr">
        <is>
          <t xml:space="preserve">Personal - regular use</t>
        </is>
      </c>
      <c r="P280" s="46" t="inlineStr">
        <is>
          <t xml:space="preserve">2,500 - 5,000</t>
        </is>
      </c>
      <c r="Q280" s="46" t="inlineStr">
        <is>
          <t xml:space="preserve">Michigan</t>
        </is>
      </c>
      <c r="R280" s="46" t="inlineStr">
        <is>
          <t xml:space="preserve">48226</t>
        </is>
      </c>
      <c r="S280" s="48" t="inlineStr">
        <is>
          <t xml:space="preserve">Severe convective - hail / tornado (moderate)</t>
        </is>
      </c>
      <c r="T280" s="36">
        <f>IF($A280="","",IF($S280="","",IFERROR(INDEX('[1]natural catastrophe'!$D$6:$D$17,MATCH($S280,'[1]natural catastrophe'!$B$6:$B$17,0)),"?")))</f>
      </c>
      <c r="U280" s="46" t="inlineStr">
        <is>
          <t xml:space="preserve">$5,000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8388.68</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CANON-202602-005037</t>
        </is>
      </c>
      <c r="B281" s="30" t="inlineStr">
        <is>
          <t xml:space="preserve">Fitzgerald Chattopadhyay</t>
        </is>
      </c>
      <c r="C281" s="31">
        <v>46069</v>
      </c>
      <c r="D281" s="32" t="inlineStr">
        <is>
          <t xml:space="preserve">Bound - within authority</t>
        </is>
      </c>
      <c r="E281" s="32" t="inlineStr">
        <is>
          <t xml:space="preserve">New business</t>
        </is>
      </c>
      <c r="F281" s="30" t="inlineStr">
        <is>
          <t xml:space="preserve">B1234EXOTIC26</t>
        </is>
      </c>
      <c r="G281" s="33">
        <f>IF($A281="","",IF($C281="","",YEAR($C281)))</f>
      </c>
      <c r="H281" s="34">
        <v>1998</v>
      </c>
      <c r="I281" s="30" t="inlineStr">
        <is>
          <t xml:space="preserve">Aston Martin</t>
        </is>
      </c>
      <c r="J281" s="30" t="inlineStr">
        <is>
          <t xml:space="preserve">DB12</t>
        </is>
      </c>
      <c r="K281" s="30" t="inlineStr">
        <is>
          <t xml:space="preserve">70J83HHMNESNN8HPF</t>
        </is>
      </c>
      <c r="L281" s="32" t="inlineStr">
        <is>
          <t xml:space="preserve">02 - Sports / GT</t>
        </is>
      </c>
      <c r="M281" s="35">
        <v>225000</v>
      </c>
      <c r="N281" s="32" t="inlineStr">
        <is>
          <t xml:space="preserve">Personal</t>
        </is>
      </c>
      <c r="O281" s="30" t="inlineStr">
        <is>
          <t xml:space="preserve">Personal - regular use</t>
        </is>
      </c>
      <c r="P281" s="30" t="inlineStr">
        <is>
          <t xml:space="preserve">Under 1,000</t>
        </is>
      </c>
      <c r="Q281" s="30" t="inlineStr">
        <is>
          <t xml:space="preserve">Idaho</t>
        </is>
      </c>
      <c r="R281" s="30" t="inlineStr">
        <is>
          <t xml:space="preserve">83702</t>
        </is>
      </c>
      <c r="S281" s="32" t="inlineStr">
        <is>
          <t xml:space="preserve">Wildfire - WUI high hazard</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3399.51</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CANON-202602-005038</t>
        </is>
      </c>
      <c r="B282" s="46" t="inlineStr">
        <is>
          <t xml:space="preserve">Sunniva Blackwood</t>
        </is>
      </c>
      <c r="C282" s="47">
        <v>46075</v>
      </c>
      <c r="D282" s="48" t="inlineStr">
        <is>
          <t xml:space="preserve">Bound - within authority</t>
        </is>
      </c>
      <c r="E282" s="48" t="inlineStr">
        <is>
          <t xml:space="preserve">New business</t>
        </is>
      </c>
      <c r="F282" s="46" t="inlineStr">
        <is>
          <t xml:space="preserve">B1234EXOTIC26</t>
        </is>
      </c>
      <c r="G282" s="33">
        <f>IF($A282="","",IF($C282="","",YEAR($C282)))</f>
      </c>
      <c r="H282" s="49">
        <v>1981</v>
      </c>
      <c r="I282" s="46" t="inlineStr">
        <is>
          <t xml:space="preserve">Icon</t>
        </is>
      </c>
      <c r="J282" s="46" t="inlineStr">
        <is>
          <t xml:space="preserve">Derelict</t>
        </is>
      </c>
      <c r="K282" s="46" t="inlineStr">
        <is>
          <t xml:space="preserve">AZXMYSAS8J3WWHVFB</t>
        </is>
      </c>
      <c r="L282" s="48" t="inlineStr">
        <is>
          <t xml:space="preserve">11 - Restomod / Coachbuilt / Bespoke</t>
        </is>
      </c>
      <c r="M282" s="50">
        <v>1950000</v>
      </c>
      <c r="N282" s="48" t="inlineStr">
        <is>
          <t xml:space="preserve">Personal</t>
        </is>
      </c>
      <c r="O282" s="46" t="inlineStr">
        <is>
          <t xml:space="preserve">Personal - regular use</t>
        </is>
      </c>
      <c r="P282" s="46" t="inlineStr">
        <is>
          <t xml:space="preserve">2,500 - 5,000</t>
        </is>
      </c>
      <c r="Q282" s="46" t="inlineStr">
        <is>
          <t xml:space="preserve">Louisiana</t>
        </is>
      </c>
      <c r="R282" s="46" t="inlineStr">
        <is>
          <t xml:space="preserve">70112</t>
        </is>
      </c>
      <c r="S282" s="48" t="inlineStr">
        <is>
          <t xml:space="preserve">Tier 2 - Coastal wind (1-25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26615.87</v>
      </c>
      <c r="AC282" s="51">
        <v>0</v>
      </c>
      <c r="AD282" s="38">
        <f>IF(ISNUMBER($AB282),$AB282*(1+N($AC282)),"")</f>
      </c>
      <c r="AE282" s="50">
        <v>350</v>
      </c>
      <c r="AF282" s="50">
        <v>250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CANON-202602-005039</t>
        </is>
      </c>
      <c r="B283" s="30" t="inlineStr">
        <is>
          <t xml:space="preserve">Mireille Nakashima</t>
        </is>
      </c>
      <c r="C283" s="31">
        <v>46056</v>
      </c>
      <c r="D283" s="32" t="inlineStr">
        <is>
          <t xml:space="preserve">Bound - within authority</t>
        </is>
      </c>
      <c r="E283" s="32" t="inlineStr">
        <is>
          <t xml:space="preserve">New business</t>
        </is>
      </c>
      <c r="F283" s="30" t="inlineStr">
        <is>
          <t xml:space="preserve">B1234EXOTIC26</t>
        </is>
      </c>
      <c r="G283" s="33">
        <f>IF($A283="","",IF($C283="","",YEAR($C283)))</f>
      </c>
      <c r="H283" s="34">
        <v>2021</v>
      </c>
      <c r="I283" s="30" t="inlineStr">
        <is>
          <t xml:space="preserve">McLaren</t>
        </is>
      </c>
      <c r="J283" s="30" t="inlineStr">
        <is>
          <t xml:space="preserve">750S</t>
        </is>
      </c>
      <c r="K283" s="30" t="inlineStr">
        <is>
          <t xml:space="preserve">HU02W7SYBYVUSERBC</t>
        </is>
      </c>
      <c r="L283" s="32" t="inlineStr">
        <is>
          <t xml:space="preserve">03 - Supercar</t>
        </is>
      </c>
      <c r="M283" s="35">
        <v>1130000</v>
      </c>
      <c r="N283" s="32" t="inlineStr">
        <is>
          <t xml:space="preserve">Personal</t>
        </is>
      </c>
      <c r="O283" s="30" t="inlineStr">
        <is>
          <t xml:space="preserve">Personal - regular use</t>
        </is>
      </c>
      <c r="P283" s="30" t="inlineStr">
        <is>
          <t xml:space="preserve">1,000 - 2,500</t>
        </is>
      </c>
      <c r="Q283" s="30" t="inlineStr">
        <is>
          <t xml:space="preserve">Rhode Island</t>
        </is>
      </c>
      <c r="R283" s="30" t="inlineStr">
        <is>
          <t xml:space="preserve">02903</t>
        </is>
      </c>
      <c r="S283" s="32" t="inlineStr">
        <is>
          <t xml:space="preserve">Tier 3 - Coastal wind (25-100 miles)</t>
        </is>
      </c>
      <c r="T283" s="36">
        <f>IF($A283="","",IF($S283="","",IFERROR(INDEX('[1]natural catastrophe'!$D$6:$D$17,MATCH($S283,'[1]natural catastrophe'!$B$6:$B$17,0)),"?")))</f>
      </c>
      <c r="U283" s="30" t="inlineStr">
        <is>
          <t xml:space="preserve">2% of agreed value, minimum $10,000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20544.75</v>
      </c>
      <c r="AC283" s="37">
        <v>0</v>
      </c>
      <c r="AD283" s="38">
        <f>IF(ISNUMBER($AB283),$AB283*(1+N($AC283)),"")</f>
      </c>
      <c r="AE283" s="35">
        <v>350</v>
      </c>
      <c r="AF283" s="35">
        <v>250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CANON-202602-005040</t>
        </is>
      </c>
      <c r="B284" s="46" t="inlineStr">
        <is>
          <t xml:space="preserve">Everett Vandermeer</t>
        </is>
      </c>
      <c r="C284" s="47">
        <v>46072</v>
      </c>
      <c r="D284" s="48" t="inlineStr">
        <is>
          <t xml:space="preserve">Bound - within authority</t>
        </is>
      </c>
      <c r="E284" s="48" t="inlineStr">
        <is>
          <t xml:space="preserve">New business</t>
        </is>
      </c>
      <c r="F284" s="46" t="inlineStr">
        <is>
          <t xml:space="preserve">B1234EXOTIC26</t>
        </is>
      </c>
      <c r="G284" s="33">
        <f>IF($A284="","",IF($C284="","",YEAR($C284)))</f>
      </c>
      <c r="H284" s="49">
        <v>1999</v>
      </c>
      <c r="I284" s="46" t="inlineStr">
        <is>
          <t xml:space="preserve">Ferrari</t>
        </is>
      </c>
      <c r="J284" s="46" t="inlineStr">
        <is>
          <t xml:space="preserve">275 GTB/4</t>
        </is>
      </c>
      <c r="K284" s="46" t="inlineStr">
        <is>
          <t xml:space="preserve">W6EKAPVFNNEMS9KPZ</t>
        </is>
      </c>
      <c r="L284" s="48" t="inlineStr">
        <is>
          <t xml:space="preserve">08 - Modern Classic (1973-1999)</t>
        </is>
      </c>
      <c r="M284" s="50">
        <v>1950000</v>
      </c>
      <c r="N284" s="48" t="inlineStr">
        <is>
          <t xml:space="preserve">Personal</t>
        </is>
      </c>
      <c r="O284" s="46" t="inlineStr">
        <is>
          <t xml:space="preserve">Personal - regular use</t>
        </is>
      </c>
      <c r="P284" s="46" t="inlineStr">
        <is>
          <t xml:space="preserve">Under 1,000</t>
        </is>
      </c>
      <c r="Q284" s="46" t="inlineStr">
        <is>
          <t xml:space="preserve">Vermont</t>
        </is>
      </c>
      <c r="R284" s="46" t="inlineStr">
        <is>
          <t xml:space="preserve">05601</t>
        </is>
      </c>
      <c r="S284" s="48" t="inlineStr">
        <is>
          <t xml:space="preserve">Low hazard - inland benign</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14996.5</v>
      </c>
      <c r="AC284" s="51">
        <v>0</v>
      </c>
      <c r="AD284" s="38">
        <f>IF(ISNUMBER($AB284),$AB284*(1+N($AC284)),"")</f>
      </c>
      <c r="AE284" s="50">
        <v>350</v>
      </c>
      <c r="AF284" s="50">
        <v>250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CANON-202602-005041</t>
        </is>
      </c>
      <c r="B285" s="30" t="inlineStr">
        <is>
          <t xml:space="preserve">Callum Montoya</t>
        </is>
      </c>
      <c r="C285" s="31">
        <v>46056</v>
      </c>
      <c r="D285" s="32" t="inlineStr">
        <is>
          <t xml:space="preserve">Bound - within authority</t>
        </is>
      </c>
      <c r="E285" s="32" t="inlineStr">
        <is>
          <t xml:space="preserve">New business</t>
        </is>
      </c>
      <c r="F285" s="30" t="inlineStr">
        <is>
          <t xml:space="preserve">B1234EXOTIC26</t>
        </is>
      </c>
      <c r="G285" s="33">
        <f>IF($A285="","",IF($C285="","",YEAR($C285)))</f>
      </c>
      <c r="H285" s="34">
        <v>1967</v>
      </c>
      <c r="I285" s="30" t="inlineStr">
        <is>
          <t xml:space="preserve">Aston Martin</t>
        </is>
      </c>
      <c r="J285" s="30" t="inlineStr">
        <is>
          <t xml:space="preserve">DB12</t>
        </is>
      </c>
      <c r="K285" s="30" t="inlineStr">
        <is>
          <t xml:space="preserve">HUUXJXYY8TAWUCMDT</t>
        </is>
      </c>
      <c r="L285" s="32" t="inlineStr">
        <is>
          <t xml:space="preserve">02 - Sports / GT</t>
        </is>
      </c>
      <c r="M285" s="35">
        <v>575000</v>
      </c>
      <c r="N285" s="32" t="inlineStr">
        <is>
          <t xml:space="preserve">Personal</t>
        </is>
      </c>
      <c r="O285" s="30" t="inlineStr">
        <is>
          <t xml:space="preserve">Personal - regular use</t>
        </is>
      </c>
      <c r="P285" s="30" t="inlineStr">
        <is>
          <t xml:space="preserve">1,000 - 2,500</t>
        </is>
      </c>
      <c r="Q285" s="30" t="inlineStr">
        <is>
          <t xml:space="preserve">Minnesota</t>
        </is>
      </c>
      <c r="R285" s="30" t="inlineStr">
        <is>
          <t xml:space="preserve">55401</t>
        </is>
      </c>
      <c r="S285" s="32" t="inlineStr">
        <is>
          <t xml:space="preserve">Severe convective - hail / tornado (moderate)</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8184.02</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CANON-202602-005042</t>
        </is>
      </c>
      <c r="B286" s="46" t="inlineStr">
        <is>
          <t xml:space="preserve">Ramona Vandermeer</t>
        </is>
      </c>
      <c r="C286" s="47">
        <v>46058</v>
      </c>
      <c r="D286" s="48" t="inlineStr">
        <is>
          <t xml:space="preserve">Bound - within authority</t>
        </is>
      </c>
      <c r="E286" s="48" t="inlineStr">
        <is>
          <t xml:space="preserve">New business</t>
        </is>
      </c>
      <c r="F286" s="46" t="inlineStr">
        <is>
          <t xml:space="preserve">B1234EXOTIC26</t>
        </is>
      </c>
      <c r="G286" s="33">
        <f>IF($A286="","",IF($C286="","",YEAR($C286)))</f>
      </c>
      <c r="H286" s="49">
        <v>1958</v>
      </c>
      <c r="I286" s="46" t="inlineStr">
        <is>
          <t xml:space="preserve">Maserati</t>
        </is>
      </c>
      <c r="J286" s="46" t="inlineStr">
        <is>
          <t xml:space="preserve">GranTurismo</t>
        </is>
      </c>
      <c r="K286" s="46" t="inlineStr">
        <is>
          <t xml:space="preserve">N9PH7NRCN5Z93DKRP</t>
        </is>
      </c>
      <c r="L286" s="48" t="inlineStr">
        <is>
          <t xml:space="preserve">02 - Sports / GT</t>
        </is>
      </c>
      <c r="M286" s="50">
        <v>1605000</v>
      </c>
      <c r="N286" s="48" t="inlineStr">
        <is>
          <t xml:space="preserve">Personal</t>
        </is>
      </c>
      <c r="O286" s="46" t="inlineStr">
        <is>
          <t xml:space="preserve">Personal - regular use</t>
        </is>
      </c>
      <c r="P286" s="46" t="inlineStr">
        <is>
          <t xml:space="preserve">2,500 - 5,000</t>
        </is>
      </c>
      <c r="Q286" s="46" t="inlineStr">
        <is>
          <t xml:space="preserve">Oregon</t>
        </is>
      </c>
      <c r="R286" s="46" t="inlineStr">
        <is>
          <t xml:space="preserve">97204</t>
        </is>
      </c>
      <c r="S286" s="48" t="inlineStr">
        <is>
          <t xml:space="preserve">Earthquake - high (CA, Cascadia, New Madrid)</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16547.34</v>
      </c>
      <c r="AC286" s="51">
        <v>0</v>
      </c>
      <c r="AD286" s="38">
        <f>IF(ISNUMBER($AB286),$AB286*(1+N($AC286)),"")</f>
      </c>
      <c r="AE286" s="50">
        <v>350</v>
      </c>
      <c r="AF286" s="50">
        <v>250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CANON-202602-005043</t>
        </is>
      </c>
      <c r="B287" s="30" t="inlineStr">
        <is>
          <t xml:space="preserve">Priya Castellanos</t>
        </is>
      </c>
      <c r="C287" s="31">
        <v>46066</v>
      </c>
      <c r="D287" s="32" t="inlineStr">
        <is>
          <t xml:space="preserve">Bound - within authority</t>
        </is>
      </c>
      <c r="E287" s="32" t="inlineStr">
        <is>
          <t xml:space="preserve">New business</t>
        </is>
      </c>
      <c r="F287" s="30" t="inlineStr">
        <is>
          <t xml:space="preserve">B1234EXOTIC26</t>
        </is>
      </c>
      <c r="G287" s="33">
        <f>IF($A287="","",IF($C287="","",YEAR($C287)))</f>
      </c>
      <c r="H287" s="34">
        <v>1964</v>
      </c>
      <c r="I287" s="30" t="inlineStr">
        <is>
          <t xml:space="preserve">Aston Martin</t>
        </is>
      </c>
      <c r="J287" s="30" t="inlineStr">
        <is>
          <t xml:space="preserve">DB12</t>
        </is>
      </c>
      <c r="K287" s="30" t="inlineStr">
        <is>
          <t xml:space="preserve">XTA1TFFTU8F8P6SAR</t>
        </is>
      </c>
      <c r="L287" s="32" t="inlineStr">
        <is>
          <t xml:space="preserve">02 - Sports / GT</t>
        </is>
      </c>
      <c r="M287" s="35">
        <v>315000</v>
      </c>
      <c r="N287" s="32" t="inlineStr">
        <is>
          <t xml:space="preserve">Personal</t>
        </is>
      </c>
      <c r="O287" s="30" t="inlineStr">
        <is>
          <t xml:space="preserve">Personal - regular use</t>
        </is>
      </c>
      <c r="P287" s="30" t="inlineStr">
        <is>
          <t xml:space="preserve">Under 1,000</t>
        </is>
      </c>
      <c r="Q287" s="30" t="inlineStr">
        <is>
          <t xml:space="preserve">Tennessee</t>
        </is>
      </c>
      <c r="R287" s="30" t="inlineStr">
        <is>
          <t xml:space="preserve">37203</t>
        </is>
      </c>
      <c r="S287" s="32" t="inlineStr">
        <is>
          <t xml:space="preserve">Severe convective - hail / tornado (moderate)</t>
        </is>
      </c>
      <c r="T287" s="36">
        <f>IF($A287="","",IF($S287="","",IFERROR(INDEX('[1]natural catastrophe'!$D$6:$D$17,MATCH($S287,'[1]natural catastrophe'!$B$6:$B$17,0)),"?")))</f>
      </c>
      <c r="U287" s="30" t="inlineStr">
        <is>
          <t xml:space="preserve">$5,000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3840.7</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CANON-202602-005044</t>
        </is>
      </c>
      <c r="B288" s="46" t="inlineStr">
        <is>
          <t xml:space="preserve">Delphine Delacroix</t>
        </is>
      </c>
      <c r="C288" s="47">
        <v>46074</v>
      </c>
      <c r="D288" s="48" t="inlineStr">
        <is>
          <t xml:space="preserve">Bound - within authority</t>
        </is>
      </c>
      <c r="E288" s="48" t="inlineStr">
        <is>
          <t xml:space="preserve">New business</t>
        </is>
      </c>
      <c r="F288" s="46" t="inlineStr">
        <is>
          <t xml:space="preserve">B1234EXOTIC26</t>
        </is>
      </c>
      <c r="G288" s="33">
        <f>IF($A288="","",IF($C288="","",YEAR($C288)))</f>
      </c>
      <c r="H288" s="49">
        <v>1981</v>
      </c>
      <c r="I288" s="46" t="inlineStr">
        <is>
          <t xml:space="preserve">McLaren</t>
        </is>
      </c>
      <c r="J288" s="46" t="inlineStr">
        <is>
          <t xml:space="preserve">750S</t>
        </is>
      </c>
      <c r="K288" s="46" t="inlineStr">
        <is>
          <t xml:space="preserve">1PAL7ZNGMCMFG9SA5</t>
        </is>
      </c>
      <c r="L288" s="48" t="inlineStr">
        <is>
          <t xml:space="preserve">03 - Supercar</t>
        </is>
      </c>
      <c r="M288" s="50">
        <v>965000</v>
      </c>
      <c r="N288" s="48" t="inlineStr">
        <is>
          <t xml:space="preserve">Personal</t>
        </is>
      </c>
      <c r="O288" s="46" t="inlineStr">
        <is>
          <t xml:space="preserve">Personal - regular use</t>
        </is>
      </c>
      <c r="P288" s="46" t="inlineStr">
        <is>
          <t xml:space="preserve">1,000 - 2,500</t>
        </is>
      </c>
      <c r="Q288" s="46" t="inlineStr">
        <is>
          <t xml:space="preserve">Arizona</t>
        </is>
      </c>
      <c r="R288" s="46" t="inlineStr">
        <is>
          <t xml:space="preserve">85001</t>
        </is>
      </c>
      <c r="S288" s="48" t="inlineStr">
        <is>
          <t xml:space="preserve">Wildfire - WUI high hazard</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15359.75</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CANON-202602-005046</t>
        </is>
      </c>
      <c r="B289" s="30" t="inlineStr">
        <is>
          <t xml:space="preserve">Fitzgerald Kingsford</t>
        </is>
      </c>
      <c r="C289" s="31">
        <v>46071</v>
      </c>
      <c r="D289" s="32" t="inlineStr">
        <is>
          <t xml:space="preserve">Bound - within authority</t>
        </is>
      </c>
      <c r="E289" s="32" t="inlineStr">
        <is>
          <t xml:space="preserve">New business</t>
        </is>
      </c>
      <c r="F289" s="30" t="inlineStr">
        <is>
          <t xml:space="preserve">B1234EXOTIC26</t>
        </is>
      </c>
      <c r="G289" s="33">
        <f>IF($A289="","",IF($C289="","",YEAR($C289)))</f>
      </c>
      <c r="H289" s="34">
        <v>1962</v>
      </c>
      <c r="I289" s="30" t="inlineStr">
        <is>
          <t xml:space="preserve">Ferrari</t>
        </is>
      </c>
      <c r="J289" s="30" t="inlineStr">
        <is>
          <t xml:space="preserve">SF90 Stradale</t>
        </is>
      </c>
      <c r="K289" s="30" t="inlineStr">
        <is>
          <t xml:space="preserve">M1MV3KUDUL5SJ5HDS</t>
        </is>
      </c>
      <c r="L289" s="32" t="inlineStr">
        <is>
          <t xml:space="preserve">03 - Supercar</t>
        </is>
      </c>
      <c r="M289" s="35">
        <v>625000</v>
      </c>
      <c r="N289" s="32" t="inlineStr">
        <is>
          <t xml:space="preserve">Personal</t>
        </is>
      </c>
      <c r="O289" s="30" t="inlineStr">
        <is>
          <t xml:space="preserve">Personal - regular use</t>
        </is>
      </c>
      <c r="P289" s="30" t="inlineStr">
        <is>
          <t xml:space="preserve">2,500 - 5,000</t>
        </is>
      </c>
      <c r="Q289" s="30" t="inlineStr">
        <is>
          <t xml:space="preserve">Texas</t>
        </is>
      </c>
      <c r="R289" s="30" t="inlineStr">
        <is>
          <t xml:space="preserve">75201</t>
        </is>
      </c>
      <c r="S289" s="32" t="inlineStr">
        <is>
          <t xml:space="preserve">Tier 2 - Coastal wind (1-25 miles)</t>
        </is>
      </c>
      <c r="T289" s="36">
        <f>IF($A289="","",IF($S289="","",IFERROR(INDEX('[1]natural catastrophe'!$D$6:$D$17,MATCH($S289,'[1]natural catastrophe'!$B$6:$B$17,0)),"?")))</f>
      </c>
      <c r="U289" s="30" t="inlineStr">
        <is>
          <t xml:space="preserve">2% of agreed value, minimum $10,000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11326.95</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CANON-202602-005047</t>
        </is>
      </c>
      <c r="B290" s="46" t="inlineStr">
        <is>
          <t xml:space="preserve">Aurelio Vasquez</t>
        </is>
      </c>
      <c r="C290" s="47">
        <v>46067</v>
      </c>
      <c r="D290" s="48" t="inlineStr">
        <is>
          <t xml:space="preserve">Bound - within authority</t>
        </is>
      </c>
      <c r="E290" s="48" t="inlineStr">
        <is>
          <t xml:space="preserve">New business</t>
        </is>
      </c>
      <c r="F290" s="46" t="inlineStr">
        <is>
          <t xml:space="preserve">B1234EXOTIC26</t>
        </is>
      </c>
      <c r="G290" s="33">
        <f>IF($A290="","",IF($C290="","",YEAR($C290)))</f>
      </c>
      <c r="H290" s="49">
        <v>1984</v>
      </c>
      <c r="I290" s="46" t="inlineStr">
        <is>
          <t xml:space="preserve">Mercedes-Benz</t>
        </is>
      </c>
      <c r="J290" s="46" t="inlineStr">
        <is>
          <t xml:space="preserve">AMG GT</t>
        </is>
      </c>
      <c r="K290" s="46" t="inlineStr">
        <is>
          <t xml:space="preserve">D9LZ08ZC1YHGYNAD0</t>
        </is>
      </c>
      <c r="L290" s="48" t="inlineStr">
        <is>
          <t xml:space="preserve">02 - Sports / GT</t>
        </is>
      </c>
      <c r="M290" s="50">
        <v>470000</v>
      </c>
      <c r="N290" s="48" t="inlineStr">
        <is>
          <t xml:space="preserve">Personal</t>
        </is>
      </c>
      <c r="O290" s="46" t="inlineStr">
        <is>
          <t xml:space="preserve">Personal - regular use</t>
        </is>
      </c>
      <c r="P290" s="46" t="inlineStr">
        <is>
          <t xml:space="preserve">1,000 - 2,500</t>
        </is>
      </c>
      <c r="Q290" s="46" t="inlineStr">
        <is>
          <t xml:space="preserve">Louisiana</t>
        </is>
      </c>
      <c r="R290" s="46" t="inlineStr">
        <is>
          <t xml:space="preserve">70112</t>
        </is>
      </c>
      <c r="S290" s="48" t="inlineStr">
        <is>
          <t xml:space="preserve">Tier 2 - Coastal wind (1-25 miles)</t>
        </is>
      </c>
      <c r="T290" s="36">
        <f>IF($A290="","",IF($S290="","",IFERROR(INDEX('[1]natural catastrophe'!$D$6:$D$17,MATCH($S290,'[1]natural catastrophe'!$B$6:$B$17,0)),"?")))</f>
      </c>
      <c r="U290" s="46" t="inlineStr">
        <is>
          <t xml:space="preserve">2% of agreed value, minimum $10,000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7075.49</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CANON-202602-005048</t>
        </is>
      </c>
      <c r="B291" s="30" t="inlineStr">
        <is>
          <t xml:space="preserve">Fitzgerald Fairweather</t>
        </is>
      </c>
      <c r="C291" s="31">
        <v>46076</v>
      </c>
      <c r="D291" s="32" t="inlineStr">
        <is>
          <t xml:space="preserve">Bound - within authority</t>
        </is>
      </c>
      <c r="E291" s="32" t="inlineStr">
        <is>
          <t xml:space="preserve">New business</t>
        </is>
      </c>
      <c r="F291" s="30" t="inlineStr">
        <is>
          <t xml:space="preserve">B1234EXOTIC26</t>
        </is>
      </c>
      <c r="G291" s="33">
        <f>IF($A291="","",IF($C291="","",YEAR($C291)))</f>
      </c>
      <c r="H291" s="34">
        <v>2015</v>
      </c>
      <c r="I291" s="30" t="inlineStr">
        <is>
          <t xml:space="preserve">Singer</t>
        </is>
      </c>
      <c r="J291" s="30" t="inlineStr">
        <is>
          <t xml:space="preserve">911 Reimagined</t>
        </is>
      </c>
      <c r="K291" s="30" t="inlineStr">
        <is>
          <t xml:space="preserve">TUMUTN6PKET55FZLA</t>
        </is>
      </c>
      <c r="L291" s="32" t="inlineStr">
        <is>
          <t xml:space="preserve">11 - Restomod / Coachbuilt / Bespoke</t>
        </is>
      </c>
      <c r="M291" s="35">
        <v>240000</v>
      </c>
      <c r="N291" s="32" t="inlineStr">
        <is>
          <t xml:space="preserve">Personal</t>
        </is>
      </c>
      <c r="O291" s="30" t="inlineStr">
        <is>
          <t xml:space="preserve">Personal - regular use</t>
        </is>
      </c>
      <c r="P291" s="30" t="inlineStr">
        <is>
          <t xml:space="preserve">Under 1,000</t>
        </is>
      </c>
      <c r="Q291" s="30" t="inlineStr">
        <is>
          <t xml:space="preserve">New Jersey</t>
        </is>
      </c>
      <c r="R291" s="30" t="inlineStr">
        <is>
          <t xml:space="preserve">07102</t>
        </is>
      </c>
      <c r="S291" s="32" t="inlineStr">
        <is>
          <t xml:space="preserve">Tier 3 - Coastal wind (25-100 miles)</t>
        </is>
      </c>
      <c r="T291" s="36">
        <f>IF($A291="","",IF($S291="","",IFERROR(INDEX('[1]natural catastrophe'!$D$6:$D$17,MATCH($S291,'[1]natural catastrophe'!$B$6:$B$17,0)),"?")))</f>
      </c>
      <c r="U291" s="30" t="inlineStr">
        <is>
          <t xml:space="preserve">2% of agreed value, minimum $10,000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3804.11</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CANON-202602-005049</t>
        </is>
      </c>
      <c r="B292" s="46" t="inlineStr">
        <is>
          <t xml:space="preserve">Anouk Underwood</t>
        </is>
      </c>
      <c r="C292" s="47">
        <v>46057</v>
      </c>
      <c r="D292" s="48" t="inlineStr">
        <is>
          <t xml:space="preserve">Bound - within authority</t>
        </is>
      </c>
      <c r="E292" s="48" t="inlineStr">
        <is>
          <t xml:space="preserve">New business</t>
        </is>
      </c>
      <c r="F292" s="46" t="inlineStr">
        <is>
          <t xml:space="preserve">B1234EXOTIC26</t>
        </is>
      </c>
      <c r="G292" s="33">
        <f>IF($A292="","",IF($C292="","",YEAR($C292)))</f>
      </c>
      <c r="H292" s="49">
        <v>1995</v>
      </c>
      <c r="I292" s="46" t="inlineStr">
        <is>
          <t xml:space="preserve">Aston Martin</t>
        </is>
      </c>
      <c r="J292" s="46" t="inlineStr">
        <is>
          <t xml:space="preserve">DB5</t>
        </is>
      </c>
      <c r="K292" s="46" t="inlineStr">
        <is>
          <t xml:space="preserve">2R0LN39BWMPZ087MB</t>
        </is>
      </c>
      <c r="L292" s="48" t="inlineStr">
        <is>
          <t xml:space="preserve">08 - Modern Classic (1973-1999)</t>
        </is>
      </c>
      <c r="M292" s="50">
        <v>800000</v>
      </c>
      <c r="N292" s="48" t="inlineStr">
        <is>
          <t xml:space="preserve">Personal</t>
        </is>
      </c>
      <c r="O292" s="46" t="inlineStr">
        <is>
          <t xml:space="preserve">Personal - regular use</t>
        </is>
      </c>
      <c r="P292" s="46" t="inlineStr">
        <is>
          <t xml:space="preserve">2,500 - 5,000</t>
        </is>
      </c>
      <c r="Q292" s="46" t="inlineStr">
        <is>
          <t xml:space="preserve">New Hampshire</t>
        </is>
      </c>
      <c r="R292" s="46" t="inlineStr">
        <is>
          <t xml:space="preserve">03301</t>
        </is>
      </c>
      <c r="S292" s="48" t="inlineStr">
        <is>
          <t xml:space="preserve">Tier 3 - Coastal wind (25-100 miles)</t>
        </is>
      </c>
      <c r="T292" s="36">
        <f>IF($A292="","",IF($S292="","",IFERROR(INDEX('[1]natural catastrophe'!$D$6:$D$17,MATCH($S292,'[1]natural catastrophe'!$B$6:$B$17,0)),"?")))</f>
      </c>
      <c r="U292" s="46" t="inlineStr">
        <is>
          <t xml:space="preserve">2% of agreed value, minimum $10,000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5934.77</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CANON-202602-005050</t>
        </is>
      </c>
      <c r="B293" s="30" t="inlineStr">
        <is>
          <t xml:space="preserve">Fitzgerald Ashcombe</t>
        </is>
      </c>
      <c r="C293" s="31">
        <v>46069</v>
      </c>
      <c r="D293" s="32" t="inlineStr">
        <is>
          <t xml:space="preserve">Bound - within authority</t>
        </is>
      </c>
      <c r="E293" s="32" t="inlineStr">
        <is>
          <t xml:space="preserve">New business</t>
        </is>
      </c>
      <c r="F293" s="30" t="inlineStr">
        <is>
          <t xml:space="preserve">B1234EXOTIC26</t>
        </is>
      </c>
      <c r="G293" s="33">
        <f>IF($A293="","",IF($C293="","",YEAR($C293)))</f>
      </c>
      <c r="H293" s="34">
        <v>2012</v>
      </c>
      <c r="I293" s="30" t="inlineStr">
        <is>
          <t xml:space="preserve">Bentley</t>
        </is>
      </c>
      <c r="J293" s="30" t="inlineStr">
        <is>
          <t xml:space="preserve">Continental GT</t>
        </is>
      </c>
      <c r="K293" s="30" t="inlineStr">
        <is>
          <t xml:space="preserve">AR9LDK8UYMV83BVSG</t>
        </is>
      </c>
      <c r="L293" s="32" t="inlineStr">
        <is>
          <t xml:space="preserve">02 - Sports / GT</t>
        </is>
      </c>
      <c r="M293" s="35">
        <v>795000</v>
      </c>
      <c r="N293" s="32" t="inlineStr">
        <is>
          <t xml:space="preserve">Personal</t>
        </is>
      </c>
      <c r="O293" s="30" t="inlineStr">
        <is>
          <t xml:space="preserve">Personal - regular use</t>
        </is>
      </c>
      <c r="P293" s="30" t="inlineStr">
        <is>
          <t xml:space="preserve">Under 1,000</t>
        </is>
      </c>
      <c r="Q293" s="30" t="inlineStr">
        <is>
          <t xml:space="preserve">North Dakota</t>
        </is>
      </c>
      <c r="R293" s="30" t="inlineStr">
        <is>
          <t xml:space="preserve">58501</t>
        </is>
      </c>
      <c r="S293" s="32" t="inlineStr">
        <is>
          <t xml:space="preserve">Severe convective - hail alley (high)</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8743.64</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CANON-202602-005051</t>
        </is>
      </c>
      <c r="B294" s="46" t="inlineStr">
        <is>
          <t xml:space="preserve">Saoirse Fairweather</t>
        </is>
      </c>
      <c r="C294" s="47">
        <v>46073</v>
      </c>
      <c r="D294" s="48" t="inlineStr">
        <is>
          <t xml:space="preserve">Bound - within authority</t>
        </is>
      </c>
      <c r="E294" s="48" t="inlineStr">
        <is>
          <t xml:space="preserve">New business</t>
        </is>
      </c>
      <c r="F294" s="46" t="inlineStr">
        <is>
          <t xml:space="preserve">B1234EXOTIC26</t>
        </is>
      </c>
      <c r="G294" s="33">
        <f>IF($A294="","",IF($C294="","",YEAR($C294)))</f>
      </c>
      <c r="H294" s="49">
        <v>1986</v>
      </c>
      <c r="I294" s="46" t="inlineStr">
        <is>
          <t xml:space="preserve">Ringbrothers</t>
        </is>
      </c>
      <c r="J294" s="46" t="inlineStr">
        <is>
          <t xml:space="preserve">Mustang</t>
        </is>
      </c>
      <c r="K294" s="46" t="inlineStr">
        <is>
          <t xml:space="preserve">JL71FMK4J0VXXS5YN</t>
        </is>
      </c>
      <c r="L294" s="48" t="inlineStr">
        <is>
          <t xml:space="preserve">11 - Restomod / Coachbuilt / Bespoke</t>
        </is>
      </c>
      <c r="M294" s="50">
        <v>575000</v>
      </c>
      <c r="N294" s="48" t="inlineStr">
        <is>
          <t xml:space="preserve">Personal</t>
        </is>
      </c>
      <c r="O294" s="46" t="inlineStr">
        <is>
          <t xml:space="preserve">Personal - regular use</t>
        </is>
      </c>
      <c r="P294" s="46" t="inlineStr">
        <is>
          <t xml:space="preserve">1,000 - 2,500</t>
        </is>
      </c>
      <c r="Q294" s="46" t="inlineStr">
        <is>
          <t xml:space="preserve">California</t>
        </is>
      </c>
      <c r="R294" s="46" t="inlineStr">
        <is>
          <t xml:space="preserve">90012</t>
        </is>
      </c>
      <c r="S294" s="48" t="inlineStr">
        <is>
          <t xml:space="preserve">Earthquake - high (CA, Cascadia, New Madrid)</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10044.03</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CANON-202602-005053</t>
        </is>
      </c>
      <c r="B295" s="30" t="inlineStr">
        <is>
          <t xml:space="preserve">Marisol Fairweather</t>
        </is>
      </c>
      <c r="C295" s="31">
        <v>46060</v>
      </c>
      <c r="D295" s="32" t="inlineStr">
        <is>
          <t xml:space="preserve">Bound - within authority</t>
        </is>
      </c>
      <c r="E295" s="32" t="inlineStr">
        <is>
          <t xml:space="preserve">New business</t>
        </is>
      </c>
      <c r="F295" s="30" t="inlineStr">
        <is>
          <t xml:space="preserve">B1234EXOTIC26</t>
        </is>
      </c>
      <c r="G295" s="33">
        <f>IF($A295="","",IF($C295="","",YEAR($C295)))</f>
      </c>
      <c r="H295" s="34">
        <v>1969</v>
      </c>
      <c r="I295" s="30" t="inlineStr">
        <is>
          <t xml:space="preserve">Aston Martin</t>
        </is>
      </c>
      <c r="J295" s="30" t="inlineStr">
        <is>
          <t xml:space="preserve">DB12</t>
        </is>
      </c>
      <c r="K295" s="30" t="inlineStr">
        <is>
          <t xml:space="preserve">3WE5W19PXVB21C51Y</t>
        </is>
      </c>
      <c r="L295" s="32" t="inlineStr">
        <is>
          <t xml:space="preserve">02 - Sports / GT</t>
        </is>
      </c>
      <c r="M295" s="35">
        <v>615000</v>
      </c>
      <c r="N295" s="32" t="inlineStr">
        <is>
          <t xml:space="preserve">Personal</t>
        </is>
      </c>
      <c r="O295" s="30" t="inlineStr">
        <is>
          <t xml:space="preserve">Personal - regular use</t>
        </is>
      </c>
      <c r="P295" s="30" t="inlineStr">
        <is>
          <t xml:space="preserve">1,000 - 2,500</t>
        </is>
      </c>
      <c r="Q295" s="30" t="inlineStr">
        <is>
          <t xml:space="preserve">Tennessee</t>
        </is>
      </c>
      <c r="R295" s="30" t="inlineStr">
        <is>
          <t xml:space="preserve">37203</t>
        </is>
      </c>
      <c r="S295" s="32" t="inlineStr">
        <is>
          <t xml:space="preserve">Severe convective - hail / tornado (moderate)</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6498.69</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CANON-202602-005054</t>
        </is>
      </c>
      <c r="B296" s="46" t="inlineStr">
        <is>
          <t xml:space="preserve">Sunniva Pennington</t>
        </is>
      </c>
      <c r="C296" s="47">
        <v>46068</v>
      </c>
      <c r="D296" s="48" t="inlineStr">
        <is>
          <t xml:space="preserve">Bound - within authority</t>
        </is>
      </c>
      <c r="E296" s="48" t="inlineStr">
        <is>
          <t xml:space="preserve">New business</t>
        </is>
      </c>
      <c r="F296" s="46" t="inlineStr">
        <is>
          <t xml:space="preserve">B1234EXOTIC26</t>
        </is>
      </c>
      <c r="G296" s="33">
        <f>IF($A296="","",IF($C296="","",YEAR($C296)))</f>
      </c>
      <c r="H296" s="49">
        <v>2020</v>
      </c>
      <c r="I296" s="46" t="inlineStr">
        <is>
          <t xml:space="preserve">Maserati</t>
        </is>
      </c>
      <c r="J296" s="46" t="inlineStr">
        <is>
          <t xml:space="preserve">GranTurismo</t>
        </is>
      </c>
      <c r="K296" s="46" t="inlineStr">
        <is>
          <t xml:space="preserve">34ZX95680CF6H2MER</t>
        </is>
      </c>
      <c r="L296" s="48" t="inlineStr">
        <is>
          <t xml:space="preserve">02 - Sports / GT</t>
        </is>
      </c>
      <c r="M296" s="50">
        <v>705000</v>
      </c>
      <c r="N296" s="48" t="inlineStr">
        <is>
          <t xml:space="preserve">Personal</t>
        </is>
      </c>
      <c r="O296" s="46" t="inlineStr">
        <is>
          <t xml:space="preserve">Personal - regular use</t>
        </is>
      </c>
      <c r="P296" s="46" t="inlineStr">
        <is>
          <t xml:space="preserve">1,000 - 2,500</t>
        </is>
      </c>
      <c r="Q296" s="46" t="inlineStr">
        <is>
          <t xml:space="preserve">South Dakota</t>
        </is>
      </c>
      <c r="R296" s="46" t="inlineStr">
        <is>
          <t xml:space="preserve">57501</t>
        </is>
      </c>
      <c r="S296" s="48" t="inlineStr">
        <is>
          <t xml:space="preserve">Severe convective - hail alley (high)</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8437.95</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CANON-202602-005055</t>
        </is>
      </c>
      <c r="B297" s="30" t="inlineStr">
        <is>
          <t xml:space="preserve">Beatrix Castellanos</t>
        </is>
      </c>
      <c r="C297" s="31">
        <v>46077</v>
      </c>
      <c r="D297" s="32" t="inlineStr">
        <is>
          <t xml:space="preserve">Bound - within authority</t>
        </is>
      </c>
      <c r="E297" s="32" t="inlineStr">
        <is>
          <t xml:space="preserve">New business</t>
        </is>
      </c>
      <c r="F297" s="30" t="inlineStr">
        <is>
          <t xml:space="preserve">B1234EXOTIC26</t>
        </is>
      </c>
      <c r="G297" s="33">
        <f>IF($A297="","",IF($C297="","",YEAR($C297)))</f>
      </c>
      <c r="H297" s="34">
        <v>2018</v>
      </c>
      <c r="I297" s="30" t="inlineStr">
        <is>
          <t xml:space="preserve">Maserati</t>
        </is>
      </c>
      <c r="J297" s="30" t="inlineStr">
        <is>
          <t xml:space="preserve">GranTurismo</t>
        </is>
      </c>
      <c r="K297" s="30" t="inlineStr">
        <is>
          <t xml:space="preserve">7ATXW4UX1MKCWRLX4</t>
        </is>
      </c>
      <c r="L297" s="32" t="inlineStr">
        <is>
          <t xml:space="preserve">02 - Sports / GT</t>
        </is>
      </c>
      <c r="M297" s="35">
        <v>625000</v>
      </c>
      <c r="N297" s="32" t="inlineStr">
        <is>
          <t xml:space="preserve">Personal</t>
        </is>
      </c>
      <c r="O297" s="30" t="inlineStr">
        <is>
          <t xml:space="preserve">Personal - regular use</t>
        </is>
      </c>
      <c r="P297" s="30" t="inlineStr">
        <is>
          <t xml:space="preserve">2,500 - 5,000</t>
        </is>
      </c>
      <c r="Q297" s="30" t="inlineStr">
        <is>
          <t xml:space="preserve">Nebraska</t>
        </is>
      </c>
      <c r="R297" s="30" t="inlineStr">
        <is>
          <t xml:space="preserve">68102</t>
        </is>
      </c>
      <c r="S297" s="32" t="inlineStr">
        <is>
          <t xml:space="preserve">Severe convective - hail alley (high)</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8760.89</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CANON-202602-005057</t>
        </is>
      </c>
      <c r="B298" s="46" t="inlineStr">
        <is>
          <t xml:space="preserve">Thaddeus Larsson</t>
        </is>
      </c>
      <c r="C298" s="47">
        <v>46062</v>
      </c>
      <c r="D298" s="48" t="inlineStr">
        <is>
          <t xml:space="preserve">Bound - within authority</t>
        </is>
      </c>
      <c r="E298" s="48" t="inlineStr">
        <is>
          <t xml:space="preserve">New business</t>
        </is>
      </c>
      <c r="F298" s="46" t="inlineStr">
        <is>
          <t xml:space="preserve">B1234EXOTIC26</t>
        </is>
      </c>
      <c r="G298" s="33">
        <f>IF($A298="","",IF($C298="","",YEAR($C298)))</f>
      </c>
      <c r="H298" s="49">
        <v>1992</v>
      </c>
      <c r="I298" s="46" t="inlineStr">
        <is>
          <t xml:space="preserve">Porsche</t>
        </is>
      </c>
      <c r="J298" s="46" t="inlineStr">
        <is>
          <t xml:space="preserve">911 Turbo S</t>
        </is>
      </c>
      <c r="K298" s="46" t="inlineStr">
        <is>
          <t xml:space="preserve">YWC7M9HA7T52C5D3C</t>
        </is>
      </c>
      <c r="L298" s="48" t="inlineStr">
        <is>
          <t xml:space="preserve">02 - Sports / GT</t>
        </is>
      </c>
      <c r="M298" s="50">
        <v>705000</v>
      </c>
      <c r="N298" s="48" t="inlineStr">
        <is>
          <t xml:space="preserve">Personal</t>
        </is>
      </c>
      <c r="O298" s="46" t="inlineStr">
        <is>
          <t xml:space="preserve">Personal - regular use</t>
        </is>
      </c>
      <c r="P298" s="46" t="inlineStr">
        <is>
          <t xml:space="preserve">2,500 - 5,000</t>
        </is>
      </c>
      <c r="Q298" s="46" t="inlineStr">
        <is>
          <t xml:space="preserve">Tennessee</t>
        </is>
      </c>
      <c r="R298" s="46" t="inlineStr">
        <is>
          <t xml:space="preserve">37203</t>
        </is>
      </c>
      <c r="S298" s="48" t="inlineStr">
        <is>
          <t xml:space="preserve">Severe convective - hail / tornado (moderate)</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7449.73</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CANON-202602-005058</t>
        </is>
      </c>
      <c r="B299" s="30" t="inlineStr">
        <is>
          <t xml:space="preserve">Noor Farkas</t>
        </is>
      </c>
      <c r="C299" s="31">
        <v>46075</v>
      </c>
      <c r="D299" s="32" t="inlineStr">
        <is>
          <t xml:space="preserve">Bound - within authority</t>
        </is>
      </c>
      <c r="E299" s="32" t="inlineStr">
        <is>
          <t xml:space="preserve">New business</t>
        </is>
      </c>
      <c r="F299" s="30" t="inlineStr">
        <is>
          <t xml:space="preserve">B1234EXOTIC26</t>
        </is>
      </c>
      <c r="G299" s="33">
        <f>IF($A299="","",IF($C299="","",YEAR($C299)))</f>
      </c>
      <c r="H299" s="34">
        <v>2011</v>
      </c>
      <c r="I299" s="30" t="inlineStr">
        <is>
          <t xml:space="preserve">Porsche</t>
        </is>
      </c>
      <c r="J299" s="30" t="inlineStr">
        <is>
          <t xml:space="preserve">911 Turbo S</t>
        </is>
      </c>
      <c r="K299" s="30" t="inlineStr">
        <is>
          <t xml:space="preserve">DHVZLW2A8WP83PCWJ</t>
        </is>
      </c>
      <c r="L299" s="32" t="inlineStr">
        <is>
          <t xml:space="preserve">02 - Sports / GT</t>
        </is>
      </c>
      <c r="M299" s="35">
        <v>665000</v>
      </c>
      <c r="N299" s="32" t="inlineStr">
        <is>
          <t xml:space="preserve">Personal</t>
        </is>
      </c>
      <c r="O299" s="30" t="inlineStr">
        <is>
          <t xml:space="preserve">Personal - regular use</t>
        </is>
      </c>
      <c r="P299" s="30" t="inlineStr">
        <is>
          <t xml:space="preserve">1,000 - 2,500</t>
        </is>
      </c>
      <c r="Q299" s="30" t="inlineStr">
        <is>
          <t xml:space="preserve">Michigan</t>
        </is>
      </c>
      <c r="R299" s="30" t="inlineStr">
        <is>
          <t xml:space="preserve">48226</t>
        </is>
      </c>
      <c r="S299" s="32" t="inlineStr">
        <is>
          <t xml:space="preserve">Severe convective - hail / tornado (moderate)</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11114.2</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CANON-202602-005062</t>
        </is>
      </c>
      <c r="B300" s="46" t="inlineStr">
        <is>
          <t xml:space="preserve">Cassius Vandermeer</t>
        </is>
      </c>
      <c r="C300" s="47">
        <v>46078</v>
      </c>
      <c r="D300" s="48" t="inlineStr">
        <is>
          <t xml:space="preserve">Bound - within authority</t>
        </is>
      </c>
      <c r="E300" s="48" t="inlineStr">
        <is>
          <t xml:space="preserve">New business</t>
        </is>
      </c>
      <c r="F300" s="46" t="inlineStr">
        <is>
          <t xml:space="preserve">B1234EXOTIC26</t>
        </is>
      </c>
      <c r="G300" s="33">
        <f>IF($A300="","",IF($C300="","",YEAR($C300)))</f>
      </c>
      <c r="H300" s="49">
        <v>2005</v>
      </c>
      <c r="I300" s="46" t="inlineStr">
        <is>
          <t xml:space="preserve">Porsche</t>
        </is>
      </c>
      <c r="J300" s="46" t="inlineStr">
        <is>
          <t xml:space="preserve">911 Turbo S</t>
        </is>
      </c>
      <c r="K300" s="46" t="inlineStr">
        <is>
          <t xml:space="preserve">6L6AMJ3CE6RW7PNML</t>
        </is>
      </c>
      <c r="L300" s="48" t="inlineStr">
        <is>
          <t xml:space="preserve">02 - Sports / GT</t>
        </is>
      </c>
      <c r="M300" s="50">
        <v>790000</v>
      </c>
      <c r="N300" s="48" t="inlineStr">
        <is>
          <t xml:space="preserve">Personal</t>
        </is>
      </c>
      <c r="O300" s="46" t="inlineStr">
        <is>
          <t xml:space="preserve">Personal - regular use</t>
        </is>
      </c>
      <c r="P300" s="46" t="inlineStr">
        <is>
          <t xml:space="preserve">2,500 - 5,000</t>
        </is>
      </c>
      <c r="Q300" s="46" t="inlineStr">
        <is>
          <t xml:space="preserve">California</t>
        </is>
      </c>
      <c r="R300" s="46" t="inlineStr">
        <is>
          <t xml:space="preserve">90012</t>
        </is>
      </c>
      <c r="S300" s="48" t="inlineStr">
        <is>
          <t xml:space="preserve">Earthquake - high (CA, Cascadia, New Madrid)</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11499.69</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CANON-202602-005064</t>
        </is>
      </c>
      <c r="B301" s="30" t="inlineStr">
        <is>
          <t xml:space="preserve">Thaddeus Chattopadhyay</t>
        </is>
      </c>
      <c r="C301" s="31">
        <v>46076</v>
      </c>
      <c r="D301" s="32" t="inlineStr">
        <is>
          <t xml:space="preserve">Bound - within authority</t>
        </is>
      </c>
      <c r="E301" s="32" t="inlineStr">
        <is>
          <t xml:space="preserve">New business</t>
        </is>
      </c>
      <c r="F301" s="30" t="inlineStr">
        <is>
          <t xml:space="preserve">B1234EXOTIC26</t>
        </is>
      </c>
      <c r="G301" s="33">
        <f>IF($A301="","",IF($C301="","",YEAR($C301)))</f>
      </c>
      <c r="H301" s="34">
        <v>1995</v>
      </c>
      <c r="I301" s="30" t="inlineStr">
        <is>
          <t xml:space="preserve">BMW</t>
        </is>
      </c>
      <c r="J301" s="30" t="inlineStr">
        <is>
          <t xml:space="preserve">M8 Competition</t>
        </is>
      </c>
      <c r="K301" s="30" t="inlineStr">
        <is>
          <t xml:space="preserve">6XEZ6UMKAT8EFG71M</t>
        </is>
      </c>
      <c r="L301" s="32" t="inlineStr">
        <is>
          <t xml:space="preserve">02 - Sports / GT</t>
        </is>
      </c>
      <c r="M301" s="35">
        <v>1735000</v>
      </c>
      <c r="N301" s="32" t="inlineStr">
        <is>
          <t xml:space="preserve">Personal</t>
        </is>
      </c>
      <c r="O301" s="30" t="inlineStr">
        <is>
          <t xml:space="preserve">Personal - regular use</t>
        </is>
      </c>
      <c r="P301" s="30" t="inlineStr">
        <is>
          <t xml:space="preserve">2,500 - 5,000</t>
        </is>
      </c>
      <c r="Q301" s="30" t="inlineStr">
        <is>
          <t xml:space="preserve">New York</t>
        </is>
      </c>
      <c r="R301" s="30" t="inlineStr">
        <is>
          <t xml:space="preserve">10022</t>
        </is>
      </c>
      <c r="S301" s="32" t="inlineStr">
        <is>
          <t xml:space="preserve">Tier 3 - Coastal wind (25-100 miles)</t>
        </is>
      </c>
      <c r="T301" s="36">
        <f>IF($A301="","",IF($S301="","",IFERROR(INDEX('[1]natural catastrophe'!$D$6:$D$17,MATCH($S301,'[1]natural catastrophe'!$B$6:$B$17,0)),"?")))</f>
      </c>
      <c r="U301" s="30" t="inlineStr">
        <is>
          <t xml:space="preserve">2% of agreed value, minimum $10,000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20262.08</v>
      </c>
      <c r="AC301" s="37">
        <v>0</v>
      </c>
      <c r="AD301" s="38">
        <f>IF(ISNUMBER($AB301),$AB301*(1+N($AC301)),"")</f>
      </c>
      <c r="AE301" s="35">
        <v>350</v>
      </c>
      <c r="AF301" s="35">
        <v>250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CANON-202602-005065</t>
        </is>
      </c>
      <c r="B302" s="46" t="inlineStr">
        <is>
          <t xml:space="preserve">Ramona Kingsford</t>
        </is>
      </c>
      <c r="C302" s="47">
        <v>46079</v>
      </c>
      <c r="D302" s="48" t="inlineStr">
        <is>
          <t xml:space="preserve">Bound - within authority</t>
        </is>
      </c>
      <c r="E302" s="48" t="inlineStr">
        <is>
          <t xml:space="preserve">New business</t>
        </is>
      </c>
      <c r="F302" s="46" t="inlineStr">
        <is>
          <t xml:space="preserve">B1234EXOTIC26</t>
        </is>
      </c>
      <c r="G302" s="33">
        <f>IF($A302="","",IF($C302="","",YEAR($C302)))</f>
      </c>
      <c r="H302" s="49">
        <v>2017</v>
      </c>
      <c r="I302" s="46" t="inlineStr">
        <is>
          <t xml:space="preserve">McLaren</t>
        </is>
      </c>
      <c r="J302" s="46" t="inlineStr">
        <is>
          <t xml:space="preserve">750S</t>
        </is>
      </c>
      <c r="K302" s="46" t="inlineStr">
        <is>
          <t xml:space="preserve">ZJLFZRLSZVY2THB5N</t>
        </is>
      </c>
      <c r="L302" s="48" t="inlineStr">
        <is>
          <t xml:space="preserve">03 - Supercar</t>
        </is>
      </c>
      <c r="M302" s="50">
        <v>855000</v>
      </c>
      <c r="N302" s="48" t="inlineStr">
        <is>
          <t xml:space="preserve">Personal</t>
        </is>
      </c>
      <c r="O302" s="46" t="inlineStr">
        <is>
          <t xml:space="preserve">Personal - regular use</t>
        </is>
      </c>
      <c r="P302" s="46" t="inlineStr">
        <is>
          <t xml:space="preserve">1,000 - 2,500</t>
        </is>
      </c>
      <c r="Q302" s="46" t="inlineStr">
        <is>
          <t xml:space="preserve">California</t>
        </is>
      </c>
      <c r="R302" s="46" t="inlineStr">
        <is>
          <t xml:space="preserve">90012</t>
        </is>
      </c>
      <c r="S302" s="48" t="inlineStr">
        <is>
          <t xml:space="preserve">Earthquake - high (CA, Cascadia, New Madrid)</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18190.11</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CANON-202602-005066</t>
        </is>
      </c>
      <c r="B303" s="30" t="inlineStr">
        <is>
          <t xml:space="preserve">Fitzgerald Ashcombe</t>
        </is>
      </c>
      <c r="C303" s="31">
        <v>46055</v>
      </c>
      <c r="D303" s="32" t="inlineStr">
        <is>
          <t xml:space="preserve">Bound - within authority</t>
        </is>
      </c>
      <c r="E303" s="32" t="inlineStr">
        <is>
          <t xml:space="preserve">New business</t>
        </is>
      </c>
      <c r="F303" s="30" t="inlineStr">
        <is>
          <t xml:space="preserve">B1234EXOTIC26</t>
        </is>
      </c>
      <c r="G303" s="33">
        <f>IF($A303="","",IF($C303="","",YEAR($C303)))</f>
      </c>
      <c r="H303" s="34">
        <v>1979</v>
      </c>
      <c r="I303" s="30" t="inlineStr">
        <is>
          <t xml:space="preserve">Maserati</t>
        </is>
      </c>
      <c r="J303" s="30" t="inlineStr">
        <is>
          <t xml:space="preserve">GranTurismo</t>
        </is>
      </c>
      <c r="K303" s="30" t="inlineStr">
        <is>
          <t xml:space="preserve">AV0JDALDBERHR18RV</t>
        </is>
      </c>
      <c r="L303" s="32" t="inlineStr">
        <is>
          <t xml:space="preserve">02 - Sports / GT</t>
        </is>
      </c>
      <c r="M303" s="35">
        <v>625000</v>
      </c>
      <c r="N303" s="32" t="inlineStr">
        <is>
          <t xml:space="preserve">Personal</t>
        </is>
      </c>
      <c r="O303" s="30" t="inlineStr">
        <is>
          <t xml:space="preserve">Personal - regular use</t>
        </is>
      </c>
      <c r="P303" s="30" t="inlineStr">
        <is>
          <t xml:space="preserve">2,500 - 5,000</t>
        </is>
      </c>
      <c r="Q303" s="30" t="inlineStr">
        <is>
          <t xml:space="preserve">Minnesota</t>
        </is>
      </c>
      <c r="R303" s="30" t="inlineStr">
        <is>
          <t xml:space="preserve">55401</t>
        </is>
      </c>
      <c r="S303" s="32" t="inlineStr">
        <is>
          <t xml:space="preserve">Severe convective - hail / tornado (moderate)</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8895.68</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CANON-202602-005067</t>
        </is>
      </c>
      <c r="B304" s="46" t="inlineStr">
        <is>
          <t xml:space="preserve">Saoirse Farkas</t>
        </is>
      </c>
      <c r="C304" s="47">
        <v>46059</v>
      </c>
      <c r="D304" s="48" t="inlineStr">
        <is>
          <t xml:space="preserve">Bound - within authority</t>
        </is>
      </c>
      <c r="E304" s="48" t="inlineStr">
        <is>
          <t xml:space="preserve">New business</t>
        </is>
      </c>
      <c r="F304" s="46" t="inlineStr">
        <is>
          <t xml:space="preserve">B1234EXOTIC26</t>
        </is>
      </c>
      <c r="G304" s="33">
        <f>IF($A304="","",IF($C304="","",YEAR($C304)))</f>
      </c>
      <c r="H304" s="49">
        <v>1959</v>
      </c>
      <c r="I304" s="46" t="inlineStr">
        <is>
          <t xml:space="preserve">Mercedes-Benz</t>
        </is>
      </c>
      <c r="J304" s="46" t="inlineStr">
        <is>
          <t xml:space="preserve">AMG GT</t>
        </is>
      </c>
      <c r="K304" s="46" t="inlineStr">
        <is>
          <t xml:space="preserve">GBADZGCRMZPNXRFFP</t>
        </is>
      </c>
      <c r="L304" s="48" t="inlineStr">
        <is>
          <t xml:space="preserve">02 - Sports / GT</t>
        </is>
      </c>
      <c r="M304" s="50">
        <v>1950000</v>
      </c>
      <c r="N304" s="48" t="inlineStr">
        <is>
          <t xml:space="preserve">Personal</t>
        </is>
      </c>
      <c r="O304" s="46" t="inlineStr">
        <is>
          <t xml:space="preserve">Personal - regular use</t>
        </is>
      </c>
      <c r="P304" s="46" t="inlineStr">
        <is>
          <t xml:space="preserve">Under 1,000</t>
        </is>
      </c>
      <c r="Q304" s="46" t="inlineStr">
        <is>
          <t xml:space="preserve">Rhode Island</t>
        </is>
      </c>
      <c r="R304" s="46" t="inlineStr">
        <is>
          <t xml:space="preserve">02903</t>
        </is>
      </c>
      <c r="S304" s="48" t="inlineStr">
        <is>
          <t xml:space="preserve">Tier 3 - Coastal wind (25-100 miles)</t>
        </is>
      </c>
      <c r="T304" s="36">
        <f>IF($A304="","",IF($S304="","",IFERROR(INDEX('[1]natural catastrophe'!$D$6:$D$17,MATCH($S304,'[1]natural catastrophe'!$B$6:$B$17,0)),"?")))</f>
      </c>
      <c r="U304" s="46" t="inlineStr">
        <is>
          <t xml:space="preserve">2% of agreed value, minimum $10,000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24374.16</v>
      </c>
      <c r="AC304" s="51">
        <v>0</v>
      </c>
      <c r="AD304" s="38">
        <f>IF(ISNUMBER($AB304),$AB304*(1+N($AC304)),"")</f>
      </c>
      <c r="AE304" s="50">
        <v>350</v>
      </c>
      <c r="AF304" s="50">
        <v>250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CANON-202602-005068</t>
        </is>
      </c>
      <c r="B305" s="30" t="inlineStr">
        <is>
          <t xml:space="preserve">Priya Chattopadhyay</t>
        </is>
      </c>
      <c r="C305" s="31">
        <v>46071</v>
      </c>
      <c r="D305" s="32" t="inlineStr">
        <is>
          <t xml:space="preserve">Bound - within authority</t>
        </is>
      </c>
      <c r="E305" s="32" t="inlineStr">
        <is>
          <t xml:space="preserve">New business</t>
        </is>
      </c>
      <c r="F305" s="30" t="inlineStr">
        <is>
          <t xml:space="preserve">B1234EXOTIC26</t>
        </is>
      </c>
      <c r="G305" s="33">
        <f>IF($A305="","",IF($C305="","",YEAR($C305)))</f>
      </c>
      <c r="H305" s="34">
        <v>2001</v>
      </c>
      <c r="I305" s="30" t="inlineStr">
        <is>
          <t xml:space="preserve">Jaguar</t>
        </is>
      </c>
      <c r="J305" s="30" t="inlineStr">
        <is>
          <t xml:space="preserve">E-Type Series 1</t>
        </is>
      </c>
      <c r="K305" s="30" t="inlineStr">
        <is>
          <t xml:space="preserve">3G5FHGSMHWAYS6RRN</t>
        </is>
      </c>
      <c r="L305" s="32" t="inlineStr">
        <is>
          <t xml:space="preserve">09 - Youngtimer / Collectible (2000-2010)</t>
        </is>
      </c>
      <c r="M305" s="35">
        <v>480000</v>
      </c>
      <c r="N305" s="32" t="inlineStr">
        <is>
          <t xml:space="preserve">Personal</t>
        </is>
      </c>
      <c r="O305" s="30" t="inlineStr">
        <is>
          <t xml:space="preserve">Personal - regular use</t>
        </is>
      </c>
      <c r="P305" s="30" t="inlineStr">
        <is>
          <t xml:space="preserve">1,000 - 2,500</t>
        </is>
      </c>
      <c r="Q305" s="30" t="inlineStr">
        <is>
          <t xml:space="preserve">Texas</t>
        </is>
      </c>
      <c r="R305" s="30" t="inlineStr">
        <is>
          <t xml:space="preserve">75201</t>
        </is>
      </c>
      <c r="S305" s="32" t="inlineStr">
        <is>
          <t xml:space="preserve">Tier 2 - Coastal wind (1-25 miles)</t>
        </is>
      </c>
      <c r="T305" s="36">
        <f>IF($A305="","",IF($S305="","",IFERROR(INDEX('[1]natural catastrophe'!$D$6:$D$17,MATCH($S305,'[1]natural catastrophe'!$B$6:$B$17,0)),"?")))</f>
      </c>
      <c r="U305" s="30" t="inlineStr">
        <is>
          <t xml:space="preserve">2% of agreed value, minimum $10,000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4395.34</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CANON-202602-005069</t>
        </is>
      </c>
      <c r="B306" s="46" t="inlineStr">
        <is>
          <t xml:space="preserve">Ramona Underwood</t>
        </is>
      </c>
      <c r="C306" s="47">
        <v>46063</v>
      </c>
      <c r="D306" s="48" t="inlineStr">
        <is>
          <t xml:space="preserve">Bound - within authority</t>
        </is>
      </c>
      <c r="E306" s="48" t="inlineStr">
        <is>
          <t xml:space="preserve">New business</t>
        </is>
      </c>
      <c r="F306" s="46" t="inlineStr">
        <is>
          <t xml:space="preserve">B1234EXOTIC26</t>
        </is>
      </c>
      <c r="G306" s="33">
        <f>IF($A306="","",IF($C306="","",YEAR($C306)))</f>
      </c>
      <c r="H306" s="49">
        <v>1989</v>
      </c>
      <c r="I306" s="46" t="inlineStr">
        <is>
          <t xml:space="preserve">BMW</t>
        </is>
      </c>
      <c r="J306" s="46" t="inlineStr">
        <is>
          <t xml:space="preserve">M8 Competition</t>
        </is>
      </c>
      <c r="K306" s="46" t="inlineStr">
        <is>
          <t xml:space="preserve">LVKKDNN8WLESBLX0J</t>
        </is>
      </c>
      <c r="L306" s="48" t="inlineStr">
        <is>
          <t xml:space="preserve">02 - Sports / GT</t>
        </is>
      </c>
      <c r="M306" s="50">
        <v>1660000</v>
      </c>
      <c r="N306" s="48" t="inlineStr">
        <is>
          <t xml:space="preserve">Personal</t>
        </is>
      </c>
      <c r="O306" s="46" t="inlineStr">
        <is>
          <t xml:space="preserve">Personal - regular use</t>
        </is>
      </c>
      <c r="P306" s="46" t="inlineStr">
        <is>
          <t xml:space="preserve">2,500 - 5,000</t>
        </is>
      </c>
      <c r="Q306" s="46" t="inlineStr">
        <is>
          <t xml:space="preserve">Florida</t>
        </is>
      </c>
      <c r="R306" s="46" t="inlineStr">
        <is>
          <t xml:space="preserve">33139</t>
        </is>
      </c>
      <c r="S306" s="48" t="inlineStr">
        <is>
          <t xml:space="preserve">Tier 2 - Coastal wind (1-25 miles)</t>
        </is>
      </c>
      <c r="T306" s="36">
        <f>IF($A306="","",IF($S306="","",IFERROR(INDEX('[1]natural catastrophe'!$D$6:$D$17,MATCH($S306,'[1]natural catastrophe'!$B$6:$B$17,0)),"?")))</f>
      </c>
      <c r="U306" s="46" t="inlineStr">
        <is>
          <t xml:space="preserve">2% of agreed value, minimum $10,000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21506.56</v>
      </c>
      <c r="AC306" s="51">
        <v>0</v>
      </c>
      <c r="AD306" s="38">
        <f>IF(ISNUMBER($AB306),$AB306*(1+N($AC306)),"")</f>
      </c>
      <c r="AE306" s="50">
        <v>350</v>
      </c>
      <c r="AF306" s="50">
        <v>250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CANON-202602-005070</t>
        </is>
      </c>
      <c r="B307" s="30" t="inlineStr">
        <is>
          <t xml:space="preserve">Anouk Delacroix</t>
        </is>
      </c>
      <c r="C307" s="31">
        <v>46066</v>
      </c>
      <c r="D307" s="32" t="inlineStr">
        <is>
          <t xml:space="preserve">Bound - within authority</t>
        </is>
      </c>
      <c r="E307" s="32" t="inlineStr">
        <is>
          <t xml:space="preserve">New business</t>
        </is>
      </c>
      <c r="F307" s="30" t="inlineStr">
        <is>
          <t xml:space="preserve">B1234EXOTIC26</t>
        </is>
      </c>
      <c r="G307" s="33">
        <f>IF($A307="","",IF($C307="","",YEAR($C307)))</f>
      </c>
      <c r="H307" s="34">
        <v>1974</v>
      </c>
      <c r="I307" s="30" t="inlineStr">
        <is>
          <t xml:space="preserve">BMW</t>
        </is>
      </c>
      <c r="J307" s="30" t="inlineStr">
        <is>
          <t xml:space="preserve">M8 Competition</t>
        </is>
      </c>
      <c r="K307" s="30" t="inlineStr">
        <is>
          <t xml:space="preserve">L1E8JJY5CRSRE1420</t>
        </is>
      </c>
      <c r="L307" s="32" t="inlineStr">
        <is>
          <t xml:space="preserve">02 - Sports / GT</t>
        </is>
      </c>
      <c r="M307" s="35">
        <v>600000</v>
      </c>
      <c r="N307" s="32" t="inlineStr">
        <is>
          <t xml:space="preserve">Personal</t>
        </is>
      </c>
      <c r="O307" s="30" t="inlineStr">
        <is>
          <t xml:space="preserve">Personal - regular use</t>
        </is>
      </c>
      <c r="P307" s="30" t="inlineStr">
        <is>
          <t xml:space="preserve">Under 1,000</t>
        </is>
      </c>
      <c r="Q307" s="30" t="inlineStr">
        <is>
          <t xml:space="preserve">Arkansas</t>
        </is>
      </c>
      <c r="R307" s="30" t="inlineStr">
        <is>
          <t xml:space="preserve">72201</t>
        </is>
      </c>
      <c r="S307" s="32" t="inlineStr">
        <is>
          <t xml:space="preserve">Severe convective - hail / tornado (moderate)</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8928.03</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CANON-202602-005073</t>
        </is>
      </c>
      <c r="B308" s="46" t="inlineStr">
        <is>
          <t xml:space="preserve">Lorenzo Fairweather</t>
        </is>
      </c>
      <c r="C308" s="47">
        <v>46055</v>
      </c>
      <c r="D308" s="48" t="inlineStr">
        <is>
          <t xml:space="preserve">Bound - within authority</t>
        </is>
      </c>
      <c r="E308" s="48" t="inlineStr">
        <is>
          <t xml:space="preserve">New business</t>
        </is>
      </c>
      <c r="F308" s="46" t="inlineStr">
        <is>
          <t xml:space="preserve">B1234EXOTIC26</t>
        </is>
      </c>
      <c r="G308" s="33">
        <f>IF($A308="","",IF($C308="","",YEAR($C308)))</f>
      </c>
      <c r="H308" s="49">
        <v>1994</v>
      </c>
      <c r="I308" s="46" t="inlineStr">
        <is>
          <t xml:space="preserve">Mercedes-Benz</t>
        </is>
      </c>
      <c r="J308" s="46" t="inlineStr">
        <is>
          <t xml:space="preserve">AMG GT</t>
        </is>
      </c>
      <c r="K308" s="46" t="inlineStr">
        <is>
          <t xml:space="preserve">A674967N0RHA5GTGJ</t>
        </is>
      </c>
      <c r="L308" s="48" t="inlineStr">
        <is>
          <t xml:space="preserve">02 - Sports / GT</t>
        </is>
      </c>
      <c r="M308" s="50">
        <v>555000</v>
      </c>
      <c r="N308" s="48" t="inlineStr">
        <is>
          <t xml:space="preserve">Personal</t>
        </is>
      </c>
      <c r="O308" s="46" t="inlineStr">
        <is>
          <t xml:space="preserve">Personal - regular use</t>
        </is>
      </c>
      <c r="P308" s="46" t="inlineStr">
        <is>
          <t xml:space="preserve">2,500 - 5,000</t>
        </is>
      </c>
      <c r="Q308" s="46" t="inlineStr">
        <is>
          <t xml:space="preserve">North Carolina</t>
        </is>
      </c>
      <c r="R308" s="46" t="inlineStr">
        <is>
          <t xml:space="preserve">28202</t>
        </is>
      </c>
      <c r="S308" s="48" t="inlineStr">
        <is>
          <t xml:space="preserve">Tier 2 - Coastal wind (1-25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6882.02</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CANON-202602-005075</t>
        </is>
      </c>
      <c r="B309" s="30" t="inlineStr">
        <is>
          <t xml:space="preserve">Marisol Pennington</t>
        </is>
      </c>
      <c r="C309" s="31">
        <v>46055</v>
      </c>
      <c r="D309" s="32" t="inlineStr">
        <is>
          <t xml:space="preserve">Bound - within authority</t>
        </is>
      </c>
      <c r="E309" s="32" t="inlineStr">
        <is>
          <t xml:space="preserve">New business</t>
        </is>
      </c>
      <c r="F309" s="30" t="inlineStr">
        <is>
          <t xml:space="preserve">B1234EXOTIC26</t>
        </is>
      </c>
      <c r="G309" s="33">
        <f>IF($A309="","",IF($C309="","",YEAR($C309)))</f>
      </c>
      <c r="H309" s="34">
        <v>1995</v>
      </c>
      <c r="I309" s="30" t="inlineStr">
        <is>
          <t xml:space="preserve">Aston Martin</t>
        </is>
      </c>
      <c r="J309" s="30" t="inlineStr">
        <is>
          <t xml:space="preserve">DB12</t>
        </is>
      </c>
      <c r="K309" s="30" t="inlineStr">
        <is>
          <t xml:space="preserve">EAP3AH23FBC0JMLXW</t>
        </is>
      </c>
      <c r="L309" s="32" t="inlineStr">
        <is>
          <t xml:space="preserve">02 - Sports / GT</t>
        </is>
      </c>
      <c r="M309" s="35">
        <v>670000</v>
      </c>
      <c r="N309" s="32" t="inlineStr">
        <is>
          <t xml:space="preserve">Personal</t>
        </is>
      </c>
      <c r="O309" s="30" t="inlineStr">
        <is>
          <t xml:space="preserve">Personal - regular use</t>
        </is>
      </c>
      <c r="P309" s="30" t="inlineStr">
        <is>
          <t xml:space="preserve">Under 1,000</t>
        </is>
      </c>
      <c r="Q309" s="30" t="inlineStr">
        <is>
          <t xml:space="preserve">Alaska</t>
        </is>
      </c>
      <c r="R309" s="30" t="inlineStr">
        <is>
          <t xml:space="preserve">99501</t>
        </is>
      </c>
      <c r="S309" s="32" t="inlineStr">
        <is>
          <t xml:space="preserve">Earthquake - high (CA, Cascadia, New Madrid)</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8235.78</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CANON-202602-005077</t>
        </is>
      </c>
      <c r="B310" s="46" t="inlineStr">
        <is>
          <t xml:space="preserve">Delphine Nakashima</t>
        </is>
      </c>
      <c r="C310" s="47">
        <v>46080</v>
      </c>
      <c r="D310" s="48" t="inlineStr">
        <is>
          <t xml:space="preserve">Bound - within authority</t>
        </is>
      </c>
      <c r="E310" s="48" t="inlineStr">
        <is>
          <t xml:space="preserve">New business</t>
        </is>
      </c>
      <c r="F310" s="46" t="inlineStr">
        <is>
          <t xml:space="preserve">B1234EXOTIC26</t>
        </is>
      </c>
      <c r="G310" s="33">
        <f>IF($A310="","",IF($C310="","",YEAR($C310)))</f>
      </c>
      <c r="H310" s="49">
        <v>1975</v>
      </c>
      <c r="I310" s="46" t="inlineStr">
        <is>
          <t xml:space="preserve">Maserati</t>
        </is>
      </c>
      <c r="J310" s="46" t="inlineStr">
        <is>
          <t xml:space="preserve">GranTurismo</t>
        </is>
      </c>
      <c r="K310" s="46" t="inlineStr">
        <is>
          <t xml:space="preserve">AACJW28NPLCVHHZ2P</t>
        </is>
      </c>
      <c r="L310" s="48" t="inlineStr">
        <is>
          <t xml:space="preserve">02 - Sports / GT</t>
        </is>
      </c>
      <c r="M310" s="50">
        <v>665000</v>
      </c>
      <c r="N310" s="48" t="inlineStr">
        <is>
          <t xml:space="preserve">Personal</t>
        </is>
      </c>
      <c r="O310" s="46" t="inlineStr">
        <is>
          <t xml:space="preserve">Personal - regular use</t>
        </is>
      </c>
      <c r="P310" s="46" t="inlineStr">
        <is>
          <t xml:space="preserve">Under 1,000</t>
        </is>
      </c>
      <c r="Q310" s="46" t="inlineStr">
        <is>
          <t xml:space="preserve">Nevada</t>
        </is>
      </c>
      <c r="R310" s="46" t="inlineStr">
        <is>
          <t xml:space="preserve">89101</t>
        </is>
      </c>
      <c r="S310" s="48" t="inlineStr">
        <is>
          <t xml:space="preserve">Wildfire - WUI high hazard</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8389.43</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CANON-202602-005078</t>
        </is>
      </c>
      <c r="B311" s="30" t="inlineStr">
        <is>
          <t xml:space="preserve">Mireille Castellanos</t>
        </is>
      </c>
      <c r="C311" s="31">
        <v>46061</v>
      </c>
      <c r="D311" s="32" t="inlineStr">
        <is>
          <t xml:space="preserve">Bound - within authority</t>
        </is>
      </c>
      <c r="E311" s="32" t="inlineStr">
        <is>
          <t xml:space="preserve">New business</t>
        </is>
      </c>
      <c r="F311" s="30" t="inlineStr">
        <is>
          <t xml:space="preserve">B1234EXOTIC26</t>
        </is>
      </c>
      <c r="G311" s="33">
        <f>IF($A311="","",IF($C311="","",YEAR($C311)))</f>
      </c>
      <c r="H311" s="34">
        <v>1999</v>
      </c>
      <c r="I311" s="30" t="inlineStr">
        <is>
          <t xml:space="preserve">Maserati</t>
        </is>
      </c>
      <c r="J311" s="30" t="inlineStr">
        <is>
          <t xml:space="preserve">GranTurismo</t>
        </is>
      </c>
      <c r="K311" s="30" t="inlineStr">
        <is>
          <t xml:space="preserve">V8FF3FSSWGTXHKNXW</t>
        </is>
      </c>
      <c r="L311" s="32" t="inlineStr">
        <is>
          <t xml:space="preserve">02 - Sports / GT</t>
        </is>
      </c>
      <c r="M311" s="35">
        <v>1155000</v>
      </c>
      <c r="N311" s="32" t="inlineStr">
        <is>
          <t xml:space="preserve">Personal</t>
        </is>
      </c>
      <c r="O311" s="30" t="inlineStr">
        <is>
          <t xml:space="preserve">Personal - regular use</t>
        </is>
      </c>
      <c r="P311" s="30" t="inlineStr">
        <is>
          <t xml:space="preserve">Under 1,000</t>
        </is>
      </c>
      <c r="Q311" s="30" t="inlineStr">
        <is>
          <t xml:space="preserve">California</t>
        </is>
      </c>
      <c r="R311" s="30" t="inlineStr">
        <is>
          <t xml:space="preserve">90012</t>
        </is>
      </c>
      <c r="S311" s="32" t="inlineStr">
        <is>
          <t xml:space="preserve">Earthquake - high (CA, Cascadia, New Madrid)</t>
        </is>
      </c>
      <c r="T311" s="36">
        <f>IF($A311="","",IF($S311="","",IFERROR(INDEX('[1]natural catastrophe'!$D$6:$D$17,MATCH($S311,'[1]natural catastrophe'!$B$6:$B$17,0)),"?")))</f>
      </c>
      <c r="U311" s="30" t="inlineStr">
        <is>
          <t xml:space="preserve">$5,000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14226.25</v>
      </c>
      <c r="AC311" s="37">
        <v>0</v>
      </c>
      <c r="AD311" s="38">
        <f>IF(ISNUMBER($AB311),$AB311*(1+N($AC311)),"")</f>
      </c>
      <c r="AE311" s="35">
        <v>350</v>
      </c>
      <c r="AF311" s="35">
        <v>250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CANON-202602-005079</t>
        </is>
      </c>
      <c r="B312" s="46" t="inlineStr">
        <is>
          <t xml:space="preserve">Noor Delacroix</t>
        </is>
      </c>
      <c r="C312" s="47">
        <v>46071</v>
      </c>
      <c r="D312" s="48" t="inlineStr">
        <is>
          <t xml:space="preserve">Bound - within authority</t>
        </is>
      </c>
      <c r="E312" s="48" t="inlineStr">
        <is>
          <t xml:space="preserve">New business</t>
        </is>
      </c>
      <c r="F312" s="46" t="inlineStr">
        <is>
          <t xml:space="preserve">B1234EXOTIC26</t>
        </is>
      </c>
      <c r="G312" s="33">
        <f>IF($A312="","",IF($C312="","",YEAR($C312)))</f>
      </c>
      <c r="H312" s="49">
        <v>2005</v>
      </c>
      <c r="I312" s="46" t="inlineStr">
        <is>
          <t xml:space="preserve">Mercedes-Benz</t>
        </is>
      </c>
      <c r="J312" s="46" t="inlineStr">
        <is>
          <t xml:space="preserve">280SL Pagoda</t>
        </is>
      </c>
      <c r="K312" s="46" t="inlineStr">
        <is>
          <t xml:space="preserve">1JW9VBPD3EEPHV238</t>
        </is>
      </c>
      <c r="L312" s="48" t="inlineStr">
        <is>
          <t xml:space="preserve">09 - Youngtimer / Collectible (2000-2010)</t>
        </is>
      </c>
      <c r="M312" s="50">
        <v>445000</v>
      </c>
      <c r="N312" s="48" t="inlineStr">
        <is>
          <t xml:space="preserve">Personal</t>
        </is>
      </c>
      <c r="O312" s="46" t="inlineStr">
        <is>
          <t xml:space="preserve">Personal - regular use</t>
        </is>
      </c>
      <c r="P312" s="46" t="inlineStr">
        <is>
          <t xml:space="preserve">Under 1,000</t>
        </is>
      </c>
      <c r="Q312" s="46" t="inlineStr">
        <is>
          <t xml:space="preserve">Pennsylvania</t>
        </is>
      </c>
      <c r="R312" s="46" t="inlineStr">
        <is>
          <t xml:space="preserve">19103</t>
        </is>
      </c>
      <c r="S312" s="48" t="inlineStr">
        <is>
          <t xml:space="preserve">Low hazard - inland benign</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3543.34</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CANON-202602-005080</t>
        </is>
      </c>
      <c r="B313" s="30" t="inlineStr">
        <is>
          <t xml:space="preserve">Delphine Underwood</t>
        </is>
      </c>
      <c r="C313" s="31">
        <v>46055</v>
      </c>
      <c r="D313" s="32" t="inlineStr">
        <is>
          <t xml:space="preserve">Bound - within authority</t>
        </is>
      </c>
      <c r="E313" s="32" t="inlineStr">
        <is>
          <t xml:space="preserve">New business</t>
        </is>
      </c>
      <c r="F313" s="30" t="inlineStr">
        <is>
          <t xml:space="preserve">B1234EXOTIC26</t>
        </is>
      </c>
      <c r="G313" s="33">
        <f>IF($A313="","",IF($C313="","",YEAR($C313)))</f>
      </c>
      <c r="H313" s="34">
        <v>1998</v>
      </c>
      <c r="I313" s="30" t="inlineStr">
        <is>
          <t xml:space="preserve">McLaren</t>
        </is>
      </c>
      <c r="J313" s="30" t="inlineStr">
        <is>
          <t xml:space="preserve">750S</t>
        </is>
      </c>
      <c r="K313" s="30" t="inlineStr">
        <is>
          <t xml:space="preserve">UUV2B74NAWTNC1NRT</t>
        </is>
      </c>
      <c r="L313" s="32" t="inlineStr">
        <is>
          <t xml:space="preserve">03 - Supercar</t>
        </is>
      </c>
      <c r="M313" s="35">
        <v>980000</v>
      </c>
      <c r="N313" s="32" t="inlineStr">
        <is>
          <t xml:space="preserve">Personal</t>
        </is>
      </c>
      <c r="O313" s="30" t="inlineStr">
        <is>
          <t xml:space="preserve">Personal - regular use</t>
        </is>
      </c>
      <c r="P313" s="30" t="inlineStr">
        <is>
          <t xml:space="preserve">Under 1,000</t>
        </is>
      </c>
      <c r="Q313" s="30" t="inlineStr">
        <is>
          <t xml:space="preserve">Connecticut</t>
        </is>
      </c>
      <c r="R313" s="30" t="inlineStr">
        <is>
          <t xml:space="preserve">06103</t>
        </is>
      </c>
      <c r="S313" s="32" t="inlineStr">
        <is>
          <t xml:space="preserve">Tier 3 - Coastal wind (25-100 miles)</t>
        </is>
      </c>
      <c r="T313" s="36">
        <f>IF($A313="","",IF($S313="","",IFERROR(INDEX('[1]natural catastrophe'!$D$6:$D$17,MATCH($S313,'[1]natural catastrophe'!$B$6:$B$17,0)),"?")))</f>
      </c>
      <c r="U313" s="30" t="inlineStr">
        <is>
          <t xml:space="preserve">2% of agreed value, minimum $10,000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17297.35</v>
      </c>
      <c r="AC313" s="37">
        <v>0</v>
      </c>
      <c r="AD313" s="38">
        <f>IF(ISNUMBER($AB313),$AB313*(1+N($AC313)),"")</f>
      </c>
      <c r="AE313" s="35">
        <v>350</v>
      </c>
      <c r="AF313" s="35">
        <v>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CANON-202602-005081</t>
        </is>
      </c>
      <c r="B314" s="46" t="inlineStr">
        <is>
          <t xml:space="preserve">Horace Okonkwo</t>
        </is>
      </c>
      <c r="C314" s="47">
        <v>46080</v>
      </c>
      <c r="D314" s="48" t="inlineStr">
        <is>
          <t xml:space="preserve">Bound - within authority</t>
        </is>
      </c>
      <c r="E314" s="48" t="inlineStr">
        <is>
          <t xml:space="preserve">New business</t>
        </is>
      </c>
      <c r="F314" s="46" t="inlineStr">
        <is>
          <t xml:space="preserve">B1234EXOTIC26</t>
        </is>
      </c>
      <c r="G314" s="33">
        <f>IF($A314="","",IF($C314="","",YEAR($C314)))</f>
      </c>
      <c r="H314" s="49">
        <v>2007</v>
      </c>
      <c r="I314" s="46" t="inlineStr">
        <is>
          <t xml:space="preserve">Ferrari</t>
        </is>
      </c>
      <c r="J314" s="46" t="inlineStr">
        <is>
          <t xml:space="preserve">SF90 Stradale</t>
        </is>
      </c>
      <c r="K314" s="46" t="inlineStr">
        <is>
          <t xml:space="preserve">6KA01PS3WL8T5CT98</t>
        </is>
      </c>
      <c r="L314" s="48" t="inlineStr">
        <is>
          <t xml:space="preserve">03 - Supercar</t>
        </is>
      </c>
      <c r="M314" s="50">
        <v>660000</v>
      </c>
      <c r="N314" s="48" t="inlineStr">
        <is>
          <t xml:space="preserve">Personal</t>
        </is>
      </c>
      <c r="O314" s="46" t="inlineStr">
        <is>
          <t xml:space="preserve">Personal - regular use</t>
        </is>
      </c>
      <c r="P314" s="46" t="inlineStr">
        <is>
          <t xml:space="preserve">Under 1,000</t>
        </is>
      </c>
      <c r="Q314" s="46" t="inlineStr">
        <is>
          <t xml:space="preserve">Hawaii</t>
        </is>
      </c>
      <c r="R314" s="46" t="inlineStr">
        <is>
          <t xml:space="preserve">96813</t>
        </is>
      </c>
      <c r="S314" s="48" t="inlineStr">
        <is>
          <t xml:space="preserve">Earthquake - high (CA, Cascadia, New Madrid)</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13521.44</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CANON-202602-005084</t>
        </is>
      </c>
      <c r="B315" s="30" t="inlineStr">
        <is>
          <t xml:space="preserve">Priya Underwood</t>
        </is>
      </c>
      <c r="C315" s="31">
        <v>46072</v>
      </c>
      <c r="D315" s="32" t="inlineStr">
        <is>
          <t xml:space="preserve">Bound - within authority</t>
        </is>
      </c>
      <c r="E315" s="32" t="inlineStr">
        <is>
          <t xml:space="preserve">New business</t>
        </is>
      </c>
      <c r="F315" s="30" t="inlineStr">
        <is>
          <t xml:space="preserve">B1234EXOTIC26</t>
        </is>
      </c>
      <c r="G315" s="33">
        <f>IF($A315="","",IF($C315="","",YEAR($C315)))</f>
      </c>
      <c r="H315" s="34">
        <v>1985</v>
      </c>
      <c r="I315" s="30" t="inlineStr">
        <is>
          <t xml:space="preserve">Mercedes-Benz</t>
        </is>
      </c>
      <c r="J315" s="30" t="inlineStr">
        <is>
          <t xml:space="preserve">AMG GT</t>
        </is>
      </c>
      <c r="K315" s="30" t="inlineStr">
        <is>
          <t xml:space="preserve">AE1L66V6WEAAEUVS6</t>
        </is>
      </c>
      <c r="L315" s="32" t="inlineStr">
        <is>
          <t xml:space="preserve">02 - Sports / GT</t>
        </is>
      </c>
      <c r="M315" s="35">
        <v>910000</v>
      </c>
      <c r="N315" s="32" t="inlineStr">
        <is>
          <t xml:space="preserve">Personal</t>
        </is>
      </c>
      <c r="O315" s="30" t="inlineStr">
        <is>
          <t xml:space="preserve">Personal - regular use</t>
        </is>
      </c>
      <c r="P315" s="30" t="inlineStr">
        <is>
          <t xml:space="preserve">Under 1,000</t>
        </is>
      </c>
      <c r="Q315" s="30" t="inlineStr">
        <is>
          <t xml:space="preserve">Florida</t>
        </is>
      </c>
      <c r="R315" s="30" t="inlineStr">
        <is>
          <t xml:space="preserve">33139</t>
        </is>
      </c>
      <c r="S315" s="32" t="inlineStr">
        <is>
          <t xml:space="preserve">Tier 2 - Coastal wind (1-25 miles)</t>
        </is>
      </c>
      <c r="T315" s="36">
        <f>IF($A315="","",IF($S315="","",IFERROR(INDEX('[1]natural catastrophe'!$D$6:$D$17,MATCH($S315,'[1]natural catastrophe'!$B$6:$B$17,0)),"?")))</f>
      </c>
      <c r="U315" s="30" t="inlineStr">
        <is>
          <t xml:space="preserve">2% of agreed value, minimum $10,000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13933.33</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CANON-202602-005085</t>
        </is>
      </c>
      <c r="B316" s="46" t="inlineStr">
        <is>
          <t xml:space="preserve">Anouk Thistlewood</t>
        </is>
      </c>
      <c r="C316" s="47">
        <v>46064</v>
      </c>
      <c r="D316" s="48" t="inlineStr">
        <is>
          <t xml:space="preserve">Bound - within authority</t>
        </is>
      </c>
      <c r="E316" s="48" t="inlineStr">
        <is>
          <t xml:space="preserve">New business</t>
        </is>
      </c>
      <c r="F316" s="46" t="inlineStr">
        <is>
          <t xml:space="preserve">B1234EXOTIC26</t>
        </is>
      </c>
      <c r="G316" s="33">
        <f>IF($A316="","",IF($C316="","",YEAR($C316)))</f>
      </c>
      <c r="H316" s="49">
        <v>1976</v>
      </c>
      <c r="I316" s="46" t="inlineStr">
        <is>
          <t xml:space="preserve">Maserati</t>
        </is>
      </c>
      <c r="J316" s="46" t="inlineStr">
        <is>
          <t xml:space="preserve">GranTurismo</t>
        </is>
      </c>
      <c r="K316" s="46" t="inlineStr">
        <is>
          <t xml:space="preserve">RR2T759P6X4DDPPSP</t>
        </is>
      </c>
      <c r="L316" s="48" t="inlineStr">
        <is>
          <t xml:space="preserve">02 - Sports / GT</t>
        </is>
      </c>
      <c r="M316" s="50">
        <v>1760000</v>
      </c>
      <c r="N316" s="48" t="inlineStr">
        <is>
          <t xml:space="preserve">Personal</t>
        </is>
      </c>
      <c r="O316" s="46" t="inlineStr">
        <is>
          <t xml:space="preserve">Personal - regular use</t>
        </is>
      </c>
      <c r="P316" s="46" t="inlineStr">
        <is>
          <t xml:space="preserve">1,000 - 2,500</t>
        </is>
      </c>
      <c r="Q316" s="46" t="inlineStr">
        <is>
          <t xml:space="preserve">Georgia</t>
        </is>
      </c>
      <c r="R316" s="46" t="inlineStr">
        <is>
          <t xml:space="preserve">30303</t>
        </is>
      </c>
      <c r="S316" s="48" t="inlineStr">
        <is>
          <t xml:space="preserve">Tier 2 - Coastal wind (1-25 miles)</t>
        </is>
      </c>
      <c r="T316" s="36">
        <f>IF($A316="","",IF($S316="","",IFERROR(INDEX('[1]natural catastrophe'!$D$6:$D$17,MATCH($S316,'[1]natural catastrophe'!$B$6:$B$17,0)),"?")))</f>
      </c>
      <c r="U316" s="46" t="inlineStr">
        <is>
          <t xml:space="preserve">2% of agreed value, minimum $10,000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17984.78</v>
      </c>
      <c r="AC316" s="51">
        <v>0</v>
      </c>
      <c r="AD316" s="38">
        <f>IF(ISNUMBER($AB316),$AB316*(1+N($AC316)),"")</f>
      </c>
      <c r="AE316" s="50">
        <v>350</v>
      </c>
      <c r="AF316" s="50">
        <v>250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CANON-202602-005086</t>
        </is>
      </c>
      <c r="B317" s="30" t="inlineStr">
        <is>
          <t xml:space="preserve">Sunniva Nakashima</t>
        </is>
      </c>
      <c r="C317" s="31">
        <v>46063</v>
      </c>
      <c r="D317" s="32" t="inlineStr">
        <is>
          <t xml:space="preserve">Bound - within authority</t>
        </is>
      </c>
      <c r="E317" s="32" t="inlineStr">
        <is>
          <t xml:space="preserve">New business</t>
        </is>
      </c>
      <c r="F317" s="30" t="inlineStr">
        <is>
          <t xml:space="preserve">B1234EXOTIC26</t>
        </is>
      </c>
      <c r="G317" s="33">
        <f>IF($A317="","",IF($C317="","",YEAR($C317)))</f>
      </c>
      <c r="H317" s="34">
        <v>2018</v>
      </c>
      <c r="I317" s="30" t="inlineStr">
        <is>
          <t xml:space="preserve">Maserati</t>
        </is>
      </c>
      <c r="J317" s="30" t="inlineStr">
        <is>
          <t xml:space="preserve">GranTurismo</t>
        </is>
      </c>
      <c r="K317" s="30" t="inlineStr">
        <is>
          <t xml:space="preserve">V1P0PV3DK4LDDN3XD</t>
        </is>
      </c>
      <c r="L317" s="32" t="inlineStr">
        <is>
          <t xml:space="preserve">02 - Sports / GT</t>
        </is>
      </c>
      <c r="M317" s="35">
        <v>330000</v>
      </c>
      <c r="N317" s="32" t="inlineStr">
        <is>
          <t xml:space="preserve">Personal</t>
        </is>
      </c>
      <c r="O317" s="30" t="inlineStr">
        <is>
          <t xml:space="preserve">Personal - regular use</t>
        </is>
      </c>
      <c r="P317" s="30" t="inlineStr">
        <is>
          <t xml:space="preserve">Under 1,000</t>
        </is>
      </c>
      <c r="Q317" s="30" t="inlineStr">
        <is>
          <t xml:space="preserve">Kentucky</t>
        </is>
      </c>
      <c r="R317" s="30" t="inlineStr">
        <is>
          <t xml:space="preserve">40202</t>
        </is>
      </c>
      <c r="S317" s="32" t="inlineStr">
        <is>
          <t xml:space="preserve">Severe convective - hail / tornado (moderate)</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5501.64</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CANON-202602-005087</t>
        </is>
      </c>
      <c r="B318" s="46" t="inlineStr">
        <is>
          <t xml:space="preserve">Thaddeus Chattopadhyay</t>
        </is>
      </c>
      <c r="C318" s="47">
        <v>46056</v>
      </c>
      <c r="D318" s="48" t="inlineStr">
        <is>
          <t xml:space="preserve">Bound - within authority</t>
        </is>
      </c>
      <c r="E318" s="48" t="inlineStr">
        <is>
          <t xml:space="preserve">New business</t>
        </is>
      </c>
      <c r="F318" s="46" t="inlineStr">
        <is>
          <t xml:space="preserve">B1234EXOTIC26</t>
        </is>
      </c>
      <c r="G318" s="33">
        <f>IF($A318="","",IF($C318="","",YEAR($C318)))</f>
      </c>
      <c r="H318" s="49">
        <v>1955</v>
      </c>
      <c r="I318" s="46" t="inlineStr">
        <is>
          <t xml:space="preserve">Lamborghini</t>
        </is>
      </c>
      <c r="J318" s="46" t="inlineStr">
        <is>
          <t xml:space="preserve">Huracan EVO</t>
        </is>
      </c>
      <c r="K318" s="46" t="inlineStr">
        <is>
          <t xml:space="preserve">UC96UNHJ760KS3YRV</t>
        </is>
      </c>
      <c r="L318" s="48" t="inlineStr">
        <is>
          <t xml:space="preserve">03 - Supercar</t>
        </is>
      </c>
      <c r="M318" s="50">
        <v>1950000</v>
      </c>
      <c r="N318" s="48" t="inlineStr">
        <is>
          <t xml:space="preserve">Personal</t>
        </is>
      </c>
      <c r="O318" s="46" t="inlineStr">
        <is>
          <t xml:space="preserve">Personal - regular use</t>
        </is>
      </c>
      <c r="P318" s="46" t="inlineStr">
        <is>
          <t xml:space="preserve">2,500 - 5,000</t>
        </is>
      </c>
      <c r="Q318" s="46" t="inlineStr">
        <is>
          <t xml:space="preserve">Delaware</t>
        </is>
      </c>
      <c r="R318" s="46" t="inlineStr">
        <is>
          <t xml:space="preserve">19801</t>
        </is>
      </c>
      <c r="S318" s="48" t="inlineStr">
        <is>
          <t xml:space="preserve">Tier 3 - Coastal wind (25-100 miles)</t>
        </is>
      </c>
      <c r="T318" s="36">
        <f>IF($A318="","",IF($S318="","",IFERROR(INDEX('[1]natural catastrophe'!$D$6:$D$17,MATCH($S318,'[1]natural catastrophe'!$B$6:$B$17,0)),"?")))</f>
      </c>
      <c r="U318" s="46" t="inlineStr">
        <is>
          <t xml:space="preserve">2% of agreed value, minimum $10,000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32347.92</v>
      </c>
      <c r="AC318" s="51">
        <v>0</v>
      </c>
      <c r="AD318" s="38">
        <f>IF(ISNUMBER($AB318),$AB318*(1+N($AC318)),"")</f>
      </c>
      <c r="AE318" s="50">
        <v>350</v>
      </c>
      <c r="AF318" s="50">
        <v>250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CANON-202602-005089</t>
        </is>
      </c>
      <c r="B319" s="30" t="inlineStr">
        <is>
          <t xml:space="preserve">Cassius Vasquez</t>
        </is>
      </c>
      <c r="C319" s="31">
        <v>46075</v>
      </c>
      <c r="D319" s="32" t="inlineStr">
        <is>
          <t xml:space="preserve">Bound - within authority</t>
        </is>
      </c>
      <c r="E319" s="32" t="inlineStr">
        <is>
          <t xml:space="preserve">New business</t>
        </is>
      </c>
      <c r="F319" s="30" t="inlineStr">
        <is>
          <t xml:space="preserve">B1234EXOTIC26</t>
        </is>
      </c>
      <c r="G319" s="33">
        <f>IF($A319="","",IF($C319="","",YEAR($C319)))</f>
      </c>
      <c r="H319" s="34">
        <v>1963</v>
      </c>
      <c r="I319" s="30" t="inlineStr">
        <is>
          <t xml:space="preserve">Bentley</t>
        </is>
      </c>
      <c r="J319" s="30" t="inlineStr">
        <is>
          <t xml:space="preserve">Continental GT</t>
        </is>
      </c>
      <c r="K319" s="30" t="inlineStr">
        <is>
          <t xml:space="preserve">KW1TUK5AWN8EVBE1T</t>
        </is>
      </c>
      <c r="L319" s="32" t="inlineStr">
        <is>
          <t xml:space="preserve">02 - Sports / GT</t>
        </is>
      </c>
      <c r="M319" s="35">
        <v>270000</v>
      </c>
      <c r="N319" s="32" t="inlineStr">
        <is>
          <t xml:space="preserve">Personal</t>
        </is>
      </c>
      <c r="O319" s="30" t="inlineStr">
        <is>
          <t xml:space="preserve">Personal - regular use</t>
        </is>
      </c>
      <c r="P319" s="30" t="inlineStr">
        <is>
          <t xml:space="preserve">Under 1,000</t>
        </is>
      </c>
      <c r="Q319" s="30" t="inlineStr">
        <is>
          <t xml:space="preserve">South Carolina</t>
        </is>
      </c>
      <c r="R319" s="30" t="inlineStr">
        <is>
          <t xml:space="preserve">29401</t>
        </is>
      </c>
      <c r="S319" s="32" t="inlineStr">
        <is>
          <t xml:space="preserve">Tier 2 - Coastal wind (1-25 miles)</t>
        </is>
      </c>
      <c r="T319" s="36">
        <f>IF($A319="","",IF($S319="","",IFERROR(INDEX('[1]natural catastrophe'!$D$6:$D$17,MATCH($S319,'[1]natural catastrophe'!$B$6:$B$17,0)),"?")))</f>
      </c>
      <c r="U319" s="30" t="inlineStr">
        <is>
          <t xml:space="preserve">2% of agreed value, minimum $10,000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4165.42</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CANON-202602-005090</t>
        </is>
      </c>
      <c r="B320" s="46" t="inlineStr">
        <is>
          <t xml:space="preserve">Desmond Bellandi</t>
        </is>
      </c>
      <c r="C320" s="47">
        <v>46068</v>
      </c>
      <c r="D320" s="48" t="inlineStr">
        <is>
          <t xml:space="preserve">Bound - within authority</t>
        </is>
      </c>
      <c r="E320" s="48" t="inlineStr">
        <is>
          <t xml:space="preserve">New business</t>
        </is>
      </c>
      <c r="F320" s="46" t="inlineStr">
        <is>
          <t xml:space="preserve">B1234EXOTIC26</t>
        </is>
      </c>
      <c r="G320" s="33">
        <f>IF($A320="","",IF($C320="","",YEAR($C320)))</f>
      </c>
      <c r="H320" s="49">
        <v>1982</v>
      </c>
      <c r="I320" s="46" t="inlineStr">
        <is>
          <t xml:space="preserve">Aston Martin</t>
        </is>
      </c>
      <c r="J320" s="46" t="inlineStr">
        <is>
          <t xml:space="preserve">DB12</t>
        </is>
      </c>
      <c r="K320" s="46" t="inlineStr">
        <is>
          <t xml:space="preserve">DBVD628S7U80HPABW</t>
        </is>
      </c>
      <c r="L320" s="48" t="inlineStr">
        <is>
          <t xml:space="preserve">02 - Sports / GT</t>
        </is>
      </c>
      <c r="M320" s="50">
        <v>575000</v>
      </c>
      <c r="N320" s="48" t="inlineStr">
        <is>
          <t xml:space="preserve">Personal</t>
        </is>
      </c>
      <c r="O320" s="46" t="inlineStr">
        <is>
          <t xml:space="preserve">Personal - regular use</t>
        </is>
      </c>
      <c r="P320" s="46" t="inlineStr">
        <is>
          <t xml:space="preserve">Under 1,000</t>
        </is>
      </c>
      <c r="Q320" s="46" t="inlineStr">
        <is>
          <t xml:space="preserve">Virginia</t>
        </is>
      </c>
      <c r="R320" s="46" t="inlineStr">
        <is>
          <t xml:space="preserve">23219</t>
        </is>
      </c>
      <c r="S320" s="48" t="inlineStr">
        <is>
          <t xml:space="preserve">Tier 3 - Coastal wind (25-100 miles)</t>
        </is>
      </c>
      <c r="T320" s="36">
        <f>IF($A320="","",IF($S320="","",IFERROR(INDEX('[1]natural catastrophe'!$D$6:$D$17,MATCH($S320,'[1]natural catastrophe'!$B$6:$B$17,0)),"?")))</f>
      </c>
      <c r="U320" s="46" t="inlineStr">
        <is>
          <t xml:space="preserve">2% of agreed value, minimum $10,000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6758.02</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CANON-202602-005091</t>
        </is>
      </c>
      <c r="B321" s="30" t="inlineStr">
        <is>
          <t xml:space="preserve">Fenwick Thistlewood</t>
        </is>
      </c>
      <c r="C321" s="31">
        <v>46065</v>
      </c>
      <c r="D321" s="32" t="inlineStr">
        <is>
          <t xml:space="preserve">Bound - within authority</t>
        </is>
      </c>
      <c r="E321" s="32" t="inlineStr">
        <is>
          <t xml:space="preserve">New business</t>
        </is>
      </c>
      <c r="F321" s="30" t="inlineStr">
        <is>
          <t xml:space="preserve">B1234EXOTIC26</t>
        </is>
      </c>
      <c r="G321" s="33">
        <f>IF($A321="","",IF($C321="","",YEAR($C321)))</f>
      </c>
      <c r="H321" s="34">
        <v>1984</v>
      </c>
      <c r="I321" s="30" t="inlineStr">
        <is>
          <t xml:space="preserve">Bentley</t>
        </is>
      </c>
      <c r="J321" s="30" t="inlineStr">
        <is>
          <t xml:space="preserve">Continental GT</t>
        </is>
      </c>
      <c r="K321" s="30" t="inlineStr">
        <is>
          <t xml:space="preserve">FBT5UYVAU8Z8AVL7G</t>
        </is>
      </c>
      <c r="L321" s="32" t="inlineStr">
        <is>
          <t xml:space="preserve">02 - Sports / GT</t>
        </is>
      </c>
      <c r="M321" s="35">
        <v>300000</v>
      </c>
      <c r="N321" s="32" t="inlineStr">
        <is>
          <t xml:space="preserve">Personal</t>
        </is>
      </c>
      <c r="O321" s="30" t="inlineStr">
        <is>
          <t xml:space="preserve">Personal - regular use</t>
        </is>
      </c>
      <c r="P321" s="30" t="inlineStr">
        <is>
          <t xml:space="preserve">Under 1,000</t>
        </is>
      </c>
      <c r="Q321" s="30" t="inlineStr">
        <is>
          <t xml:space="preserve">California</t>
        </is>
      </c>
      <c r="R321" s="30" t="inlineStr">
        <is>
          <t xml:space="preserve">90012</t>
        </is>
      </c>
      <c r="S321" s="32" t="inlineStr">
        <is>
          <t xml:space="preserve">Earthquake - high (CA, Cascadia, New Madrid)</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5038.81</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CANON-202602-005092</t>
        </is>
      </c>
      <c r="B322" s="46" t="inlineStr">
        <is>
          <t xml:space="preserve">Fitzgerald Larsson</t>
        </is>
      </c>
      <c r="C322" s="47">
        <v>46054</v>
      </c>
      <c r="D322" s="48" t="inlineStr">
        <is>
          <t xml:space="preserve">Bound - within authority</t>
        </is>
      </c>
      <c r="E322" s="48" t="inlineStr">
        <is>
          <t xml:space="preserve">New business</t>
        </is>
      </c>
      <c r="F322" s="46" t="inlineStr">
        <is>
          <t xml:space="preserve">B1234EXOTIC26</t>
        </is>
      </c>
      <c r="G322" s="33">
        <f>IF($A322="","",IF($C322="","",YEAR($C322)))</f>
      </c>
      <c r="H322" s="49">
        <v>1975</v>
      </c>
      <c r="I322" s="46" t="inlineStr">
        <is>
          <t xml:space="preserve">BMW</t>
        </is>
      </c>
      <c r="J322" s="46" t="inlineStr">
        <is>
          <t xml:space="preserve">M8 Competition</t>
        </is>
      </c>
      <c r="K322" s="46" t="inlineStr">
        <is>
          <t xml:space="preserve">8YVX317SJ1L2WERDK</t>
        </is>
      </c>
      <c r="L322" s="48" t="inlineStr">
        <is>
          <t xml:space="preserve">02 - Sports / GT</t>
        </is>
      </c>
      <c r="M322" s="50">
        <v>325000</v>
      </c>
      <c r="N322" s="48" t="inlineStr">
        <is>
          <t xml:space="preserve">Personal</t>
        </is>
      </c>
      <c r="O322" s="46" t="inlineStr">
        <is>
          <t xml:space="preserve">Personal - regular use</t>
        </is>
      </c>
      <c r="P322" s="46" t="inlineStr">
        <is>
          <t xml:space="preserve">1,000 - 2,500</t>
        </is>
      </c>
      <c r="Q322" s="46" t="inlineStr">
        <is>
          <t xml:space="preserve">New Jersey</t>
        </is>
      </c>
      <c r="R322" s="46" t="inlineStr">
        <is>
          <t xml:space="preserve">07102</t>
        </is>
      </c>
      <c r="S322" s="48" t="inlineStr">
        <is>
          <t xml:space="preserve">Tier 3 - Coastal wind (25-100 miles)</t>
        </is>
      </c>
      <c r="T322" s="36">
        <f>IF($A322="","",IF($S322="","",IFERROR(INDEX('[1]natural catastrophe'!$D$6:$D$17,MATCH($S322,'[1]natural catastrophe'!$B$6:$B$17,0)),"?")))</f>
      </c>
      <c r="U322" s="46" t="inlineStr">
        <is>
          <t xml:space="preserve">2% of agreed value, minimum $10,000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3679.58</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CANON-202602-005093</t>
        </is>
      </c>
      <c r="B323" s="30" t="inlineStr">
        <is>
          <t xml:space="preserve">Emiliano Kingsford</t>
        </is>
      </c>
      <c r="C323" s="31">
        <v>46069</v>
      </c>
      <c r="D323" s="32" t="inlineStr">
        <is>
          <t xml:space="preserve">Bound - within authority</t>
        </is>
      </c>
      <c r="E323" s="32" t="inlineStr">
        <is>
          <t xml:space="preserve">New business</t>
        </is>
      </c>
      <c r="F323" s="30" t="inlineStr">
        <is>
          <t xml:space="preserve">B1234EXOTIC26</t>
        </is>
      </c>
      <c r="G323" s="33">
        <f>IF($A323="","",IF($C323="","",YEAR($C323)))</f>
      </c>
      <c r="H323" s="34">
        <v>1977</v>
      </c>
      <c r="I323" s="30" t="inlineStr">
        <is>
          <t xml:space="preserve">Ferrari</t>
        </is>
      </c>
      <c r="J323" s="30" t="inlineStr">
        <is>
          <t xml:space="preserve">SF90 Stradale</t>
        </is>
      </c>
      <c r="K323" s="30" t="inlineStr">
        <is>
          <t xml:space="preserve">RHJD55ZDBA3TZ2J58</t>
        </is>
      </c>
      <c r="L323" s="32" t="inlineStr">
        <is>
          <t xml:space="preserve">03 - Supercar</t>
        </is>
      </c>
      <c r="M323" s="35">
        <v>320000</v>
      </c>
      <c r="N323" s="32" t="inlineStr">
        <is>
          <t xml:space="preserve">Personal</t>
        </is>
      </c>
      <c r="O323" s="30" t="inlineStr">
        <is>
          <t xml:space="preserve">Personal - regular use</t>
        </is>
      </c>
      <c r="P323" s="30" t="inlineStr">
        <is>
          <t xml:space="preserve">1,000 - 2,500</t>
        </is>
      </c>
      <c r="Q323" s="30" t="inlineStr">
        <is>
          <t xml:space="preserve">Ohio</t>
        </is>
      </c>
      <c r="R323" s="30" t="inlineStr">
        <is>
          <t xml:space="preserve">43215</t>
        </is>
      </c>
      <c r="S323" s="32" t="inlineStr">
        <is>
          <t xml:space="preserve">Severe convective - hail / tornado (moderate)</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8485.44</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CANON-202602-005094</t>
        </is>
      </c>
      <c r="B324" s="46" t="inlineStr">
        <is>
          <t xml:space="preserve">Horace Whitlock</t>
        </is>
      </c>
      <c r="C324" s="47">
        <v>46064</v>
      </c>
      <c r="D324" s="48" t="inlineStr">
        <is>
          <t xml:space="preserve">Bound - within authority</t>
        </is>
      </c>
      <c r="E324" s="48" t="inlineStr">
        <is>
          <t xml:space="preserve">New business</t>
        </is>
      </c>
      <c r="F324" s="46" t="inlineStr">
        <is>
          <t xml:space="preserve">B1234EXOTIC26</t>
        </is>
      </c>
      <c r="G324" s="33">
        <f>IF($A324="","",IF($C324="","",YEAR($C324)))</f>
      </c>
      <c r="H324" s="49">
        <v>2016</v>
      </c>
      <c r="I324" s="46" t="inlineStr">
        <is>
          <t xml:space="preserve">Maserati</t>
        </is>
      </c>
      <c r="J324" s="46" t="inlineStr">
        <is>
          <t xml:space="preserve">GranTurismo</t>
        </is>
      </c>
      <c r="K324" s="46" t="inlineStr">
        <is>
          <t xml:space="preserve">0KYX5JL2KDVRD1L1P</t>
        </is>
      </c>
      <c r="L324" s="48" t="inlineStr">
        <is>
          <t xml:space="preserve">02 - Sports / GT</t>
        </is>
      </c>
      <c r="M324" s="50">
        <v>680000</v>
      </c>
      <c r="N324" s="48" t="inlineStr">
        <is>
          <t xml:space="preserve">Personal</t>
        </is>
      </c>
      <c r="O324" s="46" t="inlineStr">
        <is>
          <t xml:space="preserve">Personal - regular use</t>
        </is>
      </c>
      <c r="P324" s="46" t="inlineStr">
        <is>
          <t xml:space="preserve">Under 1,000</t>
        </is>
      </c>
      <c r="Q324" s="46" t="inlineStr">
        <is>
          <t xml:space="preserve">California</t>
        </is>
      </c>
      <c r="R324" s="46" t="inlineStr">
        <is>
          <t xml:space="preserve">90012</t>
        </is>
      </c>
      <c r="S324" s="48" t="inlineStr">
        <is>
          <t xml:space="preserve">Earthquake - high (CA, Cascadia, New Madrid)</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9898.46</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CANON-202602-005095</t>
        </is>
      </c>
      <c r="B325" s="30" t="inlineStr">
        <is>
          <t xml:space="preserve">Fitzgerald Vandermeer</t>
        </is>
      </c>
      <c r="C325" s="31">
        <v>46055</v>
      </c>
      <c r="D325" s="32" t="inlineStr">
        <is>
          <t xml:space="preserve">Bound - within authority</t>
        </is>
      </c>
      <c r="E325" s="32" t="inlineStr">
        <is>
          <t xml:space="preserve">New business</t>
        </is>
      </c>
      <c r="F325" s="30" t="inlineStr">
        <is>
          <t xml:space="preserve">B1234EXOTIC26</t>
        </is>
      </c>
      <c r="G325" s="33">
        <f>IF($A325="","",IF($C325="","",YEAR($C325)))</f>
      </c>
      <c r="H325" s="34">
        <v>1958</v>
      </c>
      <c r="I325" s="30" t="inlineStr">
        <is>
          <t xml:space="preserve">Ferrari</t>
        </is>
      </c>
      <c r="J325" s="30" t="inlineStr">
        <is>
          <t xml:space="preserve">SF90 Stradale</t>
        </is>
      </c>
      <c r="K325" s="30" t="inlineStr">
        <is>
          <t xml:space="preserve">8CDH1H9FM41X3T7NW</t>
        </is>
      </c>
      <c r="L325" s="32" t="inlineStr">
        <is>
          <t xml:space="preserve">03 - Supercar</t>
        </is>
      </c>
      <c r="M325" s="35">
        <v>1190000</v>
      </c>
      <c r="N325" s="32" t="inlineStr">
        <is>
          <t xml:space="preserve">Personal</t>
        </is>
      </c>
      <c r="O325" s="30" t="inlineStr">
        <is>
          <t xml:space="preserve">Personal - regular use</t>
        </is>
      </c>
      <c r="P325" s="30" t="inlineStr">
        <is>
          <t xml:space="preserve">2,500 - 5,000</t>
        </is>
      </c>
      <c r="Q325" s="30" t="inlineStr">
        <is>
          <t xml:space="preserve">New Hampshire</t>
        </is>
      </c>
      <c r="R325" s="30" t="inlineStr">
        <is>
          <t xml:space="preserve">03301</t>
        </is>
      </c>
      <c r="S325" s="32" t="inlineStr">
        <is>
          <t xml:space="preserve">Tier 3 - Coastal wind (25-100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16424.12</v>
      </c>
      <c r="AC325" s="37">
        <v>0</v>
      </c>
      <c r="AD325" s="38">
        <f>IF(ISNUMBER($AB325),$AB325*(1+N($AC325)),"")</f>
      </c>
      <c r="AE325" s="35">
        <v>350</v>
      </c>
      <c r="AF325" s="35">
        <v>250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CANON-202602-005096</t>
        </is>
      </c>
      <c r="B326" s="46" t="inlineStr">
        <is>
          <t xml:space="preserve">Marisol Nakashima</t>
        </is>
      </c>
      <c r="C326" s="47">
        <v>46062</v>
      </c>
      <c r="D326" s="48" t="inlineStr">
        <is>
          <t xml:space="preserve">Bound - within authority</t>
        </is>
      </c>
      <c r="E326" s="48" t="inlineStr">
        <is>
          <t xml:space="preserve">New business</t>
        </is>
      </c>
      <c r="F326" s="46" t="inlineStr">
        <is>
          <t xml:space="preserve">B1234EXOTIC26</t>
        </is>
      </c>
      <c r="G326" s="33">
        <f>IF($A326="","",IF($C326="","",YEAR($C326)))</f>
      </c>
      <c r="H326" s="49">
        <v>1974</v>
      </c>
      <c r="I326" s="46" t="inlineStr">
        <is>
          <t xml:space="preserve">Maserati</t>
        </is>
      </c>
      <c r="J326" s="46" t="inlineStr">
        <is>
          <t xml:space="preserve">GranTurismo</t>
        </is>
      </c>
      <c r="K326" s="46" t="inlineStr">
        <is>
          <t xml:space="preserve">97ZE9FBW0377MWMGT</t>
        </is>
      </c>
      <c r="L326" s="48" t="inlineStr">
        <is>
          <t xml:space="preserve">02 - Sports / GT</t>
        </is>
      </c>
      <c r="M326" s="50">
        <v>225000</v>
      </c>
      <c r="N326" s="48" t="inlineStr">
        <is>
          <t xml:space="preserve">Personal</t>
        </is>
      </c>
      <c r="O326" s="46" t="inlineStr">
        <is>
          <t xml:space="preserve">Personal - regular use</t>
        </is>
      </c>
      <c r="P326" s="46" t="inlineStr">
        <is>
          <t xml:space="preserve">Under 1,000</t>
        </is>
      </c>
      <c r="Q326" s="46" t="inlineStr">
        <is>
          <t xml:space="preserve">Illinois</t>
        </is>
      </c>
      <c r="R326" s="46" t="inlineStr">
        <is>
          <t xml:space="preserve">60601</t>
        </is>
      </c>
      <c r="S326" s="48" t="inlineStr">
        <is>
          <t xml:space="preserve">Severe convective - hail / tornado (moderate)</t>
        </is>
      </c>
      <c r="T326" s="36">
        <f>IF($A326="","",IF($S326="","",IFERROR(INDEX('[1]natural catastrophe'!$D$6:$D$17,MATCH($S326,'[1]natural catastrophe'!$B$6:$B$17,0)),"?")))</f>
      </c>
      <c r="U326" s="46" t="inlineStr">
        <is>
          <t xml:space="preserve">$5,000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4670.05</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CANON-202602-005098</t>
        </is>
      </c>
      <c r="B327" s="30" t="inlineStr">
        <is>
          <t xml:space="preserve">Everett Farkas</t>
        </is>
      </c>
      <c r="C327" s="31">
        <v>46054</v>
      </c>
      <c r="D327" s="32" t="inlineStr">
        <is>
          <t xml:space="preserve">Bound - within authority</t>
        </is>
      </c>
      <c r="E327" s="32" t="inlineStr">
        <is>
          <t xml:space="preserve">New business</t>
        </is>
      </c>
      <c r="F327" s="30" t="inlineStr">
        <is>
          <t xml:space="preserve">B1234EXOTIC26</t>
        </is>
      </c>
      <c r="G327" s="33">
        <f>IF($A327="","",IF($C327="","",YEAR($C327)))</f>
      </c>
      <c r="H327" s="34">
        <v>2013</v>
      </c>
      <c r="I327" s="30" t="inlineStr">
        <is>
          <t xml:space="preserve">Bentley</t>
        </is>
      </c>
      <c r="J327" s="30" t="inlineStr">
        <is>
          <t xml:space="preserve">Continental GT</t>
        </is>
      </c>
      <c r="K327" s="30" t="inlineStr">
        <is>
          <t xml:space="preserve">6A6K6J1FD4A7JE1K7</t>
        </is>
      </c>
      <c r="L327" s="32" t="inlineStr">
        <is>
          <t xml:space="preserve">02 - Sports / GT</t>
        </is>
      </c>
      <c r="M327" s="35">
        <v>1930000</v>
      </c>
      <c r="N327" s="32" t="inlineStr">
        <is>
          <t xml:space="preserve">Personal</t>
        </is>
      </c>
      <c r="O327" s="30" t="inlineStr">
        <is>
          <t xml:space="preserve">Personal - regular use</t>
        </is>
      </c>
      <c r="P327" s="30" t="inlineStr">
        <is>
          <t xml:space="preserve">2,500 - 5,000</t>
        </is>
      </c>
      <c r="Q327" s="30" t="inlineStr">
        <is>
          <t xml:space="preserve">New Hampshire</t>
        </is>
      </c>
      <c r="R327" s="30" t="inlineStr">
        <is>
          <t xml:space="preserve">03301</t>
        </is>
      </c>
      <c r="S327" s="32" t="inlineStr">
        <is>
          <t xml:space="preserve">Tier 3 - Coastal wind (25-100 miles)</t>
        </is>
      </c>
      <c r="T327" s="36">
        <f>IF($A327="","",IF($S327="","",IFERROR(INDEX('[1]natural catastrophe'!$D$6:$D$17,MATCH($S327,'[1]natural catastrophe'!$B$6:$B$17,0)),"?")))</f>
      </c>
      <c r="U327" s="30" t="inlineStr">
        <is>
          <t xml:space="preserve">2% of agreed value, minimum $10,000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18313.23</v>
      </c>
      <c r="AC327" s="37">
        <v>0</v>
      </c>
      <c r="AD327" s="38">
        <f>IF(ISNUMBER($AB327),$AB327*(1+N($AC327)),"")</f>
      </c>
      <c r="AE327" s="35">
        <v>350</v>
      </c>
      <c r="AF327" s="35">
        <v>250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CANON-202602-005100</t>
        </is>
      </c>
      <c r="B328" s="46" t="inlineStr">
        <is>
          <t xml:space="preserve">Wilhelmina Thistlewood</t>
        </is>
      </c>
      <c r="C328" s="47">
        <v>46055</v>
      </c>
      <c r="D328" s="48" t="inlineStr">
        <is>
          <t xml:space="preserve">Bound - within authority</t>
        </is>
      </c>
      <c r="E328" s="48" t="inlineStr">
        <is>
          <t xml:space="preserve">New business</t>
        </is>
      </c>
      <c r="F328" s="46" t="inlineStr">
        <is>
          <t xml:space="preserve">B1234EXOTIC26</t>
        </is>
      </c>
      <c r="G328" s="33">
        <f>IF($A328="","",IF($C328="","",YEAR($C328)))</f>
      </c>
      <c r="H328" s="49">
        <v>1960</v>
      </c>
      <c r="I328" s="46" t="inlineStr">
        <is>
          <t xml:space="preserve">Maserati</t>
        </is>
      </c>
      <c r="J328" s="46" t="inlineStr">
        <is>
          <t xml:space="preserve">GranTurismo</t>
        </is>
      </c>
      <c r="K328" s="46" t="inlineStr">
        <is>
          <t xml:space="preserve">TN344895JJHURKLU3</t>
        </is>
      </c>
      <c r="L328" s="48" t="inlineStr">
        <is>
          <t xml:space="preserve">02 - Sports / GT</t>
        </is>
      </c>
      <c r="M328" s="50">
        <v>685000</v>
      </c>
      <c r="N328" s="48" t="inlineStr">
        <is>
          <t xml:space="preserve">Personal</t>
        </is>
      </c>
      <c r="O328" s="46" t="inlineStr">
        <is>
          <t xml:space="preserve">Personal - regular use</t>
        </is>
      </c>
      <c r="P328" s="46" t="inlineStr">
        <is>
          <t xml:space="preserve">2,500 - 5,000</t>
        </is>
      </c>
      <c r="Q328" s="46" t="inlineStr">
        <is>
          <t xml:space="preserve">South Dakota</t>
        </is>
      </c>
      <c r="R328" s="46" t="inlineStr">
        <is>
          <t xml:space="preserve">57501</t>
        </is>
      </c>
      <c r="S328" s="48" t="inlineStr">
        <is>
          <t xml:space="preserve">Severe convective - hail alley (high)</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8198.58</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CANON-202602-005101</t>
        </is>
      </c>
      <c r="B329" s="30" t="inlineStr">
        <is>
          <t xml:space="preserve">Ingrid Kingsford</t>
        </is>
      </c>
      <c r="C329" s="31">
        <v>46074</v>
      </c>
      <c r="D329" s="32" t="inlineStr">
        <is>
          <t xml:space="preserve">Bound - within authority</t>
        </is>
      </c>
      <c r="E329" s="32" t="inlineStr">
        <is>
          <t xml:space="preserve">New business</t>
        </is>
      </c>
      <c r="F329" s="30" t="inlineStr">
        <is>
          <t xml:space="preserve">B1234EXOTIC26</t>
        </is>
      </c>
      <c r="G329" s="33">
        <f>IF($A329="","",IF($C329="","",YEAR($C329)))</f>
      </c>
      <c r="H329" s="34">
        <v>1996</v>
      </c>
      <c r="I329" s="30" t="inlineStr">
        <is>
          <t xml:space="preserve">Aston Martin</t>
        </is>
      </c>
      <c r="J329" s="30" t="inlineStr">
        <is>
          <t xml:space="preserve">DB5</t>
        </is>
      </c>
      <c r="K329" s="30" t="inlineStr">
        <is>
          <t xml:space="preserve">EA2FDU16LG2N14BG2</t>
        </is>
      </c>
      <c r="L329" s="32" t="inlineStr">
        <is>
          <t xml:space="preserve">08 - Modern Classic (1973-1999)</t>
        </is>
      </c>
      <c r="M329" s="35">
        <v>750000</v>
      </c>
      <c r="N329" s="32" t="inlineStr">
        <is>
          <t xml:space="preserve">Personal</t>
        </is>
      </c>
      <c r="O329" s="30" t="inlineStr">
        <is>
          <t xml:space="preserve">Personal - regular use</t>
        </is>
      </c>
      <c r="P329" s="30" t="inlineStr">
        <is>
          <t xml:space="preserve">Under 1,000</t>
        </is>
      </c>
      <c r="Q329" s="30" t="inlineStr">
        <is>
          <t xml:space="preserve">Ohio</t>
        </is>
      </c>
      <c r="R329" s="30" t="inlineStr">
        <is>
          <t xml:space="preserve">43215</t>
        </is>
      </c>
      <c r="S329" s="32" t="inlineStr">
        <is>
          <t xml:space="preserve">Severe convective - hail / tornado (moderate)</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7436.29</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CANON-202602-005102</t>
        </is>
      </c>
      <c r="B330" s="46" t="inlineStr">
        <is>
          <t xml:space="preserve">Ramona Farkas</t>
        </is>
      </c>
      <c r="C330" s="47">
        <v>46077</v>
      </c>
      <c r="D330" s="48" t="inlineStr">
        <is>
          <t xml:space="preserve">Bound - within authority</t>
        </is>
      </c>
      <c r="E330" s="48" t="inlineStr">
        <is>
          <t xml:space="preserve">New business</t>
        </is>
      </c>
      <c r="F330" s="46" t="inlineStr">
        <is>
          <t xml:space="preserve">B1234EXOTIC26</t>
        </is>
      </c>
      <c r="G330" s="33">
        <f>IF($A330="","",IF($C330="","",YEAR($C330)))</f>
      </c>
      <c r="H330" s="49">
        <v>1959</v>
      </c>
      <c r="I330" s="46" t="inlineStr">
        <is>
          <t xml:space="preserve">Aston Martin</t>
        </is>
      </c>
      <c r="J330" s="46" t="inlineStr">
        <is>
          <t xml:space="preserve">DB12</t>
        </is>
      </c>
      <c r="K330" s="46" t="inlineStr">
        <is>
          <t xml:space="preserve">XRKZT5162VN38DT57</t>
        </is>
      </c>
      <c r="L330" s="48" t="inlineStr">
        <is>
          <t xml:space="preserve">02 - Sports / GT</t>
        </is>
      </c>
      <c r="M330" s="50">
        <v>505000</v>
      </c>
      <c r="N330" s="48" t="inlineStr">
        <is>
          <t xml:space="preserve">Personal</t>
        </is>
      </c>
      <c r="O330" s="46" t="inlineStr">
        <is>
          <t xml:space="preserve">Personal - regular use</t>
        </is>
      </c>
      <c r="P330" s="46" t="inlineStr">
        <is>
          <t xml:space="preserve">Under 1,000</t>
        </is>
      </c>
      <c r="Q330" s="46" t="inlineStr">
        <is>
          <t xml:space="preserve">Wyoming</t>
        </is>
      </c>
      <c r="R330" s="46" t="inlineStr">
        <is>
          <t xml:space="preserve">82001</t>
        </is>
      </c>
      <c r="S330" s="48" t="inlineStr">
        <is>
          <t xml:space="preserve">Severe convective - hail alley (high)</t>
        </is>
      </c>
      <c r="T330" s="36">
        <f>IF($A330="","",IF($S330="","",IFERROR(INDEX('[1]natural catastrophe'!$D$6:$D$17,MATCH($S330,'[1]natural catastrophe'!$B$6:$B$17,0)),"?")))</f>
      </c>
      <c r="U330" s="46" t="inlineStr">
        <is>
          <t xml:space="preserve">$5,000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5826.4</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CANON-202602-005104</t>
        </is>
      </c>
      <c r="B331" s="30" t="inlineStr">
        <is>
          <t xml:space="preserve">Fitzgerald Vasquez</t>
        </is>
      </c>
      <c r="C331" s="31">
        <v>46069</v>
      </c>
      <c r="D331" s="32" t="inlineStr">
        <is>
          <t xml:space="preserve">Bound - within authority</t>
        </is>
      </c>
      <c r="E331" s="32" t="inlineStr">
        <is>
          <t xml:space="preserve">New business</t>
        </is>
      </c>
      <c r="F331" s="30" t="inlineStr">
        <is>
          <t xml:space="preserve">B1234EXOTIC26</t>
        </is>
      </c>
      <c r="G331" s="33">
        <f>IF($A331="","",IF($C331="","",YEAR($C331)))</f>
      </c>
      <c r="H331" s="34">
        <v>1995</v>
      </c>
      <c r="I331" s="30" t="inlineStr">
        <is>
          <t xml:space="preserve">BMW</t>
        </is>
      </c>
      <c r="J331" s="30" t="inlineStr">
        <is>
          <t xml:space="preserve">M8 Competition</t>
        </is>
      </c>
      <c r="K331" s="30" t="inlineStr">
        <is>
          <t xml:space="preserve">ZJGKFNRGCDG9K4CVG</t>
        </is>
      </c>
      <c r="L331" s="32" t="inlineStr">
        <is>
          <t xml:space="preserve">02 - Sports / GT</t>
        </is>
      </c>
      <c r="M331" s="35">
        <v>320000</v>
      </c>
      <c r="N331" s="32" t="inlineStr">
        <is>
          <t xml:space="preserve">Personal</t>
        </is>
      </c>
      <c r="O331" s="30" t="inlineStr">
        <is>
          <t xml:space="preserve">Personal - regular use</t>
        </is>
      </c>
      <c r="P331" s="30" t="inlineStr">
        <is>
          <t xml:space="preserve">1,000 - 2,500</t>
        </is>
      </c>
      <c r="Q331" s="30" t="inlineStr">
        <is>
          <t xml:space="preserve">Kansas</t>
        </is>
      </c>
      <c r="R331" s="30" t="inlineStr">
        <is>
          <t xml:space="preserve">66603</t>
        </is>
      </c>
      <c r="S331" s="32" t="inlineStr">
        <is>
          <t xml:space="preserve">Severe convective - hail alley (high)</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3861.84</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CANON-202602-005105</t>
        </is>
      </c>
      <c r="B332" s="46" t="inlineStr">
        <is>
          <t xml:space="preserve">Delphine Nakashima</t>
        </is>
      </c>
      <c r="C332" s="47">
        <v>46070</v>
      </c>
      <c r="D332" s="48" t="inlineStr">
        <is>
          <t xml:space="preserve">Bound - within authority</t>
        </is>
      </c>
      <c r="E332" s="48" t="inlineStr">
        <is>
          <t xml:space="preserve">New business</t>
        </is>
      </c>
      <c r="F332" s="46" t="inlineStr">
        <is>
          <t xml:space="preserve">B1234EXOTIC26</t>
        </is>
      </c>
      <c r="G332" s="33">
        <f>IF($A332="","",IF($C332="","",YEAR($C332)))</f>
      </c>
      <c r="H332" s="49">
        <v>1980</v>
      </c>
      <c r="I332" s="46" t="inlineStr">
        <is>
          <t xml:space="preserve">Lamborghini</t>
        </is>
      </c>
      <c r="J332" s="46" t="inlineStr">
        <is>
          <t xml:space="preserve">Huracan EVO</t>
        </is>
      </c>
      <c r="K332" s="46" t="inlineStr">
        <is>
          <t xml:space="preserve">5BP3DW1DC1NL8LVNW</t>
        </is>
      </c>
      <c r="L332" s="48" t="inlineStr">
        <is>
          <t xml:space="preserve">03 - Supercar</t>
        </is>
      </c>
      <c r="M332" s="50">
        <v>1380000</v>
      </c>
      <c r="N332" s="48" t="inlineStr">
        <is>
          <t xml:space="preserve">Personal</t>
        </is>
      </c>
      <c r="O332" s="46" t="inlineStr">
        <is>
          <t xml:space="preserve">Personal - regular use</t>
        </is>
      </c>
      <c r="P332" s="46" t="inlineStr">
        <is>
          <t xml:space="preserve">Under 1,000</t>
        </is>
      </c>
      <c r="Q332" s="46" t="inlineStr">
        <is>
          <t xml:space="preserve">Florida</t>
        </is>
      </c>
      <c r="R332" s="46" t="inlineStr">
        <is>
          <t xml:space="preserve">33139</t>
        </is>
      </c>
      <c r="S332" s="48" t="inlineStr">
        <is>
          <t xml:space="preserve">Tier 2 - Coastal wind (1-25 miles)</t>
        </is>
      </c>
      <c r="T332" s="36">
        <f>IF($A332="","",IF($S332="","",IFERROR(INDEX('[1]natural catastrophe'!$D$6:$D$17,MATCH($S332,'[1]natural catastrophe'!$B$6:$B$17,0)),"?")))</f>
      </c>
      <c r="U332" s="46" t="inlineStr">
        <is>
          <t xml:space="preserve">2% of agreed value, minimum $10,000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26005.74</v>
      </c>
      <c r="AC332" s="51">
        <v>0</v>
      </c>
      <c r="AD332" s="38">
        <f>IF(ISNUMBER($AB332),$AB332*(1+N($AC332)),"")</f>
      </c>
      <c r="AE332" s="50">
        <v>350</v>
      </c>
      <c r="AF332" s="50">
        <v>250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CANON-202602-005106</t>
        </is>
      </c>
      <c r="B333" s="30" t="inlineStr">
        <is>
          <t xml:space="preserve">Fenwick Castellanos</t>
        </is>
      </c>
      <c r="C333" s="31">
        <v>46060</v>
      </c>
      <c r="D333" s="32" t="inlineStr">
        <is>
          <t xml:space="preserve">Bound - within authority</t>
        </is>
      </c>
      <c r="E333" s="32" t="inlineStr">
        <is>
          <t xml:space="preserve">New business</t>
        </is>
      </c>
      <c r="F333" s="30" t="inlineStr">
        <is>
          <t xml:space="preserve">B1234EXOTIC26</t>
        </is>
      </c>
      <c r="G333" s="33">
        <f>IF($A333="","",IF($C333="","",YEAR($C333)))</f>
      </c>
      <c r="H333" s="34">
        <v>2006</v>
      </c>
      <c r="I333" s="30" t="inlineStr">
        <is>
          <t xml:space="preserve">Maserati</t>
        </is>
      </c>
      <c r="J333" s="30" t="inlineStr">
        <is>
          <t xml:space="preserve">GranTurismo</t>
        </is>
      </c>
      <c r="K333" s="30" t="inlineStr">
        <is>
          <t xml:space="preserve">27CP6YJTZFFTHK13D</t>
        </is>
      </c>
      <c r="L333" s="32" t="inlineStr">
        <is>
          <t xml:space="preserve">02 - Sports / GT</t>
        </is>
      </c>
      <c r="M333" s="35">
        <v>1060000</v>
      </c>
      <c r="N333" s="32" t="inlineStr">
        <is>
          <t xml:space="preserve">Personal</t>
        </is>
      </c>
      <c r="O333" s="30" t="inlineStr">
        <is>
          <t xml:space="preserve">Personal - regular use</t>
        </is>
      </c>
      <c r="P333" s="30" t="inlineStr">
        <is>
          <t xml:space="preserve">2,500 - 5,000</t>
        </is>
      </c>
      <c r="Q333" s="30" t="inlineStr">
        <is>
          <t xml:space="preserve">Pennsylvania</t>
        </is>
      </c>
      <c r="R333" s="30" t="inlineStr">
        <is>
          <t xml:space="preserve">19103</t>
        </is>
      </c>
      <c r="S333" s="32" t="inlineStr">
        <is>
          <t xml:space="preserve">Low hazard - inland benign</t>
        </is>
      </c>
      <c r="T333" s="36">
        <f>IF($A333="","",IF($S333="","",IFERROR(INDEX('[1]natural catastrophe'!$D$6:$D$17,MATCH($S333,'[1]natural catastrophe'!$B$6:$B$17,0)),"?")))</f>
      </c>
      <c r="U333" s="30" t="inlineStr">
        <is>
          <t xml:space="preserve">$5,000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9671.2</v>
      </c>
      <c r="AC333" s="37">
        <v>0</v>
      </c>
      <c r="AD333" s="38">
        <f>IF(ISNUMBER($AB333),$AB333*(1+N($AC333)),"")</f>
      </c>
      <c r="AE333" s="35">
        <v>350</v>
      </c>
      <c r="AF333" s="35">
        <v>250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CANON-202602-005107</t>
        </is>
      </c>
      <c r="B334" s="46" t="inlineStr">
        <is>
          <t xml:space="preserve">Ottilie Montoya</t>
        </is>
      </c>
      <c r="C334" s="47">
        <v>46071</v>
      </c>
      <c r="D334" s="48" t="inlineStr">
        <is>
          <t xml:space="preserve">Bound - within authority</t>
        </is>
      </c>
      <c r="E334" s="48" t="inlineStr">
        <is>
          <t xml:space="preserve">New business</t>
        </is>
      </c>
      <c r="F334" s="46" t="inlineStr">
        <is>
          <t xml:space="preserve">B1234EXOTIC26</t>
        </is>
      </c>
      <c r="G334" s="33">
        <f>IF($A334="","",IF($C334="","",YEAR($C334)))</f>
      </c>
      <c r="H334" s="49">
        <v>1989</v>
      </c>
      <c r="I334" s="46" t="inlineStr">
        <is>
          <t xml:space="preserve">Porsche</t>
        </is>
      </c>
      <c r="J334" s="46" t="inlineStr">
        <is>
          <t xml:space="preserve">911 Turbo S</t>
        </is>
      </c>
      <c r="K334" s="46" t="inlineStr">
        <is>
          <t xml:space="preserve">87ZPJF6AV3EXHVYMG</t>
        </is>
      </c>
      <c r="L334" s="48" t="inlineStr">
        <is>
          <t xml:space="preserve">02 - Sports / GT</t>
        </is>
      </c>
      <c r="M334" s="50">
        <v>595000</v>
      </c>
      <c r="N334" s="48" t="inlineStr">
        <is>
          <t xml:space="preserve">Personal</t>
        </is>
      </c>
      <c r="O334" s="46" t="inlineStr">
        <is>
          <t xml:space="preserve">Personal - regular use</t>
        </is>
      </c>
      <c r="P334" s="46" t="inlineStr">
        <is>
          <t xml:space="preserve">Under 1,000</t>
        </is>
      </c>
      <c r="Q334" s="46" t="inlineStr">
        <is>
          <t xml:space="preserve">California</t>
        </is>
      </c>
      <c r="R334" s="46" t="inlineStr">
        <is>
          <t xml:space="preserve">90012</t>
        </is>
      </c>
      <c r="S334" s="48" t="inlineStr">
        <is>
          <t xml:space="preserve">Earthquake - high (CA, Cascadia, New Madrid)</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8661.16</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CANON-202602-005108</t>
        </is>
      </c>
      <c r="B335" s="30" t="inlineStr">
        <is>
          <t xml:space="preserve">Lorenzo Whitlock</t>
        </is>
      </c>
      <c r="C335" s="31">
        <v>46068</v>
      </c>
      <c r="D335" s="32" t="inlineStr">
        <is>
          <t xml:space="preserve">Bound - within authority</t>
        </is>
      </c>
      <c r="E335" s="32" t="inlineStr">
        <is>
          <t xml:space="preserve">New business</t>
        </is>
      </c>
      <c r="F335" s="30" t="inlineStr">
        <is>
          <t xml:space="preserve">B1234EXOTIC26</t>
        </is>
      </c>
      <c r="G335" s="33">
        <f>IF($A335="","",IF($C335="","",YEAR($C335)))</f>
      </c>
      <c r="H335" s="34">
        <v>2005</v>
      </c>
      <c r="I335" s="30" t="inlineStr">
        <is>
          <t xml:space="preserve">Lamborghini</t>
        </is>
      </c>
      <c r="J335" s="30" t="inlineStr">
        <is>
          <t xml:space="preserve">Huracan EVO</t>
        </is>
      </c>
      <c r="K335" s="30" t="inlineStr">
        <is>
          <t xml:space="preserve">9FWTA6EN9EHL10KLK</t>
        </is>
      </c>
      <c r="L335" s="32" t="inlineStr">
        <is>
          <t xml:space="preserve">03 - Supercar</t>
        </is>
      </c>
      <c r="M335" s="35">
        <v>345000</v>
      </c>
      <c r="N335" s="32" t="inlineStr">
        <is>
          <t xml:space="preserve">Personal</t>
        </is>
      </c>
      <c r="O335" s="30" t="inlineStr">
        <is>
          <t xml:space="preserve">Personal - regular use</t>
        </is>
      </c>
      <c r="P335" s="30" t="inlineStr">
        <is>
          <t xml:space="preserve">Under 1,000</t>
        </is>
      </c>
      <c r="Q335" s="30" t="inlineStr">
        <is>
          <t xml:space="preserve">Idaho</t>
        </is>
      </c>
      <c r="R335" s="30" t="inlineStr">
        <is>
          <t xml:space="preserve">83702</t>
        </is>
      </c>
      <c r="S335" s="32" t="inlineStr">
        <is>
          <t xml:space="preserve">Wildfire - WUI high hazard</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6515.74</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CANON-202602-005109</t>
        </is>
      </c>
      <c r="B336" s="46" t="inlineStr">
        <is>
          <t xml:space="preserve">Ingrid Kingsford</t>
        </is>
      </c>
      <c r="C336" s="47">
        <v>46069</v>
      </c>
      <c r="D336" s="48" t="inlineStr">
        <is>
          <t xml:space="preserve">Bound - within authority</t>
        </is>
      </c>
      <c r="E336" s="48" t="inlineStr">
        <is>
          <t xml:space="preserve">New business</t>
        </is>
      </c>
      <c r="F336" s="46" t="inlineStr">
        <is>
          <t xml:space="preserve">B1234EXOTIC26</t>
        </is>
      </c>
      <c r="G336" s="33">
        <f>IF($A336="","",IF($C336="","",YEAR($C336)))</f>
      </c>
      <c r="H336" s="49">
        <v>1993</v>
      </c>
      <c r="I336" s="46" t="inlineStr">
        <is>
          <t xml:space="preserve">Maserati</t>
        </is>
      </c>
      <c r="J336" s="46" t="inlineStr">
        <is>
          <t xml:space="preserve">GranTurismo</t>
        </is>
      </c>
      <c r="K336" s="46" t="inlineStr">
        <is>
          <t xml:space="preserve">YAFNFSN47PCN4ZS9Z</t>
        </is>
      </c>
      <c r="L336" s="48" t="inlineStr">
        <is>
          <t xml:space="preserve">02 - Sports / GT</t>
        </is>
      </c>
      <c r="M336" s="50">
        <v>810000</v>
      </c>
      <c r="N336" s="48" t="inlineStr">
        <is>
          <t xml:space="preserve">Personal</t>
        </is>
      </c>
      <c r="O336" s="46" t="inlineStr">
        <is>
          <t xml:space="preserve">Personal - regular use</t>
        </is>
      </c>
      <c r="P336" s="46" t="inlineStr">
        <is>
          <t xml:space="preserve">Under 1,000</t>
        </is>
      </c>
      <c r="Q336" s="46" t="inlineStr">
        <is>
          <t xml:space="preserve">Rhode Island</t>
        </is>
      </c>
      <c r="R336" s="46" t="inlineStr">
        <is>
          <t xml:space="preserve">02903</t>
        </is>
      </c>
      <c r="S336" s="48" t="inlineStr">
        <is>
          <t xml:space="preserve">Tier 3 - Coastal wind (25-100 miles)</t>
        </is>
      </c>
      <c r="T336" s="36">
        <f>IF($A336="","",IF($S336="","",IFERROR(INDEX('[1]natural catastrophe'!$D$6:$D$17,MATCH($S336,'[1]natural catastrophe'!$B$6:$B$17,0)),"?")))</f>
      </c>
      <c r="U336" s="46" t="inlineStr">
        <is>
          <t xml:space="preserve">2% of agreed value, minimum $10,000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11965.5</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CANON-202602-005110</t>
        </is>
      </c>
      <c r="B337" s="30" t="inlineStr">
        <is>
          <t xml:space="preserve">Horace Bellandi</t>
        </is>
      </c>
      <c r="C337" s="31">
        <v>46074</v>
      </c>
      <c r="D337" s="32" t="inlineStr">
        <is>
          <t xml:space="preserve">Bound - within authority</t>
        </is>
      </c>
      <c r="E337" s="32" t="inlineStr">
        <is>
          <t xml:space="preserve">New business</t>
        </is>
      </c>
      <c r="F337" s="30" t="inlineStr">
        <is>
          <t xml:space="preserve">B1234EXOTIC26</t>
        </is>
      </c>
      <c r="G337" s="33">
        <f>IF($A337="","",IF($C337="","",YEAR($C337)))</f>
      </c>
      <c r="H337" s="34">
        <v>2006</v>
      </c>
      <c r="I337" s="30" t="inlineStr">
        <is>
          <t xml:space="preserve">Bentley</t>
        </is>
      </c>
      <c r="J337" s="30" t="inlineStr">
        <is>
          <t xml:space="preserve">Continental GT</t>
        </is>
      </c>
      <c r="K337" s="30" t="inlineStr">
        <is>
          <t xml:space="preserve">641EV5L5SV59R1E5N</t>
        </is>
      </c>
      <c r="L337" s="32" t="inlineStr">
        <is>
          <t xml:space="preserve">02 - Sports / GT</t>
        </is>
      </c>
      <c r="M337" s="35">
        <v>515000</v>
      </c>
      <c r="N337" s="32" t="inlineStr">
        <is>
          <t xml:space="preserve">Personal</t>
        </is>
      </c>
      <c r="O337" s="30" t="inlineStr">
        <is>
          <t xml:space="preserve">Personal - regular use</t>
        </is>
      </c>
      <c r="P337" s="30" t="inlineStr">
        <is>
          <t xml:space="preserve">1,000 - 2,500</t>
        </is>
      </c>
      <c r="Q337" s="30" t="inlineStr">
        <is>
          <t xml:space="preserve">Florida</t>
        </is>
      </c>
      <c r="R337" s="30" t="inlineStr">
        <is>
          <t xml:space="preserve">33139</t>
        </is>
      </c>
      <c r="S337" s="32" t="inlineStr">
        <is>
          <t xml:space="preserve">Tier 2 - Coastal wind (1-25 miles)</t>
        </is>
      </c>
      <c r="T337" s="36">
        <f>IF($A337="","",IF($S337="","",IFERROR(INDEX('[1]natural catastrophe'!$D$6:$D$17,MATCH($S337,'[1]natural catastrophe'!$B$6:$B$17,0)),"?")))</f>
      </c>
      <c r="U337" s="30" t="inlineStr">
        <is>
          <t xml:space="preserve">2% of agreed value, minimum $10,000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7885.34</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CANON-202602-005111</t>
        </is>
      </c>
      <c r="B338" s="46" t="inlineStr">
        <is>
          <t xml:space="preserve">Horace Okonkwo</t>
        </is>
      </c>
      <c r="C338" s="47">
        <v>46061</v>
      </c>
      <c r="D338" s="48" t="inlineStr">
        <is>
          <t xml:space="preserve">Bound - within authority</t>
        </is>
      </c>
      <c r="E338" s="48" t="inlineStr">
        <is>
          <t xml:space="preserve">New business</t>
        </is>
      </c>
      <c r="F338" s="46" t="inlineStr">
        <is>
          <t xml:space="preserve">B1234EXOTIC26</t>
        </is>
      </c>
      <c r="G338" s="33">
        <f>IF($A338="","",IF($C338="","",YEAR($C338)))</f>
      </c>
      <c r="H338" s="49">
        <v>2012</v>
      </c>
      <c r="I338" s="46" t="inlineStr">
        <is>
          <t xml:space="preserve">Porsche</t>
        </is>
      </c>
      <c r="J338" s="46" t="inlineStr">
        <is>
          <t xml:space="preserve">911 Turbo S</t>
        </is>
      </c>
      <c r="K338" s="46" t="inlineStr">
        <is>
          <t xml:space="preserve">SZGHUN380HPZ32V7L</t>
        </is>
      </c>
      <c r="L338" s="48" t="inlineStr">
        <is>
          <t xml:space="preserve">02 - Sports / GT</t>
        </is>
      </c>
      <c r="M338" s="50">
        <v>545000</v>
      </c>
      <c r="N338" s="48" t="inlineStr">
        <is>
          <t xml:space="preserve">Personal</t>
        </is>
      </c>
      <c r="O338" s="46" t="inlineStr">
        <is>
          <t xml:space="preserve">Personal - regular use</t>
        </is>
      </c>
      <c r="P338" s="46" t="inlineStr">
        <is>
          <t xml:space="preserve">1,000 - 2,500</t>
        </is>
      </c>
      <c r="Q338" s="46" t="inlineStr">
        <is>
          <t xml:space="preserve">Mississippi</t>
        </is>
      </c>
      <c r="R338" s="46" t="inlineStr">
        <is>
          <t xml:space="preserve">39201</t>
        </is>
      </c>
      <c r="S338" s="48" t="inlineStr">
        <is>
          <t xml:space="preserve">Tier 2 - Coastal wind (1-25 miles)</t>
        </is>
      </c>
      <c r="T338" s="36">
        <f>IF($A338="","",IF($S338="","",IFERROR(INDEX('[1]natural catastrophe'!$D$6:$D$17,MATCH($S338,'[1]natural catastrophe'!$B$6:$B$17,0)),"?")))</f>
      </c>
      <c r="U338" s="46" t="inlineStr">
        <is>
          <t xml:space="preserve">2% of agreed value, minimum $10,000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6993.09</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CANON-202602-005112</t>
        </is>
      </c>
      <c r="B339" s="30" t="inlineStr">
        <is>
          <t xml:space="preserve">Callum Harrington</t>
        </is>
      </c>
      <c r="C339" s="31">
        <v>46079</v>
      </c>
      <c r="D339" s="32" t="inlineStr">
        <is>
          <t xml:space="preserve">Bound - within authority</t>
        </is>
      </c>
      <c r="E339" s="32" t="inlineStr">
        <is>
          <t xml:space="preserve">New business</t>
        </is>
      </c>
      <c r="F339" s="30" t="inlineStr">
        <is>
          <t xml:space="preserve">B1234EXOTIC26</t>
        </is>
      </c>
      <c r="G339" s="33">
        <f>IF($A339="","",IF($C339="","",YEAR($C339)))</f>
      </c>
      <c r="H339" s="34">
        <v>1969</v>
      </c>
      <c r="I339" s="30" t="inlineStr">
        <is>
          <t xml:space="preserve">Aston Martin</t>
        </is>
      </c>
      <c r="J339" s="30" t="inlineStr">
        <is>
          <t xml:space="preserve">DB5</t>
        </is>
      </c>
      <c r="K339" s="30" t="inlineStr">
        <is>
          <t xml:space="preserve">74LN5T4ZYM5KBVTYE</t>
        </is>
      </c>
      <c r="L339" s="32" t="inlineStr">
        <is>
          <t xml:space="preserve">07 - Post-War Classic (1946-1972)</t>
        </is>
      </c>
      <c r="M339" s="35">
        <v>170000</v>
      </c>
      <c r="N339" s="32" t="inlineStr">
        <is>
          <t xml:space="preserve">Personal</t>
        </is>
      </c>
      <c r="O339" s="30" t="inlineStr">
        <is>
          <t xml:space="preserve">Personal - regular use</t>
        </is>
      </c>
      <c r="P339" s="30" t="inlineStr">
        <is>
          <t xml:space="preserve">Under 1,000</t>
        </is>
      </c>
      <c r="Q339" s="30" t="inlineStr">
        <is>
          <t xml:space="preserve">Rhode Island</t>
        </is>
      </c>
      <c r="R339" s="30" t="inlineStr">
        <is>
          <t xml:space="preserve">02903</t>
        </is>
      </c>
      <c r="S339" s="32" t="inlineStr">
        <is>
          <t xml:space="preserve">Tier 3 - Coastal wind (25-100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2202.19</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CANON-202602-005113</t>
        </is>
      </c>
      <c r="B340" s="46" t="inlineStr">
        <is>
          <t xml:space="preserve">Marisol Underwood</t>
        </is>
      </c>
      <c r="C340" s="47">
        <v>46069</v>
      </c>
      <c r="D340" s="48" t="inlineStr">
        <is>
          <t xml:space="preserve">Bound - within authority</t>
        </is>
      </c>
      <c r="E340" s="48" t="inlineStr">
        <is>
          <t xml:space="preserve">New business</t>
        </is>
      </c>
      <c r="F340" s="46" t="inlineStr">
        <is>
          <t xml:space="preserve">B1234EXOTIC26</t>
        </is>
      </c>
      <c r="G340" s="33">
        <f>IF($A340="","",IF($C340="","",YEAR($C340)))</f>
      </c>
      <c r="H340" s="49">
        <v>2022</v>
      </c>
      <c r="I340" s="46" t="inlineStr">
        <is>
          <t xml:space="preserve">Mercedes-Benz</t>
        </is>
      </c>
      <c r="J340" s="46" t="inlineStr">
        <is>
          <t xml:space="preserve">AMG GT</t>
        </is>
      </c>
      <c r="K340" s="46" t="inlineStr">
        <is>
          <t xml:space="preserve">NF7E3PD6ZKFDX4EKP</t>
        </is>
      </c>
      <c r="L340" s="48" t="inlineStr">
        <is>
          <t xml:space="preserve">02 - Sports / GT</t>
        </is>
      </c>
      <c r="M340" s="50">
        <v>475000</v>
      </c>
      <c r="N340" s="48" t="inlineStr">
        <is>
          <t xml:space="preserve">Personal</t>
        </is>
      </c>
      <c r="O340" s="46" t="inlineStr">
        <is>
          <t xml:space="preserve">Personal - regular use</t>
        </is>
      </c>
      <c r="P340" s="46" t="inlineStr">
        <is>
          <t xml:space="preserve">Under 1,000</t>
        </is>
      </c>
      <c r="Q340" s="46" t="inlineStr">
        <is>
          <t xml:space="preserve">Arkansas</t>
        </is>
      </c>
      <c r="R340" s="46" t="inlineStr">
        <is>
          <t xml:space="preserve">72201</t>
        </is>
      </c>
      <c r="S340" s="48" t="inlineStr">
        <is>
          <t xml:space="preserve">Severe convective - hail / tornado (moderate)</t>
        </is>
      </c>
      <c r="T340" s="36">
        <f>IF($A340="","",IF($S340="","",IFERROR(INDEX('[1]natural catastrophe'!$D$6:$D$17,MATCH($S340,'[1]natural catastrophe'!$B$6:$B$17,0)),"?")))</f>
      </c>
      <c r="U340" s="46" t="inlineStr">
        <is>
          <t xml:space="preserve">$5,000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8155.41</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CANON-202602-005115</t>
        </is>
      </c>
      <c r="B341" s="30" t="inlineStr">
        <is>
          <t xml:space="preserve">Mireille Delacroix</t>
        </is>
      </c>
      <c r="C341" s="31">
        <v>46067</v>
      </c>
      <c r="D341" s="32" t="inlineStr">
        <is>
          <t xml:space="preserve">Bound - within authority</t>
        </is>
      </c>
      <c r="E341" s="32" t="inlineStr">
        <is>
          <t xml:space="preserve">New business</t>
        </is>
      </c>
      <c r="F341" s="30" t="inlineStr">
        <is>
          <t xml:space="preserve">B1234EXOTIC26</t>
        </is>
      </c>
      <c r="G341" s="33">
        <f>IF($A341="","",IF($C341="","",YEAR($C341)))</f>
      </c>
      <c r="H341" s="34">
        <v>1990</v>
      </c>
      <c r="I341" s="30" t="inlineStr">
        <is>
          <t xml:space="preserve">Mercedes-Benz</t>
        </is>
      </c>
      <c r="J341" s="30" t="inlineStr">
        <is>
          <t xml:space="preserve">280SL Pagoda</t>
        </is>
      </c>
      <c r="K341" s="30" t="inlineStr">
        <is>
          <t xml:space="preserve">AW7ZNJ2XWXFAANAUH</t>
        </is>
      </c>
      <c r="L341" s="32" t="inlineStr">
        <is>
          <t xml:space="preserve">08 - Modern Classic (1973-1999)</t>
        </is>
      </c>
      <c r="M341" s="35">
        <v>320000</v>
      </c>
      <c r="N341" s="32" t="inlineStr">
        <is>
          <t xml:space="preserve">Personal</t>
        </is>
      </c>
      <c r="O341" s="30" t="inlineStr">
        <is>
          <t xml:space="preserve">Personal - regular use</t>
        </is>
      </c>
      <c r="P341" s="30" t="inlineStr">
        <is>
          <t xml:space="preserve">2,500 - 5,000</t>
        </is>
      </c>
      <c r="Q341" s="30" t="inlineStr">
        <is>
          <t xml:space="preserve">Rhode Island</t>
        </is>
      </c>
      <c r="R341" s="30" t="inlineStr">
        <is>
          <t xml:space="preserve">02903</t>
        </is>
      </c>
      <c r="S341" s="32" t="inlineStr">
        <is>
          <t xml:space="preserve">Tier 3 - Coastal wind (25-100 miles)</t>
        </is>
      </c>
      <c r="T341" s="36">
        <f>IF($A341="","",IF($S341="","",IFERROR(INDEX('[1]natural catastrophe'!$D$6:$D$17,MATCH($S341,'[1]natural catastrophe'!$B$6:$B$17,0)),"?")))</f>
      </c>
      <c r="U341" s="30" t="inlineStr">
        <is>
          <t xml:space="preserve">2% of agreed value, minimum $10,000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3490.79</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CANON-202602-005116</t>
        </is>
      </c>
      <c r="B342" s="46" t="inlineStr">
        <is>
          <t xml:space="preserve">Everett Fairweather</t>
        </is>
      </c>
      <c r="C342" s="47">
        <v>46058</v>
      </c>
      <c r="D342" s="48" t="inlineStr">
        <is>
          <t xml:space="preserve">Bound - within authority</t>
        </is>
      </c>
      <c r="E342" s="48" t="inlineStr">
        <is>
          <t xml:space="preserve">New business</t>
        </is>
      </c>
      <c r="F342" s="46" t="inlineStr">
        <is>
          <t xml:space="preserve">B1234EXOTIC26</t>
        </is>
      </c>
      <c r="G342" s="33">
        <f>IF($A342="","",IF($C342="","",YEAR($C342)))</f>
      </c>
      <c r="H342" s="49">
        <v>1994</v>
      </c>
      <c r="I342" s="46" t="inlineStr">
        <is>
          <t xml:space="preserve">Lamborghini</t>
        </is>
      </c>
      <c r="J342" s="46" t="inlineStr">
        <is>
          <t xml:space="preserve">Huracan EVO</t>
        </is>
      </c>
      <c r="K342" s="46" t="inlineStr">
        <is>
          <t xml:space="preserve">ZSCWJ47EKWS5YVYTE</t>
        </is>
      </c>
      <c r="L342" s="48" t="inlineStr">
        <is>
          <t xml:space="preserve">03 - Supercar</t>
        </is>
      </c>
      <c r="M342" s="50">
        <v>1205000</v>
      </c>
      <c r="N342" s="48" t="inlineStr">
        <is>
          <t xml:space="preserve">Personal</t>
        </is>
      </c>
      <c r="O342" s="46" t="inlineStr">
        <is>
          <t xml:space="preserve">Personal - regular use</t>
        </is>
      </c>
      <c r="P342" s="46" t="inlineStr">
        <is>
          <t xml:space="preserve">2,500 - 5,000</t>
        </is>
      </c>
      <c r="Q342" s="46" t="inlineStr">
        <is>
          <t xml:space="preserve">Michigan</t>
        </is>
      </c>
      <c r="R342" s="46" t="inlineStr">
        <is>
          <t xml:space="preserve">48226</t>
        </is>
      </c>
      <c r="S342" s="48" t="inlineStr">
        <is>
          <t xml:space="preserve">Severe convective - hail / tornado (moderate)</t>
        </is>
      </c>
      <c r="T342" s="36">
        <f>IF($A342="","",IF($S342="","",IFERROR(INDEX('[1]natural catastrophe'!$D$6:$D$17,MATCH($S342,'[1]natural catastrophe'!$B$6:$B$17,0)),"?")))</f>
      </c>
      <c r="U342" s="46" t="inlineStr">
        <is>
          <t xml:space="preserve">$5,000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24786.8</v>
      </c>
      <c r="AC342" s="51">
        <v>0</v>
      </c>
      <c r="AD342" s="38">
        <f>IF(ISNUMBER($AB342),$AB342*(1+N($AC342)),"")</f>
      </c>
      <c r="AE342" s="50">
        <v>350</v>
      </c>
      <c r="AF342" s="50">
        <v>250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CANON-202602-005117</t>
        </is>
      </c>
      <c r="B343" s="30" t="inlineStr">
        <is>
          <t xml:space="preserve">Fenwick Whitlock</t>
        </is>
      </c>
      <c r="C343" s="31">
        <v>46064</v>
      </c>
      <c r="D343" s="32" t="inlineStr">
        <is>
          <t xml:space="preserve">Bound - within authority</t>
        </is>
      </c>
      <c r="E343" s="32" t="inlineStr">
        <is>
          <t xml:space="preserve">New business</t>
        </is>
      </c>
      <c r="F343" s="30" t="inlineStr">
        <is>
          <t xml:space="preserve">B1234EXOTIC26</t>
        </is>
      </c>
      <c r="G343" s="33">
        <f>IF($A343="","",IF($C343="","",YEAR($C343)))</f>
      </c>
      <c r="H343" s="34">
        <v>1969</v>
      </c>
      <c r="I343" s="30" t="inlineStr">
        <is>
          <t xml:space="preserve">BMW</t>
        </is>
      </c>
      <c r="J343" s="30" t="inlineStr">
        <is>
          <t xml:space="preserve">M8 Competition</t>
        </is>
      </c>
      <c r="K343" s="30" t="inlineStr">
        <is>
          <t xml:space="preserve">9SV92VBV75TVC91VN</t>
        </is>
      </c>
      <c r="L343" s="32" t="inlineStr">
        <is>
          <t xml:space="preserve">02 - Sports / GT</t>
        </is>
      </c>
      <c r="M343" s="35">
        <v>490000</v>
      </c>
      <c r="N343" s="32" t="inlineStr">
        <is>
          <t xml:space="preserve">Personal</t>
        </is>
      </c>
      <c r="O343" s="30" t="inlineStr">
        <is>
          <t xml:space="preserve">Personal - regular use</t>
        </is>
      </c>
      <c r="P343" s="30" t="inlineStr">
        <is>
          <t xml:space="preserve">Under 1,000</t>
        </is>
      </c>
      <c r="Q343" s="30" t="inlineStr">
        <is>
          <t xml:space="preserve">Alaska</t>
        </is>
      </c>
      <c r="R343" s="30" t="inlineStr">
        <is>
          <t xml:space="preserve">99501</t>
        </is>
      </c>
      <c r="S343" s="32" t="inlineStr">
        <is>
          <t xml:space="preserve">Earthquake - high (CA, Cascadia, New Madrid)</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6949.83</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CANON-202602-005118</t>
        </is>
      </c>
      <c r="B344" s="46" t="inlineStr">
        <is>
          <t xml:space="preserve">Noor Ashcombe</t>
        </is>
      </c>
      <c r="C344" s="47">
        <v>46080</v>
      </c>
      <c r="D344" s="48" t="inlineStr">
        <is>
          <t xml:space="preserve">Bound - within authority</t>
        </is>
      </c>
      <c r="E344" s="48" t="inlineStr">
        <is>
          <t xml:space="preserve">New business</t>
        </is>
      </c>
      <c r="F344" s="46" t="inlineStr">
        <is>
          <t xml:space="preserve">B1234EXOTIC26</t>
        </is>
      </c>
      <c r="G344" s="33">
        <f>IF($A344="","",IF($C344="","",YEAR($C344)))</f>
      </c>
      <c r="H344" s="49">
        <v>1957</v>
      </c>
      <c r="I344" s="46" t="inlineStr">
        <is>
          <t xml:space="preserve">Alfa Romeo</t>
        </is>
      </c>
      <c r="J344" s="46" t="inlineStr">
        <is>
          <t xml:space="preserve">8C 2900</t>
        </is>
      </c>
      <c r="K344" s="46" t="inlineStr">
        <is>
          <t xml:space="preserve">1YT7R1BBGKJDYGD10</t>
        </is>
      </c>
      <c r="L344" s="48" t="inlineStr">
        <is>
          <t xml:space="preserve">07 - Post-War Classic (1946-1972)</t>
        </is>
      </c>
      <c r="M344" s="50">
        <v>1950000</v>
      </c>
      <c r="N344" s="48" t="inlineStr">
        <is>
          <t xml:space="preserve">Personal</t>
        </is>
      </c>
      <c r="O344" s="46" t="inlineStr">
        <is>
          <t xml:space="preserve">Personal - regular use</t>
        </is>
      </c>
      <c r="P344" s="46" t="inlineStr">
        <is>
          <t xml:space="preserve">2,500 - 5,000</t>
        </is>
      </c>
      <c r="Q344" s="46" t="inlineStr">
        <is>
          <t xml:space="preserve">Mississippi</t>
        </is>
      </c>
      <c r="R344" s="46" t="inlineStr">
        <is>
          <t xml:space="preserve">39201</t>
        </is>
      </c>
      <c r="S344" s="48" t="inlineStr">
        <is>
          <t xml:space="preserve">Tier 2 - Coastal wind (1-25 miles)</t>
        </is>
      </c>
      <c r="T344" s="36">
        <f>IF($A344="","",IF($S344="","",IFERROR(INDEX('[1]natural catastrophe'!$D$6:$D$17,MATCH($S344,'[1]natural catastrophe'!$B$6:$B$17,0)),"?")))</f>
      </c>
      <c r="U344" s="46" t="inlineStr">
        <is>
          <t xml:space="preserve">2% of agreed value, minimum $10,000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13087.97</v>
      </c>
      <c r="AC344" s="51">
        <v>0</v>
      </c>
      <c r="AD344" s="38">
        <f>IF(ISNUMBER($AB344),$AB344*(1+N($AC344)),"")</f>
      </c>
      <c r="AE344" s="50">
        <v>350</v>
      </c>
      <c r="AF344" s="50">
        <v>250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CANON-202602-005119</t>
        </is>
      </c>
      <c r="B345" s="30" t="inlineStr">
        <is>
          <t xml:space="preserve">Everett Farkas</t>
        </is>
      </c>
      <c r="C345" s="31">
        <v>46059</v>
      </c>
      <c r="D345" s="32" t="inlineStr">
        <is>
          <t xml:space="preserve">Bound - within authority</t>
        </is>
      </c>
      <c r="E345" s="32" t="inlineStr">
        <is>
          <t xml:space="preserve">New business</t>
        </is>
      </c>
      <c r="F345" s="30" t="inlineStr">
        <is>
          <t xml:space="preserve">B1234EXOTIC26</t>
        </is>
      </c>
      <c r="G345" s="33">
        <f>IF($A345="","",IF($C345="","",YEAR($C345)))</f>
      </c>
      <c r="H345" s="34">
        <v>2021</v>
      </c>
      <c r="I345" s="30" t="inlineStr">
        <is>
          <t xml:space="preserve">Ferrari</t>
        </is>
      </c>
      <c r="J345" s="30" t="inlineStr">
        <is>
          <t xml:space="preserve">275 GTB/4</t>
        </is>
      </c>
      <c r="K345" s="30" t="inlineStr">
        <is>
          <t xml:space="preserve">4HUHM87EZC6VS43K1</t>
        </is>
      </c>
      <c r="L345" s="32" t="inlineStr">
        <is>
          <t xml:space="preserve">02 - Sports / GT</t>
        </is>
      </c>
      <c r="M345" s="35">
        <v>1135000</v>
      </c>
      <c r="N345" s="32" t="inlineStr">
        <is>
          <t xml:space="preserve">Personal</t>
        </is>
      </c>
      <c r="O345" s="30" t="inlineStr">
        <is>
          <t xml:space="preserve">Personal - regular use</t>
        </is>
      </c>
      <c r="P345" s="30" t="inlineStr">
        <is>
          <t xml:space="preserve">2,500 - 5,000</t>
        </is>
      </c>
      <c r="Q345" s="30" t="inlineStr">
        <is>
          <t xml:space="preserve">California</t>
        </is>
      </c>
      <c r="R345" s="30" t="inlineStr">
        <is>
          <t xml:space="preserve">90012</t>
        </is>
      </c>
      <c r="S345" s="32" t="inlineStr">
        <is>
          <t xml:space="preserve">Earthquake - high (CA, Cascadia, New Madrid)</t>
        </is>
      </c>
      <c r="T345" s="36">
        <f>IF($A345="","",IF($S345="","",IFERROR(INDEX('[1]natural catastrophe'!$D$6:$D$17,MATCH($S345,'[1]natural catastrophe'!$B$6:$B$17,0)),"?")))</f>
      </c>
      <c r="U345" s="30" t="inlineStr">
        <is>
          <t xml:space="preserve">$5,000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9658.84</v>
      </c>
      <c r="AC345" s="37">
        <v>0</v>
      </c>
      <c r="AD345" s="38">
        <f>IF(ISNUMBER($AB345),$AB345*(1+N($AC345)),"")</f>
      </c>
      <c r="AE345" s="35">
        <v>350</v>
      </c>
      <c r="AF345" s="35">
        <v>250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CANON-202602-005120</t>
        </is>
      </c>
      <c r="B346" s="46" t="inlineStr">
        <is>
          <t xml:space="preserve">Saoirse Kingsford</t>
        </is>
      </c>
      <c r="C346" s="47">
        <v>46062</v>
      </c>
      <c r="D346" s="48" t="inlineStr">
        <is>
          <t xml:space="preserve">Bound - within authority</t>
        </is>
      </c>
      <c r="E346" s="48" t="inlineStr">
        <is>
          <t xml:space="preserve">New business</t>
        </is>
      </c>
      <c r="F346" s="46" t="inlineStr">
        <is>
          <t xml:space="preserve">B1234EXOTIC26</t>
        </is>
      </c>
      <c r="G346" s="33">
        <f>IF($A346="","",IF($C346="","",YEAR($C346)))</f>
      </c>
      <c r="H346" s="49">
        <v>2002</v>
      </c>
      <c r="I346" s="46" t="inlineStr">
        <is>
          <t xml:space="preserve">Bentley</t>
        </is>
      </c>
      <c r="J346" s="46" t="inlineStr">
        <is>
          <t xml:space="preserve">Continental GT</t>
        </is>
      </c>
      <c r="K346" s="46" t="inlineStr">
        <is>
          <t xml:space="preserve">RBW1PL6MZTC925XLR</t>
        </is>
      </c>
      <c r="L346" s="48" t="inlineStr">
        <is>
          <t xml:space="preserve">02 - Sports / GT</t>
        </is>
      </c>
      <c r="M346" s="50">
        <v>400000</v>
      </c>
      <c r="N346" s="48" t="inlineStr">
        <is>
          <t xml:space="preserve">Personal</t>
        </is>
      </c>
      <c r="O346" s="46" t="inlineStr">
        <is>
          <t xml:space="preserve">Personal - regular use</t>
        </is>
      </c>
      <c r="P346" s="46" t="inlineStr">
        <is>
          <t xml:space="preserve">Under 1,000</t>
        </is>
      </c>
      <c r="Q346" s="46" t="inlineStr">
        <is>
          <t xml:space="preserve">West Virginia</t>
        </is>
      </c>
      <c r="R346" s="46" t="inlineStr">
        <is>
          <t xml:space="preserve">25301</t>
        </is>
      </c>
      <c r="S346" s="48" t="inlineStr">
        <is>
          <t xml:space="preserve">Low hazard - inland benign</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6618.88</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CANON-202602-005124</t>
        </is>
      </c>
      <c r="B347" s="30" t="inlineStr">
        <is>
          <t xml:space="preserve">Desmond Kingsford</t>
        </is>
      </c>
      <c r="C347" s="31">
        <v>46064</v>
      </c>
      <c r="D347" s="32" t="inlineStr">
        <is>
          <t xml:space="preserve">Bound - within authority</t>
        </is>
      </c>
      <c r="E347" s="32" t="inlineStr">
        <is>
          <t xml:space="preserve">New business</t>
        </is>
      </c>
      <c r="F347" s="30" t="inlineStr">
        <is>
          <t xml:space="preserve">B1234EXOTIC26</t>
        </is>
      </c>
      <c r="G347" s="33">
        <f>IF($A347="","",IF($C347="","",YEAR($C347)))</f>
      </c>
      <c r="H347" s="34">
        <v>2002</v>
      </c>
      <c r="I347" s="30" t="inlineStr">
        <is>
          <t xml:space="preserve">Aston Martin</t>
        </is>
      </c>
      <c r="J347" s="30" t="inlineStr">
        <is>
          <t xml:space="preserve">DB12</t>
        </is>
      </c>
      <c r="K347" s="30" t="inlineStr">
        <is>
          <t xml:space="preserve">LXA1BXDWE59D6MAZ9</t>
        </is>
      </c>
      <c r="L347" s="32" t="inlineStr">
        <is>
          <t xml:space="preserve">02 - Sports / GT</t>
        </is>
      </c>
      <c r="M347" s="35">
        <v>395000</v>
      </c>
      <c r="N347" s="32" t="inlineStr">
        <is>
          <t xml:space="preserve">Personal</t>
        </is>
      </c>
      <c r="O347" s="30" t="inlineStr">
        <is>
          <t xml:space="preserve">Personal - regular use</t>
        </is>
      </c>
      <c r="P347" s="30" t="inlineStr">
        <is>
          <t xml:space="preserve">1,000 - 2,500</t>
        </is>
      </c>
      <c r="Q347" s="30" t="inlineStr">
        <is>
          <t xml:space="preserve">Connecticut</t>
        </is>
      </c>
      <c r="R347" s="30" t="inlineStr">
        <is>
          <t xml:space="preserve">06103</t>
        </is>
      </c>
      <c r="S347" s="32" t="inlineStr">
        <is>
          <t xml:space="preserve">Tier 3 - Coastal wind (25-100 miles)</t>
        </is>
      </c>
      <c r="T347" s="36">
        <f>IF($A347="","",IF($S347="","",IFERROR(INDEX('[1]natural catastrophe'!$D$6:$D$17,MATCH($S347,'[1]natural catastrophe'!$B$6:$B$17,0)),"?")))</f>
      </c>
      <c r="U347" s="30" t="inlineStr">
        <is>
          <t xml:space="preserve">2% of agreed value, minimum $10,000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5504.13</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CANON-202602-005127</t>
        </is>
      </c>
      <c r="B348" s="46" t="inlineStr">
        <is>
          <t xml:space="preserve">Ramona Bellandi</t>
        </is>
      </c>
      <c r="C348" s="47">
        <v>46063</v>
      </c>
      <c r="D348" s="48" t="inlineStr">
        <is>
          <t xml:space="preserve">Bound - within authority</t>
        </is>
      </c>
      <c r="E348" s="48" t="inlineStr">
        <is>
          <t xml:space="preserve">New business</t>
        </is>
      </c>
      <c r="F348" s="46" t="inlineStr">
        <is>
          <t xml:space="preserve">B1234EXOTIC26</t>
        </is>
      </c>
      <c r="G348" s="33">
        <f>IF($A348="","",IF($C348="","",YEAR($C348)))</f>
      </c>
      <c r="H348" s="49">
        <v>2013</v>
      </c>
      <c r="I348" s="46" t="inlineStr">
        <is>
          <t xml:space="preserve">BMW</t>
        </is>
      </c>
      <c r="J348" s="46" t="inlineStr">
        <is>
          <t xml:space="preserve">M8 Competition</t>
        </is>
      </c>
      <c r="K348" s="46" t="inlineStr">
        <is>
          <t xml:space="preserve">17SZ4XVFNDCUJRSMR</t>
        </is>
      </c>
      <c r="L348" s="48" t="inlineStr">
        <is>
          <t xml:space="preserve">02 - Sports / GT</t>
        </is>
      </c>
      <c r="M348" s="50">
        <v>440000</v>
      </c>
      <c r="N348" s="48" t="inlineStr">
        <is>
          <t xml:space="preserve">Personal</t>
        </is>
      </c>
      <c r="O348" s="46" t="inlineStr">
        <is>
          <t xml:space="preserve">Personal - regular use</t>
        </is>
      </c>
      <c r="P348" s="46" t="inlineStr">
        <is>
          <t xml:space="preserve">Under 1,000</t>
        </is>
      </c>
      <c r="Q348" s="46" t="inlineStr">
        <is>
          <t xml:space="preserve">Michigan</t>
        </is>
      </c>
      <c r="R348" s="46" t="inlineStr">
        <is>
          <t xml:space="preserve">48226</t>
        </is>
      </c>
      <c r="S348" s="48" t="inlineStr">
        <is>
          <t xml:space="preserve">Severe convective - hail / tornado (moderate)</t>
        </is>
      </c>
      <c r="T348" s="36">
        <f>IF($A348="","",IF($S348="","",IFERROR(INDEX('[1]natural catastrophe'!$D$6:$D$17,MATCH($S348,'[1]natural catastrophe'!$B$6:$B$17,0)),"?")))</f>
      </c>
      <c r="U348" s="46" t="inlineStr">
        <is>
          <t xml:space="preserve">$5,000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8485.11</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CANON-202602-005128</t>
        </is>
      </c>
      <c r="B349" s="30" t="inlineStr">
        <is>
          <t xml:space="preserve">Fenwick Larsson</t>
        </is>
      </c>
      <c r="C349" s="31">
        <v>46063</v>
      </c>
      <c r="D349" s="32" t="inlineStr">
        <is>
          <t xml:space="preserve">Bound - within authority</t>
        </is>
      </c>
      <c r="E349" s="32" t="inlineStr">
        <is>
          <t xml:space="preserve">New business</t>
        </is>
      </c>
      <c r="F349" s="30" t="inlineStr">
        <is>
          <t xml:space="preserve">B1234EXOTIC26</t>
        </is>
      </c>
      <c r="G349" s="33">
        <f>IF($A349="","",IF($C349="","",YEAR($C349)))</f>
      </c>
      <c r="H349" s="34">
        <v>1984</v>
      </c>
      <c r="I349" s="30" t="inlineStr">
        <is>
          <t xml:space="preserve">Mercedes-Benz</t>
        </is>
      </c>
      <c r="J349" s="30" t="inlineStr">
        <is>
          <t xml:space="preserve">AMG GT</t>
        </is>
      </c>
      <c r="K349" s="30" t="inlineStr">
        <is>
          <t xml:space="preserve">2VH61ZWF3L087XJ8W</t>
        </is>
      </c>
      <c r="L349" s="32" t="inlineStr">
        <is>
          <t xml:space="preserve">02 - Sports / GT</t>
        </is>
      </c>
      <c r="M349" s="35">
        <v>1015000</v>
      </c>
      <c r="N349" s="32" t="inlineStr">
        <is>
          <t xml:space="preserve">Personal</t>
        </is>
      </c>
      <c r="O349" s="30" t="inlineStr">
        <is>
          <t xml:space="preserve">Personal - regular use</t>
        </is>
      </c>
      <c r="P349" s="30" t="inlineStr">
        <is>
          <t xml:space="preserve">2,500 - 5,000</t>
        </is>
      </c>
      <c r="Q349" s="30" t="inlineStr">
        <is>
          <t xml:space="preserve">Nebraska</t>
        </is>
      </c>
      <c r="R349" s="30" t="inlineStr">
        <is>
          <t xml:space="preserve">68102</t>
        </is>
      </c>
      <c r="S349" s="32" t="inlineStr">
        <is>
          <t xml:space="preserve">Severe convective - hail alley (high)</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12038.82</v>
      </c>
      <c r="AC349" s="37">
        <v>0</v>
      </c>
      <c r="AD349" s="38">
        <f>IF(ISNUMBER($AB349),$AB349*(1+N($AC349)),"")</f>
      </c>
      <c r="AE349" s="35">
        <v>350</v>
      </c>
      <c r="AF349" s="35">
        <v>250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CANON-202602-005129</t>
        </is>
      </c>
      <c r="B350" s="46" t="inlineStr">
        <is>
          <t xml:space="preserve">Beatrix Rourke</t>
        </is>
      </c>
      <c r="C350" s="47">
        <v>46079</v>
      </c>
      <c r="D350" s="48" t="inlineStr">
        <is>
          <t xml:space="preserve">Bound - within authority</t>
        </is>
      </c>
      <c r="E350" s="48" t="inlineStr">
        <is>
          <t xml:space="preserve">New business</t>
        </is>
      </c>
      <c r="F350" s="46" t="inlineStr">
        <is>
          <t xml:space="preserve">B1234EXOTIC26</t>
        </is>
      </c>
      <c r="G350" s="33">
        <f>IF($A350="","",IF($C350="","",YEAR($C350)))</f>
      </c>
      <c r="H350" s="49">
        <v>1974</v>
      </c>
      <c r="I350" s="46" t="inlineStr">
        <is>
          <t xml:space="preserve">Bentley</t>
        </is>
      </c>
      <c r="J350" s="46" t="inlineStr">
        <is>
          <t xml:space="preserve">Continental GT</t>
        </is>
      </c>
      <c r="K350" s="46" t="inlineStr">
        <is>
          <t xml:space="preserve">HY0A0PU2GFPH6UMSY</t>
        </is>
      </c>
      <c r="L350" s="48" t="inlineStr">
        <is>
          <t xml:space="preserve">02 - Sports / GT</t>
        </is>
      </c>
      <c r="M350" s="50">
        <v>1775000</v>
      </c>
      <c r="N350" s="48" t="inlineStr">
        <is>
          <t xml:space="preserve">Personal</t>
        </is>
      </c>
      <c r="O350" s="46" t="inlineStr">
        <is>
          <t xml:space="preserve">Personal - regular use</t>
        </is>
      </c>
      <c r="P350" s="46" t="inlineStr">
        <is>
          <t xml:space="preserve">Under 1,000</t>
        </is>
      </c>
      <c r="Q350" s="46" t="inlineStr">
        <is>
          <t xml:space="preserve">Oklahoma</t>
        </is>
      </c>
      <c r="R350" s="46" t="inlineStr">
        <is>
          <t xml:space="preserve">73102</t>
        </is>
      </c>
      <c r="S350" s="48" t="inlineStr">
        <is>
          <t xml:space="preserve">Severe convective - hail alley (high)</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20405.32</v>
      </c>
      <c r="AC350" s="51">
        <v>0</v>
      </c>
      <c r="AD350" s="38">
        <f>IF(ISNUMBER($AB350),$AB350*(1+N($AC350)),"")</f>
      </c>
      <c r="AE350" s="50">
        <v>350</v>
      </c>
      <c r="AF350" s="50">
        <v>250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CANON-202602-005130</t>
        </is>
      </c>
      <c r="B351" s="30" t="inlineStr">
        <is>
          <t xml:space="preserve">Aurelio Rourke</t>
        </is>
      </c>
      <c r="C351" s="31">
        <v>46061</v>
      </c>
      <c r="D351" s="32" t="inlineStr">
        <is>
          <t xml:space="preserve">Bound - within authority</t>
        </is>
      </c>
      <c r="E351" s="32" t="inlineStr">
        <is>
          <t xml:space="preserve">New business</t>
        </is>
      </c>
      <c r="F351" s="30" t="inlineStr">
        <is>
          <t xml:space="preserve">B1234EXOTIC26</t>
        </is>
      </c>
      <c r="G351" s="33">
        <f>IF($A351="","",IF($C351="","",YEAR($C351)))</f>
      </c>
      <c r="H351" s="34">
        <v>1964</v>
      </c>
      <c r="I351" s="30" t="inlineStr">
        <is>
          <t xml:space="preserve">McLaren</t>
        </is>
      </c>
      <c r="J351" s="30" t="inlineStr">
        <is>
          <t xml:space="preserve">750S</t>
        </is>
      </c>
      <c r="K351" s="30" t="inlineStr">
        <is>
          <t xml:space="preserve">85V349N2T8KGEPU0B</t>
        </is>
      </c>
      <c r="L351" s="32" t="inlineStr">
        <is>
          <t xml:space="preserve">03 - Supercar</t>
        </is>
      </c>
      <c r="M351" s="35">
        <v>1205000</v>
      </c>
      <c r="N351" s="32" t="inlineStr">
        <is>
          <t xml:space="preserve">Personal</t>
        </is>
      </c>
      <c r="O351" s="30" t="inlineStr">
        <is>
          <t xml:space="preserve">Personal - regular use</t>
        </is>
      </c>
      <c r="P351" s="30" t="inlineStr">
        <is>
          <t xml:space="preserve">2,500 - 5,000</t>
        </is>
      </c>
      <c r="Q351" s="30" t="inlineStr">
        <is>
          <t xml:space="preserve">Massachusetts</t>
        </is>
      </c>
      <c r="R351" s="30" t="inlineStr">
        <is>
          <t xml:space="preserve">02108</t>
        </is>
      </c>
      <c r="S351" s="32" t="inlineStr">
        <is>
          <t xml:space="preserve">Tier 3 - Coastal wind (25-100 miles)</t>
        </is>
      </c>
      <c r="T351" s="36">
        <f>IF($A351="","",IF($S351="","",IFERROR(INDEX('[1]natural catastrophe'!$D$6:$D$17,MATCH($S351,'[1]natural catastrophe'!$B$6:$B$17,0)),"?")))</f>
      </c>
      <c r="U351" s="30" t="inlineStr">
        <is>
          <t xml:space="preserve">2% of agreed value, minimum $10,000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19989.36</v>
      </c>
      <c r="AC351" s="37">
        <v>0</v>
      </c>
      <c r="AD351" s="38">
        <f>IF(ISNUMBER($AB351),$AB351*(1+N($AC351)),"")</f>
      </c>
      <c r="AE351" s="35">
        <v>350</v>
      </c>
      <c r="AF351" s="35">
        <v>250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CANON-202602-005131</t>
        </is>
      </c>
      <c r="B352" s="46" t="inlineStr">
        <is>
          <t xml:space="preserve">Desmond Montoya</t>
        </is>
      </c>
      <c r="C352" s="47">
        <v>46058</v>
      </c>
      <c r="D352" s="48" t="inlineStr">
        <is>
          <t xml:space="preserve">Bound - within authority</t>
        </is>
      </c>
      <c r="E352" s="48" t="inlineStr">
        <is>
          <t xml:space="preserve">New business</t>
        </is>
      </c>
      <c r="F352" s="46" t="inlineStr">
        <is>
          <t xml:space="preserve">B1234EXOTIC26</t>
        </is>
      </c>
      <c r="G352" s="33">
        <f>IF($A352="","",IF($C352="","",YEAR($C352)))</f>
      </c>
      <c r="H352" s="49">
        <v>2015</v>
      </c>
      <c r="I352" s="46" t="inlineStr">
        <is>
          <t xml:space="preserve">Ferrari</t>
        </is>
      </c>
      <c r="J352" s="46" t="inlineStr">
        <is>
          <t xml:space="preserve">SF90 Stradale</t>
        </is>
      </c>
      <c r="K352" s="46" t="inlineStr">
        <is>
          <t xml:space="preserve">7PS4HCA86WW5BLFVZ</t>
        </is>
      </c>
      <c r="L352" s="48" t="inlineStr">
        <is>
          <t xml:space="preserve">03 - Supercar</t>
        </is>
      </c>
      <c r="M352" s="50">
        <v>1190000</v>
      </c>
      <c r="N352" s="48" t="inlineStr">
        <is>
          <t xml:space="preserve">Personal</t>
        </is>
      </c>
      <c r="O352" s="46" t="inlineStr">
        <is>
          <t xml:space="preserve">Personal - regular use</t>
        </is>
      </c>
      <c r="P352" s="46" t="inlineStr">
        <is>
          <t xml:space="preserve">Under 1,000</t>
        </is>
      </c>
      <c r="Q352" s="46" t="inlineStr">
        <is>
          <t xml:space="preserve">Vermont</t>
        </is>
      </c>
      <c r="R352" s="46" t="inlineStr">
        <is>
          <t xml:space="preserve">05601</t>
        </is>
      </c>
      <c r="S352" s="48" t="inlineStr">
        <is>
          <t xml:space="preserve">Low hazard - inland benign</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19266.75</v>
      </c>
      <c r="AC352" s="51">
        <v>0</v>
      </c>
      <c r="AD352" s="38">
        <f>IF(ISNUMBER($AB352),$AB352*(1+N($AC352)),"")</f>
      </c>
      <c r="AE352" s="50">
        <v>350</v>
      </c>
      <c r="AF352" s="50">
        <v>250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CANON-202602-005132</t>
        </is>
      </c>
      <c r="B353" s="30" t="inlineStr">
        <is>
          <t xml:space="preserve">Sunniva Bellandi</t>
        </is>
      </c>
      <c r="C353" s="31">
        <v>46066</v>
      </c>
      <c r="D353" s="32" t="inlineStr">
        <is>
          <t xml:space="preserve">Bound - within authority</t>
        </is>
      </c>
      <c r="E353" s="32" t="inlineStr">
        <is>
          <t xml:space="preserve">New business</t>
        </is>
      </c>
      <c r="F353" s="30" t="inlineStr">
        <is>
          <t xml:space="preserve">B1234EXOTIC26</t>
        </is>
      </c>
      <c r="G353" s="33">
        <f>IF($A353="","",IF($C353="","",YEAR($C353)))</f>
      </c>
      <c r="H353" s="34">
        <v>1987</v>
      </c>
      <c r="I353" s="30" t="inlineStr">
        <is>
          <t xml:space="preserve">Mercedes-Benz</t>
        </is>
      </c>
      <c r="J353" s="30" t="inlineStr">
        <is>
          <t xml:space="preserve">AMG GT</t>
        </is>
      </c>
      <c r="K353" s="30" t="inlineStr">
        <is>
          <t xml:space="preserve">MJBKXAN9M8PG03BUB</t>
        </is>
      </c>
      <c r="L353" s="32" t="inlineStr">
        <is>
          <t xml:space="preserve">02 - Sports / GT</t>
        </is>
      </c>
      <c r="M353" s="35">
        <v>610000</v>
      </c>
      <c r="N353" s="32" t="inlineStr">
        <is>
          <t xml:space="preserve">Personal</t>
        </is>
      </c>
      <c r="O353" s="30" t="inlineStr">
        <is>
          <t xml:space="preserve">Personal - regular use</t>
        </is>
      </c>
      <c r="P353" s="30" t="inlineStr">
        <is>
          <t xml:space="preserve">Under 1,000</t>
        </is>
      </c>
      <c r="Q353" s="30" t="inlineStr">
        <is>
          <t xml:space="preserve">Colorado</t>
        </is>
      </c>
      <c r="R353" s="30" t="inlineStr">
        <is>
          <t xml:space="preserve">80202</t>
        </is>
      </c>
      <c r="S353" s="32" t="inlineStr">
        <is>
          <t xml:space="preserve">Severe convective - hail alley (high)</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7235.16</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CANON-202602-005134</t>
        </is>
      </c>
      <c r="B354" s="46" t="inlineStr">
        <is>
          <t xml:space="preserve">Fitzgerald Pennington</t>
        </is>
      </c>
      <c r="C354" s="47">
        <v>46054</v>
      </c>
      <c r="D354" s="48" t="inlineStr">
        <is>
          <t xml:space="preserve">Bound - within authority</t>
        </is>
      </c>
      <c r="E354" s="48" t="inlineStr">
        <is>
          <t xml:space="preserve">New business</t>
        </is>
      </c>
      <c r="F354" s="46" t="inlineStr">
        <is>
          <t xml:space="preserve">B1234EXOTIC26</t>
        </is>
      </c>
      <c r="G354" s="33">
        <f>IF($A354="","",IF($C354="","",YEAR($C354)))</f>
      </c>
      <c r="H354" s="49">
        <v>2020</v>
      </c>
      <c r="I354" s="46" t="inlineStr">
        <is>
          <t xml:space="preserve">McLaren</t>
        </is>
      </c>
      <c r="J354" s="46" t="inlineStr">
        <is>
          <t xml:space="preserve">750S</t>
        </is>
      </c>
      <c r="K354" s="46" t="inlineStr">
        <is>
          <t xml:space="preserve">EK44RWYJA9249PP5P</t>
        </is>
      </c>
      <c r="L354" s="48" t="inlineStr">
        <is>
          <t xml:space="preserve">03 - Supercar</t>
        </is>
      </c>
      <c r="M354" s="50">
        <v>585000</v>
      </c>
      <c r="N354" s="48" t="inlineStr">
        <is>
          <t xml:space="preserve">Personal</t>
        </is>
      </c>
      <c r="O354" s="46" t="inlineStr">
        <is>
          <t xml:space="preserve">Personal - regular use</t>
        </is>
      </c>
      <c r="P354" s="46" t="inlineStr">
        <is>
          <t xml:space="preserve">1,000 - 2,500</t>
        </is>
      </c>
      <c r="Q354" s="46" t="inlineStr">
        <is>
          <t xml:space="preserve">Pennsylvania</t>
        </is>
      </c>
      <c r="R354" s="46" t="inlineStr">
        <is>
          <t xml:space="preserve">19103</t>
        </is>
      </c>
      <c r="S354" s="48" t="inlineStr">
        <is>
          <t xml:space="preserve">Low hazard - inland benign</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9219.16</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CANON-202602-005135</t>
        </is>
      </c>
      <c r="B355" s="30" t="inlineStr">
        <is>
          <t xml:space="preserve">Horace Vasquez</t>
        </is>
      </c>
      <c r="C355" s="31">
        <v>46077</v>
      </c>
      <c r="D355" s="32" t="inlineStr">
        <is>
          <t xml:space="preserve">Bound - within authority</t>
        </is>
      </c>
      <c r="E355" s="32" t="inlineStr">
        <is>
          <t xml:space="preserve">New business</t>
        </is>
      </c>
      <c r="F355" s="30" t="inlineStr">
        <is>
          <t xml:space="preserve">B1234EXOTIC26</t>
        </is>
      </c>
      <c r="G355" s="33">
        <f>IF($A355="","",IF($C355="","",YEAR($C355)))</f>
      </c>
      <c r="H355" s="34">
        <v>1990</v>
      </c>
      <c r="I355" s="30" t="inlineStr">
        <is>
          <t xml:space="preserve">BMW</t>
        </is>
      </c>
      <c r="J355" s="30" t="inlineStr">
        <is>
          <t xml:space="preserve">M8 Competition</t>
        </is>
      </c>
      <c r="K355" s="30" t="inlineStr">
        <is>
          <t xml:space="preserve">D7ABN2MF50ZEAMSAH</t>
        </is>
      </c>
      <c r="L355" s="32" t="inlineStr">
        <is>
          <t xml:space="preserve">02 - Sports / GT</t>
        </is>
      </c>
      <c r="M355" s="35">
        <v>255000</v>
      </c>
      <c r="N355" s="32" t="inlineStr">
        <is>
          <t xml:space="preserve">Personal</t>
        </is>
      </c>
      <c r="O355" s="30" t="inlineStr">
        <is>
          <t xml:space="preserve">Personal - regular use</t>
        </is>
      </c>
      <c r="P355" s="30" t="inlineStr">
        <is>
          <t xml:space="preserve">Under 1,000</t>
        </is>
      </c>
      <c r="Q355" s="30" t="inlineStr">
        <is>
          <t xml:space="preserve">California</t>
        </is>
      </c>
      <c r="R355" s="30" t="inlineStr">
        <is>
          <t xml:space="preserve">90012</t>
        </is>
      </c>
      <c r="S355" s="32" t="inlineStr">
        <is>
          <t xml:space="preserve">Earthquake - high (CA, Cascadia, New Madrid)</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4282.99</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CANON-202602-005136</t>
        </is>
      </c>
      <c r="B356" s="46" t="inlineStr">
        <is>
          <t xml:space="preserve">Priya Chattopadhyay</t>
        </is>
      </c>
      <c r="C356" s="47">
        <v>46062</v>
      </c>
      <c r="D356" s="48" t="inlineStr">
        <is>
          <t xml:space="preserve">Bound - within authority</t>
        </is>
      </c>
      <c r="E356" s="48" t="inlineStr">
        <is>
          <t xml:space="preserve">New business</t>
        </is>
      </c>
      <c r="F356" s="46" t="inlineStr">
        <is>
          <t xml:space="preserve">B1234EXOTIC26</t>
        </is>
      </c>
      <c r="G356" s="33">
        <f>IF($A356="","",IF($C356="","",YEAR($C356)))</f>
      </c>
      <c r="H356" s="49">
        <v>1965</v>
      </c>
      <c r="I356" s="46" t="inlineStr">
        <is>
          <t xml:space="preserve">Aston Martin</t>
        </is>
      </c>
      <c r="J356" s="46" t="inlineStr">
        <is>
          <t xml:space="preserve">DB12</t>
        </is>
      </c>
      <c r="K356" s="46" t="inlineStr">
        <is>
          <t xml:space="preserve">618J1KBSEZJFU2KD4</t>
        </is>
      </c>
      <c r="L356" s="48" t="inlineStr">
        <is>
          <t xml:space="preserve">02 - Sports / GT</t>
        </is>
      </c>
      <c r="M356" s="50">
        <v>640000</v>
      </c>
      <c r="N356" s="48" t="inlineStr">
        <is>
          <t xml:space="preserve">Personal</t>
        </is>
      </c>
      <c r="O356" s="46" t="inlineStr">
        <is>
          <t xml:space="preserve">Personal - regular use</t>
        </is>
      </c>
      <c r="P356" s="46" t="inlineStr">
        <is>
          <t xml:space="preserve">2,500 - 5,000</t>
        </is>
      </c>
      <c r="Q356" s="46" t="inlineStr">
        <is>
          <t xml:space="preserve">California</t>
        </is>
      </c>
      <c r="R356" s="46" t="inlineStr">
        <is>
          <t xml:space="preserve">90012</t>
        </is>
      </c>
      <c r="S356" s="48" t="inlineStr">
        <is>
          <t xml:space="preserve">Earthquake - high (CA, Cascadia, New Madrid)</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9316.21</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CANON-202602-005138</t>
        </is>
      </c>
      <c r="B357" s="30" t="inlineStr">
        <is>
          <t xml:space="preserve">Thaddeus Rourke</t>
        </is>
      </c>
      <c r="C357" s="31">
        <v>46068</v>
      </c>
      <c r="D357" s="32" t="inlineStr">
        <is>
          <t xml:space="preserve">Bound - within authority</t>
        </is>
      </c>
      <c r="E357" s="32" t="inlineStr">
        <is>
          <t xml:space="preserve">New business</t>
        </is>
      </c>
      <c r="F357" s="30" t="inlineStr">
        <is>
          <t xml:space="preserve">B1234EXOTIC26</t>
        </is>
      </c>
      <c r="G357" s="33">
        <f>IF($A357="","",IF($C357="","",YEAR($C357)))</f>
      </c>
      <c r="H357" s="34">
        <v>1959</v>
      </c>
      <c r="I357" s="30" t="inlineStr">
        <is>
          <t xml:space="preserve">Aston Martin</t>
        </is>
      </c>
      <c r="J357" s="30" t="inlineStr">
        <is>
          <t xml:space="preserve">DB12</t>
        </is>
      </c>
      <c r="K357" s="30" t="inlineStr">
        <is>
          <t xml:space="preserve">Y9TD1F01W79B0PG8M</t>
        </is>
      </c>
      <c r="L357" s="32" t="inlineStr">
        <is>
          <t xml:space="preserve">02 - Sports / GT</t>
        </is>
      </c>
      <c r="M357" s="35">
        <v>425000</v>
      </c>
      <c r="N357" s="32" t="inlineStr">
        <is>
          <t xml:space="preserve">Personal</t>
        </is>
      </c>
      <c r="O357" s="30" t="inlineStr">
        <is>
          <t xml:space="preserve">Personal - regular use</t>
        </is>
      </c>
      <c r="P357" s="30" t="inlineStr">
        <is>
          <t xml:space="preserve">Under 1,000</t>
        </is>
      </c>
      <c r="Q357" s="30" t="inlineStr">
        <is>
          <t xml:space="preserve">Texas</t>
        </is>
      </c>
      <c r="R357" s="30" t="inlineStr">
        <is>
          <t xml:space="preserve">75201</t>
        </is>
      </c>
      <c r="S357" s="32" t="inlineStr">
        <is>
          <t xml:space="preserve">Tier 2 - Coastal wind (1-25 miles)</t>
        </is>
      </c>
      <c r="T357" s="36">
        <f>IF($A357="","",IF($S357="","",IFERROR(INDEX('[1]natural catastrophe'!$D$6:$D$17,MATCH($S357,'[1]natural catastrophe'!$B$6:$B$17,0)),"?")))</f>
      </c>
      <c r="U357" s="30" t="inlineStr">
        <is>
          <t xml:space="preserve">2% of agreed value, minimum $10,000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6080.78</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CANON-202602-005139</t>
        </is>
      </c>
      <c r="B358" s="46" t="inlineStr">
        <is>
          <t xml:space="preserve">Priya Blackwood</t>
        </is>
      </c>
      <c r="C358" s="47">
        <v>46057</v>
      </c>
      <c r="D358" s="48" t="inlineStr">
        <is>
          <t xml:space="preserve">Bound - within authority</t>
        </is>
      </c>
      <c r="E358" s="48" t="inlineStr">
        <is>
          <t xml:space="preserve">New business</t>
        </is>
      </c>
      <c r="F358" s="46" t="inlineStr">
        <is>
          <t xml:space="preserve">B1234EXOTIC26</t>
        </is>
      </c>
      <c r="G358" s="33">
        <f>IF($A358="","",IF($C358="","",YEAR($C358)))</f>
      </c>
      <c r="H358" s="49">
        <v>1996</v>
      </c>
      <c r="I358" s="46" t="inlineStr">
        <is>
          <t xml:space="preserve">Aston Martin</t>
        </is>
      </c>
      <c r="J358" s="46" t="inlineStr">
        <is>
          <t xml:space="preserve">DB12</t>
        </is>
      </c>
      <c r="K358" s="46" t="inlineStr">
        <is>
          <t xml:space="preserve">E6UGPUR8LEZUMK5HM</t>
        </is>
      </c>
      <c r="L358" s="48" t="inlineStr">
        <is>
          <t xml:space="preserve">02 - Sports / GT</t>
        </is>
      </c>
      <c r="M358" s="50">
        <v>540000</v>
      </c>
      <c r="N358" s="48" t="inlineStr">
        <is>
          <t xml:space="preserve">Personal</t>
        </is>
      </c>
      <c r="O358" s="46" t="inlineStr">
        <is>
          <t xml:space="preserve">Personal - regular use</t>
        </is>
      </c>
      <c r="P358" s="46" t="inlineStr">
        <is>
          <t xml:space="preserve">Under 1,000</t>
        </is>
      </c>
      <c r="Q358" s="46" t="inlineStr">
        <is>
          <t xml:space="preserve">Missouri</t>
        </is>
      </c>
      <c r="R358" s="46" t="inlineStr">
        <is>
          <t xml:space="preserve">63101</t>
        </is>
      </c>
      <c r="S358" s="48" t="inlineStr">
        <is>
          <t xml:space="preserve">Severe convective - hail / tornado (moderate)</t>
        </is>
      </c>
      <c r="T358" s="36">
        <f>IF($A358="","",IF($S358="","",IFERROR(INDEX('[1]natural catastrophe'!$D$6:$D$17,MATCH($S358,'[1]natural catastrophe'!$B$6:$B$17,0)),"?")))</f>
      </c>
      <c r="U358" s="46" t="inlineStr">
        <is>
          <t xml:space="preserve">$5,000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6171.98</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CANON-202602-005141</t>
        </is>
      </c>
      <c r="B359" s="30" t="inlineStr">
        <is>
          <t xml:space="preserve">Aurelio Rourke</t>
        </is>
      </c>
      <c r="C359" s="31">
        <v>46072</v>
      </c>
      <c r="D359" s="32" t="inlineStr">
        <is>
          <t xml:space="preserve">Bound - within authority</t>
        </is>
      </c>
      <c r="E359" s="32" t="inlineStr">
        <is>
          <t xml:space="preserve">New business</t>
        </is>
      </c>
      <c r="F359" s="30" t="inlineStr">
        <is>
          <t xml:space="preserve">B1234EXOTIC26</t>
        </is>
      </c>
      <c r="G359" s="33">
        <f>IF($A359="","",IF($C359="","",YEAR($C359)))</f>
      </c>
      <c r="H359" s="34">
        <v>2012</v>
      </c>
      <c r="I359" s="30" t="inlineStr">
        <is>
          <t xml:space="preserve">BMW</t>
        </is>
      </c>
      <c r="J359" s="30" t="inlineStr">
        <is>
          <t xml:space="preserve">M8 Competition</t>
        </is>
      </c>
      <c r="K359" s="30" t="inlineStr">
        <is>
          <t xml:space="preserve">NS47UP844653J06CD</t>
        </is>
      </c>
      <c r="L359" s="32" t="inlineStr">
        <is>
          <t xml:space="preserve">02 - Sports / GT</t>
        </is>
      </c>
      <c r="M359" s="35">
        <v>1560000</v>
      </c>
      <c r="N359" s="32" t="inlineStr">
        <is>
          <t xml:space="preserve">Personal</t>
        </is>
      </c>
      <c r="O359" s="30" t="inlineStr">
        <is>
          <t xml:space="preserve">Personal - regular use</t>
        </is>
      </c>
      <c r="P359" s="30" t="inlineStr">
        <is>
          <t xml:space="preserve">Under 1,000</t>
        </is>
      </c>
      <c r="Q359" s="30" t="inlineStr">
        <is>
          <t xml:space="preserve">New York</t>
        </is>
      </c>
      <c r="R359" s="30" t="inlineStr">
        <is>
          <t xml:space="preserve">10022</t>
        </is>
      </c>
      <c r="S359" s="32" t="inlineStr">
        <is>
          <t xml:space="preserve">Tier 3 - Coastal wind (25-100 miles)</t>
        </is>
      </c>
      <c r="T359" s="36">
        <f>IF($A359="","",IF($S359="","",IFERROR(INDEX('[1]natural catastrophe'!$D$6:$D$17,MATCH($S359,'[1]natural catastrophe'!$B$6:$B$17,0)),"?")))</f>
      </c>
      <c r="U359" s="30" t="inlineStr">
        <is>
          <t xml:space="preserve">2% of agreed value, minimum $10,000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18218.35</v>
      </c>
      <c r="AC359" s="37">
        <v>0</v>
      </c>
      <c r="AD359" s="38">
        <f>IF(ISNUMBER($AB359),$AB359*(1+N($AC359)),"")</f>
      </c>
      <c r="AE359" s="35">
        <v>350</v>
      </c>
      <c r="AF359" s="35">
        <v>250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CANON-202602-005142</t>
        </is>
      </c>
      <c r="B360" s="46" t="inlineStr">
        <is>
          <t xml:space="preserve">Noor Delacroix</t>
        </is>
      </c>
      <c r="C360" s="47">
        <v>46066</v>
      </c>
      <c r="D360" s="48" t="inlineStr">
        <is>
          <t xml:space="preserve">Bound - within authority</t>
        </is>
      </c>
      <c r="E360" s="48" t="inlineStr">
        <is>
          <t xml:space="preserve">New business</t>
        </is>
      </c>
      <c r="F360" s="46" t="inlineStr">
        <is>
          <t xml:space="preserve">B1234EXOTIC26</t>
        </is>
      </c>
      <c r="G360" s="33">
        <f>IF($A360="","",IF($C360="","",YEAR($C360)))</f>
      </c>
      <c r="H360" s="49">
        <v>1986</v>
      </c>
      <c r="I360" s="46" t="inlineStr">
        <is>
          <t xml:space="preserve">Aston Martin</t>
        </is>
      </c>
      <c r="J360" s="46" t="inlineStr">
        <is>
          <t xml:space="preserve">DB5</t>
        </is>
      </c>
      <c r="K360" s="46" t="inlineStr">
        <is>
          <t xml:space="preserve">USNBDFV7NU4ZN670N</t>
        </is>
      </c>
      <c r="L360" s="48" t="inlineStr">
        <is>
          <t xml:space="preserve">08 - Modern Classic (1973-1999)</t>
        </is>
      </c>
      <c r="M360" s="50">
        <v>825000</v>
      </c>
      <c r="N360" s="48" t="inlineStr">
        <is>
          <t xml:space="preserve">Personal</t>
        </is>
      </c>
      <c r="O360" s="46" t="inlineStr">
        <is>
          <t xml:space="preserve">Personal - regular use</t>
        </is>
      </c>
      <c r="P360" s="46" t="inlineStr">
        <is>
          <t xml:space="preserve">1,000 - 2,500</t>
        </is>
      </c>
      <c r="Q360" s="46" t="inlineStr">
        <is>
          <t xml:space="preserve">Utah</t>
        </is>
      </c>
      <c r="R360" s="46" t="inlineStr">
        <is>
          <t xml:space="preserve">84101</t>
        </is>
      </c>
      <c r="S360" s="48" t="inlineStr">
        <is>
          <t xml:space="preserve">Wildfire - WUI high hazard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7944.52</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CANON-202602-005143</t>
        </is>
      </c>
      <c r="B361" s="30" t="inlineStr">
        <is>
          <t xml:space="preserve">Horace Merriweather</t>
        </is>
      </c>
      <c r="C361" s="31">
        <v>46054</v>
      </c>
      <c r="D361" s="32" t="inlineStr">
        <is>
          <t xml:space="preserve">Bound - within authority</t>
        </is>
      </c>
      <c r="E361" s="32" t="inlineStr">
        <is>
          <t xml:space="preserve">New business</t>
        </is>
      </c>
      <c r="F361" s="30" t="inlineStr">
        <is>
          <t xml:space="preserve">B1234EXOTIC26</t>
        </is>
      </c>
      <c r="G361" s="33">
        <f>IF($A361="","",IF($C361="","",YEAR($C361)))</f>
      </c>
      <c r="H361" s="34">
        <v>1962</v>
      </c>
      <c r="I361" s="30" t="inlineStr">
        <is>
          <t xml:space="preserve">Aston Martin</t>
        </is>
      </c>
      <c r="J361" s="30" t="inlineStr">
        <is>
          <t xml:space="preserve">DB12</t>
        </is>
      </c>
      <c r="K361" s="30" t="inlineStr">
        <is>
          <t xml:space="preserve">G74ULT5BN9YL3MY5W</t>
        </is>
      </c>
      <c r="L361" s="32" t="inlineStr">
        <is>
          <t xml:space="preserve">02 - Sports / GT</t>
        </is>
      </c>
      <c r="M361" s="35">
        <v>610000</v>
      </c>
      <c r="N361" s="32" t="inlineStr">
        <is>
          <t xml:space="preserve">Personal</t>
        </is>
      </c>
      <c r="O361" s="30" t="inlineStr">
        <is>
          <t xml:space="preserve">Personal - regular use</t>
        </is>
      </c>
      <c r="P361" s="30" t="inlineStr">
        <is>
          <t xml:space="preserve">2,500 - 5,000</t>
        </is>
      </c>
      <c r="Q361" s="30" t="inlineStr">
        <is>
          <t xml:space="preserve">Arizona</t>
        </is>
      </c>
      <c r="R361" s="30" t="inlineStr">
        <is>
          <t xml:space="preserve">85001</t>
        </is>
      </c>
      <c r="S361" s="32" t="inlineStr">
        <is>
          <t xml:space="preserve">Wildfire - WUI high hazard</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6643.18</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CANON-202602-005144</t>
        </is>
      </c>
      <c r="B362" s="46" t="inlineStr">
        <is>
          <t xml:space="preserve">Fenwick Chattopadhyay</t>
        </is>
      </c>
      <c r="C362" s="47">
        <v>46081</v>
      </c>
      <c r="D362" s="48" t="inlineStr">
        <is>
          <t xml:space="preserve">Bound - within authority</t>
        </is>
      </c>
      <c r="E362" s="48" t="inlineStr">
        <is>
          <t xml:space="preserve">New business</t>
        </is>
      </c>
      <c r="F362" s="46" t="inlineStr">
        <is>
          <t xml:space="preserve">B1234EXOTIC26</t>
        </is>
      </c>
      <c r="G362" s="33">
        <f>IF($A362="","",IF($C362="","",YEAR($C362)))</f>
      </c>
      <c r="H362" s="49">
        <v>1964</v>
      </c>
      <c r="I362" s="46" t="inlineStr">
        <is>
          <t xml:space="preserve">Lamborghini</t>
        </is>
      </c>
      <c r="J362" s="46" t="inlineStr">
        <is>
          <t xml:space="preserve">Huracan EVO</t>
        </is>
      </c>
      <c r="K362" s="46" t="inlineStr">
        <is>
          <t xml:space="preserve">4RXBUW4887C6ZLBP1</t>
        </is>
      </c>
      <c r="L362" s="48" t="inlineStr">
        <is>
          <t xml:space="preserve">03 - Supercar</t>
        </is>
      </c>
      <c r="M362" s="50">
        <v>1950000</v>
      </c>
      <c r="N362" s="48" t="inlineStr">
        <is>
          <t xml:space="preserve">Personal</t>
        </is>
      </c>
      <c r="O362" s="46" t="inlineStr">
        <is>
          <t xml:space="preserve">Personal - regular use</t>
        </is>
      </c>
      <c r="P362" s="46" t="inlineStr">
        <is>
          <t xml:space="preserve">1,000 - 2,500</t>
        </is>
      </c>
      <c r="Q362" s="46" t="inlineStr">
        <is>
          <t xml:space="preserve">Arkansas</t>
        </is>
      </c>
      <c r="R362" s="46" t="inlineStr">
        <is>
          <t xml:space="preserve">72201</t>
        </is>
      </c>
      <c r="S362" s="48" t="inlineStr">
        <is>
          <t xml:space="preserve">Severe convective - hail / tornado (moderate)</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35712.11</v>
      </c>
      <c r="AC362" s="51">
        <v>0</v>
      </c>
      <c r="AD362" s="38">
        <f>IF(ISNUMBER($AB362),$AB362*(1+N($AC362)),"")</f>
      </c>
      <c r="AE362" s="50">
        <v>350</v>
      </c>
      <c r="AF362" s="50">
        <v>250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CANON-202602-005145</t>
        </is>
      </c>
      <c r="B363" s="30" t="inlineStr">
        <is>
          <t xml:space="preserve">Ingrid Montoya</t>
        </is>
      </c>
      <c r="C363" s="31">
        <v>46069</v>
      </c>
      <c r="D363" s="32" t="inlineStr">
        <is>
          <t xml:space="preserve">Bound - within authority</t>
        </is>
      </c>
      <c r="E363" s="32" t="inlineStr">
        <is>
          <t xml:space="preserve">New business</t>
        </is>
      </c>
      <c r="F363" s="30" t="inlineStr">
        <is>
          <t xml:space="preserve">B1234EXOTIC26</t>
        </is>
      </c>
      <c r="G363" s="33">
        <f>IF($A363="","",IF($C363="","",YEAR($C363)))</f>
      </c>
      <c r="H363" s="34">
        <v>2012</v>
      </c>
      <c r="I363" s="30" t="inlineStr">
        <is>
          <t xml:space="preserve">McLaren</t>
        </is>
      </c>
      <c r="J363" s="30" t="inlineStr">
        <is>
          <t xml:space="preserve">750S</t>
        </is>
      </c>
      <c r="K363" s="30" t="inlineStr">
        <is>
          <t xml:space="preserve">51AAMD6JKTUYKU0JN</t>
        </is>
      </c>
      <c r="L363" s="32" t="inlineStr">
        <is>
          <t xml:space="preserve">03 - Supercar</t>
        </is>
      </c>
      <c r="M363" s="35">
        <v>490000</v>
      </c>
      <c r="N363" s="32" t="inlineStr">
        <is>
          <t xml:space="preserve">Personal</t>
        </is>
      </c>
      <c r="O363" s="30" t="inlineStr">
        <is>
          <t xml:space="preserve">Personal - regular use</t>
        </is>
      </c>
      <c r="P363" s="30" t="inlineStr">
        <is>
          <t xml:space="preserve">2,500 - 5,000</t>
        </is>
      </c>
      <c r="Q363" s="30" t="inlineStr">
        <is>
          <t xml:space="preserve">Florida</t>
        </is>
      </c>
      <c r="R363" s="30" t="inlineStr">
        <is>
          <t xml:space="preserve">33139</t>
        </is>
      </c>
      <c r="S363" s="32" t="inlineStr">
        <is>
          <t xml:space="preserve">Tier 2 - Coastal wind (1-25 miles)</t>
        </is>
      </c>
      <c r="T363" s="36">
        <f>IF($A363="","",IF($S363="","",IFERROR(INDEX('[1]natural catastrophe'!$D$6:$D$17,MATCH($S363,'[1]natural catastrophe'!$B$6:$B$17,0)),"?")))</f>
      </c>
      <c r="U363" s="30" t="inlineStr">
        <is>
          <t xml:space="preserve">2% of agreed value, minimum $10,000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13273.77</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CANON-202602-005147</t>
        </is>
      </c>
      <c r="B364" s="46" t="inlineStr">
        <is>
          <t xml:space="preserve">Ottilie Fairweather</t>
        </is>
      </c>
      <c r="C364" s="47">
        <v>46075</v>
      </c>
      <c r="D364" s="48" t="inlineStr">
        <is>
          <t xml:space="preserve">Bound - within authority</t>
        </is>
      </c>
      <c r="E364" s="48" t="inlineStr">
        <is>
          <t xml:space="preserve">New business</t>
        </is>
      </c>
      <c r="F364" s="46" t="inlineStr">
        <is>
          <t xml:space="preserve">B1234EXOTIC26</t>
        </is>
      </c>
      <c r="G364" s="33">
        <f>IF($A364="","",IF($C364="","",YEAR($C364)))</f>
      </c>
      <c r="H364" s="49">
        <v>1986</v>
      </c>
      <c r="I364" s="46" t="inlineStr">
        <is>
          <t xml:space="preserve">Aston Martin</t>
        </is>
      </c>
      <c r="J364" s="46" t="inlineStr">
        <is>
          <t xml:space="preserve">DB12</t>
        </is>
      </c>
      <c r="K364" s="46" t="inlineStr">
        <is>
          <t xml:space="preserve">TSBRU00FRZTJYXEDA</t>
        </is>
      </c>
      <c r="L364" s="48" t="inlineStr">
        <is>
          <t xml:space="preserve">02 - Sports / GT</t>
        </is>
      </c>
      <c r="M364" s="50">
        <v>510000</v>
      </c>
      <c r="N364" s="48" t="inlineStr">
        <is>
          <t xml:space="preserve">Personal</t>
        </is>
      </c>
      <c r="O364" s="46" t="inlineStr">
        <is>
          <t xml:space="preserve">Personal - regular use</t>
        </is>
      </c>
      <c r="P364" s="46" t="inlineStr">
        <is>
          <t xml:space="preserve">Under 1,000</t>
        </is>
      </c>
      <c r="Q364" s="46" t="inlineStr">
        <is>
          <t xml:space="preserve">Alaska</t>
        </is>
      </c>
      <c r="R364" s="46" t="inlineStr">
        <is>
          <t xml:space="preserve">99501</t>
        </is>
      </c>
      <c r="S364" s="48" t="inlineStr">
        <is>
          <t xml:space="preserve">Earthquake - high (CA, Cascadia, New Madrid)</t>
        </is>
      </c>
      <c r="T364" s="36">
        <f>IF($A364="","",IF($S364="","",IFERROR(INDEX('[1]natural catastrophe'!$D$6:$D$17,MATCH($S364,'[1]natural catastrophe'!$B$6:$B$17,0)),"?")))</f>
      </c>
      <c r="U364" s="46" t="inlineStr">
        <is>
          <t xml:space="preserve">$5,000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6269.03</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CANON-202602-005149</t>
        </is>
      </c>
      <c r="B365" s="30" t="inlineStr">
        <is>
          <t xml:space="preserve">Ingrid Whitlock</t>
        </is>
      </c>
      <c r="C365" s="31">
        <v>46074</v>
      </c>
      <c r="D365" s="32" t="inlineStr">
        <is>
          <t xml:space="preserve">Bound - within authority</t>
        </is>
      </c>
      <c r="E365" s="32" t="inlineStr">
        <is>
          <t xml:space="preserve">New business</t>
        </is>
      </c>
      <c r="F365" s="30" t="inlineStr">
        <is>
          <t xml:space="preserve">B1234EXOTIC26</t>
        </is>
      </c>
      <c r="G365" s="33">
        <f>IF($A365="","",IF($C365="","",YEAR($C365)))</f>
      </c>
      <c r="H365" s="34">
        <v>2001</v>
      </c>
      <c r="I365" s="30" t="inlineStr">
        <is>
          <t xml:space="preserve">Aston Martin</t>
        </is>
      </c>
      <c r="J365" s="30" t="inlineStr">
        <is>
          <t xml:space="preserve">DB12</t>
        </is>
      </c>
      <c r="K365" s="30" t="inlineStr">
        <is>
          <t xml:space="preserve">186H6NMYPZ9RJZW47</t>
        </is>
      </c>
      <c r="L365" s="32" t="inlineStr">
        <is>
          <t xml:space="preserve">02 - Sports / GT</t>
        </is>
      </c>
      <c r="M365" s="35">
        <v>710000</v>
      </c>
      <c r="N365" s="32" t="inlineStr">
        <is>
          <t xml:space="preserve">Personal</t>
        </is>
      </c>
      <c r="O365" s="30" t="inlineStr">
        <is>
          <t xml:space="preserve">Personal - regular use</t>
        </is>
      </c>
      <c r="P365" s="30" t="inlineStr">
        <is>
          <t xml:space="preserve">Under 1,000</t>
        </is>
      </c>
      <c r="Q365" s="30" t="inlineStr">
        <is>
          <t xml:space="preserve">Colorado</t>
        </is>
      </c>
      <c r="R365" s="30" t="inlineStr">
        <is>
          <t xml:space="preserve">80202</t>
        </is>
      </c>
      <c r="S365" s="32" t="inlineStr">
        <is>
          <t xml:space="preserve">Severe convective - hail alley (high)</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8421.24</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CANON-202602-005150</t>
        </is>
      </c>
      <c r="B366" s="46" t="inlineStr">
        <is>
          <t xml:space="preserve">Saoirse Okonkwo</t>
        </is>
      </c>
      <c r="C366" s="47">
        <v>46054</v>
      </c>
      <c r="D366" s="48" t="inlineStr">
        <is>
          <t xml:space="preserve">Bound - within authority</t>
        </is>
      </c>
      <c r="E366" s="48" t="inlineStr">
        <is>
          <t xml:space="preserve">New business</t>
        </is>
      </c>
      <c r="F366" s="46" t="inlineStr">
        <is>
          <t xml:space="preserve">B1234EXOTIC26</t>
        </is>
      </c>
      <c r="G366" s="33">
        <f>IF($A366="","",IF($C366="","",YEAR($C366)))</f>
      </c>
      <c r="H366" s="49">
        <v>2007</v>
      </c>
      <c r="I366" s="46" t="inlineStr">
        <is>
          <t xml:space="preserve">Aston Martin</t>
        </is>
      </c>
      <c r="J366" s="46" t="inlineStr">
        <is>
          <t xml:space="preserve">DB12</t>
        </is>
      </c>
      <c r="K366" s="46" t="inlineStr">
        <is>
          <t xml:space="preserve">AD8R98GWFN8GHDCU2</t>
        </is>
      </c>
      <c r="L366" s="48" t="inlineStr">
        <is>
          <t xml:space="preserve">02 - Sports / GT</t>
        </is>
      </c>
      <c r="M366" s="50">
        <v>175000</v>
      </c>
      <c r="N366" s="48" t="inlineStr">
        <is>
          <t xml:space="preserve">Personal</t>
        </is>
      </c>
      <c r="O366" s="46" t="inlineStr">
        <is>
          <t xml:space="preserve">Personal - regular use</t>
        </is>
      </c>
      <c r="P366" s="46" t="inlineStr">
        <is>
          <t xml:space="preserve">Under 1,000</t>
        </is>
      </c>
      <c r="Q366" s="46" t="inlineStr">
        <is>
          <t xml:space="preserve">Montana</t>
        </is>
      </c>
      <c r="R366" s="46" t="inlineStr">
        <is>
          <t xml:space="preserve">59601</t>
        </is>
      </c>
      <c r="S366" s="48" t="inlineStr">
        <is>
          <t xml:space="preserve">Wildfire - WUI high hazard</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2483.82</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CANON-202602-005151</t>
        </is>
      </c>
      <c r="B367" s="30" t="inlineStr">
        <is>
          <t xml:space="preserve">Aurelio Kingsford</t>
        </is>
      </c>
      <c r="C367" s="31">
        <v>46071</v>
      </c>
      <c r="D367" s="32" t="inlineStr">
        <is>
          <t xml:space="preserve">Bound - within authority</t>
        </is>
      </c>
      <c r="E367" s="32" t="inlineStr">
        <is>
          <t xml:space="preserve">New business</t>
        </is>
      </c>
      <c r="F367" s="30" t="inlineStr">
        <is>
          <t xml:space="preserve">B1234EXOTIC26</t>
        </is>
      </c>
      <c r="G367" s="33">
        <f>IF($A367="","",IF($C367="","",YEAR($C367)))</f>
      </c>
      <c r="H367" s="34">
        <v>2016</v>
      </c>
      <c r="I367" s="30" t="inlineStr">
        <is>
          <t xml:space="preserve">Lamborghini</t>
        </is>
      </c>
      <c r="J367" s="30" t="inlineStr">
        <is>
          <t xml:space="preserve">Huracan EVO</t>
        </is>
      </c>
      <c r="K367" s="30" t="inlineStr">
        <is>
          <t xml:space="preserve">ZREE0TE4Y1L40M8B7</t>
        </is>
      </c>
      <c r="L367" s="32" t="inlineStr">
        <is>
          <t xml:space="preserve">03 - Supercar</t>
        </is>
      </c>
      <c r="M367" s="35">
        <v>165000</v>
      </c>
      <c r="N367" s="32" t="inlineStr">
        <is>
          <t xml:space="preserve">Personal</t>
        </is>
      </c>
      <c r="O367" s="30" t="inlineStr">
        <is>
          <t xml:space="preserve">Personal - regular use</t>
        </is>
      </c>
      <c r="P367" s="30" t="inlineStr">
        <is>
          <t xml:space="preserve">1,000 - 2,500</t>
        </is>
      </c>
      <c r="Q367" s="30" t="inlineStr">
        <is>
          <t xml:space="preserve">West Virginia</t>
        </is>
      </c>
      <c r="R367" s="30" t="inlineStr">
        <is>
          <t xml:space="preserve">25301</t>
        </is>
      </c>
      <c r="S367" s="32" t="inlineStr">
        <is>
          <t xml:space="preserve">Low hazard - inland benign</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5169.34</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CANON-202602-005152</t>
        </is>
      </c>
      <c r="B368" s="46" t="inlineStr">
        <is>
          <t xml:space="preserve">Desmond Underwood</t>
        </is>
      </c>
      <c r="C368" s="47">
        <v>46076</v>
      </c>
      <c r="D368" s="48" t="inlineStr">
        <is>
          <t xml:space="preserve">Bound - within authority</t>
        </is>
      </c>
      <c r="E368" s="48" t="inlineStr">
        <is>
          <t xml:space="preserve">New business</t>
        </is>
      </c>
      <c r="F368" s="46" t="inlineStr">
        <is>
          <t xml:space="preserve">B1234EXOTIC26</t>
        </is>
      </c>
      <c r="G368" s="33">
        <f>IF($A368="","",IF($C368="","",YEAR($C368)))</f>
      </c>
      <c r="H368" s="49">
        <v>1964</v>
      </c>
      <c r="I368" s="46" t="inlineStr">
        <is>
          <t xml:space="preserve">Bentley</t>
        </is>
      </c>
      <c r="J368" s="46" t="inlineStr">
        <is>
          <t xml:space="preserve">Continental GT</t>
        </is>
      </c>
      <c r="K368" s="46" t="inlineStr">
        <is>
          <t xml:space="preserve">7HBZAF4NHN23LE134</t>
        </is>
      </c>
      <c r="L368" s="48" t="inlineStr">
        <is>
          <t xml:space="preserve">02 - Sports / GT</t>
        </is>
      </c>
      <c r="M368" s="50">
        <v>835000</v>
      </c>
      <c r="N368" s="48" t="inlineStr">
        <is>
          <t xml:space="preserve">Personal</t>
        </is>
      </c>
      <c r="O368" s="46" t="inlineStr">
        <is>
          <t xml:space="preserve">Personal - regular use</t>
        </is>
      </c>
      <c r="P368" s="46" t="inlineStr">
        <is>
          <t xml:space="preserve">Under 1,000</t>
        </is>
      </c>
      <c r="Q368" s="46" t="inlineStr">
        <is>
          <t xml:space="preserve">Texas</t>
        </is>
      </c>
      <c r="R368" s="46" t="inlineStr">
        <is>
          <t xml:space="preserve">75201</t>
        </is>
      </c>
      <c r="S368" s="48" t="inlineStr">
        <is>
          <t xml:space="preserve">Tier 2 - Coastal wind (1-25 miles)</t>
        </is>
      </c>
      <c r="T368" s="36">
        <f>IF($A368="","",IF($S368="","",IFERROR(INDEX('[1]natural catastrophe'!$D$6:$D$17,MATCH($S368,'[1]natural catastrophe'!$B$6:$B$17,0)),"?")))</f>
      </c>
      <c r="U368" s="46" t="inlineStr">
        <is>
          <t xml:space="preserve">2% of agreed value, minimum $10,000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10354.03</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CANON-202602-005155</t>
        </is>
      </c>
      <c r="B369" s="30" t="inlineStr">
        <is>
          <t xml:space="preserve">Fitzgerald Bellandi</t>
        </is>
      </c>
      <c r="C369" s="31">
        <v>46060</v>
      </c>
      <c r="D369" s="32" t="inlineStr">
        <is>
          <t xml:space="preserve">Bound - within authority</t>
        </is>
      </c>
      <c r="E369" s="32" t="inlineStr">
        <is>
          <t xml:space="preserve">New business</t>
        </is>
      </c>
      <c r="F369" s="30" t="inlineStr">
        <is>
          <t xml:space="preserve">B1234EXOTIC26</t>
        </is>
      </c>
      <c r="G369" s="33">
        <f>IF($A369="","",IF($C369="","",YEAR($C369)))</f>
      </c>
      <c r="H369" s="34">
        <v>1979</v>
      </c>
      <c r="I369" s="30" t="inlineStr">
        <is>
          <t xml:space="preserve">Bentley</t>
        </is>
      </c>
      <c r="J369" s="30" t="inlineStr">
        <is>
          <t xml:space="preserve">Continental GT</t>
        </is>
      </c>
      <c r="K369" s="30" t="inlineStr">
        <is>
          <t xml:space="preserve">H7ZD721EHJB6GL28S</t>
        </is>
      </c>
      <c r="L369" s="32" t="inlineStr">
        <is>
          <t xml:space="preserve">02 - Sports / GT</t>
        </is>
      </c>
      <c r="M369" s="35">
        <v>195000</v>
      </c>
      <c r="N369" s="32" t="inlineStr">
        <is>
          <t xml:space="preserve">Personal</t>
        </is>
      </c>
      <c r="O369" s="30" t="inlineStr">
        <is>
          <t xml:space="preserve">Personal - regular use</t>
        </is>
      </c>
      <c r="P369" s="30" t="inlineStr">
        <is>
          <t xml:space="preserve">1,000 - 2,500</t>
        </is>
      </c>
      <c r="Q369" s="30" t="inlineStr">
        <is>
          <t xml:space="preserve">Georgia</t>
        </is>
      </c>
      <c r="R369" s="30" t="inlineStr">
        <is>
          <t xml:space="preserve">30303</t>
        </is>
      </c>
      <c r="S369" s="32" t="inlineStr">
        <is>
          <t xml:space="preserve">Tier 2 - Coastal wind (1-25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3333.13</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CANON-202602-005157</t>
        </is>
      </c>
      <c r="B370" s="46" t="inlineStr">
        <is>
          <t xml:space="preserve">Ottilie Pennington</t>
        </is>
      </c>
      <c r="C370" s="47">
        <v>46074</v>
      </c>
      <c r="D370" s="48" t="inlineStr">
        <is>
          <t xml:space="preserve">Bound - within authority</t>
        </is>
      </c>
      <c r="E370" s="48" t="inlineStr">
        <is>
          <t xml:space="preserve">New business</t>
        </is>
      </c>
      <c r="F370" s="46" t="inlineStr">
        <is>
          <t xml:space="preserve">B1234EXOTIC26</t>
        </is>
      </c>
      <c r="G370" s="33">
        <f>IF($A370="","",IF($C370="","",YEAR($C370)))</f>
      </c>
      <c r="H370" s="49">
        <v>2002</v>
      </c>
      <c r="I370" s="46" t="inlineStr">
        <is>
          <t xml:space="preserve">Mercedes-Benz</t>
        </is>
      </c>
      <c r="J370" s="46" t="inlineStr">
        <is>
          <t xml:space="preserve">AMG GT</t>
        </is>
      </c>
      <c r="K370" s="46" t="inlineStr">
        <is>
          <t xml:space="preserve">E3ZF1JNNDD4UYCMK6</t>
        </is>
      </c>
      <c r="L370" s="48" t="inlineStr">
        <is>
          <t xml:space="preserve">02 - Sports / GT</t>
        </is>
      </c>
      <c r="M370" s="50">
        <v>250000</v>
      </c>
      <c r="N370" s="48" t="inlineStr">
        <is>
          <t xml:space="preserve">Personal</t>
        </is>
      </c>
      <c r="O370" s="46" t="inlineStr">
        <is>
          <t xml:space="preserve">Personal - regular use</t>
        </is>
      </c>
      <c r="P370" s="46" t="inlineStr">
        <is>
          <t xml:space="preserve">1,000 - 2,500</t>
        </is>
      </c>
      <c r="Q370" s="46" t="inlineStr">
        <is>
          <t xml:space="preserve">Alaska</t>
        </is>
      </c>
      <c r="R370" s="46" t="inlineStr">
        <is>
          <t xml:space="preserve">99501</t>
        </is>
      </c>
      <c r="S370" s="48" t="inlineStr">
        <is>
          <t xml:space="preserve">Earthquake - high (CA, Cascadia, New Madrid)</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3545.83</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CANON-202602-005158</t>
        </is>
      </c>
      <c r="B371" s="30" t="inlineStr">
        <is>
          <t xml:space="preserve">Desmond Castellanos</t>
        </is>
      </c>
      <c r="C371" s="31">
        <v>46057</v>
      </c>
      <c r="D371" s="32" t="inlineStr">
        <is>
          <t xml:space="preserve">Bound - within authority</t>
        </is>
      </c>
      <c r="E371" s="32" t="inlineStr">
        <is>
          <t xml:space="preserve">New business</t>
        </is>
      </c>
      <c r="F371" s="30" t="inlineStr">
        <is>
          <t xml:space="preserve">B1234EXOTIC26</t>
        </is>
      </c>
      <c r="G371" s="33">
        <f>IF($A371="","",IF($C371="","",YEAR($C371)))</f>
      </c>
      <c r="H371" s="34">
        <v>2018</v>
      </c>
      <c r="I371" s="30" t="inlineStr">
        <is>
          <t xml:space="preserve">Mercedes-Benz</t>
        </is>
      </c>
      <c r="J371" s="30" t="inlineStr">
        <is>
          <t xml:space="preserve">AMG GT</t>
        </is>
      </c>
      <c r="K371" s="30" t="inlineStr">
        <is>
          <t xml:space="preserve">DAYLSFA9WJMEUMEJ3</t>
        </is>
      </c>
      <c r="L371" s="32" t="inlineStr">
        <is>
          <t xml:space="preserve">02 - Sports / GT</t>
        </is>
      </c>
      <c r="M371" s="35">
        <v>355000</v>
      </c>
      <c r="N371" s="32" t="inlineStr">
        <is>
          <t xml:space="preserve">Personal</t>
        </is>
      </c>
      <c r="O371" s="30" t="inlineStr">
        <is>
          <t xml:space="preserve">Personal - regular use</t>
        </is>
      </c>
      <c r="P371" s="30" t="inlineStr">
        <is>
          <t xml:space="preserve">Under 1,000</t>
        </is>
      </c>
      <c r="Q371" s="30" t="inlineStr">
        <is>
          <t xml:space="preserve">Illinois</t>
        </is>
      </c>
      <c r="R371" s="30" t="inlineStr">
        <is>
          <t xml:space="preserve">60601</t>
        </is>
      </c>
      <c r="S371" s="32" t="inlineStr">
        <is>
          <t xml:space="preserve">Severe convective - hail / tornado (moderate)</t>
        </is>
      </c>
      <c r="T371" s="36">
        <f>IF($A371="","",IF($S371="","",IFERROR(INDEX('[1]natural catastrophe'!$D$6:$D$17,MATCH($S371,'[1]natural catastrophe'!$B$6:$B$17,0)),"?")))</f>
      </c>
      <c r="U371" s="30" t="inlineStr">
        <is>
          <t xml:space="preserve">$5,000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6006.76</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CANON-202602-005159</t>
        </is>
      </c>
      <c r="B372" s="46" t="inlineStr">
        <is>
          <t xml:space="preserve">Priya Ashcombe</t>
        </is>
      </c>
      <c r="C372" s="47">
        <v>46063</v>
      </c>
      <c r="D372" s="48" t="inlineStr">
        <is>
          <t xml:space="preserve">Bound - within authority</t>
        </is>
      </c>
      <c r="E372" s="48" t="inlineStr">
        <is>
          <t xml:space="preserve">New business</t>
        </is>
      </c>
      <c r="F372" s="46" t="inlineStr">
        <is>
          <t xml:space="preserve">B1234EXOTIC26</t>
        </is>
      </c>
      <c r="G372" s="33">
        <f>IF($A372="","",IF($C372="","",YEAR($C372)))</f>
      </c>
      <c r="H372" s="49">
        <v>1977</v>
      </c>
      <c r="I372" s="46" t="inlineStr">
        <is>
          <t xml:space="preserve">Maserati</t>
        </is>
      </c>
      <c r="J372" s="46" t="inlineStr">
        <is>
          <t xml:space="preserve">GranTurismo</t>
        </is>
      </c>
      <c r="K372" s="46" t="inlineStr">
        <is>
          <t xml:space="preserve">9C5JMT2FATJXW1ZRC</t>
        </is>
      </c>
      <c r="L372" s="48" t="inlineStr">
        <is>
          <t xml:space="preserve">02 - Sports / GT</t>
        </is>
      </c>
      <c r="M372" s="50">
        <v>1065000</v>
      </c>
      <c r="N372" s="48" t="inlineStr">
        <is>
          <t xml:space="preserve">Personal</t>
        </is>
      </c>
      <c r="O372" s="46" t="inlineStr">
        <is>
          <t xml:space="preserve">Personal - regular use</t>
        </is>
      </c>
      <c r="P372" s="46" t="inlineStr">
        <is>
          <t xml:space="preserve">1,000 - 2,500</t>
        </is>
      </c>
      <c r="Q372" s="46" t="inlineStr">
        <is>
          <t xml:space="preserve">California</t>
        </is>
      </c>
      <c r="R372" s="46" t="inlineStr">
        <is>
          <t xml:space="preserve">90012</t>
        </is>
      </c>
      <c r="S372" s="48" t="inlineStr">
        <is>
          <t xml:space="preserve">Earthquake - high (CA, Cascadia, New Madrid)</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13117.71</v>
      </c>
      <c r="AC372" s="51">
        <v>0</v>
      </c>
      <c r="AD372" s="38">
        <f>IF(ISNUMBER($AB372),$AB372*(1+N($AC372)),"")</f>
      </c>
      <c r="AE372" s="50">
        <v>350</v>
      </c>
      <c r="AF372" s="50">
        <v>250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CANON-202602-005162</t>
        </is>
      </c>
      <c r="B373" s="30" t="inlineStr">
        <is>
          <t xml:space="preserve">Priya Underwood</t>
        </is>
      </c>
      <c r="C373" s="31">
        <v>46058</v>
      </c>
      <c r="D373" s="32" t="inlineStr">
        <is>
          <t xml:space="preserve">Bound - within authority</t>
        </is>
      </c>
      <c r="E373" s="32" t="inlineStr">
        <is>
          <t xml:space="preserve">New business</t>
        </is>
      </c>
      <c r="F373" s="30" t="inlineStr">
        <is>
          <t xml:space="preserve">B1234EXOTIC26</t>
        </is>
      </c>
      <c r="G373" s="33">
        <f>IF($A373="","",IF($C373="","",YEAR($C373)))</f>
      </c>
      <c r="H373" s="34">
        <v>2015</v>
      </c>
      <c r="I373" s="30" t="inlineStr">
        <is>
          <t xml:space="preserve">Mercedes-Benz</t>
        </is>
      </c>
      <c r="J373" s="30" t="inlineStr">
        <is>
          <t xml:space="preserve">280SL Pagoda</t>
        </is>
      </c>
      <c r="K373" s="30" t="inlineStr">
        <is>
          <t xml:space="preserve">T6Z99C7YCRHFPEE1E</t>
        </is>
      </c>
      <c r="L373" s="32" t="inlineStr">
        <is>
          <t xml:space="preserve">02 - Sports / GT</t>
        </is>
      </c>
      <c r="M373" s="35">
        <v>265000</v>
      </c>
      <c r="N373" s="32" t="inlineStr">
        <is>
          <t xml:space="preserve">Personal</t>
        </is>
      </c>
      <c r="O373" s="30" t="inlineStr">
        <is>
          <t xml:space="preserve">Personal - regular use</t>
        </is>
      </c>
      <c r="P373" s="30" t="inlineStr">
        <is>
          <t xml:space="preserve">2,500 - 5,000</t>
        </is>
      </c>
      <c r="Q373" s="30" t="inlineStr">
        <is>
          <t xml:space="preserve">Michigan</t>
        </is>
      </c>
      <c r="R373" s="30" t="inlineStr">
        <is>
          <t xml:space="preserve">48226</t>
        </is>
      </c>
      <c r="S373" s="32" t="inlineStr">
        <is>
          <t xml:space="preserve">Severe convective - hail / tornado (moderate)</t>
        </is>
      </c>
      <c r="T373" s="36">
        <f>IF($A373="","",IF($S373="","",IFERROR(INDEX('[1]natural catastrophe'!$D$6:$D$17,MATCH($S373,'[1]natural catastrophe'!$B$6:$B$17,0)),"?")))</f>
      </c>
      <c r="U373" s="30" t="inlineStr">
        <is>
          <t xml:space="preserve">$5,000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3270.62</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CANON-202602-005163</t>
        </is>
      </c>
      <c r="B374" s="46" t="inlineStr">
        <is>
          <t xml:space="preserve">Thaddeus Vandermeer</t>
        </is>
      </c>
      <c r="C374" s="47">
        <v>46071</v>
      </c>
      <c r="D374" s="48" t="inlineStr">
        <is>
          <t xml:space="preserve">Bound - within authority</t>
        </is>
      </c>
      <c r="E374" s="48" t="inlineStr">
        <is>
          <t xml:space="preserve">New business</t>
        </is>
      </c>
      <c r="F374" s="46" t="inlineStr">
        <is>
          <t xml:space="preserve">B1234EXOTIC26</t>
        </is>
      </c>
      <c r="G374" s="33">
        <f>IF($A374="","",IF($C374="","",YEAR($C374)))</f>
      </c>
      <c r="H374" s="49">
        <v>2020</v>
      </c>
      <c r="I374" s="46" t="inlineStr">
        <is>
          <t xml:space="preserve">BMW</t>
        </is>
      </c>
      <c r="J374" s="46" t="inlineStr">
        <is>
          <t xml:space="preserve">M8 Competition</t>
        </is>
      </c>
      <c r="K374" s="46" t="inlineStr">
        <is>
          <t xml:space="preserve">HTC3C36ND7CTDGUTF</t>
        </is>
      </c>
      <c r="L374" s="48" t="inlineStr">
        <is>
          <t xml:space="preserve">02 - Sports / GT</t>
        </is>
      </c>
      <c r="M374" s="50">
        <v>355000</v>
      </c>
      <c r="N374" s="48" t="inlineStr">
        <is>
          <t xml:space="preserve">Personal</t>
        </is>
      </c>
      <c r="O374" s="46" t="inlineStr">
        <is>
          <t xml:space="preserve">Personal - regular use</t>
        </is>
      </c>
      <c r="P374" s="46" t="inlineStr">
        <is>
          <t xml:space="preserve">1,000 - 2,500</t>
        </is>
      </c>
      <c r="Q374" s="46" t="inlineStr">
        <is>
          <t xml:space="preserve">Colorado</t>
        </is>
      </c>
      <c r="R374" s="46" t="inlineStr">
        <is>
          <t xml:space="preserve">80202</t>
        </is>
      </c>
      <c r="S374" s="48" t="inlineStr">
        <is>
          <t xml:space="preserve">Severe convective - hail alley (high)</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4858.41</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CANON-202602-005164</t>
        </is>
      </c>
      <c r="B375" s="30" t="inlineStr">
        <is>
          <t xml:space="preserve">Cassius Merriweather</t>
        </is>
      </c>
      <c r="C375" s="31">
        <v>46065</v>
      </c>
      <c r="D375" s="32" t="inlineStr">
        <is>
          <t xml:space="preserve">Bound - within authority</t>
        </is>
      </c>
      <c r="E375" s="32" t="inlineStr">
        <is>
          <t xml:space="preserve">New business</t>
        </is>
      </c>
      <c r="F375" s="30" t="inlineStr">
        <is>
          <t xml:space="preserve">B1234EXOTIC26</t>
        </is>
      </c>
      <c r="G375" s="33">
        <f>IF($A375="","",IF($C375="","",YEAR($C375)))</f>
      </c>
      <c r="H375" s="34">
        <v>2004</v>
      </c>
      <c r="I375" s="30" t="inlineStr">
        <is>
          <t xml:space="preserve">Ferrari</t>
        </is>
      </c>
      <c r="J375" s="30" t="inlineStr">
        <is>
          <t xml:space="preserve">275 GTB/4</t>
        </is>
      </c>
      <c r="K375" s="30" t="inlineStr">
        <is>
          <t xml:space="preserve">G5E61RCF95BYAZE6N</t>
        </is>
      </c>
      <c r="L375" s="32" t="inlineStr">
        <is>
          <t xml:space="preserve">09 - Youngtimer / Collectible (2000-2010)</t>
        </is>
      </c>
      <c r="M375" s="35">
        <v>725000</v>
      </c>
      <c r="N375" s="32" t="inlineStr">
        <is>
          <t xml:space="preserve">Personal</t>
        </is>
      </c>
      <c r="O375" s="30" t="inlineStr">
        <is>
          <t xml:space="preserve">Personal - regular use</t>
        </is>
      </c>
      <c r="P375" s="30" t="inlineStr">
        <is>
          <t xml:space="preserve">Under 1,000</t>
        </is>
      </c>
      <c r="Q375" s="30" t="inlineStr">
        <is>
          <t xml:space="preserve">Indiana</t>
        </is>
      </c>
      <c r="R375" s="30" t="inlineStr">
        <is>
          <t xml:space="preserve">46204</t>
        </is>
      </c>
      <c r="S375" s="32" t="inlineStr">
        <is>
          <t xml:space="preserve">Severe convective - hail / tornado (moderate)</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6360.97</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CANON-202602-005166</t>
        </is>
      </c>
      <c r="B376" s="46" t="inlineStr">
        <is>
          <t xml:space="preserve">Emiliano Nakashima</t>
        </is>
      </c>
      <c r="C376" s="47">
        <v>46068</v>
      </c>
      <c r="D376" s="48" t="inlineStr">
        <is>
          <t xml:space="preserve">Bound - within authority</t>
        </is>
      </c>
      <c r="E376" s="48" t="inlineStr">
        <is>
          <t xml:space="preserve">New business</t>
        </is>
      </c>
      <c r="F376" s="46" t="inlineStr">
        <is>
          <t xml:space="preserve">B1234EXOTIC26</t>
        </is>
      </c>
      <c r="G376" s="33">
        <f>IF($A376="","",IF($C376="","",YEAR($C376)))</f>
      </c>
      <c r="H376" s="49">
        <v>1986</v>
      </c>
      <c r="I376" s="46" t="inlineStr">
        <is>
          <t xml:space="preserve">Aston Martin</t>
        </is>
      </c>
      <c r="J376" s="46" t="inlineStr">
        <is>
          <t xml:space="preserve">DB12</t>
        </is>
      </c>
      <c r="K376" s="46" t="inlineStr">
        <is>
          <t xml:space="preserve">S68VDHMWWSMY92RZC</t>
        </is>
      </c>
      <c r="L376" s="48" t="inlineStr">
        <is>
          <t xml:space="preserve">02 - Sports / GT</t>
        </is>
      </c>
      <c r="M376" s="50">
        <v>855000</v>
      </c>
      <c r="N376" s="48" t="inlineStr">
        <is>
          <t xml:space="preserve">Personal</t>
        </is>
      </c>
      <c r="O376" s="46" t="inlineStr">
        <is>
          <t xml:space="preserve">Personal - regular use</t>
        </is>
      </c>
      <c r="P376" s="46" t="inlineStr">
        <is>
          <t xml:space="preserve">1,000 - 2,500</t>
        </is>
      </c>
      <c r="Q376" s="46" t="inlineStr">
        <is>
          <t xml:space="preserve">Texas</t>
        </is>
      </c>
      <c r="R376" s="46" t="inlineStr">
        <is>
          <t xml:space="preserve">75201</t>
        </is>
      </c>
      <c r="S376" s="48" t="inlineStr">
        <is>
          <t xml:space="preserve">Tier 2 - Coastal wind (1-25 miles)</t>
        </is>
      </c>
      <c r="T376" s="36">
        <f>IF($A376="","",IF($S376="","",IFERROR(INDEX('[1]natural catastrophe'!$D$6:$D$17,MATCH($S376,'[1]natural catastrophe'!$B$6:$B$17,0)),"?")))</f>
      </c>
      <c r="U376" s="46" t="inlineStr">
        <is>
          <t xml:space="preserve">2% of agreed value, minimum $10,000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10602.04</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CANON-202602-005167</t>
        </is>
      </c>
      <c r="B377" s="30" t="inlineStr">
        <is>
          <t xml:space="preserve">Fitzgerald Fairweather</t>
        </is>
      </c>
      <c r="C377" s="31">
        <v>46060</v>
      </c>
      <c r="D377" s="32" t="inlineStr">
        <is>
          <t xml:space="preserve">Bound - within authority</t>
        </is>
      </c>
      <c r="E377" s="32" t="inlineStr">
        <is>
          <t xml:space="preserve">New business</t>
        </is>
      </c>
      <c r="F377" s="30" t="inlineStr">
        <is>
          <t xml:space="preserve">B1234EXOTIC26</t>
        </is>
      </c>
      <c r="G377" s="33">
        <f>IF($A377="","",IF($C377="","",YEAR($C377)))</f>
      </c>
      <c r="H377" s="34">
        <v>1965</v>
      </c>
      <c r="I377" s="30" t="inlineStr">
        <is>
          <t xml:space="preserve">Mercedes-Benz</t>
        </is>
      </c>
      <c r="J377" s="30" t="inlineStr">
        <is>
          <t xml:space="preserve">AMG GT</t>
        </is>
      </c>
      <c r="K377" s="30" t="inlineStr">
        <is>
          <t xml:space="preserve">9S7PXL9XKADH4PNKY</t>
        </is>
      </c>
      <c r="L377" s="32" t="inlineStr">
        <is>
          <t xml:space="preserve">02 - Sports / GT</t>
        </is>
      </c>
      <c r="M377" s="35">
        <v>730000</v>
      </c>
      <c r="N377" s="32" t="inlineStr">
        <is>
          <t xml:space="preserve">Personal</t>
        </is>
      </c>
      <c r="O377" s="30" t="inlineStr">
        <is>
          <t xml:space="preserve">Personal - regular use</t>
        </is>
      </c>
      <c r="P377" s="30" t="inlineStr">
        <is>
          <t xml:space="preserve">Under 1,000</t>
        </is>
      </c>
      <c r="Q377" s="30" t="inlineStr">
        <is>
          <t xml:space="preserve">Oregon</t>
        </is>
      </c>
      <c r="R377" s="30" t="inlineStr">
        <is>
          <t xml:space="preserve">97204</t>
        </is>
      </c>
      <c r="S377" s="32" t="inlineStr">
        <is>
          <t xml:space="preserve">Earthquake - high (CA, Cascadia, New Madrid)</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8894.6</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CANON-202602-005168</t>
        </is>
      </c>
      <c r="B378" s="46" t="inlineStr">
        <is>
          <t xml:space="preserve">Ingrid Whitlock</t>
        </is>
      </c>
      <c r="C378" s="47">
        <v>46068</v>
      </c>
      <c r="D378" s="48" t="inlineStr">
        <is>
          <t xml:space="preserve">Bound - within authority</t>
        </is>
      </c>
      <c r="E378" s="48" t="inlineStr">
        <is>
          <t xml:space="preserve">New business</t>
        </is>
      </c>
      <c r="F378" s="46" t="inlineStr">
        <is>
          <t xml:space="preserve">B1234EXOTIC26</t>
        </is>
      </c>
      <c r="G378" s="33">
        <f>IF($A378="","",IF($C378="","",YEAR($C378)))</f>
      </c>
      <c r="H378" s="49">
        <v>1980</v>
      </c>
      <c r="I378" s="46" t="inlineStr">
        <is>
          <t xml:space="preserve">Lamborghini</t>
        </is>
      </c>
      <c r="J378" s="46" t="inlineStr">
        <is>
          <t xml:space="preserve">Huracan EVO</t>
        </is>
      </c>
      <c r="K378" s="46" t="inlineStr">
        <is>
          <t xml:space="preserve">ENX8PDK8ED6PM4DCP</t>
        </is>
      </c>
      <c r="L378" s="48" t="inlineStr">
        <is>
          <t xml:space="preserve">03 - Supercar</t>
        </is>
      </c>
      <c r="M378" s="50">
        <v>755000</v>
      </c>
      <c r="N378" s="48" t="inlineStr">
        <is>
          <t xml:space="preserve">Personal</t>
        </is>
      </c>
      <c r="O378" s="46" t="inlineStr">
        <is>
          <t xml:space="preserve">Personal - regular use</t>
        </is>
      </c>
      <c r="P378" s="46" t="inlineStr">
        <is>
          <t xml:space="preserve">Under 1,000</t>
        </is>
      </c>
      <c r="Q378" s="46" t="inlineStr">
        <is>
          <t xml:space="preserve">Illinois</t>
        </is>
      </c>
      <c r="R378" s="46" t="inlineStr">
        <is>
          <t xml:space="preserve">60601</t>
        </is>
      </c>
      <c r="S378" s="48" t="inlineStr">
        <is>
          <t xml:space="preserve">Severe convective - hail / tornado (moderate)</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16181.6</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CANON-202602-005170</t>
        </is>
      </c>
      <c r="B379" s="30" t="inlineStr">
        <is>
          <t xml:space="preserve">Fitzgerald Whitlock</t>
        </is>
      </c>
      <c r="C379" s="31">
        <v>46069</v>
      </c>
      <c r="D379" s="32" t="inlineStr">
        <is>
          <t xml:space="preserve">Bound - within authority</t>
        </is>
      </c>
      <c r="E379" s="32" t="inlineStr">
        <is>
          <t xml:space="preserve">New business</t>
        </is>
      </c>
      <c r="F379" s="30" t="inlineStr">
        <is>
          <t xml:space="preserve">B1234EXOTIC26</t>
        </is>
      </c>
      <c r="G379" s="33">
        <f>IF($A379="","",IF($C379="","",YEAR($C379)))</f>
      </c>
      <c r="H379" s="34">
        <v>1966</v>
      </c>
      <c r="I379" s="30" t="inlineStr">
        <is>
          <t xml:space="preserve">Bentley</t>
        </is>
      </c>
      <c r="J379" s="30" t="inlineStr">
        <is>
          <t xml:space="preserve">Continental GT</t>
        </is>
      </c>
      <c r="K379" s="30" t="inlineStr">
        <is>
          <t xml:space="preserve">N70G9TX6CGE0ZWL43</t>
        </is>
      </c>
      <c r="L379" s="32" t="inlineStr">
        <is>
          <t xml:space="preserve">02 - Sports / GT</t>
        </is>
      </c>
      <c r="M379" s="35">
        <v>440000</v>
      </c>
      <c r="N379" s="32" t="inlineStr">
        <is>
          <t xml:space="preserve">Personal</t>
        </is>
      </c>
      <c r="O379" s="30" t="inlineStr">
        <is>
          <t xml:space="preserve">Personal - regular use</t>
        </is>
      </c>
      <c r="P379" s="30" t="inlineStr">
        <is>
          <t xml:space="preserve">2,500 - 5,000</t>
        </is>
      </c>
      <c r="Q379" s="30" t="inlineStr">
        <is>
          <t xml:space="preserve">Tennessee</t>
        </is>
      </c>
      <c r="R379" s="30" t="inlineStr">
        <is>
          <t xml:space="preserve">37203</t>
        </is>
      </c>
      <c r="S379" s="32" t="inlineStr">
        <is>
          <t xml:space="preserve">Severe convective - hail / tornado (moderate)</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5364.78</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CANON-202602-005171</t>
        </is>
      </c>
      <c r="B380" s="46" t="inlineStr">
        <is>
          <t xml:space="preserve">Lorenzo Farkas</t>
        </is>
      </c>
      <c r="C380" s="47">
        <v>46057</v>
      </c>
      <c r="D380" s="48" t="inlineStr">
        <is>
          <t xml:space="preserve">Bound - within authority</t>
        </is>
      </c>
      <c r="E380" s="48" t="inlineStr">
        <is>
          <t xml:space="preserve">New business</t>
        </is>
      </c>
      <c r="F380" s="46" t="inlineStr">
        <is>
          <t xml:space="preserve">B1234EXOTIC26</t>
        </is>
      </c>
      <c r="G380" s="33">
        <f>IF($A380="","",IF($C380="","",YEAR($C380)))</f>
      </c>
      <c r="H380" s="49">
        <v>1962</v>
      </c>
      <c r="I380" s="46" t="inlineStr">
        <is>
          <t xml:space="preserve">Bentley</t>
        </is>
      </c>
      <c r="J380" s="46" t="inlineStr">
        <is>
          <t xml:space="preserve">4.5 Litre</t>
        </is>
      </c>
      <c r="K380" s="46" t="inlineStr">
        <is>
          <t xml:space="preserve">CW801W390HYRWYRJ9</t>
        </is>
      </c>
      <c r="L380" s="48" t="inlineStr">
        <is>
          <t xml:space="preserve">07 - Post-War Classic (1946-1972)</t>
        </is>
      </c>
      <c r="M380" s="50">
        <v>1950000</v>
      </c>
      <c r="N380" s="48" t="inlineStr">
        <is>
          <t xml:space="preserve">Personal</t>
        </is>
      </c>
      <c r="O380" s="46" t="inlineStr">
        <is>
          <t xml:space="preserve">Personal - regular use</t>
        </is>
      </c>
      <c r="P380" s="46" t="inlineStr">
        <is>
          <t xml:space="preserve">Under 1,000</t>
        </is>
      </c>
      <c r="Q380" s="46" t="inlineStr">
        <is>
          <t xml:space="preserve">Wyoming</t>
        </is>
      </c>
      <c r="R380" s="46" t="inlineStr">
        <is>
          <t xml:space="preserve">82001</t>
        </is>
      </c>
      <c r="S380" s="48" t="inlineStr">
        <is>
          <t xml:space="preserve">Severe convective - hail alley (high)</t>
        </is>
      </c>
      <c r="T380" s="36">
        <f>IF($A380="","",IF($S380="","",IFERROR(INDEX('[1]natural catastrophe'!$D$6:$D$17,MATCH($S380,'[1]natural catastrophe'!$B$6:$B$17,0)),"?")))</f>
      </c>
      <c r="U380" s="46" t="inlineStr">
        <is>
          <t xml:space="preserve">$5,000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11768.17</v>
      </c>
      <c r="AC380" s="51">
        <v>0</v>
      </c>
      <c r="AD380" s="38">
        <f>IF(ISNUMBER($AB380),$AB380*(1+N($AC380)),"")</f>
      </c>
      <c r="AE380" s="50">
        <v>350</v>
      </c>
      <c r="AF380" s="50">
        <v>250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CANON-202602-005172</t>
        </is>
      </c>
      <c r="B381" s="30" t="inlineStr">
        <is>
          <t xml:space="preserve">Priya Farkas</t>
        </is>
      </c>
      <c r="C381" s="31">
        <v>46054</v>
      </c>
      <c r="D381" s="32" t="inlineStr">
        <is>
          <t xml:space="preserve">Bound - within authority</t>
        </is>
      </c>
      <c r="E381" s="32" t="inlineStr">
        <is>
          <t xml:space="preserve">New business</t>
        </is>
      </c>
      <c r="F381" s="30" t="inlineStr">
        <is>
          <t xml:space="preserve">B1234EXOTIC26</t>
        </is>
      </c>
      <c r="G381" s="33">
        <f>IF($A381="","",IF($C381="","",YEAR($C381)))</f>
      </c>
      <c r="H381" s="34">
        <v>1956</v>
      </c>
      <c r="I381" s="30" t="inlineStr">
        <is>
          <t xml:space="preserve">Porsche</t>
        </is>
      </c>
      <c r="J381" s="30" t="inlineStr">
        <is>
          <t xml:space="preserve">911 Turbo S</t>
        </is>
      </c>
      <c r="K381" s="30" t="inlineStr">
        <is>
          <t xml:space="preserve">XZUS4NARKN236CCD1</t>
        </is>
      </c>
      <c r="L381" s="32" t="inlineStr">
        <is>
          <t xml:space="preserve">02 - Sports / GT</t>
        </is>
      </c>
      <c r="M381" s="35">
        <v>415000</v>
      </c>
      <c r="N381" s="32" t="inlineStr">
        <is>
          <t xml:space="preserve">Personal</t>
        </is>
      </c>
      <c r="O381" s="30" t="inlineStr">
        <is>
          <t xml:space="preserve">Personal - regular use</t>
        </is>
      </c>
      <c r="P381" s="30" t="inlineStr">
        <is>
          <t xml:space="preserve">2,500 - 5,000</t>
        </is>
      </c>
      <c r="Q381" s="30" t="inlineStr">
        <is>
          <t xml:space="preserve">California</t>
        </is>
      </c>
      <c r="R381" s="30" t="inlineStr">
        <is>
          <t xml:space="preserve">90012</t>
        </is>
      </c>
      <c r="S381" s="32" t="inlineStr">
        <is>
          <t xml:space="preserve">Earthquake - high (CA, Cascadia, New Madrid)</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6970.36</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CANON-202602-005173</t>
        </is>
      </c>
      <c r="B382" s="46" t="inlineStr">
        <is>
          <t xml:space="preserve">Ramona Montoya</t>
        </is>
      </c>
      <c r="C382" s="47">
        <v>46074</v>
      </c>
      <c r="D382" s="48" t="inlineStr">
        <is>
          <t xml:space="preserve">Bound - within authority</t>
        </is>
      </c>
      <c r="E382" s="48" t="inlineStr">
        <is>
          <t xml:space="preserve">New business</t>
        </is>
      </c>
      <c r="F382" s="46" t="inlineStr">
        <is>
          <t xml:space="preserve">B1234EXOTIC26</t>
        </is>
      </c>
      <c r="G382" s="33">
        <f>IF($A382="","",IF($C382="","",YEAR($C382)))</f>
      </c>
      <c r="H382" s="49">
        <v>2011</v>
      </c>
      <c r="I382" s="46" t="inlineStr">
        <is>
          <t xml:space="preserve">BMW</t>
        </is>
      </c>
      <c r="J382" s="46" t="inlineStr">
        <is>
          <t xml:space="preserve">M8 Competition</t>
        </is>
      </c>
      <c r="K382" s="46" t="inlineStr">
        <is>
          <t xml:space="preserve">G6VE6B0M5RB1VHUNC</t>
        </is>
      </c>
      <c r="L382" s="48" t="inlineStr">
        <is>
          <t xml:space="preserve">02 - Sports / GT</t>
        </is>
      </c>
      <c r="M382" s="50">
        <v>230000</v>
      </c>
      <c r="N382" s="48" t="inlineStr">
        <is>
          <t xml:space="preserve">Personal</t>
        </is>
      </c>
      <c r="O382" s="46" t="inlineStr">
        <is>
          <t xml:space="preserve">Personal - regular use</t>
        </is>
      </c>
      <c r="P382" s="46" t="inlineStr">
        <is>
          <t xml:space="preserve">2,500 - 5,000</t>
        </is>
      </c>
      <c r="Q382" s="46" t="inlineStr">
        <is>
          <t xml:space="preserve">North Dakota</t>
        </is>
      </c>
      <c r="R382" s="46" t="inlineStr">
        <is>
          <t xml:space="preserve">58501</t>
        </is>
      </c>
      <c r="S382" s="48" t="inlineStr">
        <is>
          <t xml:space="preserve">Severe convective - hail alley (high)</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3580.37</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CANON-202602-005174</t>
        </is>
      </c>
      <c r="B383" s="30" t="inlineStr">
        <is>
          <t xml:space="preserve">Ottilie Montoya</t>
        </is>
      </c>
      <c r="C383" s="31">
        <v>46066</v>
      </c>
      <c r="D383" s="32" t="inlineStr">
        <is>
          <t xml:space="preserve">Bound - within authority</t>
        </is>
      </c>
      <c r="E383" s="32" t="inlineStr">
        <is>
          <t xml:space="preserve">New business</t>
        </is>
      </c>
      <c r="F383" s="30" t="inlineStr">
        <is>
          <t xml:space="preserve">B1234EXOTIC26</t>
        </is>
      </c>
      <c r="G383" s="33">
        <f>IF($A383="","",IF($C383="","",YEAR($C383)))</f>
      </c>
      <c r="H383" s="34">
        <v>1980</v>
      </c>
      <c r="I383" s="30" t="inlineStr">
        <is>
          <t xml:space="preserve">Mercedes-Benz</t>
        </is>
      </c>
      <c r="J383" s="30" t="inlineStr">
        <is>
          <t xml:space="preserve">280SL Pagoda</t>
        </is>
      </c>
      <c r="K383" s="30" t="inlineStr">
        <is>
          <t xml:space="preserve">VGV262WGKH8V5RR5L</t>
        </is>
      </c>
      <c r="L383" s="32" t="inlineStr">
        <is>
          <t xml:space="preserve">08 - Modern Classic (1973-1999)</t>
        </is>
      </c>
      <c r="M383" s="35">
        <v>835000</v>
      </c>
      <c r="N383" s="32" t="inlineStr">
        <is>
          <t xml:space="preserve">Personal</t>
        </is>
      </c>
      <c r="O383" s="30" t="inlineStr">
        <is>
          <t xml:space="preserve">Personal - regular use</t>
        </is>
      </c>
      <c r="P383" s="30" t="inlineStr">
        <is>
          <t xml:space="preserve">1,000 - 2,500</t>
        </is>
      </c>
      <c r="Q383" s="30" t="inlineStr">
        <is>
          <t xml:space="preserve">Pennsylvania</t>
        </is>
      </c>
      <c r="R383" s="30" t="inlineStr">
        <is>
          <t xml:space="preserve">19103</t>
        </is>
      </c>
      <c r="S383" s="32" t="inlineStr">
        <is>
          <t xml:space="preserve">Low hazard - inland benign</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5956.17</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CANON-202602-005175</t>
        </is>
      </c>
      <c r="B384" s="46" t="inlineStr">
        <is>
          <t xml:space="preserve">Fenwick Rourke</t>
        </is>
      </c>
      <c r="C384" s="47">
        <v>46067</v>
      </c>
      <c r="D384" s="48" t="inlineStr">
        <is>
          <t xml:space="preserve">Bound - within authority</t>
        </is>
      </c>
      <c r="E384" s="48" t="inlineStr">
        <is>
          <t xml:space="preserve">New business</t>
        </is>
      </c>
      <c r="F384" s="46" t="inlineStr">
        <is>
          <t xml:space="preserve">B1234EXOTIC26</t>
        </is>
      </c>
      <c r="G384" s="33">
        <f>IF($A384="","",IF($C384="","",YEAR($C384)))</f>
      </c>
      <c r="H384" s="49">
        <v>1987</v>
      </c>
      <c r="I384" s="46" t="inlineStr">
        <is>
          <t xml:space="preserve">Lamborghini</t>
        </is>
      </c>
      <c r="J384" s="46" t="inlineStr">
        <is>
          <t xml:space="preserve">Huracan EVO</t>
        </is>
      </c>
      <c r="K384" s="46" t="inlineStr">
        <is>
          <t xml:space="preserve">094EYEB2XC4WA9SMY</t>
        </is>
      </c>
      <c r="L384" s="48" t="inlineStr">
        <is>
          <t xml:space="preserve">03 - Supercar</t>
        </is>
      </c>
      <c r="M384" s="50">
        <v>1320000</v>
      </c>
      <c r="N384" s="48" t="inlineStr">
        <is>
          <t xml:space="preserve">Personal</t>
        </is>
      </c>
      <c r="O384" s="46" t="inlineStr">
        <is>
          <t xml:space="preserve">Personal - regular use</t>
        </is>
      </c>
      <c r="P384" s="46" t="inlineStr">
        <is>
          <t xml:space="preserve">1,000 - 2,500</t>
        </is>
      </c>
      <c r="Q384" s="46" t="inlineStr">
        <is>
          <t xml:space="preserve">Oregon</t>
        </is>
      </c>
      <c r="R384" s="46" t="inlineStr">
        <is>
          <t xml:space="preserve">97204</t>
        </is>
      </c>
      <c r="S384" s="48" t="inlineStr">
        <is>
          <t xml:space="preserve">Earthquake - high (CA, Cascadia, New Madrid)</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19794.94</v>
      </c>
      <c r="AC384" s="51">
        <v>0</v>
      </c>
      <c r="AD384" s="38">
        <f>IF(ISNUMBER($AB384),$AB384*(1+N($AC384)),"")</f>
      </c>
      <c r="AE384" s="50">
        <v>350</v>
      </c>
      <c r="AF384" s="50">
        <v>250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CANON-202602-005177</t>
        </is>
      </c>
      <c r="B385" s="30" t="inlineStr">
        <is>
          <t xml:space="preserve">Ramona Farkas</t>
        </is>
      </c>
      <c r="C385" s="31">
        <v>46064</v>
      </c>
      <c r="D385" s="32" t="inlineStr">
        <is>
          <t xml:space="preserve">Bound - within authority</t>
        </is>
      </c>
      <c r="E385" s="32" t="inlineStr">
        <is>
          <t xml:space="preserve">New business</t>
        </is>
      </c>
      <c r="F385" s="30" t="inlineStr">
        <is>
          <t xml:space="preserve">B1234EXOTIC26</t>
        </is>
      </c>
      <c r="G385" s="33">
        <f>IF($A385="","",IF($C385="","",YEAR($C385)))</f>
      </c>
      <c r="H385" s="34">
        <v>2011</v>
      </c>
      <c r="I385" s="30" t="inlineStr">
        <is>
          <t xml:space="preserve">BMW</t>
        </is>
      </c>
      <c r="J385" s="30" t="inlineStr">
        <is>
          <t xml:space="preserve">M8 Competition</t>
        </is>
      </c>
      <c r="K385" s="30" t="inlineStr">
        <is>
          <t xml:space="preserve">YTFHK1P3R5HN310CX</t>
        </is>
      </c>
      <c r="L385" s="32" t="inlineStr">
        <is>
          <t xml:space="preserve">02 - Sports / GT</t>
        </is>
      </c>
      <c r="M385" s="35">
        <v>975000</v>
      </c>
      <c r="N385" s="32" t="inlineStr">
        <is>
          <t xml:space="preserve">Personal</t>
        </is>
      </c>
      <c r="O385" s="30" t="inlineStr">
        <is>
          <t xml:space="preserve">Personal - regular use</t>
        </is>
      </c>
      <c r="P385" s="30" t="inlineStr">
        <is>
          <t xml:space="preserve">2,500 - 5,000</t>
        </is>
      </c>
      <c r="Q385" s="30" t="inlineStr">
        <is>
          <t xml:space="preserve">Pennsylvania</t>
        </is>
      </c>
      <c r="R385" s="30" t="inlineStr">
        <is>
          <t xml:space="preserve">19103</t>
        </is>
      </c>
      <c r="S385" s="32" t="inlineStr">
        <is>
          <t xml:space="preserve">Low hazard - inland benign</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10513.08</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CANON-202602-005178</t>
        </is>
      </c>
      <c r="B386" s="46" t="inlineStr">
        <is>
          <t xml:space="preserve">Everett Vandermeer</t>
        </is>
      </c>
      <c r="C386" s="47">
        <v>46064</v>
      </c>
      <c r="D386" s="48" t="inlineStr">
        <is>
          <t xml:space="preserve">Bound - within authority</t>
        </is>
      </c>
      <c r="E386" s="48" t="inlineStr">
        <is>
          <t xml:space="preserve">New business</t>
        </is>
      </c>
      <c r="F386" s="46" t="inlineStr">
        <is>
          <t xml:space="preserve">B1234EXOTIC26</t>
        </is>
      </c>
      <c r="G386" s="33">
        <f>IF($A386="","",IF($C386="","",YEAR($C386)))</f>
      </c>
      <c r="H386" s="49">
        <v>1983</v>
      </c>
      <c r="I386" s="46" t="inlineStr">
        <is>
          <t xml:space="preserve">Maserati</t>
        </is>
      </c>
      <c r="J386" s="46" t="inlineStr">
        <is>
          <t xml:space="preserve">GranTurismo</t>
        </is>
      </c>
      <c r="K386" s="46" t="inlineStr">
        <is>
          <t xml:space="preserve">SJPWRMMF2LFNKA1TX</t>
        </is>
      </c>
      <c r="L386" s="48" t="inlineStr">
        <is>
          <t xml:space="preserve">02 - Sports / GT</t>
        </is>
      </c>
      <c r="M386" s="50">
        <v>430000</v>
      </c>
      <c r="N386" s="48" t="inlineStr">
        <is>
          <t xml:space="preserve">Personal</t>
        </is>
      </c>
      <c r="O386" s="46" t="inlineStr">
        <is>
          <t xml:space="preserve">Personal - regular use</t>
        </is>
      </c>
      <c r="P386" s="46" t="inlineStr">
        <is>
          <t xml:space="preserve">Under 1,000</t>
        </is>
      </c>
      <c r="Q386" s="46" t="inlineStr">
        <is>
          <t xml:space="preserve">Idaho</t>
        </is>
      </c>
      <c r="R386" s="46" t="inlineStr">
        <is>
          <t xml:space="preserve">83702</t>
        </is>
      </c>
      <c r="S386" s="48" t="inlineStr">
        <is>
          <t xml:space="preserve">Wildfire - WUI high hazard</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5296.35</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CANON-202602-005179</t>
        </is>
      </c>
      <c r="B387" s="30" t="inlineStr">
        <is>
          <t xml:space="preserve">Horace Pennington</t>
        </is>
      </c>
      <c r="C387" s="31">
        <v>46067</v>
      </c>
      <c r="D387" s="32" t="inlineStr">
        <is>
          <t xml:space="preserve">Bound - within authority</t>
        </is>
      </c>
      <c r="E387" s="32" t="inlineStr">
        <is>
          <t xml:space="preserve">New business</t>
        </is>
      </c>
      <c r="F387" s="30" t="inlineStr">
        <is>
          <t xml:space="preserve">B1234EXOTIC26</t>
        </is>
      </c>
      <c r="G387" s="33">
        <f>IF($A387="","",IF($C387="","",YEAR($C387)))</f>
      </c>
      <c r="H387" s="34">
        <v>2001</v>
      </c>
      <c r="I387" s="30" t="inlineStr">
        <is>
          <t xml:space="preserve">Mercedes-Benz</t>
        </is>
      </c>
      <c r="J387" s="30" t="inlineStr">
        <is>
          <t xml:space="preserve">AMG GT</t>
        </is>
      </c>
      <c r="K387" s="30" t="inlineStr">
        <is>
          <t xml:space="preserve">DECBL9E9U50J5EUBT</t>
        </is>
      </c>
      <c r="L387" s="32" t="inlineStr">
        <is>
          <t xml:space="preserve">02 - Sports / GT</t>
        </is>
      </c>
      <c r="M387" s="35">
        <v>535000</v>
      </c>
      <c r="N387" s="32" t="inlineStr">
        <is>
          <t xml:space="preserve">Personal</t>
        </is>
      </c>
      <c r="O387" s="30" t="inlineStr">
        <is>
          <t xml:space="preserve">Personal - regular use</t>
        </is>
      </c>
      <c r="P387" s="30" t="inlineStr">
        <is>
          <t xml:space="preserve">Under 1,000</t>
        </is>
      </c>
      <c r="Q387" s="30" t="inlineStr">
        <is>
          <t xml:space="preserve">New York</t>
        </is>
      </c>
      <c r="R387" s="30" t="inlineStr">
        <is>
          <t xml:space="preserve">10022</t>
        </is>
      </c>
      <c r="S387" s="32" t="inlineStr">
        <is>
          <t xml:space="preserve">Tier 3 - Coastal wind (25-100 miles)</t>
        </is>
      </c>
      <c r="T387" s="36">
        <f>IF($A387="","",IF($S387="","",IFERROR(INDEX('[1]natural catastrophe'!$D$6:$D$17,MATCH($S387,'[1]natural catastrophe'!$B$6:$B$17,0)),"?")))</f>
      </c>
      <c r="U387" s="30" t="inlineStr">
        <is>
          <t xml:space="preserve">2% of agreed value, minimum $10,000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7383.95</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CANON-202602-005180</t>
        </is>
      </c>
      <c r="B388" s="46" t="inlineStr">
        <is>
          <t xml:space="preserve">Horace Vasquez</t>
        </is>
      </c>
      <c r="C388" s="47">
        <v>46072</v>
      </c>
      <c r="D388" s="48" t="inlineStr">
        <is>
          <t xml:space="preserve">Bound - within authority</t>
        </is>
      </c>
      <c r="E388" s="48" t="inlineStr">
        <is>
          <t xml:space="preserve">New business</t>
        </is>
      </c>
      <c r="F388" s="46" t="inlineStr">
        <is>
          <t xml:space="preserve">B1234EXOTIC26</t>
        </is>
      </c>
      <c r="G388" s="33">
        <f>IF($A388="","",IF($C388="","",YEAR($C388)))</f>
      </c>
      <c r="H388" s="49">
        <v>1956</v>
      </c>
      <c r="I388" s="46" t="inlineStr">
        <is>
          <t xml:space="preserve">Mercedes-Benz</t>
        </is>
      </c>
      <c r="J388" s="46" t="inlineStr">
        <is>
          <t xml:space="preserve">AMG GT</t>
        </is>
      </c>
      <c r="K388" s="46" t="inlineStr">
        <is>
          <t xml:space="preserve">JSZNJHRUUCNWWTVLB</t>
        </is>
      </c>
      <c r="L388" s="48" t="inlineStr">
        <is>
          <t xml:space="preserve">02 - Sports / GT</t>
        </is>
      </c>
      <c r="M388" s="50">
        <v>1045000</v>
      </c>
      <c r="N388" s="48" t="inlineStr">
        <is>
          <t xml:space="preserve">Personal</t>
        </is>
      </c>
      <c r="O388" s="46" t="inlineStr">
        <is>
          <t xml:space="preserve">Personal - regular use</t>
        </is>
      </c>
      <c r="P388" s="46" t="inlineStr">
        <is>
          <t xml:space="preserve">2,500 - 5,000</t>
        </is>
      </c>
      <c r="Q388" s="46" t="inlineStr">
        <is>
          <t xml:space="preserve">New Mexico</t>
        </is>
      </c>
      <c r="R388" s="46" t="inlineStr">
        <is>
          <t xml:space="preserve">87501</t>
        </is>
      </c>
      <c r="S388" s="48" t="inlineStr">
        <is>
          <t xml:space="preserve">Wildfire - WUI high hazard</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12203.96</v>
      </c>
      <c r="AC388" s="51">
        <v>0</v>
      </c>
      <c r="AD388" s="38">
        <f>IF(ISNUMBER($AB388),$AB388*(1+N($AC388)),"")</f>
      </c>
      <c r="AE388" s="50">
        <v>350</v>
      </c>
      <c r="AF388" s="50">
        <v>250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CANON-202602-005182</t>
        </is>
      </c>
      <c r="B389" s="30" t="inlineStr">
        <is>
          <t xml:space="preserve">Leopold Vandermeer</t>
        </is>
      </c>
      <c r="C389" s="31">
        <v>46058</v>
      </c>
      <c r="D389" s="32" t="inlineStr">
        <is>
          <t xml:space="preserve">Bound - within authority</t>
        </is>
      </c>
      <c r="E389" s="32" t="inlineStr">
        <is>
          <t xml:space="preserve">New business</t>
        </is>
      </c>
      <c r="F389" s="30" t="inlineStr">
        <is>
          <t xml:space="preserve">B1234EXOTIC26</t>
        </is>
      </c>
      <c r="G389" s="33">
        <f>IF($A389="","",IF($C389="","",YEAR($C389)))</f>
      </c>
      <c r="H389" s="34">
        <v>1990</v>
      </c>
      <c r="I389" s="30" t="inlineStr">
        <is>
          <t xml:space="preserve">Porsche</t>
        </is>
      </c>
      <c r="J389" s="30" t="inlineStr">
        <is>
          <t xml:space="preserve">911 Turbo S</t>
        </is>
      </c>
      <c r="K389" s="30" t="inlineStr">
        <is>
          <t xml:space="preserve">763LD3ZBS12CJ6E65</t>
        </is>
      </c>
      <c r="L389" s="32" t="inlineStr">
        <is>
          <t xml:space="preserve">02 - Sports / GT</t>
        </is>
      </c>
      <c r="M389" s="35">
        <v>940000</v>
      </c>
      <c r="N389" s="32" t="inlineStr">
        <is>
          <t xml:space="preserve">Personal</t>
        </is>
      </c>
      <c r="O389" s="30" t="inlineStr">
        <is>
          <t xml:space="preserve">Personal - regular use</t>
        </is>
      </c>
      <c r="P389" s="30" t="inlineStr">
        <is>
          <t xml:space="preserve">Under 1,000</t>
        </is>
      </c>
      <c r="Q389" s="30" t="inlineStr">
        <is>
          <t xml:space="preserve">New York</t>
        </is>
      </c>
      <c r="R389" s="30" t="inlineStr">
        <is>
          <t xml:space="preserve">10022</t>
        </is>
      </c>
      <c r="S389" s="32" t="inlineStr">
        <is>
          <t xml:space="preserve">Tier 3 - Coastal wind (25-100 miles)</t>
        </is>
      </c>
      <c r="T389" s="36">
        <f>IF($A389="","",IF($S389="","",IFERROR(INDEX('[1]natural catastrophe'!$D$6:$D$17,MATCH($S389,'[1]natural catastrophe'!$B$6:$B$17,0)),"?")))</f>
      </c>
      <c r="U389" s="30" t="inlineStr">
        <is>
          <t xml:space="preserve">2% of agreed value, minimum $10,000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12973.68</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CANON-202602-005183</t>
        </is>
      </c>
      <c r="B390" s="46" t="inlineStr">
        <is>
          <t xml:space="preserve">Callum Delacroix</t>
        </is>
      </c>
      <c r="C390" s="47">
        <v>46068</v>
      </c>
      <c r="D390" s="48" t="inlineStr">
        <is>
          <t xml:space="preserve">Bound - within authority</t>
        </is>
      </c>
      <c r="E390" s="48" t="inlineStr">
        <is>
          <t xml:space="preserve">New business</t>
        </is>
      </c>
      <c r="F390" s="46" t="inlineStr">
        <is>
          <t xml:space="preserve">B1234EXOTIC26</t>
        </is>
      </c>
      <c r="G390" s="33">
        <f>IF($A390="","",IF($C390="","",YEAR($C390)))</f>
      </c>
      <c r="H390" s="49">
        <v>1973</v>
      </c>
      <c r="I390" s="46" t="inlineStr">
        <is>
          <t xml:space="preserve">Porsche</t>
        </is>
      </c>
      <c r="J390" s="46" t="inlineStr">
        <is>
          <t xml:space="preserve">911 Turbo S</t>
        </is>
      </c>
      <c r="K390" s="46" t="inlineStr">
        <is>
          <t xml:space="preserve">C1WE814YVPE0U1P69</t>
        </is>
      </c>
      <c r="L390" s="48" t="inlineStr">
        <is>
          <t xml:space="preserve">02 - Sports / GT</t>
        </is>
      </c>
      <c r="M390" s="50">
        <v>435000</v>
      </c>
      <c r="N390" s="48" t="inlineStr">
        <is>
          <t xml:space="preserve">Personal</t>
        </is>
      </c>
      <c r="O390" s="46" t="inlineStr">
        <is>
          <t xml:space="preserve">Personal - regular use</t>
        </is>
      </c>
      <c r="P390" s="46" t="inlineStr">
        <is>
          <t xml:space="preserve">2,500 - 5,000</t>
        </is>
      </c>
      <c r="Q390" s="46" t="inlineStr">
        <is>
          <t xml:space="preserve">Maine</t>
        </is>
      </c>
      <c r="R390" s="46" t="inlineStr">
        <is>
          <t xml:space="preserve">04101</t>
        </is>
      </c>
      <c r="S390" s="48" t="inlineStr">
        <is>
          <t xml:space="preserve">Tier 3 - Coastal wind (25-100 miles)</t>
        </is>
      </c>
      <c r="T390" s="36">
        <f>IF($A390="","",IF($S390="","",IFERROR(INDEX('[1]natural catastrophe'!$D$6:$D$17,MATCH($S390,'[1]natural catastrophe'!$B$6:$B$17,0)),"?")))</f>
      </c>
      <c r="U390" s="46" t="inlineStr">
        <is>
          <t xml:space="preserve">2% of agreed value, minimum $10,000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5845.02</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CANON-202602-005185</t>
        </is>
      </c>
      <c r="B391" s="30" t="inlineStr">
        <is>
          <t xml:space="preserve">Emiliano Thistlewood</t>
        </is>
      </c>
      <c r="C391" s="31">
        <v>46058</v>
      </c>
      <c r="D391" s="32" t="inlineStr">
        <is>
          <t xml:space="preserve">Bound - within authority</t>
        </is>
      </c>
      <c r="E391" s="32" t="inlineStr">
        <is>
          <t xml:space="preserve">New business</t>
        </is>
      </c>
      <c r="F391" s="30" t="inlineStr">
        <is>
          <t xml:space="preserve">B1234EXOTIC26</t>
        </is>
      </c>
      <c r="G391" s="33">
        <f>IF($A391="","",IF($C391="","",YEAR($C391)))</f>
      </c>
      <c r="H391" s="34">
        <v>1958</v>
      </c>
      <c r="I391" s="30" t="inlineStr">
        <is>
          <t xml:space="preserve">Bentley</t>
        </is>
      </c>
      <c r="J391" s="30" t="inlineStr">
        <is>
          <t xml:space="preserve">Continental GT</t>
        </is>
      </c>
      <c r="K391" s="30" t="inlineStr">
        <is>
          <t xml:space="preserve">PA93LCN32FUFHFTVH</t>
        </is>
      </c>
      <c r="L391" s="32" t="inlineStr">
        <is>
          <t xml:space="preserve">02 - Sports / GT</t>
        </is>
      </c>
      <c r="M391" s="35">
        <v>810000</v>
      </c>
      <c r="N391" s="32" t="inlineStr">
        <is>
          <t xml:space="preserve">Personal</t>
        </is>
      </c>
      <c r="O391" s="30" t="inlineStr">
        <is>
          <t xml:space="preserve">Personal - regular use</t>
        </is>
      </c>
      <c r="P391" s="30" t="inlineStr">
        <is>
          <t xml:space="preserve">Under 1,000</t>
        </is>
      </c>
      <c r="Q391" s="30" t="inlineStr">
        <is>
          <t xml:space="preserve">New Hampshire</t>
        </is>
      </c>
      <c r="R391" s="30" t="inlineStr">
        <is>
          <t xml:space="preserve">03301</t>
        </is>
      </c>
      <c r="S391" s="32" t="inlineStr">
        <is>
          <t xml:space="preserve">Tier 3 - Coastal wind (25-100 miles)</t>
        </is>
      </c>
      <c r="T391" s="36">
        <f>IF($A391="","",IF($S391="","",IFERROR(INDEX('[1]natural catastrophe'!$D$6:$D$17,MATCH($S391,'[1]natural catastrophe'!$B$6:$B$17,0)),"?")))</f>
      </c>
      <c r="U391" s="30" t="inlineStr">
        <is>
          <t xml:space="preserve">2% of agreed value, minimum $10,000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9083.3</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CANON-202602-005186</t>
        </is>
      </c>
      <c r="B392" s="46" t="inlineStr">
        <is>
          <t xml:space="preserve">Priya Underwood</t>
        </is>
      </c>
      <c r="C392" s="47">
        <v>46070</v>
      </c>
      <c r="D392" s="48" t="inlineStr">
        <is>
          <t xml:space="preserve">Bound - within authority</t>
        </is>
      </c>
      <c r="E392" s="48" t="inlineStr">
        <is>
          <t xml:space="preserve">New business</t>
        </is>
      </c>
      <c r="F392" s="46" t="inlineStr">
        <is>
          <t xml:space="preserve">B1234EXOTIC26</t>
        </is>
      </c>
      <c r="G392" s="33">
        <f>IF($A392="","",IF($C392="","",YEAR($C392)))</f>
      </c>
      <c r="H392" s="49">
        <v>1955</v>
      </c>
      <c r="I392" s="46" t="inlineStr">
        <is>
          <t xml:space="preserve">Mercedes-Benz</t>
        </is>
      </c>
      <c r="J392" s="46" t="inlineStr">
        <is>
          <t xml:space="preserve">AMG GT</t>
        </is>
      </c>
      <c r="K392" s="46" t="inlineStr">
        <is>
          <t xml:space="preserve">AEHXHDTK653PRN21V</t>
        </is>
      </c>
      <c r="L392" s="48" t="inlineStr">
        <is>
          <t xml:space="preserve">02 - Sports / GT</t>
        </is>
      </c>
      <c r="M392" s="50">
        <v>315000</v>
      </c>
      <c r="N392" s="48" t="inlineStr">
        <is>
          <t xml:space="preserve">Personal</t>
        </is>
      </c>
      <c r="O392" s="46" t="inlineStr">
        <is>
          <t xml:space="preserve">Personal - regular use</t>
        </is>
      </c>
      <c r="P392" s="46" t="inlineStr">
        <is>
          <t xml:space="preserve">Under 1,000</t>
        </is>
      </c>
      <c r="Q392" s="46" t="inlineStr">
        <is>
          <t xml:space="preserve">Colorado</t>
        </is>
      </c>
      <c r="R392" s="46" t="inlineStr">
        <is>
          <t xml:space="preserve">80202</t>
        </is>
      </c>
      <c r="S392" s="48" t="inlineStr">
        <is>
          <t xml:space="preserve">Severe convective - hail alley (high)</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4310.98</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CANON-202602-005187</t>
        </is>
      </c>
      <c r="B393" s="30" t="inlineStr">
        <is>
          <t xml:space="preserve">Saoirse Vasquez</t>
        </is>
      </c>
      <c r="C393" s="31">
        <v>46076</v>
      </c>
      <c r="D393" s="32" t="inlineStr">
        <is>
          <t xml:space="preserve">Bound - within authority</t>
        </is>
      </c>
      <c r="E393" s="32" t="inlineStr">
        <is>
          <t xml:space="preserve">New business</t>
        </is>
      </c>
      <c r="F393" s="30" t="inlineStr">
        <is>
          <t xml:space="preserve">B1234EXOTIC26</t>
        </is>
      </c>
      <c r="G393" s="33">
        <f>IF($A393="","",IF($C393="","",YEAR($C393)))</f>
      </c>
      <c r="H393" s="34">
        <v>1973</v>
      </c>
      <c r="I393" s="30" t="inlineStr">
        <is>
          <t xml:space="preserve">Maserati</t>
        </is>
      </c>
      <c r="J393" s="30" t="inlineStr">
        <is>
          <t xml:space="preserve">GranTurismo</t>
        </is>
      </c>
      <c r="K393" s="30" t="inlineStr">
        <is>
          <t xml:space="preserve">SSJ16JJG7Y8YU8B6J</t>
        </is>
      </c>
      <c r="L393" s="32" t="inlineStr">
        <is>
          <t xml:space="preserve">02 - Sports / GT</t>
        </is>
      </c>
      <c r="M393" s="35">
        <v>835000</v>
      </c>
      <c r="N393" s="32" t="inlineStr">
        <is>
          <t xml:space="preserve">Personal</t>
        </is>
      </c>
      <c r="O393" s="30" t="inlineStr">
        <is>
          <t xml:space="preserve">Personal - regular use</t>
        </is>
      </c>
      <c r="P393" s="30" t="inlineStr">
        <is>
          <t xml:space="preserve">1,000 - 2,500</t>
        </is>
      </c>
      <c r="Q393" s="30" t="inlineStr">
        <is>
          <t xml:space="preserve">Georgia</t>
        </is>
      </c>
      <c r="R393" s="30" t="inlineStr">
        <is>
          <t xml:space="preserve">30303</t>
        </is>
      </c>
      <c r="S393" s="32" t="inlineStr">
        <is>
          <t xml:space="preserve">Tier 2 - Coastal wind (1-25 miles)</t>
        </is>
      </c>
      <c r="T393" s="36">
        <f>IF($A393="","",IF($S393="","",IFERROR(INDEX('[1]natural catastrophe'!$D$6:$D$17,MATCH($S393,'[1]natural catastrophe'!$B$6:$B$17,0)),"?")))</f>
      </c>
      <c r="U393" s="30" t="inlineStr">
        <is>
          <t xml:space="preserve">2% of agreed value, minimum $10,000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10083.92</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CANON-202602-005188</t>
        </is>
      </c>
      <c r="B394" s="46" t="inlineStr">
        <is>
          <t xml:space="preserve">Priya Rourke</t>
        </is>
      </c>
      <c r="C394" s="47">
        <v>46069</v>
      </c>
      <c r="D394" s="48" t="inlineStr">
        <is>
          <t xml:space="preserve">Bound - within authority</t>
        </is>
      </c>
      <c r="E394" s="48" t="inlineStr">
        <is>
          <t xml:space="preserve">New business</t>
        </is>
      </c>
      <c r="F394" s="46" t="inlineStr">
        <is>
          <t xml:space="preserve">B1234EXOTIC26</t>
        </is>
      </c>
      <c r="G394" s="33">
        <f>IF($A394="","",IF($C394="","",YEAR($C394)))</f>
      </c>
      <c r="H394" s="49">
        <v>1986</v>
      </c>
      <c r="I394" s="46" t="inlineStr">
        <is>
          <t xml:space="preserve">Bentley</t>
        </is>
      </c>
      <c r="J394" s="46" t="inlineStr">
        <is>
          <t xml:space="preserve">Continental GT</t>
        </is>
      </c>
      <c r="K394" s="46" t="inlineStr">
        <is>
          <t xml:space="preserve">UTD6X9RJYFD1NLYHD</t>
        </is>
      </c>
      <c r="L394" s="48" t="inlineStr">
        <is>
          <t xml:space="preserve">02 - Sports / GT</t>
        </is>
      </c>
      <c r="M394" s="50">
        <v>670000</v>
      </c>
      <c r="N394" s="48" t="inlineStr">
        <is>
          <t xml:space="preserve">Personal</t>
        </is>
      </c>
      <c r="O394" s="46" t="inlineStr">
        <is>
          <t xml:space="preserve">Personal - regular use</t>
        </is>
      </c>
      <c r="P394" s="46" t="inlineStr">
        <is>
          <t xml:space="preserve">Under 1,000</t>
        </is>
      </c>
      <c r="Q394" s="46" t="inlineStr">
        <is>
          <t xml:space="preserve">California</t>
        </is>
      </c>
      <c r="R394" s="46" t="inlineStr">
        <is>
          <t xml:space="preserve">90012</t>
        </is>
      </c>
      <c r="S394" s="48" t="inlineStr">
        <is>
          <t xml:space="preserve">Earthquake - high (CA, Cascadia, New Madrid)</t>
        </is>
      </c>
      <c r="T394" s="36">
        <f>IF($A394="","",IF($S394="","",IFERROR(INDEX('[1]natural catastrophe'!$D$6:$D$17,MATCH($S394,'[1]natural catastrophe'!$B$6:$B$17,0)),"?")))</f>
      </c>
      <c r="U394" s="46" t="inlineStr">
        <is>
          <t xml:space="preserve">$5,000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9752.9</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CANON-202602-005190</t>
        </is>
      </c>
      <c r="B395" s="30" t="inlineStr">
        <is>
          <t xml:space="preserve">Horace Vandermeer</t>
        </is>
      </c>
      <c r="C395" s="31">
        <v>46061</v>
      </c>
      <c r="D395" s="32" t="inlineStr">
        <is>
          <t xml:space="preserve">Bound - within authority</t>
        </is>
      </c>
      <c r="E395" s="32" t="inlineStr">
        <is>
          <t xml:space="preserve">New business</t>
        </is>
      </c>
      <c r="F395" s="30" t="inlineStr">
        <is>
          <t xml:space="preserve">B1234EXOTIC26</t>
        </is>
      </c>
      <c r="G395" s="33">
        <f>IF($A395="","",IF($C395="","",YEAR($C395)))</f>
      </c>
      <c r="H395" s="34">
        <v>1971</v>
      </c>
      <c r="I395" s="30" t="inlineStr">
        <is>
          <t xml:space="preserve">Bentley</t>
        </is>
      </c>
      <c r="J395" s="30" t="inlineStr">
        <is>
          <t xml:space="preserve">Continental GT</t>
        </is>
      </c>
      <c r="K395" s="30" t="inlineStr">
        <is>
          <t xml:space="preserve">JDJFZV7G6KV5ETKAW</t>
        </is>
      </c>
      <c r="L395" s="32" t="inlineStr">
        <is>
          <t xml:space="preserve">02 - Sports / GT</t>
        </is>
      </c>
      <c r="M395" s="35">
        <v>300000</v>
      </c>
      <c r="N395" s="32" t="inlineStr">
        <is>
          <t xml:space="preserve">Personal</t>
        </is>
      </c>
      <c r="O395" s="30" t="inlineStr">
        <is>
          <t xml:space="preserve">Personal - regular use</t>
        </is>
      </c>
      <c r="P395" s="30" t="inlineStr">
        <is>
          <t xml:space="preserve">1,000 - 2,500</t>
        </is>
      </c>
      <c r="Q395" s="30" t="inlineStr">
        <is>
          <t xml:space="preserve">Texas</t>
        </is>
      </c>
      <c r="R395" s="30" t="inlineStr">
        <is>
          <t xml:space="preserve">75201</t>
        </is>
      </c>
      <c r="S395" s="32" t="inlineStr">
        <is>
          <t xml:space="preserve">Tier 2 - Coastal wind (1-25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4292.32</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CANON-202602-005192</t>
        </is>
      </c>
      <c r="B396" s="46" t="inlineStr">
        <is>
          <t xml:space="preserve">Beatrix Delacroix</t>
        </is>
      </c>
      <c r="C396" s="47">
        <v>46077</v>
      </c>
      <c r="D396" s="48" t="inlineStr">
        <is>
          <t xml:space="preserve">Bound - within authority</t>
        </is>
      </c>
      <c r="E396" s="48" t="inlineStr">
        <is>
          <t xml:space="preserve">New business</t>
        </is>
      </c>
      <c r="F396" s="46" t="inlineStr">
        <is>
          <t xml:space="preserve">B1234EXOTIC26</t>
        </is>
      </c>
      <c r="G396" s="33">
        <f>IF($A396="","",IF($C396="","",YEAR($C396)))</f>
      </c>
      <c r="H396" s="49">
        <v>2010</v>
      </c>
      <c r="I396" s="46" t="inlineStr">
        <is>
          <t xml:space="preserve">Aston Martin</t>
        </is>
      </c>
      <c r="J396" s="46" t="inlineStr">
        <is>
          <t xml:space="preserve">DB12</t>
        </is>
      </c>
      <c r="K396" s="46" t="inlineStr">
        <is>
          <t xml:space="preserve">V6P1K855L0JDU1JC9</t>
        </is>
      </c>
      <c r="L396" s="48" t="inlineStr">
        <is>
          <t xml:space="preserve">02 - Sports / GT</t>
        </is>
      </c>
      <c r="M396" s="50">
        <v>755000</v>
      </c>
      <c r="N396" s="48" t="inlineStr">
        <is>
          <t xml:space="preserve">Personal</t>
        </is>
      </c>
      <c r="O396" s="46" t="inlineStr">
        <is>
          <t xml:space="preserve">Personal - regular use</t>
        </is>
      </c>
      <c r="P396" s="46" t="inlineStr">
        <is>
          <t xml:space="preserve">2,500 - 5,000</t>
        </is>
      </c>
      <c r="Q396" s="46" t="inlineStr">
        <is>
          <t xml:space="preserve">Michigan</t>
        </is>
      </c>
      <c r="R396" s="46" t="inlineStr">
        <is>
          <t xml:space="preserve">48226</t>
        </is>
      </c>
      <c r="S396" s="48" t="inlineStr">
        <is>
          <t xml:space="preserve">Severe convective - hail / tornado (moderate)</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12618.38</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CANON-202602-005193</t>
        </is>
      </c>
      <c r="B397" s="30" t="inlineStr">
        <is>
          <t xml:space="preserve">Fitzgerald Bellandi</t>
        </is>
      </c>
      <c r="C397" s="31">
        <v>46081</v>
      </c>
      <c r="D397" s="32" t="inlineStr">
        <is>
          <t xml:space="preserve">Bound - within authority</t>
        </is>
      </c>
      <c r="E397" s="32" t="inlineStr">
        <is>
          <t xml:space="preserve">New business</t>
        </is>
      </c>
      <c r="F397" s="30" t="inlineStr">
        <is>
          <t xml:space="preserve">B1234EXOTIC26</t>
        </is>
      </c>
      <c r="G397" s="33">
        <f>IF($A397="","",IF($C397="","",YEAR($C397)))</f>
      </c>
      <c r="H397" s="34">
        <v>2000</v>
      </c>
      <c r="I397" s="30" t="inlineStr">
        <is>
          <t xml:space="preserve">Alfa Romeo</t>
        </is>
      </c>
      <c r="J397" s="30" t="inlineStr">
        <is>
          <t xml:space="preserve">8C 2900</t>
        </is>
      </c>
      <c r="K397" s="30" t="inlineStr">
        <is>
          <t xml:space="preserve">DBMFR11PH0VDHMHVP</t>
        </is>
      </c>
      <c r="L397" s="32" t="inlineStr">
        <is>
          <t xml:space="preserve">09 - Youngtimer / Collectible (2000-2010)</t>
        </is>
      </c>
      <c r="M397" s="35">
        <v>295000</v>
      </c>
      <c r="N397" s="32" t="inlineStr">
        <is>
          <t xml:space="preserve">Personal</t>
        </is>
      </c>
      <c r="O397" s="30" t="inlineStr">
        <is>
          <t xml:space="preserve">Personal - regular use</t>
        </is>
      </c>
      <c r="P397" s="30" t="inlineStr">
        <is>
          <t xml:space="preserve">2,500 - 5,000</t>
        </is>
      </c>
      <c r="Q397" s="30" t="inlineStr">
        <is>
          <t xml:space="preserve">Idaho</t>
        </is>
      </c>
      <c r="R397" s="30" t="inlineStr">
        <is>
          <t xml:space="preserve">83702</t>
        </is>
      </c>
      <c r="S397" s="32" t="inlineStr">
        <is>
          <t xml:space="preserve">Wildfire - WUI high hazard</t>
        </is>
      </c>
      <c r="T397" s="36">
        <f>IF($A397="","",IF($S397="","",IFERROR(INDEX('[1]natural catastrophe'!$D$6:$D$17,MATCH($S397,'[1]natural catastrophe'!$B$6:$B$17,0)),"?")))</f>
      </c>
      <c r="U397" s="30" t="inlineStr">
        <is>
          <t xml:space="preserve">$5,000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2034.79</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CANON-202602-005194</t>
        </is>
      </c>
      <c r="B398" s="46" t="inlineStr">
        <is>
          <t xml:space="preserve">Thaddeus Thistlewood</t>
        </is>
      </c>
      <c r="C398" s="47">
        <v>46077</v>
      </c>
      <c r="D398" s="48" t="inlineStr">
        <is>
          <t xml:space="preserve">Bound - within authority</t>
        </is>
      </c>
      <c r="E398" s="48" t="inlineStr">
        <is>
          <t xml:space="preserve">New business</t>
        </is>
      </c>
      <c r="F398" s="46" t="inlineStr">
        <is>
          <t xml:space="preserve">B1234EXOTIC26</t>
        </is>
      </c>
      <c r="G398" s="33">
        <f>IF($A398="","",IF($C398="","",YEAR($C398)))</f>
      </c>
      <c r="H398" s="49">
        <v>1993</v>
      </c>
      <c r="I398" s="46" t="inlineStr">
        <is>
          <t xml:space="preserve">Alfa Romeo</t>
        </is>
      </c>
      <c r="J398" s="46" t="inlineStr">
        <is>
          <t xml:space="preserve">8C 2900</t>
        </is>
      </c>
      <c r="K398" s="46" t="inlineStr">
        <is>
          <t xml:space="preserve">PSR4R8Y4FNSLNWM22</t>
        </is>
      </c>
      <c r="L398" s="48" t="inlineStr">
        <is>
          <t xml:space="preserve">08 - Modern Classic (1973-1999)</t>
        </is>
      </c>
      <c r="M398" s="50">
        <v>1950000</v>
      </c>
      <c r="N398" s="48" t="inlineStr">
        <is>
          <t xml:space="preserve">Personal</t>
        </is>
      </c>
      <c r="O398" s="46" t="inlineStr">
        <is>
          <t xml:space="preserve">Personal - regular use</t>
        </is>
      </c>
      <c r="P398" s="46" t="inlineStr">
        <is>
          <t xml:space="preserve">Under 1,000</t>
        </is>
      </c>
      <c r="Q398" s="46" t="inlineStr">
        <is>
          <t xml:space="preserve">Texas</t>
        </is>
      </c>
      <c r="R398" s="46" t="inlineStr">
        <is>
          <t xml:space="preserve">75201</t>
        </is>
      </c>
      <c r="S398" s="48" t="inlineStr">
        <is>
          <t xml:space="preserve">Tier 2 - Coastal wind (1-25 miles)</t>
        </is>
      </c>
      <c r="T398" s="36">
        <f>IF($A398="","",IF($S398="","",IFERROR(INDEX('[1]natural catastrophe'!$D$6:$D$17,MATCH($S398,'[1]natural catastrophe'!$B$6:$B$17,0)),"?")))</f>
      </c>
      <c r="U398" s="46" t="inlineStr">
        <is>
          <t xml:space="preserve">2% of agreed value, minimum $10,000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12648.04</v>
      </c>
      <c r="AC398" s="51">
        <v>0</v>
      </c>
      <c r="AD398" s="38">
        <f>IF(ISNUMBER($AB398),$AB398*(1+N($AC398)),"")</f>
      </c>
      <c r="AE398" s="50">
        <v>350</v>
      </c>
      <c r="AF398" s="50">
        <v>250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CANON-202602-005195</t>
        </is>
      </c>
      <c r="B399" s="30" t="inlineStr">
        <is>
          <t xml:space="preserve">Fitzgerald Nakashima</t>
        </is>
      </c>
      <c r="C399" s="31">
        <v>46069</v>
      </c>
      <c r="D399" s="32" t="inlineStr">
        <is>
          <t xml:space="preserve">Bound - within authority</t>
        </is>
      </c>
      <c r="E399" s="32" t="inlineStr">
        <is>
          <t xml:space="preserve">New business</t>
        </is>
      </c>
      <c r="F399" s="30" t="inlineStr">
        <is>
          <t xml:space="preserve">B1234EXOTIC26</t>
        </is>
      </c>
      <c r="G399" s="33">
        <f>IF($A399="","",IF($C399="","",YEAR($C399)))</f>
      </c>
      <c r="H399" s="34">
        <v>2008</v>
      </c>
      <c r="I399" s="30" t="inlineStr">
        <is>
          <t xml:space="preserve">Mercedes-Benz</t>
        </is>
      </c>
      <c r="J399" s="30" t="inlineStr">
        <is>
          <t xml:space="preserve">AMG GT</t>
        </is>
      </c>
      <c r="K399" s="30" t="inlineStr">
        <is>
          <t xml:space="preserve">6CXW0TS2Z7PCMY7WG</t>
        </is>
      </c>
      <c r="L399" s="32" t="inlineStr">
        <is>
          <t xml:space="preserve">02 - Sports / GT</t>
        </is>
      </c>
      <c r="M399" s="35">
        <v>565000</v>
      </c>
      <c r="N399" s="32" t="inlineStr">
        <is>
          <t xml:space="preserve">Personal</t>
        </is>
      </c>
      <c r="O399" s="30" t="inlineStr">
        <is>
          <t xml:space="preserve">Personal - regular use</t>
        </is>
      </c>
      <c r="P399" s="30" t="inlineStr">
        <is>
          <t xml:space="preserve">2,500 - 5,000</t>
        </is>
      </c>
      <c r="Q399" s="30" t="inlineStr">
        <is>
          <t xml:space="preserve">Kansas</t>
        </is>
      </c>
      <c r="R399" s="30" t="inlineStr">
        <is>
          <t xml:space="preserve">66603</t>
        </is>
      </c>
      <c r="S399" s="32" t="inlineStr">
        <is>
          <t xml:space="preserve">Severe convective - hail alley (high)</t>
        </is>
      </c>
      <c r="T399" s="36">
        <f>IF($A399="","",IF($S399="","",IFERROR(INDEX('[1]natural catastrophe'!$D$6:$D$17,MATCH($S399,'[1]natural catastrophe'!$B$6:$B$17,0)),"?")))</f>
      </c>
      <c r="U399" s="30" t="inlineStr">
        <is>
          <t xml:space="preserve">$5,000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5909.43</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CANON-202602-005196</t>
        </is>
      </c>
      <c r="B400" s="46" t="inlineStr">
        <is>
          <t xml:space="preserve">Marisol Merriweather</t>
        </is>
      </c>
      <c r="C400" s="47">
        <v>46079</v>
      </c>
      <c r="D400" s="48" t="inlineStr">
        <is>
          <t xml:space="preserve">Bound - within authority</t>
        </is>
      </c>
      <c r="E400" s="48" t="inlineStr">
        <is>
          <t xml:space="preserve">New business</t>
        </is>
      </c>
      <c r="F400" s="46" t="inlineStr">
        <is>
          <t xml:space="preserve">B1234EXOTIC26</t>
        </is>
      </c>
      <c r="G400" s="33">
        <f>IF($A400="","",IF($C400="","",YEAR($C400)))</f>
      </c>
      <c r="H400" s="49">
        <v>2014</v>
      </c>
      <c r="I400" s="46" t="inlineStr">
        <is>
          <t xml:space="preserve">Maserati</t>
        </is>
      </c>
      <c r="J400" s="46" t="inlineStr">
        <is>
          <t xml:space="preserve">GranTurismo</t>
        </is>
      </c>
      <c r="K400" s="46" t="inlineStr">
        <is>
          <t xml:space="preserve">SUDH7U31VB7DXJ2K5</t>
        </is>
      </c>
      <c r="L400" s="48" t="inlineStr">
        <is>
          <t xml:space="preserve">02 - Sports / GT</t>
        </is>
      </c>
      <c r="M400" s="50">
        <v>405000</v>
      </c>
      <c r="N400" s="48" t="inlineStr">
        <is>
          <t xml:space="preserve">Personal</t>
        </is>
      </c>
      <c r="O400" s="46" t="inlineStr">
        <is>
          <t xml:space="preserve">Personal - regular use</t>
        </is>
      </c>
      <c r="P400" s="46" t="inlineStr">
        <is>
          <t xml:space="preserve">2,500 - 5,000</t>
        </is>
      </c>
      <c r="Q400" s="46" t="inlineStr">
        <is>
          <t xml:space="preserve">Utah</t>
        </is>
      </c>
      <c r="R400" s="46" t="inlineStr">
        <is>
          <t xml:space="preserve">84101</t>
        </is>
      </c>
      <c r="S400" s="48" t="inlineStr">
        <is>
          <t xml:space="preserve">Wildfire - WUI high hazard</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6802.4</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CANON-202602-005197</t>
        </is>
      </c>
      <c r="B401" s="30" t="inlineStr">
        <is>
          <t xml:space="preserve">Callum Chattopadhyay</t>
        </is>
      </c>
      <c r="C401" s="31">
        <v>46067</v>
      </c>
      <c r="D401" s="32" t="inlineStr">
        <is>
          <t xml:space="preserve">Bound - within authority</t>
        </is>
      </c>
      <c r="E401" s="32" t="inlineStr">
        <is>
          <t xml:space="preserve">New business</t>
        </is>
      </c>
      <c r="F401" s="30" t="inlineStr">
        <is>
          <t xml:space="preserve">B1234EXOTIC26</t>
        </is>
      </c>
      <c r="G401" s="33">
        <f>IF($A401="","",IF($C401="","",YEAR($C401)))</f>
      </c>
      <c r="H401" s="34">
        <v>1962</v>
      </c>
      <c r="I401" s="30" t="inlineStr">
        <is>
          <t xml:space="preserve">Maserati</t>
        </is>
      </c>
      <c r="J401" s="30" t="inlineStr">
        <is>
          <t xml:space="preserve">GranTurismo</t>
        </is>
      </c>
      <c r="K401" s="30" t="inlineStr">
        <is>
          <t xml:space="preserve">6KXY49U51RR5ASH31</t>
        </is>
      </c>
      <c r="L401" s="32" t="inlineStr">
        <is>
          <t xml:space="preserve">02 - Sports / GT</t>
        </is>
      </c>
      <c r="M401" s="35">
        <v>280000</v>
      </c>
      <c r="N401" s="32" t="inlineStr">
        <is>
          <t xml:space="preserve">Personal</t>
        </is>
      </c>
      <c r="O401" s="30" t="inlineStr">
        <is>
          <t xml:space="preserve">Personal - regular use</t>
        </is>
      </c>
      <c r="P401" s="30" t="inlineStr">
        <is>
          <t xml:space="preserve">Under 1,000</t>
        </is>
      </c>
      <c r="Q401" s="30" t="inlineStr">
        <is>
          <t xml:space="preserve">Florida</t>
        </is>
      </c>
      <c r="R401" s="30" t="inlineStr">
        <is>
          <t xml:space="preserve">33139</t>
        </is>
      </c>
      <c r="S401" s="32" t="inlineStr">
        <is>
          <t xml:space="preserve">Tier 2 - Coastal wind (1-25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4946.75</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CANON-202602-005198</t>
        </is>
      </c>
      <c r="B402" s="46" t="inlineStr">
        <is>
          <t xml:space="preserve">Sunniva Nakashima</t>
        </is>
      </c>
      <c r="C402" s="47">
        <v>46062</v>
      </c>
      <c r="D402" s="48" t="inlineStr">
        <is>
          <t xml:space="preserve">Bound - within authority</t>
        </is>
      </c>
      <c r="E402" s="48" t="inlineStr">
        <is>
          <t xml:space="preserve">New business</t>
        </is>
      </c>
      <c r="F402" s="46" t="inlineStr">
        <is>
          <t xml:space="preserve">B1234EXOTIC26</t>
        </is>
      </c>
      <c r="G402" s="33">
        <f>IF($A402="","",IF($C402="","",YEAR($C402)))</f>
      </c>
      <c r="H402" s="49">
        <v>2000</v>
      </c>
      <c r="I402" s="46" t="inlineStr">
        <is>
          <t xml:space="preserve">Maserati</t>
        </is>
      </c>
      <c r="J402" s="46" t="inlineStr">
        <is>
          <t xml:space="preserve">GranTurismo</t>
        </is>
      </c>
      <c r="K402" s="46" t="inlineStr">
        <is>
          <t xml:space="preserve">HDFXEPCD5WH74NEV0</t>
        </is>
      </c>
      <c r="L402" s="48" t="inlineStr">
        <is>
          <t xml:space="preserve">02 - Sports / GT</t>
        </is>
      </c>
      <c r="M402" s="50">
        <v>425000</v>
      </c>
      <c r="N402" s="48" t="inlineStr">
        <is>
          <t xml:space="preserve">Personal</t>
        </is>
      </c>
      <c r="O402" s="46" t="inlineStr">
        <is>
          <t xml:space="preserve">Personal - regular use</t>
        </is>
      </c>
      <c r="P402" s="46" t="inlineStr">
        <is>
          <t xml:space="preserve">2,500 - 5,000</t>
        </is>
      </c>
      <c r="Q402" s="46" t="inlineStr">
        <is>
          <t xml:space="preserve">Iowa</t>
        </is>
      </c>
      <c r="R402" s="46" t="inlineStr">
        <is>
          <t xml:space="preserve">50309</t>
        </is>
      </c>
      <c r="S402" s="48" t="inlineStr">
        <is>
          <t xml:space="preserve">Severe convective - hail alley (high)</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5816.41</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CANON-202602-005199</t>
        </is>
      </c>
      <c r="B403" s="30" t="inlineStr">
        <is>
          <t xml:space="preserve">Aurelio Bellandi</t>
        </is>
      </c>
      <c r="C403" s="31">
        <v>46066</v>
      </c>
      <c r="D403" s="32" t="inlineStr">
        <is>
          <t xml:space="preserve">Bound - within authority</t>
        </is>
      </c>
      <c r="E403" s="32" t="inlineStr">
        <is>
          <t xml:space="preserve">New business</t>
        </is>
      </c>
      <c r="F403" s="30" t="inlineStr">
        <is>
          <t xml:space="preserve">B1234EXOTIC26</t>
        </is>
      </c>
      <c r="G403" s="33">
        <f>IF($A403="","",IF($C403="","",YEAR($C403)))</f>
      </c>
      <c r="H403" s="34">
        <v>2004</v>
      </c>
      <c r="I403" s="30" t="inlineStr">
        <is>
          <t xml:space="preserve">Aston Martin</t>
        </is>
      </c>
      <c r="J403" s="30" t="inlineStr">
        <is>
          <t xml:space="preserve">DB5</t>
        </is>
      </c>
      <c r="K403" s="30" t="inlineStr">
        <is>
          <t xml:space="preserve">2VH3NAR8TVJ6K4257</t>
        </is>
      </c>
      <c r="L403" s="32" t="inlineStr">
        <is>
          <t xml:space="preserve">09 - Youngtimer / Collectible (2000-2010)</t>
        </is>
      </c>
      <c r="M403" s="35">
        <v>730000</v>
      </c>
      <c r="N403" s="32" t="inlineStr">
        <is>
          <t xml:space="preserve">Personal</t>
        </is>
      </c>
      <c r="O403" s="30" t="inlineStr">
        <is>
          <t xml:space="preserve">Personal - regular use</t>
        </is>
      </c>
      <c r="P403" s="30" t="inlineStr">
        <is>
          <t xml:space="preserve">Under 1,000</t>
        </is>
      </c>
      <c r="Q403" s="30" t="inlineStr">
        <is>
          <t xml:space="preserve">Colorado</t>
        </is>
      </c>
      <c r="R403" s="30" t="inlineStr">
        <is>
          <t xml:space="preserve">80202</t>
        </is>
      </c>
      <c r="S403" s="32" t="inlineStr">
        <is>
          <t xml:space="preserve">Severe convective - hail alley (high)</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5727.91</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CANON-202602-005200</t>
        </is>
      </c>
      <c r="B404" s="46" t="inlineStr">
        <is>
          <t xml:space="preserve">Priya Thistlewood</t>
        </is>
      </c>
      <c r="C404" s="47">
        <v>46055</v>
      </c>
      <c r="D404" s="48" t="inlineStr">
        <is>
          <t xml:space="preserve">Bound - within authority</t>
        </is>
      </c>
      <c r="E404" s="48" t="inlineStr">
        <is>
          <t xml:space="preserve">New business</t>
        </is>
      </c>
      <c r="F404" s="46" t="inlineStr">
        <is>
          <t xml:space="preserve">B1234EXOTIC26</t>
        </is>
      </c>
      <c r="G404" s="33">
        <f>IF($A404="","",IF($C404="","",YEAR($C404)))</f>
      </c>
      <c r="H404" s="49">
        <v>1974</v>
      </c>
      <c r="I404" s="46" t="inlineStr">
        <is>
          <t xml:space="preserve">Lamborghini</t>
        </is>
      </c>
      <c r="J404" s="46" t="inlineStr">
        <is>
          <t xml:space="preserve">Huracan EVO</t>
        </is>
      </c>
      <c r="K404" s="46" t="inlineStr">
        <is>
          <t xml:space="preserve">002W26LE0C2JYHAY6</t>
        </is>
      </c>
      <c r="L404" s="48" t="inlineStr">
        <is>
          <t xml:space="preserve">03 - Supercar</t>
        </is>
      </c>
      <c r="M404" s="50">
        <v>1715000</v>
      </c>
      <c r="N404" s="48" t="inlineStr">
        <is>
          <t xml:space="preserve">Personal</t>
        </is>
      </c>
      <c r="O404" s="46" t="inlineStr">
        <is>
          <t xml:space="preserve">Personal - regular use</t>
        </is>
      </c>
      <c r="P404" s="46" t="inlineStr">
        <is>
          <t xml:space="preserve">2,500 - 5,000</t>
        </is>
      </c>
      <c r="Q404" s="46" t="inlineStr">
        <is>
          <t xml:space="preserve">Michigan</t>
        </is>
      </c>
      <c r="R404" s="46" t="inlineStr">
        <is>
          <t xml:space="preserve">48226</t>
        </is>
      </c>
      <c r="S404" s="48" t="inlineStr">
        <is>
          <t xml:space="preserve">Severe convective - hail / tornado (moderate)</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35277.49</v>
      </c>
      <c r="AC404" s="51">
        <v>0</v>
      </c>
      <c r="AD404" s="38">
        <f>IF(ISNUMBER($AB404),$AB404*(1+N($AC404)),"")</f>
      </c>
      <c r="AE404" s="50">
        <v>350</v>
      </c>
      <c r="AF404" s="50">
        <v>250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CANON-202602-005201</t>
        </is>
      </c>
      <c r="B405" s="30" t="inlineStr">
        <is>
          <t xml:space="preserve">Horace Farkas</t>
        </is>
      </c>
      <c r="C405" s="31">
        <v>46062</v>
      </c>
      <c r="D405" s="32" t="inlineStr">
        <is>
          <t xml:space="preserve">Bound - within authority</t>
        </is>
      </c>
      <c r="E405" s="32" t="inlineStr">
        <is>
          <t xml:space="preserve">New business</t>
        </is>
      </c>
      <c r="F405" s="30" t="inlineStr">
        <is>
          <t xml:space="preserve">B1234EXOTIC26</t>
        </is>
      </c>
      <c r="G405" s="33">
        <f>IF($A405="","",IF($C405="","",YEAR($C405)))</f>
      </c>
      <c r="H405" s="34">
        <v>1998</v>
      </c>
      <c r="I405" s="30" t="inlineStr">
        <is>
          <t xml:space="preserve">Porsche</t>
        </is>
      </c>
      <c r="J405" s="30" t="inlineStr">
        <is>
          <t xml:space="preserve">911 Turbo S</t>
        </is>
      </c>
      <c r="K405" s="30" t="inlineStr">
        <is>
          <t xml:space="preserve">U119CP6DNCXKCLZBG</t>
        </is>
      </c>
      <c r="L405" s="32" t="inlineStr">
        <is>
          <t xml:space="preserve">02 - Sports / GT</t>
        </is>
      </c>
      <c r="M405" s="35">
        <v>860000</v>
      </c>
      <c r="N405" s="32" t="inlineStr">
        <is>
          <t xml:space="preserve">Personal</t>
        </is>
      </c>
      <c r="O405" s="30" t="inlineStr">
        <is>
          <t xml:space="preserve">Personal - regular use</t>
        </is>
      </c>
      <c r="P405" s="30" t="inlineStr">
        <is>
          <t xml:space="preserve">2,500 - 5,000</t>
        </is>
      </c>
      <c r="Q405" s="30" t="inlineStr">
        <is>
          <t xml:space="preserve">Louisiana</t>
        </is>
      </c>
      <c r="R405" s="30" t="inlineStr">
        <is>
          <t xml:space="preserve">70112</t>
        </is>
      </c>
      <c r="S405" s="32" t="inlineStr">
        <is>
          <t xml:space="preserve">Tier 2 - Coastal wind (1-25 miles)</t>
        </is>
      </c>
      <c r="T405" s="36">
        <f>IF($A405="","",IF($S405="","",IFERROR(INDEX('[1]natural catastrophe'!$D$6:$D$17,MATCH($S405,'[1]natural catastrophe'!$B$6:$B$17,0)),"?")))</f>
      </c>
      <c r="U405" s="30" t="inlineStr">
        <is>
          <t xml:space="preserve">2% of agreed value, minimum $10,000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11220.42</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CANON-202602-005202</t>
        </is>
      </c>
      <c r="B406" s="46" t="inlineStr">
        <is>
          <t xml:space="preserve">Delphine Okonkwo</t>
        </is>
      </c>
      <c r="C406" s="47">
        <v>46081</v>
      </c>
      <c r="D406" s="48" t="inlineStr">
        <is>
          <t xml:space="preserve">Bound - within authority</t>
        </is>
      </c>
      <c r="E406" s="48" t="inlineStr">
        <is>
          <t xml:space="preserve">New business</t>
        </is>
      </c>
      <c r="F406" s="46" t="inlineStr">
        <is>
          <t xml:space="preserve">B1234EXOTIC26</t>
        </is>
      </c>
      <c r="G406" s="33">
        <f>IF($A406="","",IF($C406="","",YEAR($C406)))</f>
      </c>
      <c r="H406" s="49">
        <v>1968</v>
      </c>
      <c r="I406" s="46" t="inlineStr">
        <is>
          <t xml:space="preserve">Porsche</t>
        </is>
      </c>
      <c r="J406" s="46" t="inlineStr">
        <is>
          <t xml:space="preserve">911 Turbo S</t>
        </is>
      </c>
      <c r="K406" s="46" t="inlineStr">
        <is>
          <t xml:space="preserve">U85Z9F5G4H06H3R00</t>
        </is>
      </c>
      <c r="L406" s="48" t="inlineStr">
        <is>
          <t xml:space="preserve">02 - Sports / GT</t>
        </is>
      </c>
      <c r="M406" s="50">
        <v>835000</v>
      </c>
      <c r="N406" s="48" t="inlineStr">
        <is>
          <t xml:space="preserve">Personal</t>
        </is>
      </c>
      <c r="O406" s="46" t="inlineStr">
        <is>
          <t xml:space="preserve">Personal - regular use</t>
        </is>
      </c>
      <c r="P406" s="46" t="inlineStr">
        <is>
          <t xml:space="preserve">Under 1,000</t>
        </is>
      </c>
      <c r="Q406" s="46" t="inlineStr">
        <is>
          <t xml:space="preserve">West Virginia</t>
        </is>
      </c>
      <c r="R406" s="46" t="inlineStr">
        <is>
          <t xml:space="preserve">25301</t>
        </is>
      </c>
      <c r="S406" s="48" t="inlineStr">
        <is>
          <t xml:space="preserve">Low hazard - inland benign</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11974.66</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CANON-202602-005204</t>
        </is>
      </c>
      <c r="B407" s="30" t="inlineStr">
        <is>
          <t xml:space="preserve">Fitzgerald Kingsford</t>
        </is>
      </c>
      <c r="C407" s="31">
        <v>46061</v>
      </c>
      <c r="D407" s="32" t="inlineStr">
        <is>
          <t xml:space="preserve">Bound - within authority</t>
        </is>
      </c>
      <c r="E407" s="32" t="inlineStr">
        <is>
          <t xml:space="preserve">New business</t>
        </is>
      </c>
      <c r="F407" s="30" t="inlineStr">
        <is>
          <t xml:space="preserve">B1234EXOTIC26</t>
        </is>
      </c>
      <c r="G407" s="33">
        <f>IF($A407="","",IF($C407="","",YEAR($C407)))</f>
      </c>
      <c r="H407" s="34">
        <v>2017</v>
      </c>
      <c r="I407" s="30" t="inlineStr">
        <is>
          <t xml:space="preserve">Aston Martin</t>
        </is>
      </c>
      <c r="J407" s="30" t="inlineStr">
        <is>
          <t xml:space="preserve">DB12</t>
        </is>
      </c>
      <c r="K407" s="30" t="inlineStr">
        <is>
          <t xml:space="preserve">HLD8DY0JYW6HSZSDX</t>
        </is>
      </c>
      <c r="L407" s="32" t="inlineStr">
        <is>
          <t xml:space="preserve">02 - Sports / GT</t>
        </is>
      </c>
      <c r="M407" s="35">
        <v>460000</v>
      </c>
      <c r="N407" s="32" t="inlineStr">
        <is>
          <t xml:space="preserve">Personal</t>
        </is>
      </c>
      <c r="O407" s="30" t="inlineStr">
        <is>
          <t xml:space="preserve">Personal - regular use</t>
        </is>
      </c>
      <c r="P407" s="30" t="inlineStr">
        <is>
          <t xml:space="preserve">2,500 - 5,000</t>
        </is>
      </c>
      <c r="Q407" s="30" t="inlineStr">
        <is>
          <t xml:space="preserve">Iowa</t>
        </is>
      </c>
      <c r="R407" s="30" t="inlineStr">
        <is>
          <t xml:space="preserve">50309</t>
        </is>
      </c>
      <c r="S407" s="32" t="inlineStr">
        <is>
          <t xml:space="preserve">Severe convective - hail alley (high)</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6295.41</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CANON-202602-005206</t>
        </is>
      </c>
      <c r="B408" s="46" t="inlineStr">
        <is>
          <t xml:space="preserve">Fitzgerald Harrington</t>
        </is>
      </c>
      <c r="C408" s="47">
        <v>46062</v>
      </c>
      <c r="D408" s="48" t="inlineStr">
        <is>
          <t xml:space="preserve">Bound - within authority</t>
        </is>
      </c>
      <c r="E408" s="48" t="inlineStr">
        <is>
          <t xml:space="preserve">New business</t>
        </is>
      </c>
      <c r="F408" s="46" t="inlineStr">
        <is>
          <t xml:space="preserve">B1234EXOTIC26</t>
        </is>
      </c>
      <c r="G408" s="33">
        <f>IF($A408="","",IF($C408="","",YEAR($C408)))</f>
      </c>
      <c r="H408" s="49">
        <v>1986</v>
      </c>
      <c r="I408" s="46" t="inlineStr">
        <is>
          <t xml:space="preserve">Mercedes-Benz</t>
        </is>
      </c>
      <c r="J408" s="46" t="inlineStr">
        <is>
          <t xml:space="preserve">280SL Pagoda</t>
        </is>
      </c>
      <c r="K408" s="46" t="inlineStr">
        <is>
          <t xml:space="preserve">JDCT6KDCLFPAW36YL</t>
        </is>
      </c>
      <c r="L408" s="48" t="inlineStr">
        <is>
          <t xml:space="preserve">08 - Modern Classic (1973-1999)</t>
        </is>
      </c>
      <c r="M408" s="50">
        <v>1950000</v>
      </c>
      <c r="N408" s="48" t="inlineStr">
        <is>
          <t xml:space="preserve">Personal</t>
        </is>
      </c>
      <c r="O408" s="46" t="inlineStr">
        <is>
          <t xml:space="preserve">Personal - regular use</t>
        </is>
      </c>
      <c r="P408" s="46" t="inlineStr">
        <is>
          <t xml:space="preserve">1,000 - 2,500</t>
        </is>
      </c>
      <c r="Q408" s="46" t="inlineStr">
        <is>
          <t xml:space="preserve">Massachusetts</t>
        </is>
      </c>
      <c r="R408" s="46" t="inlineStr">
        <is>
          <t xml:space="preserve">02108</t>
        </is>
      </c>
      <c r="S408" s="48" t="inlineStr">
        <is>
          <t xml:space="preserve">Tier 3 - Coastal wind (25-100 miles)</t>
        </is>
      </c>
      <c r="T408" s="36">
        <f>IF($A408="","",IF($S408="","",IFERROR(INDEX('[1]natural catastrophe'!$D$6:$D$17,MATCH($S408,'[1]natural catastrophe'!$B$6:$B$17,0)),"?")))</f>
      </c>
      <c r="U408" s="46" t="inlineStr">
        <is>
          <t xml:space="preserve">2% of agreed value, minimum $10,000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15365.27</v>
      </c>
      <c r="AC408" s="51">
        <v>0</v>
      </c>
      <c r="AD408" s="38">
        <f>IF(ISNUMBER($AB408),$AB408*(1+N($AC408)),"")</f>
      </c>
      <c r="AE408" s="50">
        <v>350</v>
      </c>
      <c r="AF408" s="50">
        <v>250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CANON-202602-005207</t>
        </is>
      </c>
      <c r="B409" s="30" t="inlineStr">
        <is>
          <t xml:space="preserve">Emiliano Chattopadhyay</t>
        </is>
      </c>
      <c r="C409" s="31">
        <v>46060</v>
      </c>
      <c r="D409" s="32" t="inlineStr">
        <is>
          <t xml:space="preserve">Bound - within authority</t>
        </is>
      </c>
      <c r="E409" s="32" t="inlineStr">
        <is>
          <t xml:space="preserve">New business</t>
        </is>
      </c>
      <c r="F409" s="30" t="inlineStr">
        <is>
          <t xml:space="preserve">B1234EXOTIC26</t>
        </is>
      </c>
      <c r="G409" s="33">
        <f>IF($A409="","",IF($C409="","",YEAR($C409)))</f>
      </c>
      <c r="H409" s="34">
        <v>1960</v>
      </c>
      <c r="I409" s="30" t="inlineStr">
        <is>
          <t xml:space="preserve">BMW</t>
        </is>
      </c>
      <c r="J409" s="30" t="inlineStr">
        <is>
          <t xml:space="preserve">M8 Competition</t>
        </is>
      </c>
      <c r="K409" s="30" t="inlineStr">
        <is>
          <t xml:space="preserve">CA19VCN987KVSLDTW</t>
        </is>
      </c>
      <c r="L409" s="32" t="inlineStr">
        <is>
          <t xml:space="preserve">02 - Sports / GT</t>
        </is>
      </c>
      <c r="M409" s="35">
        <v>995000</v>
      </c>
      <c r="N409" s="32" t="inlineStr">
        <is>
          <t xml:space="preserve">Personal</t>
        </is>
      </c>
      <c r="O409" s="30" t="inlineStr">
        <is>
          <t xml:space="preserve">Personal - regular use</t>
        </is>
      </c>
      <c r="P409" s="30" t="inlineStr">
        <is>
          <t xml:space="preserve">2,500 - 5,000</t>
        </is>
      </c>
      <c r="Q409" s="30" t="inlineStr">
        <is>
          <t xml:space="preserve">Massachusetts</t>
        </is>
      </c>
      <c r="R409" s="30" t="inlineStr">
        <is>
          <t xml:space="preserve">02108</t>
        </is>
      </c>
      <c r="S409" s="32" t="inlineStr">
        <is>
          <t xml:space="preserve">Tier 3 - Coastal wind (25-100 miles)</t>
        </is>
      </c>
      <c r="T409" s="36">
        <f>IF($A409="","",IF($S409="","",IFERROR(INDEX('[1]natural catastrophe'!$D$6:$D$17,MATCH($S409,'[1]natural catastrophe'!$B$6:$B$17,0)),"?")))</f>
      </c>
      <c r="U409" s="30" t="inlineStr">
        <is>
          <t xml:space="preserve">2% of agreed value, minimum $10,000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13410.91</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CANON-202602-005208</t>
        </is>
      </c>
      <c r="B410" s="46" t="inlineStr">
        <is>
          <t xml:space="preserve">Cassius Fairweather</t>
        </is>
      </c>
      <c r="C410" s="47">
        <v>46078</v>
      </c>
      <c r="D410" s="48" t="inlineStr">
        <is>
          <t xml:space="preserve">Bound - within authority</t>
        </is>
      </c>
      <c r="E410" s="48" t="inlineStr">
        <is>
          <t xml:space="preserve">New business</t>
        </is>
      </c>
      <c r="F410" s="46" t="inlineStr">
        <is>
          <t xml:space="preserve">B1234EXOTIC26</t>
        </is>
      </c>
      <c r="G410" s="33">
        <f>IF($A410="","",IF($C410="","",YEAR($C410)))</f>
      </c>
      <c r="H410" s="49">
        <v>1993</v>
      </c>
      <c r="I410" s="46" t="inlineStr">
        <is>
          <t xml:space="preserve">Bentley</t>
        </is>
      </c>
      <c r="J410" s="46" t="inlineStr">
        <is>
          <t xml:space="preserve">Continental GT</t>
        </is>
      </c>
      <c r="K410" s="46" t="inlineStr">
        <is>
          <t xml:space="preserve">ST4DVMH321P4FKC3F</t>
        </is>
      </c>
      <c r="L410" s="48" t="inlineStr">
        <is>
          <t xml:space="preserve">02 - Sports / GT</t>
        </is>
      </c>
      <c r="M410" s="50">
        <v>555000</v>
      </c>
      <c r="N410" s="48" t="inlineStr">
        <is>
          <t xml:space="preserve">Personal</t>
        </is>
      </c>
      <c r="O410" s="46" t="inlineStr">
        <is>
          <t xml:space="preserve">Personal - regular use</t>
        </is>
      </c>
      <c r="P410" s="46" t="inlineStr">
        <is>
          <t xml:space="preserve">2,500 - 5,000</t>
        </is>
      </c>
      <c r="Q410" s="46" t="inlineStr">
        <is>
          <t xml:space="preserve">California</t>
        </is>
      </c>
      <c r="R410" s="46" t="inlineStr">
        <is>
          <t xml:space="preserve">90012</t>
        </is>
      </c>
      <c r="S410" s="48" t="inlineStr">
        <is>
          <t xml:space="preserve">Earthquake - high (CA, Cascadia, New Madrid)</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8078.9</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CANON-202602-005210</t>
        </is>
      </c>
      <c r="B411" s="30" t="inlineStr">
        <is>
          <t xml:space="preserve">Everett Ashcombe</t>
        </is>
      </c>
      <c r="C411" s="31">
        <v>46054</v>
      </c>
      <c r="D411" s="32" t="inlineStr">
        <is>
          <t xml:space="preserve">Bound - within authority</t>
        </is>
      </c>
      <c r="E411" s="32" t="inlineStr">
        <is>
          <t xml:space="preserve">New business</t>
        </is>
      </c>
      <c r="F411" s="30" t="inlineStr">
        <is>
          <t xml:space="preserve">B1234EXOTIC26</t>
        </is>
      </c>
      <c r="G411" s="33">
        <f>IF($A411="","",IF($C411="","",YEAR($C411)))</f>
      </c>
      <c r="H411" s="34">
        <v>1958</v>
      </c>
      <c r="I411" s="30" t="inlineStr">
        <is>
          <t xml:space="preserve">Bentley</t>
        </is>
      </c>
      <c r="J411" s="30" t="inlineStr">
        <is>
          <t xml:space="preserve">Continental GT</t>
        </is>
      </c>
      <c r="K411" s="30" t="inlineStr">
        <is>
          <t xml:space="preserve">89KDZGYU6DA18WD1U</t>
        </is>
      </c>
      <c r="L411" s="32" t="inlineStr">
        <is>
          <t xml:space="preserve">02 - Sports / GT</t>
        </is>
      </c>
      <c r="M411" s="35">
        <v>585000</v>
      </c>
      <c r="N411" s="32" t="inlineStr">
        <is>
          <t xml:space="preserve">Personal</t>
        </is>
      </c>
      <c r="O411" s="30" t="inlineStr">
        <is>
          <t xml:space="preserve">Personal - regular use</t>
        </is>
      </c>
      <c r="P411" s="30" t="inlineStr">
        <is>
          <t xml:space="preserve">Under 1,000</t>
        </is>
      </c>
      <c r="Q411" s="30" t="inlineStr">
        <is>
          <t xml:space="preserve">Oregon</t>
        </is>
      </c>
      <c r="R411" s="30" t="inlineStr">
        <is>
          <t xml:space="preserve">97204</t>
        </is>
      </c>
      <c r="S411" s="32" t="inlineStr">
        <is>
          <t xml:space="preserve">Earthquake - high (CA, Cascadia, New Madrid)</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7127.87</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CANON-202602-005211</t>
        </is>
      </c>
      <c r="B412" s="46" t="inlineStr">
        <is>
          <t xml:space="preserve">Aurelio Harrington</t>
        </is>
      </c>
      <c r="C412" s="47">
        <v>46074</v>
      </c>
      <c r="D412" s="48" t="inlineStr">
        <is>
          <t xml:space="preserve">Bound - within authority</t>
        </is>
      </c>
      <c r="E412" s="48" t="inlineStr">
        <is>
          <t xml:space="preserve">New business</t>
        </is>
      </c>
      <c r="F412" s="46" t="inlineStr">
        <is>
          <t xml:space="preserve">B1234EXOTIC26</t>
        </is>
      </c>
      <c r="G412" s="33">
        <f>IF($A412="","",IF($C412="","",YEAR($C412)))</f>
      </c>
      <c r="H412" s="49">
        <v>1956</v>
      </c>
      <c r="I412" s="46" t="inlineStr">
        <is>
          <t xml:space="preserve">Ferrari</t>
        </is>
      </c>
      <c r="J412" s="46" t="inlineStr">
        <is>
          <t xml:space="preserve">296 GTB</t>
        </is>
      </c>
      <c r="K412" s="46" t="inlineStr">
        <is>
          <t xml:space="preserve">VL2N0XUE4UMSV8CHN</t>
        </is>
      </c>
      <c r="L412" s="48" t="inlineStr">
        <is>
          <t xml:space="preserve">03 - Supercar</t>
        </is>
      </c>
      <c r="M412" s="50">
        <v>380000</v>
      </c>
      <c r="N412" s="48" t="inlineStr">
        <is>
          <t xml:space="preserve">Personal</t>
        </is>
      </c>
      <c r="O412" s="46" t="inlineStr">
        <is>
          <t xml:space="preserve">Personal - regular use</t>
        </is>
      </c>
      <c r="P412" s="46" t="inlineStr">
        <is>
          <t xml:space="preserve">1,000 - 2,500</t>
        </is>
      </c>
      <c r="Q412" s="46" t="inlineStr">
        <is>
          <t xml:space="preserve">South Carolina</t>
        </is>
      </c>
      <c r="R412" s="46" t="inlineStr">
        <is>
          <t xml:space="preserve">29401</t>
        </is>
      </c>
      <c r="S412" s="48" t="inlineStr">
        <is>
          <t xml:space="preserve">Tier 2 - Coastal wind (1-25 miles)</t>
        </is>
      </c>
      <c r="T412" s="36">
        <f>IF($A412="","",IF($S412="","",IFERROR(INDEX('[1]natural catastrophe'!$D$6:$D$17,MATCH($S412,'[1]natural catastrophe'!$B$6:$B$17,0)),"?")))</f>
      </c>
      <c r="U412" s="46" t="inlineStr">
        <is>
          <t xml:space="preserve">2% of agreed value, minimum $10,000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8989.07</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CANON-202602-005212</t>
        </is>
      </c>
      <c r="B413" s="30" t="inlineStr">
        <is>
          <t xml:space="preserve">Leopold Kingsford</t>
        </is>
      </c>
      <c r="C413" s="31">
        <v>46073</v>
      </c>
      <c r="D413" s="32" t="inlineStr">
        <is>
          <t xml:space="preserve">Bound - within authority</t>
        </is>
      </c>
      <c r="E413" s="32" t="inlineStr">
        <is>
          <t xml:space="preserve">New business</t>
        </is>
      </c>
      <c r="F413" s="30" t="inlineStr">
        <is>
          <t xml:space="preserve">B1234EXOTIC26</t>
        </is>
      </c>
      <c r="G413" s="33">
        <f>IF($A413="","",IF($C413="","",YEAR($C413)))</f>
      </c>
      <c r="H413" s="34">
        <v>1990</v>
      </c>
      <c r="I413" s="30" t="inlineStr">
        <is>
          <t xml:space="preserve">Lamborghini</t>
        </is>
      </c>
      <c r="J413" s="30" t="inlineStr">
        <is>
          <t xml:space="preserve">Huracan EVO</t>
        </is>
      </c>
      <c r="K413" s="30" t="inlineStr">
        <is>
          <t xml:space="preserve">MMR0M9108FLNPVX7K</t>
        </is>
      </c>
      <c r="L413" s="32" t="inlineStr">
        <is>
          <t xml:space="preserve">03 - Supercar</t>
        </is>
      </c>
      <c r="M413" s="35">
        <v>1075000</v>
      </c>
      <c r="N413" s="32" t="inlineStr">
        <is>
          <t xml:space="preserve">Personal</t>
        </is>
      </c>
      <c r="O413" s="30" t="inlineStr">
        <is>
          <t xml:space="preserve">Personal - regular use</t>
        </is>
      </c>
      <c r="P413" s="30" t="inlineStr">
        <is>
          <t xml:space="preserve">2,500 - 5,000</t>
        </is>
      </c>
      <c r="Q413" s="30" t="inlineStr">
        <is>
          <t xml:space="preserve">Rhode Island</t>
        </is>
      </c>
      <c r="R413" s="30" t="inlineStr">
        <is>
          <t xml:space="preserve">02903</t>
        </is>
      </c>
      <c r="S413" s="32" t="inlineStr">
        <is>
          <t xml:space="preserve">Tier 3 - Coastal wind (25-100 miles)</t>
        </is>
      </c>
      <c r="T413" s="36">
        <f>IF($A413="","",IF($S413="","",IFERROR(INDEX('[1]natural catastrophe'!$D$6:$D$17,MATCH($S413,'[1]natural catastrophe'!$B$6:$B$17,0)),"?")))</f>
      </c>
      <c r="U413" s="30" t="inlineStr">
        <is>
          <t xml:space="preserve">2% of agreed value, minimum $10,000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19544.78</v>
      </c>
      <c r="AC413" s="37">
        <v>0</v>
      </c>
      <c r="AD413" s="38">
        <f>IF(ISNUMBER($AB413),$AB413*(1+N($AC413)),"")</f>
      </c>
      <c r="AE413" s="35">
        <v>350</v>
      </c>
      <c r="AF413" s="35">
        <v>250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CANON-202602-005214</t>
        </is>
      </c>
      <c r="B414" s="46" t="inlineStr">
        <is>
          <t xml:space="preserve">Noor Whitlock</t>
        </is>
      </c>
      <c r="C414" s="47">
        <v>46067</v>
      </c>
      <c r="D414" s="48" t="inlineStr">
        <is>
          <t xml:space="preserve">Bound - within authority</t>
        </is>
      </c>
      <c r="E414" s="48" t="inlineStr">
        <is>
          <t xml:space="preserve">New business</t>
        </is>
      </c>
      <c r="F414" s="46" t="inlineStr">
        <is>
          <t xml:space="preserve">B1234EXOTIC26</t>
        </is>
      </c>
      <c r="G414" s="33">
        <f>IF($A414="","",IF($C414="","",YEAR($C414)))</f>
      </c>
      <c r="H414" s="49">
        <v>1994</v>
      </c>
      <c r="I414" s="46" t="inlineStr">
        <is>
          <t xml:space="preserve">Maserati</t>
        </is>
      </c>
      <c r="J414" s="46" t="inlineStr">
        <is>
          <t xml:space="preserve">GranTurismo</t>
        </is>
      </c>
      <c r="K414" s="46" t="inlineStr">
        <is>
          <t xml:space="preserve">B2AJTVW6ZUFHLDU05</t>
        </is>
      </c>
      <c r="L414" s="48" t="inlineStr">
        <is>
          <t xml:space="preserve">02 - Sports / GT</t>
        </is>
      </c>
      <c r="M414" s="50">
        <v>485000</v>
      </c>
      <c r="N414" s="48" t="inlineStr">
        <is>
          <t xml:space="preserve">Personal</t>
        </is>
      </c>
      <c r="O414" s="46" t="inlineStr">
        <is>
          <t xml:space="preserve">Personal - regular use</t>
        </is>
      </c>
      <c r="P414" s="46" t="inlineStr">
        <is>
          <t xml:space="preserve">Under 1,000</t>
        </is>
      </c>
      <c r="Q414" s="46" t="inlineStr">
        <is>
          <t xml:space="preserve">Nebraska</t>
        </is>
      </c>
      <c r="R414" s="46" t="inlineStr">
        <is>
          <t xml:space="preserve">68102</t>
        </is>
      </c>
      <c r="S414" s="48" t="inlineStr">
        <is>
          <t xml:space="preserve">Severe convective - hail alley (high)</t>
        </is>
      </c>
      <c r="T414" s="36">
        <f>IF($A414="","",IF($S414="","",IFERROR(INDEX('[1]natural catastrophe'!$D$6:$D$17,MATCH($S414,'[1]natural catastrophe'!$B$6:$B$17,0)),"?")))</f>
      </c>
      <c r="U414" s="46" t="inlineStr">
        <is>
          <t xml:space="preserve">$5,000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7844.37</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CANON-202602-005216</t>
        </is>
      </c>
      <c r="B415" s="30" t="inlineStr">
        <is>
          <t xml:space="preserve">Emiliano Vasquez</t>
        </is>
      </c>
      <c r="C415" s="31">
        <v>46080</v>
      </c>
      <c r="D415" s="32" t="inlineStr">
        <is>
          <t xml:space="preserve">Bound - within authority</t>
        </is>
      </c>
      <c r="E415" s="32" t="inlineStr">
        <is>
          <t xml:space="preserve">New business</t>
        </is>
      </c>
      <c r="F415" s="30" t="inlineStr">
        <is>
          <t xml:space="preserve">B1234EXOTIC26</t>
        </is>
      </c>
      <c r="G415" s="33">
        <f>IF($A415="","",IF($C415="","",YEAR($C415)))</f>
      </c>
      <c r="H415" s="34">
        <v>1974</v>
      </c>
      <c r="I415" s="30" t="inlineStr">
        <is>
          <t xml:space="preserve">Bugatti</t>
        </is>
      </c>
      <c r="J415" s="30" t="inlineStr">
        <is>
          <t xml:space="preserve">Type 57</t>
        </is>
      </c>
      <c r="K415" s="30" t="inlineStr">
        <is>
          <t xml:space="preserve">JZ54RSEYLAV18U4CZ</t>
        </is>
      </c>
      <c r="L415" s="32" t="inlineStr">
        <is>
          <t xml:space="preserve">08 - Modern Classic (1973-1999)</t>
        </is>
      </c>
      <c r="M415" s="35">
        <v>310000</v>
      </c>
      <c r="N415" s="32" t="inlineStr">
        <is>
          <t xml:space="preserve">Personal</t>
        </is>
      </c>
      <c r="O415" s="30" t="inlineStr">
        <is>
          <t xml:space="preserve">Personal - regular use</t>
        </is>
      </c>
      <c r="P415" s="30" t="inlineStr">
        <is>
          <t xml:space="preserve">1,000 - 2,500</t>
        </is>
      </c>
      <c r="Q415" s="30" t="inlineStr">
        <is>
          <t xml:space="preserve">Kansas</t>
        </is>
      </c>
      <c r="R415" s="30" t="inlineStr">
        <is>
          <t xml:space="preserve">66603</t>
        </is>
      </c>
      <c r="S415" s="32" t="inlineStr">
        <is>
          <t xml:space="preserve">Severe convective - hail alley (high)</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2095.05</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CANON-202602-005218</t>
        </is>
      </c>
      <c r="B416" s="46" t="inlineStr">
        <is>
          <t xml:space="preserve">Ingrid Bellandi</t>
        </is>
      </c>
      <c r="C416" s="47">
        <v>46059</v>
      </c>
      <c r="D416" s="48" t="inlineStr">
        <is>
          <t xml:space="preserve">Bound - within authority</t>
        </is>
      </c>
      <c r="E416" s="48" t="inlineStr">
        <is>
          <t xml:space="preserve">New business</t>
        </is>
      </c>
      <c r="F416" s="46" t="inlineStr">
        <is>
          <t xml:space="preserve">B1234EXOTIC26</t>
        </is>
      </c>
      <c r="G416" s="33">
        <f>IF($A416="","",IF($C416="","",YEAR($C416)))</f>
      </c>
      <c r="H416" s="49">
        <v>1987</v>
      </c>
      <c r="I416" s="46" t="inlineStr">
        <is>
          <t xml:space="preserve">Porsche</t>
        </is>
      </c>
      <c r="J416" s="46" t="inlineStr">
        <is>
          <t xml:space="preserve">911 Turbo S</t>
        </is>
      </c>
      <c r="K416" s="46" t="inlineStr">
        <is>
          <t xml:space="preserve">XPP29ALX2A6M5S3GR</t>
        </is>
      </c>
      <c r="L416" s="48" t="inlineStr">
        <is>
          <t xml:space="preserve">02 - Sports / GT</t>
        </is>
      </c>
      <c r="M416" s="50">
        <v>1045000</v>
      </c>
      <c r="N416" s="48" t="inlineStr">
        <is>
          <t xml:space="preserve">Personal</t>
        </is>
      </c>
      <c r="O416" s="46" t="inlineStr">
        <is>
          <t xml:space="preserve">Personal - regular use</t>
        </is>
      </c>
      <c r="P416" s="46" t="inlineStr">
        <is>
          <t xml:space="preserve">2,500 - 5,000</t>
        </is>
      </c>
      <c r="Q416" s="46" t="inlineStr">
        <is>
          <t xml:space="preserve">South Dakota</t>
        </is>
      </c>
      <c r="R416" s="46" t="inlineStr">
        <is>
          <t xml:space="preserve">57501</t>
        </is>
      </c>
      <c r="S416" s="48" t="inlineStr">
        <is>
          <t xml:space="preserve">Severe convective - hail alley (high)</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10583.12</v>
      </c>
      <c r="AC416" s="51">
        <v>0</v>
      </c>
      <c r="AD416" s="38">
        <f>IF(ISNUMBER($AB416),$AB416*(1+N($AC416)),"")</f>
      </c>
      <c r="AE416" s="50">
        <v>350</v>
      </c>
      <c r="AF416" s="50">
        <v>250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CANON-202602-005219</t>
        </is>
      </c>
      <c r="B417" s="30" t="inlineStr">
        <is>
          <t xml:space="preserve">Delphine Blackwood</t>
        </is>
      </c>
      <c r="C417" s="31">
        <v>46071</v>
      </c>
      <c r="D417" s="32" t="inlineStr">
        <is>
          <t xml:space="preserve">Bound - within authority</t>
        </is>
      </c>
      <c r="E417" s="32" t="inlineStr">
        <is>
          <t xml:space="preserve">New business</t>
        </is>
      </c>
      <c r="F417" s="30" t="inlineStr">
        <is>
          <t xml:space="preserve">B1234EXOTIC26</t>
        </is>
      </c>
      <c r="G417" s="33">
        <f>IF($A417="","",IF($C417="","",YEAR($C417)))</f>
      </c>
      <c r="H417" s="34">
        <v>1996</v>
      </c>
      <c r="I417" s="30" t="inlineStr">
        <is>
          <t xml:space="preserve">Lamborghini</t>
        </is>
      </c>
      <c r="J417" s="30" t="inlineStr">
        <is>
          <t xml:space="preserve">Huracan EVO</t>
        </is>
      </c>
      <c r="K417" s="30" t="inlineStr">
        <is>
          <t xml:space="preserve">JSAPF7UJ3NZYLW933</t>
        </is>
      </c>
      <c r="L417" s="32" t="inlineStr">
        <is>
          <t xml:space="preserve">03 - Supercar</t>
        </is>
      </c>
      <c r="M417" s="35">
        <v>835000</v>
      </c>
      <c r="N417" s="32" t="inlineStr">
        <is>
          <t xml:space="preserve">Personal</t>
        </is>
      </c>
      <c r="O417" s="30" t="inlineStr">
        <is>
          <t xml:space="preserve">Personal - regular use</t>
        </is>
      </c>
      <c r="P417" s="30" t="inlineStr">
        <is>
          <t xml:space="preserve">Under 1,000</t>
        </is>
      </c>
      <c r="Q417" s="30" t="inlineStr">
        <is>
          <t xml:space="preserve">Kentucky</t>
        </is>
      </c>
      <c r="R417" s="30" t="inlineStr">
        <is>
          <t xml:space="preserve">40202</t>
        </is>
      </c>
      <c r="S417" s="32" t="inlineStr">
        <is>
          <t xml:space="preserve">Severe convective - hail / tornado (moderate)</t>
        </is>
      </c>
      <c r="T417" s="36">
        <f>IF($A417="","",IF($S417="","",IFERROR(INDEX('[1]natural catastrophe'!$D$6:$D$17,MATCH($S417,'[1]natural catastrophe'!$B$6:$B$17,0)),"?")))</f>
      </c>
      <c r="U417" s="30" t="inlineStr">
        <is>
          <t xml:space="preserve">$5,000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17633.02</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CANON-202602-005220</t>
        </is>
      </c>
      <c r="B418" s="46" t="inlineStr">
        <is>
          <t xml:space="preserve">Wilhelmina Whitlock</t>
        </is>
      </c>
      <c r="C418" s="47">
        <v>46064</v>
      </c>
      <c r="D418" s="48" t="inlineStr">
        <is>
          <t xml:space="preserve">Bound - within authority</t>
        </is>
      </c>
      <c r="E418" s="48" t="inlineStr">
        <is>
          <t xml:space="preserve">New business</t>
        </is>
      </c>
      <c r="F418" s="46" t="inlineStr">
        <is>
          <t xml:space="preserve">B1234EXOTIC26</t>
        </is>
      </c>
      <c r="G418" s="33">
        <f>IF($A418="","",IF($C418="","",YEAR($C418)))</f>
      </c>
      <c r="H418" s="49">
        <v>1969</v>
      </c>
      <c r="I418" s="46" t="inlineStr">
        <is>
          <t xml:space="preserve">BMW</t>
        </is>
      </c>
      <c r="J418" s="46" t="inlineStr">
        <is>
          <t xml:space="preserve">M8 Competition</t>
        </is>
      </c>
      <c r="K418" s="46" t="inlineStr">
        <is>
          <t xml:space="preserve">J201P4X728898S8KF</t>
        </is>
      </c>
      <c r="L418" s="48" t="inlineStr">
        <is>
          <t xml:space="preserve">02 - Sports / GT</t>
        </is>
      </c>
      <c r="M418" s="50">
        <v>355000</v>
      </c>
      <c r="N418" s="48" t="inlineStr">
        <is>
          <t xml:space="preserve">Personal</t>
        </is>
      </c>
      <c r="O418" s="46" t="inlineStr">
        <is>
          <t xml:space="preserve">Personal - regular use</t>
        </is>
      </c>
      <c r="P418" s="46" t="inlineStr">
        <is>
          <t xml:space="preserve">Under 1,000</t>
        </is>
      </c>
      <c r="Q418" s="46" t="inlineStr">
        <is>
          <t xml:space="preserve">Illinois</t>
        </is>
      </c>
      <c r="R418" s="46" t="inlineStr">
        <is>
          <t xml:space="preserve">60601</t>
        </is>
      </c>
      <c r="S418" s="48" t="inlineStr">
        <is>
          <t xml:space="preserve">Severe convective - hail / tornado (moderate)</t>
        </is>
      </c>
      <c r="T418" s="36">
        <f>IF($A418="","",IF($S418="","",IFERROR(INDEX('[1]natural catastrophe'!$D$6:$D$17,MATCH($S418,'[1]natural catastrophe'!$B$6:$B$17,0)),"?")))</f>
      </c>
      <c r="U418" s="46" t="inlineStr">
        <is>
          <t xml:space="preserve">$5,000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6006.76</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CANON-202602-005222</t>
        </is>
      </c>
      <c r="B419" s="30" t="inlineStr">
        <is>
          <t xml:space="preserve">Sunniva Harrington</t>
        </is>
      </c>
      <c r="C419" s="31">
        <v>46074</v>
      </c>
      <c r="D419" s="32" t="inlineStr">
        <is>
          <t xml:space="preserve">Bound - within authority</t>
        </is>
      </c>
      <c r="E419" s="32" t="inlineStr">
        <is>
          <t xml:space="preserve">New business</t>
        </is>
      </c>
      <c r="F419" s="30" t="inlineStr">
        <is>
          <t xml:space="preserve">B1234EXOTIC26</t>
        </is>
      </c>
      <c r="G419" s="33">
        <f>IF($A419="","",IF($C419="","",YEAR($C419)))</f>
      </c>
      <c r="H419" s="34">
        <v>1971</v>
      </c>
      <c r="I419" s="30" t="inlineStr">
        <is>
          <t xml:space="preserve">Aston Martin</t>
        </is>
      </c>
      <c r="J419" s="30" t="inlineStr">
        <is>
          <t xml:space="preserve">DB12</t>
        </is>
      </c>
      <c r="K419" s="30" t="inlineStr">
        <is>
          <t xml:space="preserve">JT4XJZAF9L98ALKMJ</t>
        </is>
      </c>
      <c r="L419" s="32" t="inlineStr">
        <is>
          <t xml:space="preserve">02 - Sports / GT</t>
        </is>
      </c>
      <c r="M419" s="35">
        <v>250000</v>
      </c>
      <c r="N419" s="32" t="inlineStr">
        <is>
          <t xml:space="preserve">Personal</t>
        </is>
      </c>
      <c r="O419" s="30" t="inlineStr">
        <is>
          <t xml:space="preserve">Personal - regular use</t>
        </is>
      </c>
      <c r="P419" s="30" t="inlineStr">
        <is>
          <t xml:space="preserve">2,500 - 5,000</t>
        </is>
      </c>
      <c r="Q419" s="30" t="inlineStr">
        <is>
          <t xml:space="preserve">Maryland</t>
        </is>
      </c>
      <c r="R419" s="30" t="inlineStr">
        <is>
          <t xml:space="preserve">21201</t>
        </is>
      </c>
      <c r="S419" s="32" t="inlineStr">
        <is>
          <t xml:space="preserve">Tier 3 - Coastal wind (25-100 miles)</t>
        </is>
      </c>
      <c r="T419" s="36">
        <f>IF($A419="","",IF($S419="","",IFERROR(INDEX('[1]natural catastrophe'!$D$6:$D$17,MATCH($S419,'[1]natural catastrophe'!$B$6:$B$17,0)),"?")))</f>
      </c>
      <c r="U419" s="30" t="inlineStr">
        <is>
          <t xml:space="preserve">2% of agreed value, minimum $10,000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2954.86</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CANON-202602-005223</t>
        </is>
      </c>
      <c r="B420" s="46" t="inlineStr">
        <is>
          <t xml:space="preserve">Wilhelmina Underwood</t>
        </is>
      </c>
      <c r="C420" s="47">
        <v>46061</v>
      </c>
      <c r="D420" s="48" t="inlineStr">
        <is>
          <t xml:space="preserve">Bound - within authority</t>
        </is>
      </c>
      <c r="E420" s="48" t="inlineStr">
        <is>
          <t xml:space="preserve">New business</t>
        </is>
      </c>
      <c r="F420" s="46" t="inlineStr">
        <is>
          <t xml:space="preserve">B1234EXOTIC26</t>
        </is>
      </c>
      <c r="G420" s="33">
        <f>IF($A420="","",IF($C420="","",YEAR($C420)))</f>
      </c>
      <c r="H420" s="49">
        <v>1963</v>
      </c>
      <c r="I420" s="46" t="inlineStr">
        <is>
          <t xml:space="preserve">Aston Martin</t>
        </is>
      </c>
      <c r="J420" s="46" t="inlineStr">
        <is>
          <t xml:space="preserve">DB12</t>
        </is>
      </c>
      <c r="K420" s="46" t="inlineStr">
        <is>
          <t xml:space="preserve">123Y08T4D2DXPAP2K</t>
        </is>
      </c>
      <c r="L420" s="48" t="inlineStr">
        <is>
          <t xml:space="preserve">02 - Sports / GT</t>
        </is>
      </c>
      <c r="M420" s="50">
        <v>370000</v>
      </c>
      <c r="N420" s="48" t="inlineStr">
        <is>
          <t xml:space="preserve">Personal</t>
        </is>
      </c>
      <c r="O420" s="46" t="inlineStr">
        <is>
          <t xml:space="preserve">Personal - regular use</t>
        </is>
      </c>
      <c r="P420" s="46" t="inlineStr">
        <is>
          <t xml:space="preserve">2,500 - 5,000</t>
        </is>
      </c>
      <c r="Q420" s="46" t="inlineStr">
        <is>
          <t xml:space="preserve">Maryland</t>
        </is>
      </c>
      <c r="R420" s="46" t="inlineStr">
        <is>
          <t xml:space="preserve">21201</t>
        </is>
      </c>
      <c r="S420" s="48" t="inlineStr">
        <is>
          <t xml:space="preserve">Tier 3 - Coastal wind (25-100 miles)</t>
        </is>
      </c>
      <c r="T420" s="36">
        <f>IF($A420="","",IF($S420="","",IFERROR(INDEX('[1]natural catastrophe'!$D$6:$D$17,MATCH($S420,'[1]natural catastrophe'!$B$6:$B$17,0)),"?")))</f>
      </c>
      <c r="U420" s="46" t="inlineStr">
        <is>
          <t xml:space="preserve">2% of agreed value, minimum $10,000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4373.19</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CANON-202602-005225</t>
        </is>
      </c>
      <c r="B421" s="30" t="inlineStr">
        <is>
          <t xml:space="preserve">Marisol Whitlock</t>
        </is>
      </c>
      <c r="C421" s="31">
        <v>46076</v>
      </c>
      <c r="D421" s="32" t="inlineStr">
        <is>
          <t xml:space="preserve">Bound - within authority</t>
        </is>
      </c>
      <c r="E421" s="32" t="inlineStr">
        <is>
          <t xml:space="preserve">New business</t>
        </is>
      </c>
      <c r="F421" s="30" t="inlineStr">
        <is>
          <t xml:space="preserve">B1234EXOTIC26</t>
        </is>
      </c>
      <c r="G421" s="33">
        <f>IF($A421="","",IF($C421="","",YEAR($C421)))</f>
      </c>
      <c r="H421" s="34">
        <v>1976</v>
      </c>
      <c r="I421" s="30" t="inlineStr">
        <is>
          <t xml:space="preserve">Aston Martin</t>
        </is>
      </c>
      <c r="J421" s="30" t="inlineStr">
        <is>
          <t xml:space="preserve">DB5</t>
        </is>
      </c>
      <c r="K421" s="30" t="inlineStr">
        <is>
          <t xml:space="preserve">WC25GZSF1EK35TANF</t>
        </is>
      </c>
      <c r="L421" s="32" t="inlineStr">
        <is>
          <t xml:space="preserve">08 - Modern Classic (1973-1999)</t>
        </is>
      </c>
      <c r="M421" s="35">
        <v>1010000</v>
      </c>
      <c r="N421" s="32" t="inlineStr">
        <is>
          <t xml:space="preserve">Personal</t>
        </is>
      </c>
      <c r="O421" s="30" t="inlineStr">
        <is>
          <t xml:space="preserve">Personal - regular use</t>
        </is>
      </c>
      <c r="P421" s="30" t="inlineStr">
        <is>
          <t xml:space="preserve">2,500 - 5,000</t>
        </is>
      </c>
      <c r="Q421" s="30" t="inlineStr">
        <is>
          <t xml:space="preserve">New Jersey</t>
        </is>
      </c>
      <c r="R421" s="30" t="inlineStr">
        <is>
          <t xml:space="preserve">07102</t>
        </is>
      </c>
      <c r="S421" s="32" t="inlineStr">
        <is>
          <t xml:space="preserve">Tier 3 - Coastal wind (25-100 miles)</t>
        </is>
      </c>
      <c r="T421" s="36">
        <f>IF($A421="","",IF($S421="","",IFERROR(INDEX('[1]natural catastrophe'!$D$6:$D$17,MATCH($S421,'[1]natural catastrophe'!$B$6:$B$17,0)),"?")))</f>
      </c>
      <c r="U421" s="30" t="inlineStr">
        <is>
          <t xml:space="preserve">2% of agreed value, minimum $10,000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5793.73</v>
      </c>
      <c r="AC421" s="37">
        <v>0</v>
      </c>
      <c r="AD421" s="38">
        <f>IF(ISNUMBER($AB421),$AB421*(1+N($AC421)),"")</f>
      </c>
      <c r="AE421" s="35">
        <v>350</v>
      </c>
      <c r="AF421" s="35">
        <v>250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CANON-202602-005226</t>
        </is>
      </c>
      <c r="B422" s="46" t="inlineStr">
        <is>
          <t xml:space="preserve">Ramona Montoya</t>
        </is>
      </c>
      <c r="C422" s="47">
        <v>46062</v>
      </c>
      <c r="D422" s="48" t="inlineStr">
        <is>
          <t xml:space="preserve">Bound - within authority</t>
        </is>
      </c>
      <c r="E422" s="48" t="inlineStr">
        <is>
          <t xml:space="preserve">New business</t>
        </is>
      </c>
      <c r="F422" s="46" t="inlineStr">
        <is>
          <t xml:space="preserve">B1234EXOTIC26</t>
        </is>
      </c>
      <c r="G422" s="33">
        <f>IF($A422="","",IF($C422="","",YEAR($C422)))</f>
      </c>
      <c r="H422" s="49">
        <v>2016</v>
      </c>
      <c r="I422" s="46" t="inlineStr">
        <is>
          <t xml:space="preserve">Lamborghini</t>
        </is>
      </c>
      <c r="J422" s="46" t="inlineStr">
        <is>
          <t xml:space="preserve">Huracan EVO</t>
        </is>
      </c>
      <c r="K422" s="46" t="inlineStr">
        <is>
          <t xml:space="preserve">4D4A38A08W6K7J9XU</t>
        </is>
      </c>
      <c r="L422" s="48" t="inlineStr">
        <is>
          <t xml:space="preserve">03 - Supercar</t>
        </is>
      </c>
      <c r="M422" s="50">
        <v>575000</v>
      </c>
      <c r="N422" s="48" t="inlineStr">
        <is>
          <t xml:space="preserve">Personal</t>
        </is>
      </c>
      <c r="O422" s="46" t="inlineStr">
        <is>
          <t xml:space="preserve">Personal - regular use</t>
        </is>
      </c>
      <c r="P422" s="46" t="inlineStr">
        <is>
          <t xml:space="preserve">Under 1,000</t>
        </is>
      </c>
      <c r="Q422" s="46" t="inlineStr">
        <is>
          <t xml:space="preserve">Arizona</t>
        </is>
      </c>
      <c r="R422" s="46" t="inlineStr">
        <is>
          <t xml:space="preserve">85001</t>
        </is>
      </c>
      <c r="S422" s="48" t="inlineStr">
        <is>
          <t xml:space="preserve">Wildfire - WUI high hazard</t>
        </is>
      </c>
      <c r="T422" s="36">
        <f>IF($A422="","",IF($S422="","",IFERROR(INDEX('[1]natural catastrophe'!$D$6:$D$17,MATCH($S422,'[1]natural catastrophe'!$B$6:$B$17,0)),"?")))</f>
      </c>
      <c r="U422" s="46" t="inlineStr">
        <is>
          <t xml:space="preserve">$5,000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9152.18</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CANON-202602-005227</t>
        </is>
      </c>
      <c r="B423" s="30" t="inlineStr">
        <is>
          <t xml:space="preserve">Emiliano Pennington</t>
        </is>
      </c>
      <c r="C423" s="31">
        <v>46078</v>
      </c>
      <c r="D423" s="32" t="inlineStr">
        <is>
          <t xml:space="preserve">Bound - within authority</t>
        </is>
      </c>
      <c r="E423" s="32" t="inlineStr">
        <is>
          <t xml:space="preserve">New business</t>
        </is>
      </c>
      <c r="F423" s="30" t="inlineStr">
        <is>
          <t xml:space="preserve">B1234EXOTIC26</t>
        </is>
      </c>
      <c r="G423" s="33">
        <f>IF($A423="","",IF($C423="","",YEAR($C423)))</f>
      </c>
      <c r="H423" s="34">
        <v>1977</v>
      </c>
      <c r="I423" s="30" t="inlineStr">
        <is>
          <t xml:space="preserve">Ferrari</t>
        </is>
      </c>
      <c r="J423" s="30" t="inlineStr">
        <is>
          <t xml:space="preserve">296 GTB</t>
        </is>
      </c>
      <c r="K423" s="30" t="inlineStr">
        <is>
          <t xml:space="preserve">54WWR91CHKDUG72YD</t>
        </is>
      </c>
      <c r="L423" s="32" t="inlineStr">
        <is>
          <t xml:space="preserve">03 - Supercar</t>
        </is>
      </c>
      <c r="M423" s="35">
        <v>845000</v>
      </c>
      <c r="N423" s="32" t="inlineStr">
        <is>
          <t xml:space="preserve">Personal</t>
        </is>
      </c>
      <c r="O423" s="30" t="inlineStr">
        <is>
          <t xml:space="preserve">Personal - regular use</t>
        </is>
      </c>
      <c r="P423" s="30" t="inlineStr">
        <is>
          <t xml:space="preserve">2,500 - 5,000</t>
        </is>
      </c>
      <c r="Q423" s="30" t="inlineStr">
        <is>
          <t xml:space="preserve">Oklahoma</t>
        </is>
      </c>
      <c r="R423" s="30" t="inlineStr">
        <is>
          <t xml:space="preserve">73102</t>
        </is>
      </c>
      <c r="S423" s="32" t="inlineStr">
        <is>
          <t xml:space="preserve">Severe convective - hail alley (high)</t>
        </is>
      </c>
      <c r="T423" s="36">
        <f>IF($A423="","",IF($S423="","",IFERROR(INDEX('[1]natural catastrophe'!$D$6:$D$17,MATCH($S423,'[1]natural catastrophe'!$B$6:$B$17,0)),"?")))</f>
      </c>
      <c r="U423" s="30" t="inlineStr">
        <is>
          <t xml:space="preserve">$5,000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16778.87</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CANON-202602-005228</t>
        </is>
      </c>
      <c r="B424" s="46" t="inlineStr">
        <is>
          <t xml:space="preserve">Ramona Chattopadhyay</t>
        </is>
      </c>
      <c r="C424" s="47">
        <v>46073</v>
      </c>
      <c r="D424" s="48" t="inlineStr">
        <is>
          <t xml:space="preserve">Bound - within authority</t>
        </is>
      </c>
      <c r="E424" s="48" t="inlineStr">
        <is>
          <t xml:space="preserve">New business</t>
        </is>
      </c>
      <c r="F424" s="46" t="inlineStr">
        <is>
          <t xml:space="preserve">B1234EXOTIC26</t>
        </is>
      </c>
      <c r="G424" s="33">
        <f>IF($A424="","",IF($C424="","",YEAR($C424)))</f>
      </c>
      <c r="H424" s="49">
        <v>1992</v>
      </c>
      <c r="I424" s="46" t="inlineStr">
        <is>
          <t xml:space="preserve">Ferrari</t>
        </is>
      </c>
      <c r="J424" s="46" t="inlineStr">
        <is>
          <t xml:space="preserve">275 GTB/4</t>
        </is>
      </c>
      <c r="K424" s="46" t="inlineStr">
        <is>
          <t xml:space="preserve">0886R7L8JHUECAAFX</t>
        </is>
      </c>
      <c r="L424" s="48" t="inlineStr">
        <is>
          <t xml:space="preserve">08 - Modern Classic (1973-1999)</t>
        </is>
      </c>
      <c r="M424" s="50">
        <v>880000</v>
      </c>
      <c r="N424" s="48" t="inlineStr">
        <is>
          <t xml:space="preserve">Personal</t>
        </is>
      </c>
      <c r="O424" s="46" t="inlineStr">
        <is>
          <t xml:space="preserve">Personal - regular use</t>
        </is>
      </c>
      <c r="P424" s="46" t="inlineStr">
        <is>
          <t xml:space="preserve">Under 1,000</t>
        </is>
      </c>
      <c r="Q424" s="46" t="inlineStr">
        <is>
          <t xml:space="preserve">Virginia</t>
        </is>
      </c>
      <c r="R424" s="46" t="inlineStr">
        <is>
          <t xml:space="preserve">23219</t>
        </is>
      </c>
      <c r="S424" s="48" t="inlineStr">
        <is>
          <t xml:space="preserve">Tier 3 - Coastal wind (25-100 miles)</t>
        </is>
      </c>
      <c r="T424" s="36">
        <f>IF($A424="","",IF($S424="","",IFERROR(INDEX('[1]natural catastrophe'!$D$6:$D$17,MATCH($S424,'[1]natural catastrophe'!$B$6:$B$17,0)),"?")))</f>
      </c>
      <c r="U424" s="46" t="inlineStr">
        <is>
          <t xml:space="preserve">2% of agreed value, minimum $10,000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6842.1</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CANON-202602-005230</t>
        </is>
      </c>
      <c r="B425" s="30" t="inlineStr">
        <is>
          <t xml:space="preserve">Marisol Fairweather</t>
        </is>
      </c>
      <c r="C425" s="31">
        <v>46069</v>
      </c>
      <c r="D425" s="32" t="inlineStr">
        <is>
          <t xml:space="preserve">Bound - within authority</t>
        </is>
      </c>
      <c r="E425" s="32" t="inlineStr">
        <is>
          <t xml:space="preserve">New business</t>
        </is>
      </c>
      <c r="F425" s="30" t="inlineStr">
        <is>
          <t xml:space="preserve">B1234EXOTIC26</t>
        </is>
      </c>
      <c r="G425" s="33">
        <f>IF($A425="","",IF($C425="","",YEAR($C425)))</f>
      </c>
      <c r="H425" s="34">
        <v>1967</v>
      </c>
      <c r="I425" s="30" t="inlineStr">
        <is>
          <t xml:space="preserve">Maserati</t>
        </is>
      </c>
      <c r="J425" s="30" t="inlineStr">
        <is>
          <t xml:space="preserve">GranTurismo</t>
        </is>
      </c>
      <c r="K425" s="30" t="inlineStr">
        <is>
          <t xml:space="preserve">M116YXXU7KKEFAK1P</t>
        </is>
      </c>
      <c r="L425" s="32" t="inlineStr">
        <is>
          <t xml:space="preserve">02 - Sports / GT</t>
        </is>
      </c>
      <c r="M425" s="35">
        <v>740000</v>
      </c>
      <c r="N425" s="32" t="inlineStr">
        <is>
          <t xml:space="preserve">Personal</t>
        </is>
      </c>
      <c r="O425" s="30" t="inlineStr">
        <is>
          <t xml:space="preserve">Personal - regular use</t>
        </is>
      </c>
      <c r="P425" s="30" t="inlineStr">
        <is>
          <t xml:space="preserve">2,500 - 5,000</t>
        </is>
      </c>
      <c r="Q425" s="30" t="inlineStr">
        <is>
          <t xml:space="preserve">Kentucky</t>
        </is>
      </c>
      <c r="R425" s="30" t="inlineStr">
        <is>
          <t xml:space="preserve">40202</t>
        </is>
      </c>
      <c r="S425" s="32" t="inlineStr">
        <is>
          <t xml:space="preserve">Severe convective - hail / tornado (moderate)</t>
        </is>
      </c>
      <c r="T425" s="36">
        <f>IF($A425="","",IF($S425="","",IFERROR(INDEX('[1]natural catastrophe'!$D$6:$D$17,MATCH($S425,'[1]natural catastrophe'!$B$6:$B$17,0)),"?")))</f>
      </c>
      <c r="U425" s="30" t="inlineStr">
        <is>
          <t xml:space="preserve">$5,000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10692.07</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CANON-202602-005231</t>
        </is>
      </c>
      <c r="B426" s="46" t="inlineStr">
        <is>
          <t xml:space="preserve">Fitzgerald Underwood</t>
        </is>
      </c>
      <c r="C426" s="47">
        <v>46070</v>
      </c>
      <c r="D426" s="48" t="inlineStr">
        <is>
          <t xml:space="preserve">Bound - within authority</t>
        </is>
      </c>
      <c r="E426" s="48" t="inlineStr">
        <is>
          <t xml:space="preserve">New business</t>
        </is>
      </c>
      <c r="F426" s="46" t="inlineStr">
        <is>
          <t xml:space="preserve">B1234EXOTIC26</t>
        </is>
      </c>
      <c r="G426" s="33">
        <f>IF($A426="","",IF($C426="","",YEAR($C426)))</f>
      </c>
      <c r="H426" s="49">
        <v>2005</v>
      </c>
      <c r="I426" s="46" t="inlineStr">
        <is>
          <t xml:space="preserve">Bentley</t>
        </is>
      </c>
      <c r="J426" s="46" t="inlineStr">
        <is>
          <t xml:space="preserve">Continental GT</t>
        </is>
      </c>
      <c r="K426" s="46" t="inlineStr">
        <is>
          <t xml:space="preserve">V1S8LDM5CZANS5L0C</t>
        </is>
      </c>
      <c r="L426" s="48" t="inlineStr">
        <is>
          <t xml:space="preserve">02 - Sports / GT</t>
        </is>
      </c>
      <c r="M426" s="50">
        <v>615000</v>
      </c>
      <c r="N426" s="48" t="inlineStr">
        <is>
          <t xml:space="preserve">Personal</t>
        </is>
      </c>
      <c r="O426" s="46" t="inlineStr">
        <is>
          <t xml:space="preserve">Personal - regular use</t>
        </is>
      </c>
      <c r="P426" s="46" t="inlineStr">
        <is>
          <t xml:space="preserve">Under 1,000</t>
        </is>
      </c>
      <c r="Q426" s="46" t="inlineStr">
        <is>
          <t xml:space="preserve">Pennsylvania</t>
        </is>
      </c>
      <c r="R426" s="46" t="inlineStr">
        <is>
          <t xml:space="preserve">19103</t>
        </is>
      </c>
      <c r="S426" s="48" t="inlineStr">
        <is>
          <t xml:space="preserve">Low hazard - inland benign</t>
        </is>
      </c>
      <c r="T426" s="36">
        <f>IF($A426="","",IF($S426="","",IFERROR(INDEX('[1]natural catastrophe'!$D$6:$D$17,MATCH($S426,'[1]natural catastrophe'!$B$6:$B$17,0)),"?")))</f>
      </c>
      <c r="U426" s="46" t="inlineStr">
        <is>
          <t xml:space="preserve">$5,000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6631.32</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CANON-202602-005232</t>
        </is>
      </c>
      <c r="B427" s="30" t="inlineStr">
        <is>
          <t xml:space="preserve">Ottilie Underwood</t>
        </is>
      </c>
      <c r="C427" s="31">
        <v>46080</v>
      </c>
      <c r="D427" s="32" t="inlineStr">
        <is>
          <t xml:space="preserve">Bound - within authority</t>
        </is>
      </c>
      <c r="E427" s="32" t="inlineStr">
        <is>
          <t xml:space="preserve">New business</t>
        </is>
      </c>
      <c r="F427" s="30" t="inlineStr">
        <is>
          <t xml:space="preserve">B1234EXOTIC26</t>
        </is>
      </c>
      <c r="G427" s="33">
        <f>IF($A427="","",IF($C427="","",YEAR($C427)))</f>
      </c>
      <c r="H427" s="34">
        <v>1994</v>
      </c>
      <c r="I427" s="30" t="inlineStr">
        <is>
          <t xml:space="preserve">Bentley</t>
        </is>
      </c>
      <c r="J427" s="30" t="inlineStr">
        <is>
          <t xml:space="preserve">Continental GT</t>
        </is>
      </c>
      <c r="K427" s="30" t="inlineStr">
        <is>
          <t xml:space="preserve">2KY0XSX9KVZR379CJ</t>
        </is>
      </c>
      <c r="L427" s="32" t="inlineStr">
        <is>
          <t xml:space="preserve">02 - Sports / GT</t>
        </is>
      </c>
      <c r="M427" s="35">
        <v>450000</v>
      </c>
      <c r="N427" s="32" t="inlineStr">
        <is>
          <t xml:space="preserve">Personal</t>
        </is>
      </c>
      <c r="O427" s="30" t="inlineStr">
        <is>
          <t xml:space="preserve">Personal - regular use</t>
        </is>
      </c>
      <c r="P427" s="30" t="inlineStr">
        <is>
          <t xml:space="preserve">Under 1,000</t>
        </is>
      </c>
      <c r="Q427" s="30" t="inlineStr">
        <is>
          <t xml:space="preserve">West Virginia</t>
        </is>
      </c>
      <c r="R427" s="30" t="inlineStr">
        <is>
          <t xml:space="preserve">25301</t>
        </is>
      </c>
      <c r="S427" s="32" t="inlineStr">
        <is>
          <t xml:space="preserve">Low hazard - inland benign</t>
        </is>
      </c>
      <c r="T427" s="36">
        <f>IF($A427="","",IF($S427="","",IFERROR(INDEX('[1]natural catastrophe'!$D$6:$D$17,MATCH($S427,'[1]natural catastrophe'!$B$6:$B$17,0)),"?")))</f>
      </c>
      <c r="U427" s="30" t="inlineStr">
        <is>
          <t xml:space="preserve">$5,000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7446.24</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CANON-202602-005236</t>
        </is>
      </c>
      <c r="B428" s="46" t="inlineStr">
        <is>
          <t xml:space="preserve">Aurelio Delacroix</t>
        </is>
      </c>
      <c r="C428" s="47">
        <v>46077</v>
      </c>
      <c r="D428" s="48" t="inlineStr">
        <is>
          <t xml:space="preserve">Bound - within authority</t>
        </is>
      </c>
      <c r="E428" s="48" t="inlineStr">
        <is>
          <t xml:space="preserve">New business</t>
        </is>
      </c>
      <c r="F428" s="46" t="inlineStr">
        <is>
          <t xml:space="preserve">B1234EXOTIC26</t>
        </is>
      </c>
      <c r="G428" s="33">
        <f>IF($A428="","",IF($C428="","",YEAR($C428)))</f>
      </c>
      <c r="H428" s="49">
        <v>1957</v>
      </c>
      <c r="I428" s="46" t="inlineStr">
        <is>
          <t xml:space="preserve">Aston Martin</t>
        </is>
      </c>
      <c r="J428" s="46" t="inlineStr">
        <is>
          <t xml:space="preserve">DB12</t>
        </is>
      </c>
      <c r="K428" s="46" t="inlineStr">
        <is>
          <t xml:space="preserve">9EDM3PJX404AHUJ19</t>
        </is>
      </c>
      <c r="L428" s="48" t="inlineStr">
        <is>
          <t xml:space="preserve">02 - Sports / GT</t>
        </is>
      </c>
      <c r="M428" s="50">
        <v>605000</v>
      </c>
      <c r="N428" s="48" t="inlineStr">
        <is>
          <t xml:space="preserve">Personal</t>
        </is>
      </c>
      <c r="O428" s="46" t="inlineStr">
        <is>
          <t xml:space="preserve">Personal - regular use</t>
        </is>
      </c>
      <c r="P428" s="46" t="inlineStr">
        <is>
          <t xml:space="preserve">Under 1,000</t>
        </is>
      </c>
      <c r="Q428" s="46" t="inlineStr">
        <is>
          <t xml:space="preserve">Arizona</t>
        </is>
      </c>
      <c r="R428" s="46" t="inlineStr">
        <is>
          <t xml:space="preserve">85001</t>
        </is>
      </c>
      <c r="S428" s="48" t="inlineStr">
        <is>
          <t xml:space="preserve">Wildfire - WUI high hazard</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6588.73</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CANON-202602-005237</t>
        </is>
      </c>
      <c r="B429" s="30" t="inlineStr">
        <is>
          <t xml:space="preserve">Anouk Chattopadhyay</t>
        </is>
      </c>
      <c r="C429" s="31">
        <v>46054</v>
      </c>
      <c r="D429" s="32" t="inlineStr">
        <is>
          <t xml:space="preserve">Bound - within authority</t>
        </is>
      </c>
      <c r="E429" s="32" t="inlineStr">
        <is>
          <t xml:space="preserve">New business</t>
        </is>
      </c>
      <c r="F429" s="30" t="inlineStr">
        <is>
          <t xml:space="preserve">B1234EXOTIC26</t>
        </is>
      </c>
      <c r="G429" s="33">
        <f>IF($A429="","",IF($C429="","",YEAR($C429)))</f>
      </c>
      <c r="H429" s="34">
        <v>2010</v>
      </c>
      <c r="I429" s="30" t="inlineStr">
        <is>
          <t xml:space="preserve">BMW</t>
        </is>
      </c>
      <c r="J429" s="30" t="inlineStr">
        <is>
          <t xml:space="preserve">M8 Competition</t>
        </is>
      </c>
      <c r="K429" s="30" t="inlineStr">
        <is>
          <t xml:space="preserve">K9YMNJXNC2VALVEND</t>
        </is>
      </c>
      <c r="L429" s="32" t="inlineStr">
        <is>
          <t xml:space="preserve">02 - Sports / GT</t>
        </is>
      </c>
      <c r="M429" s="35">
        <v>760000</v>
      </c>
      <c r="N429" s="32" t="inlineStr">
        <is>
          <t xml:space="preserve">Personal</t>
        </is>
      </c>
      <c r="O429" s="30" t="inlineStr">
        <is>
          <t xml:space="preserve">Personal - regular use</t>
        </is>
      </c>
      <c r="P429" s="30" t="inlineStr">
        <is>
          <t xml:space="preserve">1,000 - 2,500</t>
        </is>
      </c>
      <c r="Q429" s="30" t="inlineStr">
        <is>
          <t xml:space="preserve">Alaska</t>
        </is>
      </c>
      <c r="R429" s="30" t="inlineStr">
        <is>
          <t xml:space="preserve">99501</t>
        </is>
      </c>
      <c r="S429" s="32" t="inlineStr">
        <is>
          <t xml:space="preserve">Earthquake - high (CA, Cascadia, New Madrid)</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9342.08</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CANON-202602-005239</t>
        </is>
      </c>
      <c r="B430" s="46" t="inlineStr">
        <is>
          <t xml:space="preserve">Desmond Farkas</t>
        </is>
      </c>
      <c r="C430" s="47">
        <v>46065</v>
      </c>
      <c r="D430" s="48" t="inlineStr">
        <is>
          <t xml:space="preserve">Bound - within authority</t>
        </is>
      </c>
      <c r="E430" s="48" t="inlineStr">
        <is>
          <t xml:space="preserve">New business</t>
        </is>
      </c>
      <c r="F430" s="46" t="inlineStr">
        <is>
          <t xml:space="preserve">B1234EXOTIC26</t>
        </is>
      </c>
      <c r="G430" s="33">
        <f>IF($A430="","",IF($C430="","",YEAR($C430)))</f>
      </c>
      <c r="H430" s="49">
        <v>1962</v>
      </c>
      <c r="I430" s="46" t="inlineStr">
        <is>
          <t xml:space="preserve">Ferrari</t>
        </is>
      </c>
      <c r="J430" s="46" t="inlineStr">
        <is>
          <t xml:space="preserve">SF90 Stradale</t>
        </is>
      </c>
      <c r="K430" s="46" t="inlineStr">
        <is>
          <t xml:space="preserve">V8HUNJ9UC7FVFTJLW</t>
        </is>
      </c>
      <c r="L430" s="48" t="inlineStr">
        <is>
          <t xml:space="preserve">03 - Supercar</t>
        </is>
      </c>
      <c r="M430" s="50">
        <v>825000</v>
      </c>
      <c r="N430" s="48" t="inlineStr">
        <is>
          <t xml:space="preserve">Personal</t>
        </is>
      </c>
      <c r="O430" s="46" t="inlineStr">
        <is>
          <t xml:space="preserve">Personal - regular use</t>
        </is>
      </c>
      <c r="P430" s="46" t="inlineStr">
        <is>
          <t xml:space="preserve">1,000 - 2,500</t>
        </is>
      </c>
      <c r="Q430" s="46" t="inlineStr">
        <is>
          <t xml:space="preserve">North Dakota</t>
        </is>
      </c>
      <c r="R430" s="46" t="inlineStr">
        <is>
          <t xml:space="preserve">58501</t>
        </is>
      </c>
      <c r="S430" s="48" t="inlineStr">
        <is>
          <t xml:space="preserve">Severe convective - hail alley (high)</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13261.4</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CANON-202602-005240</t>
        </is>
      </c>
      <c r="B431" s="30" t="inlineStr">
        <is>
          <t xml:space="preserve">Saoirse Castellanos</t>
        </is>
      </c>
      <c r="C431" s="31">
        <v>46055</v>
      </c>
      <c r="D431" s="32" t="inlineStr">
        <is>
          <t xml:space="preserve">Bound - within authority</t>
        </is>
      </c>
      <c r="E431" s="32" t="inlineStr">
        <is>
          <t xml:space="preserve">New business</t>
        </is>
      </c>
      <c r="F431" s="30" t="inlineStr">
        <is>
          <t xml:space="preserve">B1234EXOTIC26</t>
        </is>
      </c>
      <c r="G431" s="33">
        <f>IF($A431="","",IF($C431="","",YEAR($C431)))</f>
      </c>
      <c r="H431" s="34">
        <v>2023</v>
      </c>
      <c r="I431" s="30" t="inlineStr">
        <is>
          <t xml:space="preserve">Aston Martin</t>
        </is>
      </c>
      <c r="J431" s="30" t="inlineStr">
        <is>
          <t xml:space="preserve">DB12</t>
        </is>
      </c>
      <c r="K431" s="30" t="inlineStr">
        <is>
          <t xml:space="preserve">351L43HUDK4JRLEMX</t>
        </is>
      </c>
      <c r="L431" s="32" t="inlineStr">
        <is>
          <t xml:space="preserve">02 - Sports / GT</t>
        </is>
      </c>
      <c r="M431" s="35">
        <v>475000</v>
      </c>
      <c r="N431" s="32" t="inlineStr">
        <is>
          <t xml:space="preserve">Personal</t>
        </is>
      </c>
      <c r="O431" s="30" t="inlineStr">
        <is>
          <t xml:space="preserve">Personal - regular use</t>
        </is>
      </c>
      <c r="P431" s="30" t="inlineStr">
        <is>
          <t xml:space="preserve">2,500 - 5,000</t>
        </is>
      </c>
      <c r="Q431" s="30" t="inlineStr">
        <is>
          <t xml:space="preserve">West Virginia</t>
        </is>
      </c>
      <c r="R431" s="30" t="inlineStr">
        <is>
          <t xml:space="preserve">25301</t>
        </is>
      </c>
      <c r="S431" s="32" t="inlineStr">
        <is>
          <t xml:space="preserve">Low hazard - inland benign</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7859.92</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CANON-202602-005241</t>
        </is>
      </c>
      <c r="B432" s="46" t="inlineStr">
        <is>
          <t xml:space="preserve">Thaddeus Chattopadhyay</t>
        </is>
      </c>
      <c r="C432" s="47">
        <v>46076</v>
      </c>
      <c r="D432" s="48" t="inlineStr">
        <is>
          <t xml:space="preserve">Bound - within authority</t>
        </is>
      </c>
      <c r="E432" s="48" t="inlineStr">
        <is>
          <t xml:space="preserve">New business</t>
        </is>
      </c>
      <c r="F432" s="46" t="inlineStr">
        <is>
          <t xml:space="preserve">B1234EXOTIC26</t>
        </is>
      </c>
      <c r="G432" s="33">
        <f>IF($A432="","",IF($C432="","",YEAR($C432)))</f>
      </c>
      <c r="H432" s="49">
        <v>2010</v>
      </c>
      <c r="I432" s="46" t="inlineStr">
        <is>
          <t xml:space="preserve">Aston Martin</t>
        </is>
      </c>
      <c r="J432" s="46" t="inlineStr">
        <is>
          <t xml:space="preserve">DB12</t>
        </is>
      </c>
      <c r="K432" s="46" t="inlineStr">
        <is>
          <t xml:space="preserve">LT3HTGDYH3UCYZBA5</t>
        </is>
      </c>
      <c r="L432" s="48" t="inlineStr">
        <is>
          <t xml:space="preserve">02 - Sports / GT</t>
        </is>
      </c>
      <c r="M432" s="50">
        <v>570000</v>
      </c>
      <c r="N432" s="48" t="inlineStr">
        <is>
          <t xml:space="preserve">Personal</t>
        </is>
      </c>
      <c r="O432" s="46" t="inlineStr">
        <is>
          <t xml:space="preserve">Personal - regular use</t>
        </is>
      </c>
      <c r="P432" s="46" t="inlineStr">
        <is>
          <t xml:space="preserve">Under 1,000</t>
        </is>
      </c>
      <c r="Q432" s="46" t="inlineStr">
        <is>
          <t xml:space="preserve">South Carolina</t>
        </is>
      </c>
      <c r="R432" s="46" t="inlineStr">
        <is>
          <t xml:space="preserve">29401</t>
        </is>
      </c>
      <c r="S432" s="48" t="inlineStr">
        <is>
          <t xml:space="preserve">Tier 2 - Coastal wind (1-25 miles)</t>
        </is>
      </c>
      <c r="T432" s="36">
        <f>IF($A432="","",IF($S432="","",IFERROR(INDEX('[1]natural catastrophe'!$D$6:$D$17,MATCH($S432,'[1]natural catastrophe'!$B$6:$B$17,0)),"?")))</f>
      </c>
      <c r="U432" s="46" t="inlineStr">
        <is>
          <t xml:space="preserve">2% of agreed value, minimum $10,000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7621.17</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CANON-202602-005243</t>
        </is>
      </c>
      <c r="B433" s="30" t="inlineStr">
        <is>
          <t xml:space="preserve">Anouk Merriweather</t>
        </is>
      </c>
      <c r="C433" s="31">
        <v>46069</v>
      </c>
      <c r="D433" s="32" t="inlineStr">
        <is>
          <t xml:space="preserve">Bound - within authority</t>
        </is>
      </c>
      <c r="E433" s="32" t="inlineStr">
        <is>
          <t xml:space="preserve">New business</t>
        </is>
      </c>
      <c r="F433" s="30" t="inlineStr">
        <is>
          <t xml:space="preserve">B1234EXOTIC26</t>
        </is>
      </c>
      <c r="G433" s="33">
        <f>IF($A433="","",IF($C433="","",YEAR($C433)))</f>
      </c>
      <c r="H433" s="34">
        <v>2020</v>
      </c>
      <c r="I433" s="30" t="inlineStr">
        <is>
          <t xml:space="preserve">Lamborghini</t>
        </is>
      </c>
      <c r="J433" s="30" t="inlineStr">
        <is>
          <t xml:space="preserve">Huracan EVO</t>
        </is>
      </c>
      <c r="K433" s="30" t="inlineStr">
        <is>
          <t xml:space="preserve">4CDF8MXL0PXH7EVNV</t>
        </is>
      </c>
      <c r="L433" s="32" t="inlineStr">
        <is>
          <t xml:space="preserve">03 - Supercar</t>
        </is>
      </c>
      <c r="M433" s="35">
        <v>1670000</v>
      </c>
      <c r="N433" s="32" t="inlineStr">
        <is>
          <t xml:space="preserve">Personal</t>
        </is>
      </c>
      <c r="O433" s="30" t="inlineStr">
        <is>
          <t xml:space="preserve">Personal - regular use</t>
        </is>
      </c>
      <c r="P433" s="30" t="inlineStr">
        <is>
          <t xml:space="preserve">1,000 - 2,500</t>
        </is>
      </c>
      <c r="Q433" s="30" t="inlineStr">
        <is>
          <t xml:space="preserve">New Jersey</t>
        </is>
      </c>
      <c r="R433" s="30" t="inlineStr">
        <is>
          <t xml:space="preserve">07102</t>
        </is>
      </c>
      <c r="S433" s="32" t="inlineStr">
        <is>
          <t xml:space="preserve">Tier 3 - Coastal wind (25-100 miles)</t>
        </is>
      </c>
      <c r="T433" s="36">
        <f>IF($A433="","",IF($S433="","",IFERROR(INDEX('[1]natural catastrophe'!$D$6:$D$17,MATCH($S433,'[1]natural catastrophe'!$B$6:$B$17,0)),"?")))</f>
      </c>
      <c r="U433" s="30" t="inlineStr">
        <is>
          <t xml:space="preserve">2% of agreed value, minimum $10,000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20167.85</v>
      </c>
      <c r="AC433" s="37">
        <v>0</v>
      </c>
      <c r="AD433" s="38">
        <f>IF(ISNUMBER($AB433),$AB433*(1+N($AC433)),"")</f>
      </c>
      <c r="AE433" s="35">
        <v>350</v>
      </c>
      <c r="AF433" s="35">
        <v>250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CANON-202602-005244</t>
        </is>
      </c>
      <c r="B434" s="46" t="inlineStr">
        <is>
          <t xml:space="preserve">Noor Nakashima</t>
        </is>
      </c>
      <c r="C434" s="47">
        <v>46078</v>
      </c>
      <c r="D434" s="48" t="inlineStr">
        <is>
          <t xml:space="preserve">Bound - within authority</t>
        </is>
      </c>
      <c r="E434" s="48" t="inlineStr">
        <is>
          <t xml:space="preserve">New business</t>
        </is>
      </c>
      <c r="F434" s="46" t="inlineStr">
        <is>
          <t xml:space="preserve">B1234EXOTIC26</t>
        </is>
      </c>
      <c r="G434" s="33">
        <f>IF($A434="","",IF($C434="","",YEAR($C434)))</f>
      </c>
      <c r="H434" s="49">
        <v>1967</v>
      </c>
      <c r="I434" s="46" t="inlineStr">
        <is>
          <t xml:space="preserve">Mercedes-Benz</t>
        </is>
      </c>
      <c r="J434" s="46" t="inlineStr">
        <is>
          <t xml:space="preserve">AMG GT</t>
        </is>
      </c>
      <c r="K434" s="46" t="inlineStr">
        <is>
          <t xml:space="preserve">MNY0V68P7GEAXY1AN</t>
        </is>
      </c>
      <c r="L434" s="48" t="inlineStr">
        <is>
          <t xml:space="preserve">02 - Sports / GT</t>
        </is>
      </c>
      <c r="M434" s="50">
        <v>430000</v>
      </c>
      <c r="N434" s="48" t="inlineStr">
        <is>
          <t xml:space="preserve">Personal</t>
        </is>
      </c>
      <c r="O434" s="46" t="inlineStr">
        <is>
          <t xml:space="preserve">Personal - regular use</t>
        </is>
      </c>
      <c r="P434" s="46" t="inlineStr">
        <is>
          <t xml:space="preserve">2,500 - 5,000</t>
        </is>
      </c>
      <c r="Q434" s="46" t="inlineStr">
        <is>
          <t xml:space="preserve">Connecticut</t>
        </is>
      </c>
      <c r="R434" s="46" t="inlineStr">
        <is>
          <t xml:space="preserve">06103</t>
        </is>
      </c>
      <c r="S434" s="48" t="inlineStr">
        <is>
          <t xml:space="preserve">Tier 3 - Coastal wind (25-100 miles)</t>
        </is>
      </c>
      <c r="T434" s="36">
        <f>IF($A434="","",IF($S434="","",IFERROR(INDEX('[1]natural catastrophe'!$D$6:$D$17,MATCH($S434,'[1]natural catastrophe'!$B$6:$B$17,0)),"?")))</f>
      </c>
      <c r="U434" s="46" t="inlineStr">
        <is>
          <t xml:space="preserve">2% of agreed value, minimum $10,000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5991.83</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CANON-202602-005245</t>
        </is>
      </c>
      <c r="B435" s="30" t="inlineStr">
        <is>
          <t xml:space="preserve">Noor Farkas</t>
        </is>
      </c>
      <c r="C435" s="31">
        <v>46079</v>
      </c>
      <c r="D435" s="32" t="inlineStr">
        <is>
          <t xml:space="preserve">Bound - within authority</t>
        </is>
      </c>
      <c r="E435" s="32" t="inlineStr">
        <is>
          <t xml:space="preserve">New business</t>
        </is>
      </c>
      <c r="F435" s="30" t="inlineStr">
        <is>
          <t xml:space="preserve">B1234EXOTIC26</t>
        </is>
      </c>
      <c r="G435" s="33">
        <f>IF($A435="","",IF($C435="","",YEAR($C435)))</f>
      </c>
      <c r="H435" s="34">
        <v>2010</v>
      </c>
      <c r="I435" s="30" t="inlineStr">
        <is>
          <t xml:space="preserve">Bentley</t>
        </is>
      </c>
      <c r="J435" s="30" t="inlineStr">
        <is>
          <t xml:space="preserve">Continental GT</t>
        </is>
      </c>
      <c r="K435" s="30" t="inlineStr">
        <is>
          <t xml:space="preserve">9GYAZLPUDR35SWLX6</t>
        </is>
      </c>
      <c r="L435" s="32" t="inlineStr">
        <is>
          <t xml:space="preserve">02 - Sports / GT</t>
        </is>
      </c>
      <c r="M435" s="35">
        <v>880000</v>
      </c>
      <c r="N435" s="32" t="inlineStr">
        <is>
          <t xml:space="preserve">Personal</t>
        </is>
      </c>
      <c r="O435" s="30" t="inlineStr">
        <is>
          <t xml:space="preserve">Personal - regular use</t>
        </is>
      </c>
      <c r="P435" s="30" t="inlineStr">
        <is>
          <t xml:space="preserve">2,500 - 5,000</t>
        </is>
      </c>
      <c r="Q435" s="30" t="inlineStr">
        <is>
          <t xml:space="preserve">Illinois</t>
        </is>
      </c>
      <c r="R435" s="30" t="inlineStr">
        <is>
          <t xml:space="preserve">60601</t>
        </is>
      </c>
      <c r="S435" s="32" t="inlineStr">
        <is>
          <t xml:space="preserve">Severe convective - hail / tornado (moderate)</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12904.67</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CANON-202602-005248</t>
        </is>
      </c>
      <c r="B436" s="46" t="inlineStr">
        <is>
          <t xml:space="preserve">Horace Vasquez</t>
        </is>
      </c>
      <c r="C436" s="47">
        <v>46074</v>
      </c>
      <c r="D436" s="48" t="inlineStr">
        <is>
          <t xml:space="preserve">Bound - within authority</t>
        </is>
      </c>
      <c r="E436" s="48" t="inlineStr">
        <is>
          <t xml:space="preserve">New business</t>
        </is>
      </c>
      <c r="F436" s="46" t="inlineStr">
        <is>
          <t xml:space="preserve">B1234EXOTIC26</t>
        </is>
      </c>
      <c r="G436" s="33">
        <f>IF($A436="","",IF($C436="","",YEAR($C436)))</f>
      </c>
      <c r="H436" s="49">
        <v>1981</v>
      </c>
      <c r="I436" s="46" t="inlineStr">
        <is>
          <t xml:space="preserve">Aston Martin</t>
        </is>
      </c>
      <c r="J436" s="46" t="inlineStr">
        <is>
          <t xml:space="preserve">DB5</t>
        </is>
      </c>
      <c r="K436" s="46" t="inlineStr">
        <is>
          <t xml:space="preserve">H36982KRBTUZND3XH</t>
        </is>
      </c>
      <c r="L436" s="48" t="inlineStr">
        <is>
          <t xml:space="preserve">08 - Modern Classic (1973-1999)</t>
        </is>
      </c>
      <c r="M436" s="50">
        <v>280000</v>
      </c>
      <c r="N436" s="48" t="inlineStr">
        <is>
          <t xml:space="preserve">Personal</t>
        </is>
      </c>
      <c r="O436" s="46" t="inlineStr">
        <is>
          <t xml:space="preserve">Personal - regular use</t>
        </is>
      </c>
      <c r="P436" s="46" t="inlineStr">
        <is>
          <t xml:space="preserve">2,500 - 5,000</t>
        </is>
      </c>
      <c r="Q436" s="46" t="inlineStr">
        <is>
          <t xml:space="preserve">North Carolina</t>
        </is>
      </c>
      <c r="R436" s="46" t="inlineStr">
        <is>
          <t xml:space="preserve">28202</t>
        </is>
      </c>
      <c r="S436" s="48" t="inlineStr">
        <is>
          <t xml:space="preserve">Tier 2 - Coastal wind (1-25 miles)</t>
        </is>
      </c>
      <c r="T436" s="36">
        <f>IF($A436="","",IF($S436="","",IFERROR(INDEX('[1]natural catastrophe'!$D$6:$D$17,MATCH($S436,'[1]natural catastrophe'!$B$6:$B$17,0)),"?")))</f>
      </c>
      <c r="U436" s="46" t="inlineStr">
        <is>
          <t xml:space="preserve">2% of agreed value, minimum $10,000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2563.95</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CANON-202602-005249</t>
        </is>
      </c>
      <c r="B437" s="30" t="inlineStr">
        <is>
          <t xml:space="preserve">Lorenzo Harrington</t>
        </is>
      </c>
      <c r="C437" s="31">
        <v>46059</v>
      </c>
      <c r="D437" s="32" t="inlineStr">
        <is>
          <t xml:space="preserve">Bound - within authority</t>
        </is>
      </c>
      <c r="E437" s="32" t="inlineStr">
        <is>
          <t xml:space="preserve">New business</t>
        </is>
      </c>
      <c r="F437" s="30" t="inlineStr">
        <is>
          <t xml:space="preserve">B1234EXOTIC26</t>
        </is>
      </c>
      <c r="G437" s="33">
        <f>IF($A437="","",IF($C437="","",YEAR($C437)))</f>
      </c>
      <c r="H437" s="34">
        <v>1958</v>
      </c>
      <c r="I437" s="30" t="inlineStr">
        <is>
          <t xml:space="preserve">Aston Martin</t>
        </is>
      </c>
      <c r="J437" s="30" t="inlineStr">
        <is>
          <t xml:space="preserve">DB12</t>
        </is>
      </c>
      <c r="K437" s="30" t="inlineStr">
        <is>
          <t xml:space="preserve">4BA2JYRPXRDEXBECT</t>
        </is>
      </c>
      <c r="L437" s="32" t="inlineStr">
        <is>
          <t xml:space="preserve">02 - Sports / GT</t>
        </is>
      </c>
      <c r="M437" s="35">
        <v>745000</v>
      </c>
      <c r="N437" s="32" t="inlineStr">
        <is>
          <t xml:space="preserve">Personal</t>
        </is>
      </c>
      <c r="O437" s="30" t="inlineStr">
        <is>
          <t xml:space="preserve">Personal - regular use</t>
        </is>
      </c>
      <c r="P437" s="30" t="inlineStr">
        <is>
          <t xml:space="preserve">Under 1,000</t>
        </is>
      </c>
      <c r="Q437" s="30" t="inlineStr">
        <is>
          <t xml:space="preserve">Indiana</t>
        </is>
      </c>
      <c r="R437" s="30" t="inlineStr">
        <is>
          <t xml:space="preserve">46204</t>
        </is>
      </c>
      <c r="S437" s="32" t="inlineStr">
        <is>
          <t xml:space="preserve">Severe convective - hail / tornado (moderate)</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9880.67</v>
      </c>
      <c r="AC437" s="37">
        <v>0</v>
      </c>
      <c r="AD437" s="38">
        <f>IF(ISNUMBER($AB437),$AB437*(1+N($AC437)),"")</f>
      </c>
      <c r="AE437" s="35">
        <v>350</v>
      </c>
      <c r="AF437" s="35">
        <v>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CANON-202602-005251</t>
        </is>
      </c>
      <c r="B438" s="46" t="inlineStr">
        <is>
          <t xml:space="preserve">Noor Pennington</t>
        </is>
      </c>
      <c r="C438" s="47">
        <v>46073</v>
      </c>
      <c r="D438" s="48" t="inlineStr">
        <is>
          <t xml:space="preserve">Bound - within authority</t>
        </is>
      </c>
      <c r="E438" s="48" t="inlineStr">
        <is>
          <t xml:space="preserve">New business</t>
        </is>
      </c>
      <c r="F438" s="46" t="inlineStr">
        <is>
          <t xml:space="preserve">B1234EXOTIC26</t>
        </is>
      </c>
      <c r="G438" s="33">
        <f>IF($A438="","",IF($C438="","",YEAR($C438)))</f>
      </c>
      <c r="H438" s="49">
        <v>2024</v>
      </c>
      <c r="I438" s="46" t="inlineStr">
        <is>
          <t xml:space="preserve">BMW</t>
        </is>
      </c>
      <c r="J438" s="46" t="inlineStr">
        <is>
          <t xml:space="preserve">M8 Competition</t>
        </is>
      </c>
      <c r="K438" s="46" t="inlineStr">
        <is>
          <t xml:space="preserve">CEJ26VWKJJTTMU9ZZ</t>
        </is>
      </c>
      <c r="L438" s="48" t="inlineStr">
        <is>
          <t xml:space="preserve">02 - Sports / GT</t>
        </is>
      </c>
      <c r="M438" s="50">
        <v>520000</v>
      </c>
      <c r="N438" s="48" t="inlineStr">
        <is>
          <t xml:space="preserve">Personal</t>
        </is>
      </c>
      <c r="O438" s="46" t="inlineStr">
        <is>
          <t xml:space="preserve">Personal - regular use</t>
        </is>
      </c>
      <c r="P438" s="46" t="inlineStr">
        <is>
          <t xml:space="preserve">2,500 - 5,000</t>
        </is>
      </c>
      <c r="Q438" s="46" t="inlineStr">
        <is>
          <t xml:space="preserve">Missouri</t>
        </is>
      </c>
      <c r="R438" s="46" t="inlineStr">
        <is>
          <t xml:space="preserve">63101</t>
        </is>
      </c>
      <c r="S438" s="48" t="inlineStr">
        <is>
          <t xml:space="preserve">Severe convective - hail / tornado (moderate)</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5943.39</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CANON-202602-005253</t>
        </is>
      </c>
      <c r="B439" s="30" t="inlineStr">
        <is>
          <t xml:space="preserve">Delphine Vasquez</t>
        </is>
      </c>
      <c r="C439" s="31">
        <v>46057</v>
      </c>
      <c r="D439" s="32" t="inlineStr">
        <is>
          <t xml:space="preserve">Bound - within authority</t>
        </is>
      </c>
      <c r="E439" s="32" t="inlineStr">
        <is>
          <t xml:space="preserve">New business</t>
        </is>
      </c>
      <c r="F439" s="30" t="inlineStr">
        <is>
          <t xml:space="preserve">B1234EXOTIC26</t>
        </is>
      </c>
      <c r="G439" s="33">
        <f>IF($A439="","",IF($C439="","",YEAR($C439)))</f>
      </c>
      <c r="H439" s="34">
        <v>1955</v>
      </c>
      <c r="I439" s="30" t="inlineStr">
        <is>
          <t xml:space="preserve">Mercedes-Benz</t>
        </is>
      </c>
      <c r="J439" s="30" t="inlineStr">
        <is>
          <t xml:space="preserve">280SL Pagoda</t>
        </is>
      </c>
      <c r="K439" s="30" t="inlineStr">
        <is>
          <t xml:space="preserve">8KNUGYHGMPER8CB7L</t>
        </is>
      </c>
      <c r="L439" s="32" t="inlineStr">
        <is>
          <t xml:space="preserve">07 - Post-War Classic (1946-1972)</t>
        </is>
      </c>
      <c r="M439" s="35">
        <v>1085000</v>
      </c>
      <c r="N439" s="32" t="inlineStr">
        <is>
          <t xml:space="preserve">Personal</t>
        </is>
      </c>
      <c r="O439" s="30" t="inlineStr">
        <is>
          <t xml:space="preserve">Personal - regular use</t>
        </is>
      </c>
      <c r="P439" s="30" t="inlineStr">
        <is>
          <t xml:space="preserve">1,000 - 2,500</t>
        </is>
      </c>
      <c r="Q439" s="30" t="inlineStr">
        <is>
          <t xml:space="preserve">Florida</t>
        </is>
      </c>
      <c r="R439" s="30" t="inlineStr">
        <is>
          <t xml:space="preserve">33139</t>
        </is>
      </c>
      <c r="S439" s="32" t="inlineStr">
        <is>
          <t xml:space="preserve">Tier 2 - Coastal wind (1-25 miles)</t>
        </is>
      </c>
      <c r="T439" s="36">
        <f>IF($A439="","",IF($S439="","",IFERROR(INDEX('[1]natural catastrophe'!$D$6:$D$17,MATCH($S439,'[1]natural catastrophe'!$B$6:$B$17,0)),"?")))</f>
      </c>
      <c r="U439" s="30" t="inlineStr">
        <is>
          <t xml:space="preserve">2% of agreed value, minimum $10,000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9712.11</v>
      </c>
      <c r="AC439" s="37">
        <v>0</v>
      </c>
      <c r="AD439" s="38">
        <f>IF(ISNUMBER($AB439),$AB439*(1+N($AC439)),"")</f>
      </c>
      <c r="AE439" s="35">
        <v>350</v>
      </c>
      <c r="AF439" s="35">
        <v>250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CANON-202602-005255</t>
        </is>
      </c>
      <c r="B440" s="46" t="inlineStr">
        <is>
          <t xml:space="preserve">Ingrid Whitlock</t>
        </is>
      </c>
      <c r="C440" s="47">
        <v>46069</v>
      </c>
      <c r="D440" s="48" t="inlineStr">
        <is>
          <t xml:space="preserve">Bound - within authority</t>
        </is>
      </c>
      <c r="E440" s="48" t="inlineStr">
        <is>
          <t xml:space="preserve">New business</t>
        </is>
      </c>
      <c r="F440" s="46" t="inlineStr">
        <is>
          <t xml:space="preserve">B1234EXOTIC26</t>
        </is>
      </c>
      <c r="G440" s="33">
        <f>IF($A440="","",IF($C440="","",YEAR($C440)))</f>
      </c>
      <c r="H440" s="49">
        <v>2000</v>
      </c>
      <c r="I440" s="46" t="inlineStr">
        <is>
          <t xml:space="preserve">Ferrari</t>
        </is>
      </c>
      <c r="J440" s="46" t="inlineStr">
        <is>
          <t xml:space="preserve">296 GTB</t>
        </is>
      </c>
      <c r="K440" s="46" t="inlineStr">
        <is>
          <t xml:space="preserve">HC9BNUJWYY9455YXK</t>
        </is>
      </c>
      <c r="L440" s="48" t="inlineStr">
        <is>
          <t xml:space="preserve">03 - Supercar</t>
        </is>
      </c>
      <c r="M440" s="50">
        <v>1950000</v>
      </c>
      <c r="N440" s="48" t="inlineStr">
        <is>
          <t xml:space="preserve">Personal</t>
        </is>
      </c>
      <c r="O440" s="46" t="inlineStr">
        <is>
          <t xml:space="preserve">Personal - regular use</t>
        </is>
      </c>
      <c r="P440" s="46" t="inlineStr">
        <is>
          <t xml:space="preserve">Under 1,000</t>
        </is>
      </c>
      <c r="Q440" s="46" t="inlineStr">
        <is>
          <t xml:space="preserve">Colorado</t>
        </is>
      </c>
      <c r="R440" s="46" t="inlineStr">
        <is>
          <t xml:space="preserve">80202</t>
        </is>
      </c>
      <c r="S440" s="48" t="inlineStr">
        <is>
          <t xml:space="preserve">Severe convective - hail alley (high)</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28466.17</v>
      </c>
      <c r="AC440" s="51">
        <v>0</v>
      </c>
      <c r="AD440" s="38">
        <f>IF(ISNUMBER($AB440),$AB440*(1+N($AC440)),"")</f>
      </c>
      <c r="AE440" s="50">
        <v>350</v>
      </c>
      <c r="AF440" s="50">
        <v>250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CANON-202602-005257</t>
        </is>
      </c>
      <c r="B441" s="30" t="inlineStr">
        <is>
          <t xml:space="preserve">Anouk Rourke</t>
        </is>
      </c>
      <c r="C441" s="31">
        <v>46066</v>
      </c>
      <c r="D441" s="32" t="inlineStr">
        <is>
          <t xml:space="preserve">Bound - within authority</t>
        </is>
      </c>
      <c r="E441" s="32" t="inlineStr">
        <is>
          <t xml:space="preserve">New business</t>
        </is>
      </c>
      <c r="F441" s="30" t="inlineStr">
        <is>
          <t xml:space="preserve">B1234EXOTIC26</t>
        </is>
      </c>
      <c r="G441" s="33">
        <f>IF($A441="","",IF($C441="","",YEAR($C441)))</f>
      </c>
      <c r="H441" s="34">
        <v>1971</v>
      </c>
      <c r="I441" s="30" t="inlineStr">
        <is>
          <t xml:space="preserve">Bentley</t>
        </is>
      </c>
      <c r="J441" s="30" t="inlineStr">
        <is>
          <t xml:space="preserve">Continental GT</t>
        </is>
      </c>
      <c r="K441" s="30" t="inlineStr">
        <is>
          <t xml:space="preserve">FUK4BT59KBZH7LK7S</t>
        </is>
      </c>
      <c r="L441" s="32" t="inlineStr">
        <is>
          <t xml:space="preserve">02 - Sports / GT</t>
        </is>
      </c>
      <c r="M441" s="35">
        <v>235000</v>
      </c>
      <c r="N441" s="32" t="inlineStr">
        <is>
          <t xml:space="preserve">Personal</t>
        </is>
      </c>
      <c r="O441" s="30" t="inlineStr">
        <is>
          <t xml:space="preserve">Personal - regular use</t>
        </is>
      </c>
      <c r="P441" s="30" t="inlineStr">
        <is>
          <t xml:space="preserve">1,000 - 2,500</t>
        </is>
      </c>
      <c r="Q441" s="30" t="inlineStr">
        <is>
          <t xml:space="preserve">Alaska</t>
        </is>
      </c>
      <c r="R441" s="30" t="inlineStr">
        <is>
          <t xml:space="preserve">99501</t>
        </is>
      </c>
      <c r="S441" s="32" t="inlineStr">
        <is>
          <t xml:space="preserve">Earthquake - high (CA, Cascadia, New Madrid)</t>
        </is>
      </c>
      <c r="T441" s="36">
        <f>IF($A441="","",IF($S441="","",IFERROR(INDEX('[1]natural catastrophe'!$D$6:$D$17,MATCH($S441,'[1]natural catastrophe'!$B$6:$B$17,0)),"?")))</f>
      </c>
      <c r="U441" s="30" t="inlineStr">
        <is>
          <t xml:space="preserve">$5,000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4088.58</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CANON-202602-005258</t>
        </is>
      </c>
      <c r="B442" s="46" t="inlineStr">
        <is>
          <t xml:space="preserve">Aurelio Castellanos</t>
        </is>
      </c>
      <c r="C442" s="47">
        <v>46070</v>
      </c>
      <c r="D442" s="48" t="inlineStr">
        <is>
          <t xml:space="preserve">Bound - within authority</t>
        </is>
      </c>
      <c r="E442" s="48" t="inlineStr">
        <is>
          <t xml:space="preserve">New business</t>
        </is>
      </c>
      <c r="F442" s="46" t="inlineStr">
        <is>
          <t xml:space="preserve">B1234EXOTIC26</t>
        </is>
      </c>
      <c r="G442" s="33">
        <f>IF($A442="","",IF($C442="","",YEAR($C442)))</f>
      </c>
      <c r="H442" s="49">
        <v>2006</v>
      </c>
      <c r="I442" s="46" t="inlineStr">
        <is>
          <t xml:space="preserve">Bentley</t>
        </is>
      </c>
      <c r="J442" s="46" t="inlineStr">
        <is>
          <t xml:space="preserve">Continental GT</t>
        </is>
      </c>
      <c r="K442" s="46" t="inlineStr">
        <is>
          <t xml:space="preserve">6B166ZT2D20WC9J1S</t>
        </is>
      </c>
      <c r="L442" s="48" t="inlineStr">
        <is>
          <t xml:space="preserve">02 - Sports / GT</t>
        </is>
      </c>
      <c r="M442" s="50">
        <v>375000</v>
      </c>
      <c r="N442" s="48" t="inlineStr">
        <is>
          <t xml:space="preserve">Personal</t>
        </is>
      </c>
      <c r="O442" s="46" t="inlineStr">
        <is>
          <t xml:space="preserve">Personal - regular use</t>
        </is>
      </c>
      <c r="P442" s="46" t="inlineStr">
        <is>
          <t xml:space="preserve">Under 1,000</t>
        </is>
      </c>
      <c r="Q442" s="46" t="inlineStr">
        <is>
          <t xml:space="preserve">Wyoming</t>
        </is>
      </c>
      <c r="R442" s="46" t="inlineStr">
        <is>
          <t xml:space="preserve">82001</t>
        </is>
      </c>
      <c r="S442" s="48" t="inlineStr">
        <is>
          <t xml:space="preserve">Severe convective - hail alley (high)</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4992.16</v>
      </c>
      <c r="AC442" s="51">
        <v>0</v>
      </c>
      <c r="AD442" s="38">
        <f>IF(ISNUMBER($AB442),$AB442*(1+N($AC442)),"")</f>
      </c>
      <c r="AE442" s="50">
        <v>350</v>
      </c>
      <c r="AF442" s="50">
        <v>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CANON-202602-005260</t>
        </is>
      </c>
      <c r="B443" s="30" t="inlineStr">
        <is>
          <t xml:space="preserve">Anouk Okonkwo</t>
        </is>
      </c>
      <c r="C443" s="31">
        <v>46063</v>
      </c>
      <c r="D443" s="32" t="inlineStr">
        <is>
          <t xml:space="preserve">Bound - within authority</t>
        </is>
      </c>
      <c r="E443" s="32" t="inlineStr">
        <is>
          <t xml:space="preserve">New business</t>
        </is>
      </c>
      <c r="F443" s="30" t="inlineStr">
        <is>
          <t xml:space="preserve">B1234EXOTIC26</t>
        </is>
      </c>
      <c r="G443" s="33">
        <f>IF($A443="","",IF($C443="","",YEAR($C443)))</f>
      </c>
      <c r="H443" s="34">
        <v>1984</v>
      </c>
      <c r="I443" s="30" t="inlineStr">
        <is>
          <t xml:space="preserve">McLaren</t>
        </is>
      </c>
      <c r="J443" s="30" t="inlineStr">
        <is>
          <t xml:space="preserve">750S</t>
        </is>
      </c>
      <c r="K443" s="30" t="inlineStr">
        <is>
          <t xml:space="preserve">J8GELVETYHB8HAV9K</t>
        </is>
      </c>
      <c r="L443" s="32" t="inlineStr">
        <is>
          <t xml:space="preserve">03 - Supercar</t>
        </is>
      </c>
      <c r="M443" s="35">
        <v>600000</v>
      </c>
      <c r="N443" s="32" t="inlineStr">
        <is>
          <t xml:space="preserve">Personal</t>
        </is>
      </c>
      <c r="O443" s="30" t="inlineStr">
        <is>
          <t xml:space="preserve">Personal - regular use</t>
        </is>
      </c>
      <c r="P443" s="30" t="inlineStr">
        <is>
          <t xml:space="preserve">Under 1,000</t>
        </is>
      </c>
      <c r="Q443" s="30" t="inlineStr">
        <is>
          <t xml:space="preserve">Georgia</t>
        </is>
      </c>
      <c r="R443" s="30" t="inlineStr">
        <is>
          <t xml:space="preserve">30303</t>
        </is>
      </c>
      <c r="S443" s="32" t="inlineStr">
        <is>
          <t xml:space="preserve">Tier 2 - Coastal wind (1-25 miles)</t>
        </is>
      </c>
      <c r="T443" s="36">
        <f>IF($A443="","",IF($S443="","",IFERROR(INDEX('[1]natural catastrophe'!$D$6:$D$17,MATCH($S443,'[1]natural catastrophe'!$B$6:$B$17,0)),"?")))</f>
      </c>
      <c r="U443" s="30" t="inlineStr">
        <is>
          <t xml:space="preserve">2% of agreed value, minimum $10,000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10590.21</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CANON-202602-005263</t>
        </is>
      </c>
      <c r="B444" s="46" t="inlineStr">
        <is>
          <t xml:space="preserve">Desmond Okonkwo</t>
        </is>
      </c>
      <c r="C444" s="47">
        <v>46071</v>
      </c>
      <c r="D444" s="48" t="inlineStr">
        <is>
          <t xml:space="preserve">Bound - within authority</t>
        </is>
      </c>
      <c r="E444" s="48" t="inlineStr">
        <is>
          <t xml:space="preserve">New business</t>
        </is>
      </c>
      <c r="F444" s="46" t="inlineStr">
        <is>
          <t xml:space="preserve">B1234EXOTIC26</t>
        </is>
      </c>
      <c r="G444" s="33">
        <f>IF($A444="","",IF($C444="","",YEAR($C444)))</f>
      </c>
      <c r="H444" s="49">
        <v>1959</v>
      </c>
      <c r="I444" s="46" t="inlineStr">
        <is>
          <t xml:space="preserve">Aston Martin</t>
        </is>
      </c>
      <c r="J444" s="46" t="inlineStr">
        <is>
          <t xml:space="preserve">DB5</t>
        </is>
      </c>
      <c r="K444" s="46" t="inlineStr">
        <is>
          <t xml:space="preserve">900GU60GAPWL75SC9</t>
        </is>
      </c>
      <c r="L444" s="48" t="inlineStr">
        <is>
          <t xml:space="preserve">07 - Post-War Classic (1946-1972)</t>
        </is>
      </c>
      <c r="M444" s="50">
        <v>820000</v>
      </c>
      <c r="N444" s="48" t="inlineStr">
        <is>
          <t xml:space="preserve">Personal</t>
        </is>
      </c>
      <c r="O444" s="46" t="inlineStr">
        <is>
          <t xml:space="preserve">Personal - regular use</t>
        </is>
      </c>
      <c r="P444" s="46" t="inlineStr">
        <is>
          <t xml:space="preserve">Under 1,000</t>
        </is>
      </c>
      <c r="Q444" s="46" t="inlineStr">
        <is>
          <t xml:space="preserve">Mississippi</t>
        </is>
      </c>
      <c r="R444" s="46" t="inlineStr">
        <is>
          <t xml:space="preserve">39201</t>
        </is>
      </c>
      <c r="S444" s="48" t="inlineStr">
        <is>
          <t xml:space="preserve">Tier 2 - Coastal wind (1-25 miles)</t>
        </is>
      </c>
      <c r="T444" s="36">
        <f>IF($A444="","",IF($S444="","",IFERROR(INDEX('[1]natural catastrophe'!$D$6:$D$17,MATCH($S444,'[1]natural catastrophe'!$B$6:$B$17,0)),"?")))</f>
      </c>
      <c r="U444" s="46" t="inlineStr">
        <is>
          <t xml:space="preserve">2% of agreed value, minimum $10,000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6960.51</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CANON-202602-005266</t>
        </is>
      </c>
      <c r="B445" s="30" t="inlineStr">
        <is>
          <t xml:space="preserve">Beatrix Whitlock</t>
        </is>
      </c>
      <c r="C445" s="31">
        <v>46079</v>
      </c>
      <c r="D445" s="32" t="inlineStr">
        <is>
          <t xml:space="preserve">Bound - within authority</t>
        </is>
      </c>
      <c r="E445" s="32" t="inlineStr">
        <is>
          <t xml:space="preserve">New business</t>
        </is>
      </c>
      <c r="F445" s="30" t="inlineStr">
        <is>
          <t xml:space="preserve">B1234EXOTIC26</t>
        </is>
      </c>
      <c r="G445" s="33">
        <f>IF($A445="","",IF($C445="","",YEAR($C445)))</f>
      </c>
      <c r="H445" s="34">
        <v>2017</v>
      </c>
      <c r="I445" s="30" t="inlineStr">
        <is>
          <t xml:space="preserve">Mercedes-Benz</t>
        </is>
      </c>
      <c r="J445" s="30" t="inlineStr">
        <is>
          <t xml:space="preserve">AMG GT</t>
        </is>
      </c>
      <c r="K445" s="30" t="inlineStr">
        <is>
          <t xml:space="preserve">HCUXF2Z2DC9VCKWPH</t>
        </is>
      </c>
      <c r="L445" s="32" t="inlineStr">
        <is>
          <t xml:space="preserve">02 - Sports / GT</t>
        </is>
      </c>
      <c r="M445" s="35">
        <v>575000</v>
      </c>
      <c r="N445" s="32" t="inlineStr">
        <is>
          <t xml:space="preserve">Personal</t>
        </is>
      </c>
      <c r="O445" s="30" t="inlineStr">
        <is>
          <t xml:space="preserve">Personal - regular use</t>
        </is>
      </c>
      <c r="P445" s="30" t="inlineStr">
        <is>
          <t xml:space="preserve">Under 1,000</t>
        </is>
      </c>
      <c r="Q445" s="30" t="inlineStr">
        <is>
          <t xml:space="preserve">Colorado</t>
        </is>
      </c>
      <c r="R445" s="30" t="inlineStr">
        <is>
          <t xml:space="preserve">80202</t>
        </is>
      </c>
      <c r="S445" s="32" t="inlineStr">
        <is>
          <t xml:space="preserve">Severe convective - hail alley (high)</t>
        </is>
      </c>
      <c r="T445" s="36">
        <f>IF($A445="","",IF($S445="","",IFERROR(INDEX('[1]natural catastrophe'!$D$6:$D$17,MATCH($S445,'[1]natural catastrophe'!$B$6:$B$17,0)),"?")))</f>
      </c>
      <c r="U445" s="30" t="inlineStr">
        <is>
          <t xml:space="preserve">$5,000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6820.02</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CANON-202602-005268</t>
        </is>
      </c>
      <c r="B446" s="46" t="inlineStr">
        <is>
          <t xml:space="preserve">Marisol Merriweather</t>
        </is>
      </c>
      <c r="C446" s="47">
        <v>46081</v>
      </c>
      <c r="D446" s="48" t="inlineStr">
        <is>
          <t xml:space="preserve">Bound - within authority</t>
        </is>
      </c>
      <c r="E446" s="48" t="inlineStr">
        <is>
          <t xml:space="preserve">New business</t>
        </is>
      </c>
      <c r="F446" s="46" t="inlineStr">
        <is>
          <t xml:space="preserve">B1234EXOTIC26</t>
        </is>
      </c>
      <c r="G446" s="33">
        <f>IF($A446="","",IF($C446="","",YEAR($C446)))</f>
      </c>
      <c r="H446" s="49">
        <v>1955</v>
      </c>
      <c r="I446" s="46" t="inlineStr">
        <is>
          <t xml:space="preserve">Maserati</t>
        </is>
      </c>
      <c r="J446" s="46" t="inlineStr">
        <is>
          <t xml:space="preserve">GranTurismo</t>
        </is>
      </c>
      <c r="K446" s="46" t="inlineStr">
        <is>
          <t xml:space="preserve">K5RLUHU9PSDUEMECK</t>
        </is>
      </c>
      <c r="L446" s="48" t="inlineStr">
        <is>
          <t xml:space="preserve">02 - Sports / GT</t>
        </is>
      </c>
      <c r="M446" s="50">
        <v>230000</v>
      </c>
      <c r="N446" s="48" t="inlineStr">
        <is>
          <t xml:space="preserve">Personal</t>
        </is>
      </c>
      <c r="O446" s="46" t="inlineStr">
        <is>
          <t xml:space="preserve">Personal - regular use</t>
        </is>
      </c>
      <c r="P446" s="46" t="inlineStr">
        <is>
          <t xml:space="preserve">Under 1,000</t>
        </is>
      </c>
      <c r="Q446" s="46" t="inlineStr">
        <is>
          <t xml:space="preserve">Washington</t>
        </is>
      </c>
      <c r="R446" s="46" t="inlineStr">
        <is>
          <t xml:space="preserve">98101</t>
        </is>
      </c>
      <c r="S446" s="48" t="inlineStr">
        <is>
          <t xml:space="preserve">Earthquake - high (CA, Cascadia, New Madrid)</t>
        </is>
      </c>
      <c r="T446" s="36">
        <f>IF($A446="","",IF($S446="","",IFERROR(INDEX('[1]natural catastrophe'!$D$6:$D$17,MATCH($S446,'[1]natural catastrophe'!$B$6:$B$17,0)),"?")))</f>
      </c>
      <c r="U446" s="46" t="inlineStr">
        <is>
          <t xml:space="preserve">$5,000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3369.75</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CANON-202602-005270</t>
        </is>
      </c>
      <c r="B447" s="30" t="inlineStr">
        <is>
          <t xml:space="preserve">Delphine Underwood</t>
        </is>
      </c>
      <c r="C447" s="31">
        <v>46067</v>
      </c>
      <c r="D447" s="32" t="inlineStr">
        <is>
          <t xml:space="preserve">Bound - within authority</t>
        </is>
      </c>
      <c r="E447" s="32" t="inlineStr">
        <is>
          <t xml:space="preserve">New business</t>
        </is>
      </c>
      <c r="F447" s="30" t="inlineStr">
        <is>
          <t xml:space="preserve">B1234EXOTIC26</t>
        </is>
      </c>
      <c r="G447" s="33">
        <f>IF($A447="","",IF($C447="","",YEAR($C447)))</f>
      </c>
      <c r="H447" s="34">
        <v>1995</v>
      </c>
      <c r="I447" s="30" t="inlineStr">
        <is>
          <t xml:space="preserve">Mercedes-Benz</t>
        </is>
      </c>
      <c r="J447" s="30" t="inlineStr">
        <is>
          <t xml:space="preserve">AMG GT</t>
        </is>
      </c>
      <c r="K447" s="30" t="inlineStr">
        <is>
          <t xml:space="preserve">PPE29HVXK4DLTRSG2</t>
        </is>
      </c>
      <c r="L447" s="32" t="inlineStr">
        <is>
          <t xml:space="preserve">02 - Sports / GT</t>
        </is>
      </c>
      <c r="M447" s="35">
        <v>580000</v>
      </c>
      <c r="N447" s="32" t="inlineStr">
        <is>
          <t xml:space="preserve">Personal</t>
        </is>
      </c>
      <c r="O447" s="30" t="inlineStr">
        <is>
          <t xml:space="preserve">Personal - regular use</t>
        </is>
      </c>
      <c r="P447" s="30" t="inlineStr">
        <is>
          <t xml:space="preserve">1,000 - 2,500</t>
        </is>
      </c>
      <c r="Q447" s="30" t="inlineStr">
        <is>
          <t xml:space="preserve">Oklahoma</t>
        </is>
      </c>
      <c r="R447" s="30" t="inlineStr">
        <is>
          <t xml:space="preserve">73102</t>
        </is>
      </c>
      <c r="S447" s="32" t="inlineStr">
        <is>
          <t xml:space="preserve">Severe convective - hail alley (high)</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7879.95</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CANON-202602-005271</t>
        </is>
      </c>
      <c r="B448" s="46" t="inlineStr">
        <is>
          <t xml:space="preserve">Sunniva Chattopadhyay</t>
        </is>
      </c>
      <c r="C448" s="47">
        <v>46056</v>
      </c>
      <c r="D448" s="48" t="inlineStr">
        <is>
          <t xml:space="preserve">Bound - within authority</t>
        </is>
      </c>
      <c r="E448" s="48" t="inlineStr">
        <is>
          <t xml:space="preserve">New business</t>
        </is>
      </c>
      <c r="F448" s="46" t="inlineStr">
        <is>
          <t xml:space="preserve">B1234EXOTIC26</t>
        </is>
      </c>
      <c r="G448" s="33">
        <f>IF($A448="","",IF($C448="","",YEAR($C448)))</f>
      </c>
      <c r="H448" s="49">
        <v>2013</v>
      </c>
      <c r="I448" s="46" t="inlineStr">
        <is>
          <t xml:space="preserve">Lamborghini</t>
        </is>
      </c>
      <c r="J448" s="46" t="inlineStr">
        <is>
          <t xml:space="preserve">Huracan EVO</t>
        </is>
      </c>
      <c r="K448" s="46" t="inlineStr">
        <is>
          <t xml:space="preserve">Y2VUE0KXM525DS5XD</t>
        </is>
      </c>
      <c r="L448" s="48" t="inlineStr">
        <is>
          <t xml:space="preserve">03 - Supercar</t>
        </is>
      </c>
      <c r="M448" s="50">
        <v>435000</v>
      </c>
      <c r="N448" s="48" t="inlineStr">
        <is>
          <t xml:space="preserve">Personal</t>
        </is>
      </c>
      <c r="O448" s="46" t="inlineStr">
        <is>
          <t xml:space="preserve">Personal - regular use</t>
        </is>
      </c>
      <c r="P448" s="46" t="inlineStr">
        <is>
          <t xml:space="preserve">2,500 - 5,000</t>
        </is>
      </c>
      <c r="Q448" s="46" t="inlineStr">
        <is>
          <t xml:space="preserve">California</t>
        </is>
      </c>
      <c r="R448" s="46" t="inlineStr">
        <is>
          <t xml:space="preserve">90012</t>
        </is>
      </c>
      <c r="S448" s="48" t="inlineStr">
        <is>
          <t xml:space="preserve">Earthquake - high (CA, Cascadia, New Madrid)</t>
        </is>
      </c>
      <c r="T448" s="36">
        <f>IF($A448="","",IF($S448="","",IFERROR(INDEX('[1]natural catastrophe'!$D$6:$D$17,MATCH($S448,'[1]natural catastrophe'!$B$6:$B$17,0)),"?")))</f>
      </c>
      <c r="U448" s="46" t="inlineStr">
        <is>
          <t xml:space="preserve">$5,000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11202.96</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CANON-202602-005272</t>
        </is>
      </c>
      <c r="B449" s="30" t="inlineStr">
        <is>
          <t xml:space="preserve">Leopold Kingsford</t>
        </is>
      </c>
      <c r="C449" s="31">
        <v>46063</v>
      </c>
      <c r="D449" s="32" t="inlineStr">
        <is>
          <t xml:space="preserve">Bound - within authority</t>
        </is>
      </c>
      <c r="E449" s="32" t="inlineStr">
        <is>
          <t xml:space="preserve">New business</t>
        </is>
      </c>
      <c r="F449" s="30" t="inlineStr">
        <is>
          <t xml:space="preserve">B1234EXOTIC26</t>
        </is>
      </c>
      <c r="G449" s="33">
        <f>IF($A449="","",IF($C449="","",YEAR($C449)))</f>
      </c>
      <c r="H449" s="34">
        <v>1962</v>
      </c>
      <c r="I449" s="30" t="inlineStr">
        <is>
          <t xml:space="preserve">Ferrari</t>
        </is>
      </c>
      <c r="J449" s="30" t="inlineStr">
        <is>
          <t xml:space="preserve">SF90 Stradale</t>
        </is>
      </c>
      <c r="K449" s="30" t="inlineStr">
        <is>
          <t xml:space="preserve">KEXLD6E8JTV5VGFGM</t>
        </is>
      </c>
      <c r="L449" s="32" t="inlineStr">
        <is>
          <t xml:space="preserve">03 - Supercar</t>
        </is>
      </c>
      <c r="M449" s="35">
        <v>1550000</v>
      </c>
      <c r="N449" s="32" t="inlineStr">
        <is>
          <t xml:space="preserve">Personal</t>
        </is>
      </c>
      <c r="O449" s="30" t="inlineStr">
        <is>
          <t xml:space="preserve">Personal - regular use</t>
        </is>
      </c>
      <c r="P449" s="30" t="inlineStr">
        <is>
          <t xml:space="preserve">2,500 - 5,000</t>
        </is>
      </c>
      <c r="Q449" s="30" t="inlineStr">
        <is>
          <t xml:space="preserve">Idaho</t>
        </is>
      </c>
      <c r="R449" s="30" t="inlineStr">
        <is>
          <t xml:space="preserve">83702</t>
        </is>
      </c>
      <c r="S449" s="32" t="inlineStr">
        <is>
          <t xml:space="preserve">Wildfire - WUI high hazard</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20364.26</v>
      </c>
      <c r="AC449" s="37">
        <v>0</v>
      </c>
      <c r="AD449" s="38">
        <f>IF(ISNUMBER($AB449),$AB449*(1+N($AC449)),"")</f>
      </c>
      <c r="AE449" s="35">
        <v>350</v>
      </c>
      <c r="AF449" s="35">
        <v>250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CANON-202602-005274</t>
        </is>
      </c>
      <c r="B450" s="46" t="inlineStr">
        <is>
          <t xml:space="preserve">Desmond Whitlock</t>
        </is>
      </c>
      <c r="C450" s="47">
        <v>46059</v>
      </c>
      <c r="D450" s="48" t="inlineStr">
        <is>
          <t xml:space="preserve">Bound - within authority</t>
        </is>
      </c>
      <c r="E450" s="48" t="inlineStr">
        <is>
          <t xml:space="preserve">New business</t>
        </is>
      </c>
      <c r="F450" s="46" t="inlineStr">
        <is>
          <t xml:space="preserve">B1234EXOTIC26</t>
        </is>
      </c>
      <c r="G450" s="33">
        <f>IF($A450="","",IF($C450="","",YEAR($C450)))</f>
      </c>
      <c r="H450" s="49">
        <v>2012</v>
      </c>
      <c r="I450" s="46" t="inlineStr">
        <is>
          <t xml:space="preserve">Alfa Romeo</t>
        </is>
      </c>
      <c r="J450" s="46" t="inlineStr">
        <is>
          <t xml:space="preserve">8C 2900</t>
        </is>
      </c>
      <c r="K450" s="46" t="inlineStr">
        <is>
          <t xml:space="preserve">BDFYZX1VK6YRKZ4VJ</t>
        </is>
      </c>
      <c r="L450" s="48" t="inlineStr">
        <is>
          <t xml:space="preserve">02 - Sports / GT</t>
        </is>
      </c>
      <c r="M450" s="50">
        <v>1005000</v>
      </c>
      <c r="N450" s="48" t="inlineStr">
        <is>
          <t xml:space="preserve">Personal</t>
        </is>
      </c>
      <c r="O450" s="46" t="inlineStr">
        <is>
          <t xml:space="preserve">Personal - regular use</t>
        </is>
      </c>
      <c r="P450" s="46" t="inlineStr">
        <is>
          <t xml:space="preserve">Under 1,000</t>
        </is>
      </c>
      <c r="Q450" s="46" t="inlineStr">
        <is>
          <t xml:space="preserve">Oklahoma</t>
        </is>
      </c>
      <c r="R450" s="46" t="inlineStr">
        <is>
          <t xml:space="preserve">73102</t>
        </is>
      </c>
      <c r="S450" s="48" t="inlineStr">
        <is>
          <t xml:space="preserve">Severe convective - hail alley (high)</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7142.12</v>
      </c>
      <c r="AC450" s="51">
        <v>0</v>
      </c>
      <c r="AD450" s="38">
        <f>IF(ISNUMBER($AB450),$AB450*(1+N($AC450)),"")</f>
      </c>
      <c r="AE450" s="50">
        <v>350</v>
      </c>
      <c r="AF450" s="50">
        <v>250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CANON-202602-005275</t>
        </is>
      </c>
      <c r="B451" s="30" t="inlineStr">
        <is>
          <t xml:space="preserve">Noor Harrington</t>
        </is>
      </c>
      <c r="C451" s="31">
        <v>46054</v>
      </c>
      <c r="D451" s="32" t="inlineStr">
        <is>
          <t xml:space="preserve">Bound - within authority</t>
        </is>
      </c>
      <c r="E451" s="32" t="inlineStr">
        <is>
          <t xml:space="preserve">New business</t>
        </is>
      </c>
      <c r="F451" s="30" t="inlineStr">
        <is>
          <t xml:space="preserve">B1234EXOTIC26</t>
        </is>
      </c>
      <c r="G451" s="33">
        <f>IF($A451="","",IF($C451="","",YEAR($C451)))</f>
      </c>
      <c r="H451" s="34">
        <v>2008</v>
      </c>
      <c r="I451" s="30" t="inlineStr">
        <is>
          <t xml:space="preserve">Ferrari</t>
        </is>
      </c>
      <c r="J451" s="30" t="inlineStr">
        <is>
          <t xml:space="preserve">296 GTB</t>
        </is>
      </c>
      <c r="K451" s="30" t="inlineStr">
        <is>
          <t xml:space="preserve">MMKZLFM2GDE31NTPH</t>
        </is>
      </c>
      <c r="L451" s="32" t="inlineStr">
        <is>
          <t xml:space="preserve">03 - Supercar</t>
        </is>
      </c>
      <c r="M451" s="35">
        <v>1405000</v>
      </c>
      <c r="N451" s="32" t="inlineStr">
        <is>
          <t xml:space="preserve">Personal</t>
        </is>
      </c>
      <c r="O451" s="30" t="inlineStr">
        <is>
          <t xml:space="preserve">Personal - regular use</t>
        </is>
      </c>
      <c r="P451" s="30" t="inlineStr">
        <is>
          <t xml:space="preserve">1,000 - 2,500</t>
        </is>
      </c>
      <c r="Q451" s="30" t="inlineStr">
        <is>
          <t xml:space="preserve">Maine</t>
        </is>
      </c>
      <c r="R451" s="30" t="inlineStr">
        <is>
          <t xml:space="preserve">04101</t>
        </is>
      </c>
      <c r="S451" s="32" t="inlineStr">
        <is>
          <t xml:space="preserve">Tier 3 - Coastal wind (25-100 miles)</t>
        </is>
      </c>
      <c r="T451" s="36">
        <f>IF($A451="","",IF($S451="","",IFERROR(INDEX('[1]natural catastrophe'!$D$6:$D$17,MATCH($S451,'[1]natural catastrophe'!$B$6:$B$17,0)),"?")))</f>
      </c>
      <c r="U451" s="30" t="inlineStr">
        <is>
          <t xml:space="preserve">2% of agreed value, minimum $10,000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20137.33</v>
      </c>
      <c r="AC451" s="37">
        <v>0</v>
      </c>
      <c r="AD451" s="38">
        <f>IF(ISNUMBER($AB451),$AB451*(1+N($AC451)),"")</f>
      </c>
      <c r="AE451" s="35">
        <v>350</v>
      </c>
      <c r="AF451" s="35">
        <v>250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CANON-202602-005276</t>
        </is>
      </c>
      <c r="B452" s="46" t="inlineStr">
        <is>
          <t xml:space="preserve">Ramona Chattopadhyay</t>
        </is>
      </c>
      <c r="C452" s="47">
        <v>46077</v>
      </c>
      <c r="D452" s="48" t="inlineStr">
        <is>
          <t xml:space="preserve">Bound - within authority</t>
        </is>
      </c>
      <c r="E452" s="48" t="inlineStr">
        <is>
          <t xml:space="preserve">New business</t>
        </is>
      </c>
      <c r="F452" s="46" t="inlineStr">
        <is>
          <t xml:space="preserve">B1234EXOTIC26</t>
        </is>
      </c>
      <c r="G452" s="33">
        <f>IF($A452="","",IF($C452="","",YEAR($C452)))</f>
      </c>
      <c r="H452" s="49">
        <v>2015</v>
      </c>
      <c r="I452" s="46" t="inlineStr">
        <is>
          <t xml:space="preserve">Ferrari</t>
        </is>
      </c>
      <c r="J452" s="46" t="inlineStr">
        <is>
          <t xml:space="preserve">296 GTB</t>
        </is>
      </c>
      <c r="K452" s="46" t="inlineStr">
        <is>
          <t xml:space="preserve">0LTVU74VLPMN0AW9R</t>
        </is>
      </c>
      <c r="L452" s="48" t="inlineStr">
        <is>
          <t xml:space="preserve">03 - Supercar</t>
        </is>
      </c>
      <c r="M452" s="50">
        <v>640000</v>
      </c>
      <c r="N452" s="48" t="inlineStr">
        <is>
          <t xml:space="preserve">Personal</t>
        </is>
      </c>
      <c r="O452" s="46" t="inlineStr">
        <is>
          <t xml:space="preserve">Personal - regular use</t>
        </is>
      </c>
      <c r="P452" s="46" t="inlineStr">
        <is>
          <t xml:space="preserve">1,000 - 2,500</t>
        </is>
      </c>
      <c r="Q452" s="46" t="inlineStr">
        <is>
          <t xml:space="preserve">Tennessee</t>
        </is>
      </c>
      <c r="R452" s="46" t="inlineStr">
        <is>
          <t xml:space="preserve">37203</t>
        </is>
      </c>
      <c r="S452" s="48" t="inlineStr">
        <is>
          <t xml:space="preserve">Severe convective - hail / tornado (moderate)</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9884.19</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CANON-202602-005277</t>
        </is>
      </c>
      <c r="B453" s="30" t="inlineStr">
        <is>
          <t xml:space="preserve">Emiliano Vandermeer</t>
        </is>
      </c>
      <c r="C453" s="31">
        <v>46073</v>
      </c>
      <c r="D453" s="32" t="inlineStr">
        <is>
          <t xml:space="preserve">Bound - within authority</t>
        </is>
      </c>
      <c r="E453" s="32" t="inlineStr">
        <is>
          <t xml:space="preserve">New business</t>
        </is>
      </c>
      <c r="F453" s="30" t="inlineStr">
        <is>
          <t xml:space="preserve">B1234EXOTIC26</t>
        </is>
      </c>
      <c r="G453" s="33">
        <f>IF($A453="","",IF($C453="","",YEAR($C453)))</f>
      </c>
      <c r="H453" s="34">
        <v>2013</v>
      </c>
      <c r="I453" s="30" t="inlineStr">
        <is>
          <t xml:space="preserve">Bentley</t>
        </is>
      </c>
      <c r="J453" s="30" t="inlineStr">
        <is>
          <t xml:space="preserve">Continental GT</t>
        </is>
      </c>
      <c r="K453" s="30" t="inlineStr">
        <is>
          <t xml:space="preserve">8PFG3C3BTBZTKLJ8V</t>
        </is>
      </c>
      <c r="L453" s="32" t="inlineStr">
        <is>
          <t xml:space="preserve">02 - Sports / GT</t>
        </is>
      </c>
      <c r="M453" s="35">
        <v>910000</v>
      </c>
      <c r="N453" s="32" t="inlineStr">
        <is>
          <t xml:space="preserve">Personal</t>
        </is>
      </c>
      <c r="O453" s="30" t="inlineStr">
        <is>
          <t xml:space="preserve">Personal - regular use</t>
        </is>
      </c>
      <c r="P453" s="30" t="inlineStr">
        <is>
          <t xml:space="preserve">2,500 - 5,000</t>
        </is>
      </c>
      <c r="Q453" s="30" t="inlineStr">
        <is>
          <t xml:space="preserve">Vermont</t>
        </is>
      </c>
      <c r="R453" s="30" t="inlineStr">
        <is>
          <t xml:space="preserve">05601</t>
        </is>
      </c>
      <c r="S453" s="32" t="inlineStr">
        <is>
          <t xml:space="preserve">Low hazard - inland benign</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11970.89</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CANON-202602-005282</t>
        </is>
      </c>
      <c r="B454" s="46" t="inlineStr">
        <is>
          <t xml:space="preserve">Desmond Farkas</t>
        </is>
      </c>
      <c r="C454" s="47">
        <v>46055</v>
      </c>
      <c r="D454" s="48" t="inlineStr">
        <is>
          <t xml:space="preserve">Bound - within authority</t>
        </is>
      </c>
      <c r="E454" s="48" t="inlineStr">
        <is>
          <t xml:space="preserve">New business</t>
        </is>
      </c>
      <c r="F454" s="46" t="inlineStr">
        <is>
          <t xml:space="preserve">B1234EXOTIC26</t>
        </is>
      </c>
      <c r="G454" s="33">
        <f>IF($A454="","",IF($C454="","",YEAR($C454)))</f>
      </c>
      <c r="H454" s="49">
        <v>2001</v>
      </c>
      <c r="I454" s="46" t="inlineStr">
        <is>
          <t xml:space="preserve">BMW</t>
        </is>
      </c>
      <c r="J454" s="46" t="inlineStr">
        <is>
          <t xml:space="preserve">M8 Competition</t>
        </is>
      </c>
      <c r="K454" s="46" t="inlineStr">
        <is>
          <t xml:space="preserve">5JMLN5H10MT7GLJSR</t>
        </is>
      </c>
      <c r="L454" s="48" t="inlineStr">
        <is>
          <t xml:space="preserve">02 - Sports / GT</t>
        </is>
      </c>
      <c r="M454" s="50">
        <v>295000</v>
      </c>
      <c r="N454" s="48" t="inlineStr">
        <is>
          <t xml:space="preserve">Personal</t>
        </is>
      </c>
      <c r="O454" s="46" t="inlineStr">
        <is>
          <t xml:space="preserve">Personal - regular use</t>
        </is>
      </c>
      <c r="P454" s="46" t="inlineStr">
        <is>
          <t xml:space="preserve">1,000 - 2,500</t>
        </is>
      </c>
      <c r="Q454" s="46" t="inlineStr">
        <is>
          <t xml:space="preserve">Washington</t>
        </is>
      </c>
      <c r="R454" s="46" t="inlineStr">
        <is>
          <t xml:space="preserve">98101</t>
        </is>
      </c>
      <c r="S454" s="48" t="inlineStr">
        <is>
          <t xml:space="preserve">Earthquake - high (CA, Cascadia, New Madrid)</t>
        </is>
      </c>
      <c r="T454" s="36">
        <f>IF($A454="","",IF($S454="","",IFERROR(INDEX('[1]natural catastrophe'!$D$6:$D$17,MATCH($S454,'[1]natural catastrophe'!$B$6:$B$17,0)),"?")))</f>
      </c>
      <c r="U454" s="46" t="inlineStr">
        <is>
          <t xml:space="preserve">$5,000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3523.44</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CANON-202602-005286</t>
        </is>
      </c>
      <c r="B455" s="30" t="inlineStr">
        <is>
          <t xml:space="preserve">Ramona Vasquez</t>
        </is>
      </c>
      <c r="C455" s="31">
        <v>46057</v>
      </c>
      <c r="D455" s="32" t="inlineStr">
        <is>
          <t xml:space="preserve">Bound - within authority</t>
        </is>
      </c>
      <c r="E455" s="32" t="inlineStr">
        <is>
          <t xml:space="preserve">New business</t>
        </is>
      </c>
      <c r="F455" s="30" t="inlineStr">
        <is>
          <t xml:space="preserve">B1234EXOTIC26</t>
        </is>
      </c>
      <c r="G455" s="33">
        <f>IF($A455="","",IF($C455="","",YEAR($C455)))</f>
      </c>
      <c r="H455" s="34">
        <v>1990</v>
      </c>
      <c r="I455" s="30" t="inlineStr">
        <is>
          <t xml:space="preserve">Ferrari</t>
        </is>
      </c>
      <c r="J455" s="30" t="inlineStr">
        <is>
          <t xml:space="preserve">SF90 Stradale</t>
        </is>
      </c>
      <c r="K455" s="30" t="inlineStr">
        <is>
          <t xml:space="preserve">K9MHKZ5BEM7WCRYGJ</t>
        </is>
      </c>
      <c r="L455" s="32" t="inlineStr">
        <is>
          <t xml:space="preserve">03 - Supercar</t>
        </is>
      </c>
      <c r="M455" s="35">
        <v>1265000</v>
      </c>
      <c r="N455" s="32" t="inlineStr">
        <is>
          <t xml:space="preserve">Personal</t>
        </is>
      </c>
      <c r="O455" s="30" t="inlineStr">
        <is>
          <t xml:space="preserve">Personal - regular use</t>
        </is>
      </c>
      <c r="P455" s="30" t="inlineStr">
        <is>
          <t xml:space="preserve">2,500 - 5,000</t>
        </is>
      </c>
      <c r="Q455" s="30" t="inlineStr">
        <is>
          <t xml:space="preserve">Minnesota</t>
        </is>
      </c>
      <c r="R455" s="30" t="inlineStr">
        <is>
          <t xml:space="preserve">55401</t>
        </is>
      </c>
      <c r="S455" s="32" t="inlineStr">
        <is>
          <t xml:space="preserve">Severe convective - hail / tornado (moderate)</t>
        </is>
      </c>
      <c r="T455" s="36">
        <f>IF($A455="","",IF($S455="","",IFERROR(INDEX('[1]natural catastrophe'!$D$6:$D$17,MATCH($S455,'[1]natural catastrophe'!$B$6:$B$17,0)),"?")))</f>
      </c>
      <c r="U455" s="30" t="inlineStr">
        <is>
          <t xml:space="preserve">$5,000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22159.82</v>
      </c>
      <c r="AC455" s="37">
        <v>0</v>
      </c>
      <c r="AD455" s="38">
        <f>IF(ISNUMBER($AB455),$AB455*(1+N($AC455)),"")</f>
      </c>
      <c r="AE455" s="35">
        <v>350</v>
      </c>
      <c r="AF455" s="35">
        <v>250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CANON-202602-005287</t>
        </is>
      </c>
      <c r="B456" s="46" t="inlineStr">
        <is>
          <t xml:space="preserve">Marisol Thistlewood</t>
        </is>
      </c>
      <c r="C456" s="47">
        <v>46071</v>
      </c>
      <c r="D456" s="48" t="inlineStr">
        <is>
          <t xml:space="preserve">Bound - within authority</t>
        </is>
      </c>
      <c r="E456" s="48" t="inlineStr">
        <is>
          <t xml:space="preserve">New business</t>
        </is>
      </c>
      <c r="F456" s="46" t="inlineStr">
        <is>
          <t xml:space="preserve">B1234EXOTIC26</t>
        </is>
      </c>
      <c r="G456" s="33">
        <f>IF($A456="","",IF($C456="","",YEAR($C456)))</f>
      </c>
      <c r="H456" s="49">
        <v>1970</v>
      </c>
      <c r="I456" s="46" t="inlineStr">
        <is>
          <t xml:space="preserve">Porsche</t>
        </is>
      </c>
      <c r="J456" s="46" t="inlineStr">
        <is>
          <t xml:space="preserve">911 Turbo S</t>
        </is>
      </c>
      <c r="K456" s="46" t="inlineStr">
        <is>
          <t xml:space="preserve">U7WPM2CN6GN71B904</t>
        </is>
      </c>
      <c r="L456" s="48" t="inlineStr">
        <is>
          <t xml:space="preserve">02 - Sports / GT</t>
        </is>
      </c>
      <c r="M456" s="50">
        <v>375000</v>
      </c>
      <c r="N456" s="48" t="inlineStr">
        <is>
          <t xml:space="preserve">Personal</t>
        </is>
      </c>
      <c r="O456" s="46" t="inlineStr">
        <is>
          <t xml:space="preserve">Personal - regular use</t>
        </is>
      </c>
      <c r="P456" s="46" t="inlineStr">
        <is>
          <t xml:space="preserve">2,500 - 5,000</t>
        </is>
      </c>
      <c r="Q456" s="46" t="inlineStr">
        <is>
          <t xml:space="preserve">Hawaii</t>
        </is>
      </c>
      <c r="R456" s="46" t="inlineStr">
        <is>
          <t xml:space="preserve">96813</t>
        </is>
      </c>
      <c r="S456" s="48" t="inlineStr">
        <is>
          <t xml:space="preserve">Earthquake - high (CA, Cascadia, New Madrid)</t>
        </is>
      </c>
      <c r="T456" s="36">
        <f>IF($A456="","",IF($S456="","",IFERROR(INDEX('[1]natural catastrophe'!$D$6:$D$17,MATCH($S456,'[1]natural catastrophe'!$B$6:$B$17,0)),"?")))</f>
      </c>
      <c r="U456" s="46" t="inlineStr">
        <is>
          <t xml:space="preserve">$5,000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6065.23</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CANON-202602-005288</t>
        </is>
      </c>
      <c r="B457" s="30" t="inlineStr">
        <is>
          <t xml:space="preserve">Delphine Rourke</t>
        </is>
      </c>
      <c r="C457" s="31">
        <v>46058</v>
      </c>
      <c r="D457" s="32" t="inlineStr">
        <is>
          <t xml:space="preserve">Bound - within authority</t>
        </is>
      </c>
      <c r="E457" s="32" t="inlineStr">
        <is>
          <t xml:space="preserve">New business</t>
        </is>
      </c>
      <c r="F457" s="30" t="inlineStr">
        <is>
          <t xml:space="preserve">B1234EXOTIC26</t>
        </is>
      </c>
      <c r="G457" s="33">
        <f>IF($A457="","",IF($C457="","",YEAR($C457)))</f>
      </c>
      <c r="H457" s="34">
        <v>2002</v>
      </c>
      <c r="I457" s="30" t="inlineStr">
        <is>
          <t xml:space="preserve">Ferrari</t>
        </is>
      </c>
      <c r="J457" s="30" t="inlineStr">
        <is>
          <t xml:space="preserve">275 GTB/4</t>
        </is>
      </c>
      <c r="K457" s="30" t="inlineStr">
        <is>
          <t xml:space="preserve">UAY5JEA6PMT4VDRHZ</t>
        </is>
      </c>
      <c r="L457" s="32" t="inlineStr">
        <is>
          <t xml:space="preserve">09 - Youngtimer / Collectible (2000-2010)</t>
        </is>
      </c>
      <c r="M457" s="35">
        <v>780000</v>
      </c>
      <c r="N457" s="32" t="inlineStr">
        <is>
          <t xml:space="preserve">Personal</t>
        </is>
      </c>
      <c r="O457" s="30" t="inlineStr">
        <is>
          <t xml:space="preserve">Personal - regular use</t>
        </is>
      </c>
      <c r="P457" s="30" t="inlineStr">
        <is>
          <t xml:space="preserve">2,500 - 5,000</t>
        </is>
      </c>
      <c r="Q457" s="30" t="inlineStr">
        <is>
          <t xml:space="preserve">Colorado</t>
        </is>
      </c>
      <c r="R457" s="30" t="inlineStr">
        <is>
          <t xml:space="preserve">80202</t>
        </is>
      </c>
      <c r="S457" s="32" t="inlineStr">
        <is>
          <t xml:space="preserve">Severe convective - hail alley (high)</t>
        </is>
      </c>
      <c r="T457" s="36">
        <f>IF($A457="","",IF($S457="","",IFERROR(INDEX('[1]natural catastrophe'!$D$6:$D$17,MATCH($S457,'[1]natural catastrophe'!$B$6:$B$17,0)),"?")))</f>
      </c>
      <c r="U457" s="30" t="inlineStr">
        <is>
          <t xml:space="preserve">$5,000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6120.23</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CANON-202602-005289</t>
        </is>
      </c>
      <c r="B458" s="46" t="inlineStr">
        <is>
          <t xml:space="preserve">Thaddeus Ashcombe</t>
        </is>
      </c>
      <c r="C458" s="47">
        <v>46060</v>
      </c>
      <c r="D458" s="48" t="inlineStr">
        <is>
          <t xml:space="preserve">Bound - within authority</t>
        </is>
      </c>
      <c r="E458" s="48" t="inlineStr">
        <is>
          <t xml:space="preserve">New business</t>
        </is>
      </c>
      <c r="F458" s="46" t="inlineStr">
        <is>
          <t xml:space="preserve">B1234EXOTIC26</t>
        </is>
      </c>
      <c r="G458" s="33">
        <f>IF($A458="","",IF($C458="","",YEAR($C458)))</f>
      </c>
      <c r="H458" s="49">
        <v>2016</v>
      </c>
      <c r="I458" s="46" t="inlineStr">
        <is>
          <t xml:space="preserve">Bentley</t>
        </is>
      </c>
      <c r="J458" s="46" t="inlineStr">
        <is>
          <t xml:space="preserve">Continental GT</t>
        </is>
      </c>
      <c r="K458" s="46" t="inlineStr">
        <is>
          <t xml:space="preserve">AVB1NE3E6KE048RBU</t>
        </is>
      </c>
      <c r="L458" s="48" t="inlineStr">
        <is>
          <t xml:space="preserve">02 - Sports / GT</t>
        </is>
      </c>
      <c r="M458" s="50">
        <v>430000</v>
      </c>
      <c r="N458" s="48" t="inlineStr">
        <is>
          <t xml:space="preserve">Personal</t>
        </is>
      </c>
      <c r="O458" s="46" t="inlineStr">
        <is>
          <t xml:space="preserve">Personal - regular use</t>
        </is>
      </c>
      <c r="P458" s="46" t="inlineStr">
        <is>
          <t xml:space="preserve">1,000 - 2,500</t>
        </is>
      </c>
      <c r="Q458" s="46" t="inlineStr">
        <is>
          <t xml:space="preserve">California</t>
        </is>
      </c>
      <c r="R458" s="46" t="inlineStr">
        <is>
          <t xml:space="preserve">90012</t>
        </is>
      </c>
      <c r="S458" s="48" t="inlineStr">
        <is>
          <t xml:space="preserve">Earthquake - high (CA, Cascadia, New Madrid)</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7222.29</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CANON-202602-005290</t>
        </is>
      </c>
      <c r="B459" s="30" t="inlineStr">
        <is>
          <t xml:space="preserve">Noor Larsson</t>
        </is>
      </c>
      <c r="C459" s="31">
        <v>46063</v>
      </c>
      <c r="D459" s="32" t="inlineStr">
        <is>
          <t xml:space="preserve">Bound - within authority</t>
        </is>
      </c>
      <c r="E459" s="32" t="inlineStr">
        <is>
          <t xml:space="preserve">New business</t>
        </is>
      </c>
      <c r="F459" s="30" t="inlineStr">
        <is>
          <t xml:space="preserve">B1234EXOTIC26</t>
        </is>
      </c>
      <c r="G459" s="33">
        <f>IF($A459="","",IF($C459="","",YEAR($C459)))</f>
      </c>
      <c r="H459" s="34">
        <v>1957</v>
      </c>
      <c r="I459" s="30" t="inlineStr">
        <is>
          <t xml:space="preserve">Bentley</t>
        </is>
      </c>
      <c r="J459" s="30" t="inlineStr">
        <is>
          <t xml:space="preserve">Continental GT</t>
        </is>
      </c>
      <c r="K459" s="30" t="inlineStr">
        <is>
          <t xml:space="preserve">NE3GZZM3AEE6CN4PM</t>
        </is>
      </c>
      <c r="L459" s="32" t="inlineStr">
        <is>
          <t xml:space="preserve">02 - Sports / GT</t>
        </is>
      </c>
      <c r="M459" s="35">
        <v>365000</v>
      </c>
      <c r="N459" s="32" t="inlineStr">
        <is>
          <t xml:space="preserve">Personal</t>
        </is>
      </c>
      <c r="O459" s="30" t="inlineStr">
        <is>
          <t xml:space="preserve">Personal - regular use</t>
        </is>
      </c>
      <c r="P459" s="30" t="inlineStr">
        <is>
          <t xml:space="preserve">Under 1,000</t>
        </is>
      </c>
      <c r="Q459" s="30" t="inlineStr">
        <is>
          <t xml:space="preserve">Maryland</t>
        </is>
      </c>
      <c r="R459" s="30" t="inlineStr">
        <is>
          <t xml:space="preserve">21201</t>
        </is>
      </c>
      <c r="S459" s="32" t="inlineStr">
        <is>
          <t xml:space="preserve">Tier 3 - Coastal wind (25-100 miles)</t>
        </is>
      </c>
      <c r="T459" s="36">
        <f>IF($A459="","",IF($S459="","",IFERROR(INDEX('[1]natural catastrophe'!$D$6:$D$17,MATCH($S459,'[1]natural catastrophe'!$B$6:$B$17,0)),"?")))</f>
      </c>
      <c r="U459" s="30" t="inlineStr">
        <is>
          <t xml:space="preserve">2% of agreed value, minimum $10,000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4314.09</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CANON-202602-005291</t>
        </is>
      </c>
      <c r="B460" s="46" t="inlineStr">
        <is>
          <t xml:space="preserve">Aurelio Vandermeer</t>
        </is>
      </c>
      <c r="C460" s="47">
        <v>46078</v>
      </c>
      <c r="D460" s="48" t="inlineStr">
        <is>
          <t xml:space="preserve">Bound - within authority</t>
        </is>
      </c>
      <c r="E460" s="48" t="inlineStr">
        <is>
          <t xml:space="preserve">New business</t>
        </is>
      </c>
      <c r="F460" s="46" t="inlineStr">
        <is>
          <t xml:space="preserve">B1234EXOTIC26</t>
        </is>
      </c>
      <c r="G460" s="33">
        <f>IF($A460="","",IF($C460="","",YEAR($C460)))</f>
      </c>
      <c r="H460" s="49">
        <v>1989</v>
      </c>
      <c r="I460" s="46" t="inlineStr">
        <is>
          <t xml:space="preserve">BMW</t>
        </is>
      </c>
      <c r="J460" s="46" t="inlineStr">
        <is>
          <t xml:space="preserve">M8 Competition</t>
        </is>
      </c>
      <c r="K460" s="46" t="inlineStr">
        <is>
          <t xml:space="preserve">2U7WWLFWZSU390SVV</t>
        </is>
      </c>
      <c r="L460" s="48" t="inlineStr">
        <is>
          <t xml:space="preserve">02 - Sports / GT</t>
        </is>
      </c>
      <c r="M460" s="50">
        <v>460000</v>
      </c>
      <c r="N460" s="48" t="inlineStr">
        <is>
          <t xml:space="preserve">Personal</t>
        </is>
      </c>
      <c r="O460" s="46" t="inlineStr">
        <is>
          <t xml:space="preserve">Personal - regular use</t>
        </is>
      </c>
      <c r="P460" s="46" t="inlineStr">
        <is>
          <t xml:space="preserve">Under 1,000</t>
        </is>
      </c>
      <c r="Q460" s="46" t="inlineStr">
        <is>
          <t xml:space="preserve">New Hampshire</t>
        </is>
      </c>
      <c r="R460" s="46" t="inlineStr">
        <is>
          <t xml:space="preserve">03301</t>
        </is>
      </c>
      <c r="S460" s="48" t="inlineStr">
        <is>
          <t xml:space="preserve">Tier 3 - Coastal wind (25-100 miles)</t>
        </is>
      </c>
      <c r="T460" s="36">
        <f>IF($A460="","",IF($S460="","",IFERROR(INDEX('[1]natural catastrophe'!$D$6:$D$17,MATCH($S460,'[1]natural catastrophe'!$B$6:$B$17,0)),"?")))</f>
      </c>
      <c r="U460" s="46" t="inlineStr">
        <is>
          <t xml:space="preserve">2% of agreed value, minimum $10,000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5952.02</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CANON-202602-005292</t>
        </is>
      </c>
      <c r="B461" s="30" t="inlineStr">
        <is>
          <t xml:space="preserve">Desmond Rourke</t>
        </is>
      </c>
      <c r="C461" s="31">
        <v>46057</v>
      </c>
      <c r="D461" s="32" t="inlineStr">
        <is>
          <t xml:space="preserve">Bound - within authority</t>
        </is>
      </c>
      <c r="E461" s="32" t="inlineStr">
        <is>
          <t xml:space="preserve">New business</t>
        </is>
      </c>
      <c r="F461" s="30" t="inlineStr">
        <is>
          <t xml:space="preserve">B1234EXOTIC26</t>
        </is>
      </c>
      <c r="G461" s="33">
        <f>IF($A461="","",IF($C461="","",YEAR($C461)))</f>
      </c>
      <c r="H461" s="34">
        <v>2012</v>
      </c>
      <c r="I461" s="30" t="inlineStr">
        <is>
          <t xml:space="preserve">McLaren</t>
        </is>
      </c>
      <c r="J461" s="30" t="inlineStr">
        <is>
          <t xml:space="preserve">750S</t>
        </is>
      </c>
      <c r="K461" s="30" t="inlineStr">
        <is>
          <t xml:space="preserve">HJC5M6DNPG107B5K4</t>
        </is>
      </c>
      <c r="L461" s="32" t="inlineStr">
        <is>
          <t xml:space="preserve">03 - Supercar</t>
        </is>
      </c>
      <c r="M461" s="35">
        <v>735000</v>
      </c>
      <c r="N461" s="32" t="inlineStr">
        <is>
          <t xml:space="preserve">Personal</t>
        </is>
      </c>
      <c r="O461" s="30" t="inlineStr">
        <is>
          <t xml:space="preserve">Personal - regular use</t>
        </is>
      </c>
      <c r="P461" s="30" t="inlineStr">
        <is>
          <t xml:space="preserve">Under 1,000</t>
        </is>
      </c>
      <c r="Q461" s="30" t="inlineStr">
        <is>
          <t xml:space="preserve">Illinois</t>
        </is>
      </c>
      <c r="R461" s="30" t="inlineStr">
        <is>
          <t xml:space="preserve">60601</t>
        </is>
      </c>
      <c r="S461" s="32" t="inlineStr">
        <is>
          <t xml:space="preserve">Severe convective - hail / tornado (moderate)</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15752.94</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CANON-202602-005294</t>
        </is>
      </c>
      <c r="B462" s="46" t="inlineStr">
        <is>
          <t xml:space="preserve">Sunniva Underwood</t>
        </is>
      </c>
      <c r="C462" s="47">
        <v>46061</v>
      </c>
      <c r="D462" s="48" t="inlineStr">
        <is>
          <t xml:space="preserve">Bound - within authority</t>
        </is>
      </c>
      <c r="E462" s="48" t="inlineStr">
        <is>
          <t xml:space="preserve">New business</t>
        </is>
      </c>
      <c r="F462" s="46" t="inlineStr">
        <is>
          <t xml:space="preserve">B1234EXOTIC26</t>
        </is>
      </c>
      <c r="G462" s="33">
        <f>IF($A462="","",IF($C462="","",YEAR($C462)))</f>
      </c>
      <c r="H462" s="49">
        <v>1955</v>
      </c>
      <c r="I462" s="46" t="inlineStr">
        <is>
          <t xml:space="preserve">McLaren</t>
        </is>
      </c>
      <c r="J462" s="46" t="inlineStr">
        <is>
          <t xml:space="preserve">750S</t>
        </is>
      </c>
      <c r="K462" s="46" t="inlineStr">
        <is>
          <t xml:space="preserve">UV07N2X8LHKWX0RDU</t>
        </is>
      </c>
      <c r="L462" s="48" t="inlineStr">
        <is>
          <t xml:space="preserve">03 - Supercar</t>
        </is>
      </c>
      <c r="M462" s="50">
        <v>375000</v>
      </c>
      <c r="N462" s="48" t="inlineStr">
        <is>
          <t xml:space="preserve">Personal</t>
        </is>
      </c>
      <c r="O462" s="46" t="inlineStr">
        <is>
          <t xml:space="preserve">Personal - regular use</t>
        </is>
      </c>
      <c r="P462" s="46" t="inlineStr">
        <is>
          <t xml:space="preserve">1,000 - 2,500</t>
        </is>
      </c>
      <c r="Q462" s="46" t="inlineStr">
        <is>
          <t xml:space="preserve">Mississippi</t>
        </is>
      </c>
      <c r="R462" s="46" t="inlineStr">
        <is>
          <t xml:space="preserve">39201</t>
        </is>
      </c>
      <c r="S462" s="48" t="inlineStr">
        <is>
          <t xml:space="preserve">Tier 2 - Coastal wind (1-25 miles)</t>
        </is>
      </c>
      <c r="T462" s="36">
        <f>IF($A462="","",IF($S462="","",IFERROR(INDEX('[1]natural catastrophe'!$D$6:$D$17,MATCH($S462,'[1]natural catastrophe'!$B$6:$B$17,0)),"?")))</f>
      </c>
      <c r="U462" s="46" t="inlineStr">
        <is>
          <t xml:space="preserve">2% of agreed value, minimum $10,000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8513.1</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CANON-202602-005295</t>
        </is>
      </c>
      <c r="B463" s="30" t="inlineStr">
        <is>
          <t xml:space="preserve">Ingrid Farkas</t>
        </is>
      </c>
      <c r="C463" s="31">
        <v>46073</v>
      </c>
      <c r="D463" s="32" t="inlineStr">
        <is>
          <t xml:space="preserve">Bound - within authority</t>
        </is>
      </c>
      <c r="E463" s="32" t="inlineStr">
        <is>
          <t xml:space="preserve">New business</t>
        </is>
      </c>
      <c r="F463" s="30" t="inlineStr">
        <is>
          <t xml:space="preserve">B1234EXOTIC26</t>
        </is>
      </c>
      <c r="G463" s="33">
        <f>IF($A463="","",IF($C463="","",YEAR($C463)))</f>
      </c>
      <c r="H463" s="34">
        <v>1986</v>
      </c>
      <c r="I463" s="30" t="inlineStr">
        <is>
          <t xml:space="preserve">Ferrari</t>
        </is>
      </c>
      <c r="J463" s="30" t="inlineStr">
        <is>
          <t xml:space="preserve">275 GTB/4</t>
        </is>
      </c>
      <c r="K463" s="30" t="inlineStr">
        <is>
          <t xml:space="preserve">2L2UMCCHTGPUJNHWE</t>
        </is>
      </c>
      <c r="L463" s="32" t="inlineStr">
        <is>
          <t xml:space="preserve">08 - Modern Classic (1973-1999)</t>
        </is>
      </c>
      <c r="M463" s="35">
        <v>1480000</v>
      </c>
      <c r="N463" s="32" t="inlineStr">
        <is>
          <t xml:space="preserve">Personal</t>
        </is>
      </c>
      <c r="O463" s="30" t="inlineStr">
        <is>
          <t xml:space="preserve">Personal - regular use</t>
        </is>
      </c>
      <c r="P463" s="30" t="inlineStr">
        <is>
          <t xml:space="preserve">1,000 - 2,500</t>
        </is>
      </c>
      <c r="Q463" s="30" t="inlineStr">
        <is>
          <t xml:space="preserve">Wisconsin</t>
        </is>
      </c>
      <c r="R463" s="30" t="inlineStr">
        <is>
          <t xml:space="preserve">53202</t>
        </is>
      </c>
      <c r="S463" s="32" t="inlineStr">
        <is>
          <t xml:space="preserve">Severe convective - hail / tornado (moderate)</t>
        </is>
      </c>
      <c r="T463" s="36">
        <f>IF($A463="","",IF($S463="","",IFERROR(INDEX('[1]natural catastrophe'!$D$6:$D$17,MATCH($S463,'[1]natural catastrophe'!$B$6:$B$17,0)),"?")))</f>
      </c>
      <c r="U463" s="30" t="inlineStr">
        <is>
          <t xml:space="preserve">$5,000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11195.36</v>
      </c>
      <c r="AC463" s="37">
        <v>0</v>
      </c>
      <c r="AD463" s="38">
        <f>IF(ISNUMBER($AB463),$AB463*(1+N($AC463)),"")</f>
      </c>
      <c r="AE463" s="35">
        <v>350</v>
      </c>
      <c r="AF463" s="35">
        <v>250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CANON-202602-005297</t>
        </is>
      </c>
      <c r="B464" s="46" t="inlineStr">
        <is>
          <t xml:space="preserve">Wilhelmina Underwood</t>
        </is>
      </c>
      <c r="C464" s="47">
        <v>46061</v>
      </c>
      <c r="D464" s="48" t="inlineStr">
        <is>
          <t xml:space="preserve">Bound - within authority</t>
        </is>
      </c>
      <c r="E464" s="48" t="inlineStr">
        <is>
          <t xml:space="preserve">New business</t>
        </is>
      </c>
      <c r="F464" s="46" t="inlineStr">
        <is>
          <t xml:space="preserve">B1234EXOTIC26</t>
        </is>
      </c>
      <c r="G464" s="33">
        <f>IF($A464="","",IF($C464="","",YEAR($C464)))</f>
      </c>
      <c r="H464" s="49">
        <v>2021</v>
      </c>
      <c r="I464" s="46" t="inlineStr">
        <is>
          <t xml:space="preserve">Bentley</t>
        </is>
      </c>
      <c r="J464" s="46" t="inlineStr">
        <is>
          <t xml:space="preserve">Continental GT</t>
        </is>
      </c>
      <c r="K464" s="46" t="inlineStr">
        <is>
          <t xml:space="preserve">4LNE0C5W2LH51K70A</t>
        </is>
      </c>
      <c r="L464" s="48" t="inlineStr">
        <is>
          <t xml:space="preserve">02 - Sports / GT</t>
        </is>
      </c>
      <c r="M464" s="50">
        <v>415000</v>
      </c>
      <c r="N464" s="48" t="inlineStr">
        <is>
          <t xml:space="preserve">Personal</t>
        </is>
      </c>
      <c r="O464" s="46" t="inlineStr">
        <is>
          <t xml:space="preserve">Personal - regular use</t>
        </is>
      </c>
      <c r="P464" s="46" t="inlineStr">
        <is>
          <t xml:space="preserve">1,000 - 2,500</t>
        </is>
      </c>
      <c r="Q464" s="46" t="inlineStr">
        <is>
          <t xml:space="preserve">Pennsylvania</t>
        </is>
      </c>
      <c r="R464" s="46" t="inlineStr">
        <is>
          <t xml:space="preserve">19103</t>
        </is>
      </c>
      <c r="S464" s="48" t="inlineStr">
        <is>
          <t xml:space="preserve">Low hazard - inland benign</t>
        </is>
      </c>
      <c r="T464" s="36">
        <f>IF($A464="","",IF($S464="","",IFERROR(INDEX('[1]natural catastrophe'!$D$6:$D$17,MATCH($S464,'[1]natural catastrophe'!$B$6:$B$17,0)),"?")))</f>
      </c>
      <c r="U464" s="46" t="inlineStr">
        <is>
          <t xml:space="preserve">$5,000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5163.23</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CANON-202602-005298</t>
        </is>
      </c>
      <c r="B465" s="30" t="inlineStr">
        <is>
          <t xml:space="preserve">Ingrid Larsson</t>
        </is>
      </c>
      <c r="C465" s="31">
        <v>46073</v>
      </c>
      <c r="D465" s="32" t="inlineStr">
        <is>
          <t xml:space="preserve">Bound - within authority</t>
        </is>
      </c>
      <c r="E465" s="32" t="inlineStr">
        <is>
          <t xml:space="preserve">New business</t>
        </is>
      </c>
      <c r="F465" s="30" t="inlineStr">
        <is>
          <t xml:space="preserve">B1234EXOTIC26</t>
        </is>
      </c>
      <c r="G465" s="33">
        <f>IF($A465="","",IF($C465="","",YEAR($C465)))</f>
      </c>
      <c r="H465" s="34">
        <v>1965</v>
      </c>
      <c r="I465" s="30" t="inlineStr">
        <is>
          <t xml:space="preserve">Mercedes-Benz</t>
        </is>
      </c>
      <c r="J465" s="30" t="inlineStr">
        <is>
          <t xml:space="preserve">AMG GT</t>
        </is>
      </c>
      <c r="K465" s="30" t="inlineStr">
        <is>
          <t xml:space="preserve">C2T7KVVW2DYFCVJKF</t>
        </is>
      </c>
      <c r="L465" s="32" t="inlineStr">
        <is>
          <t xml:space="preserve">02 - Sports / GT</t>
        </is>
      </c>
      <c r="M465" s="35">
        <v>430000</v>
      </c>
      <c r="N465" s="32" t="inlineStr">
        <is>
          <t xml:space="preserve">Personal</t>
        </is>
      </c>
      <c r="O465" s="30" t="inlineStr">
        <is>
          <t xml:space="preserve">Personal - regular use</t>
        </is>
      </c>
      <c r="P465" s="30" t="inlineStr">
        <is>
          <t xml:space="preserve">2,500 - 5,000</t>
        </is>
      </c>
      <c r="Q465" s="30" t="inlineStr">
        <is>
          <t xml:space="preserve">Alabama</t>
        </is>
      </c>
      <c r="R465" s="30" t="inlineStr">
        <is>
          <t xml:space="preserve">35203</t>
        </is>
      </c>
      <c r="S465" s="32" t="inlineStr">
        <is>
          <t xml:space="preserve">Tier 2 - Coastal wind (1-25 miles)</t>
        </is>
      </c>
      <c r="T465" s="36">
        <f>IF($A465="","",IF($S465="","",IFERROR(INDEX('[1]natural catastrophe'!$D$6:$D$17,MATCH($S465,'[1]natural catastrophe'!$B$6:$B$17,0)),"?")))</f>
      </c>
      <c r="U465" s="30" t="inlineStr">
        <is>
          <t xml:space="preserve">2% of agreed value, minimum $10,000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6794.31</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CANON-202602-005299</t>
        </is>
      </c>
      <c r="B466" s="46" t="inlineStr">
        <is>
          <t xml:space="preserve">Ottilie Delacroix</t>
        </is>
      </c>
      <c r="C466" s="47">
        <v>46069</v>
      </c>
      <c r="D466" s="48" t="inlineStr">
        <is>
          <t xml:space="preserve">Bound - within authority</t>
        </is>
      </c>
      <c r="E466" s="48" t="inlineStr">
        <is>
          <t xml:space="preserve">New business</t>
        </is>
      </c>
      <c r="F466" s="46" t="inlineStr">
        <is>
          <t xml:space="preserve">B1234EXOTIC26</t>
        </is>
      </c>
      <c r="G466" s="33">
        <f>IF($A466="","",IF($C466="","",YEAR($C466)))</f>
      </c>
      <c r="H466" s="49">
        <v>2002</v>
      </c>
      <c r="I466" s="46" t="inlineStr">
        <is>
          <t xml:space="preserve">Jaguar</t>
        </is>
      </c>
      <c r="J466" s="46" t="inlineStr">
        <is>
          <t xml:space="preserve">E-Type Series 1</t>
        </is>
      </c>
      <c r="K466" s="46" t="inlineStr">
        <is>
          <t xml:space="preserve">NZXSFK602NA36BASG</t>
        </is>
      </c>
      <c r="L466" s="48" t="inlineStr">
        <is>
          <t xml:space="preserve">09 - Youngtimer / Collectible (2000-2010)</t>
        </is>
      </c>
      <c r="M466" s="50">
        <v>1950000</v>
      </c>
      <c r="N466" s="48" t="inlineStr">
        <is>
          <t xml:space="preserve">Personal</t>
        </is>
      </c>
      <c r="O466" s="46" t="inlineStr">
        <is>
          <t xml:space="preserve">Personal - regular use</t>
        </is>
      </c>
      <c r="P466" s="46" t="inlineStr">
        <is>
          <t xml:space="preserve">1,000 - 2,500</t>
        </is>
      </c>
      <c r="Q466" s="46" t="inlineStr">
        <is>
          <t xml:space="preserve">Wisconsin</t>
        </is>
      </c>
      <c r="R466" s="46" t="inlineStr">
        <is>
          <t xml:space="preserve">53202</t>
        </is>
      </c>
      <c r="S466" s="48" t="inlineStr">
        <is>
          <t xml:space="preserve">Severe convective - hail / tornado (moderate)</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14750.65</v>
      </c>
      <c r="AC466" s="51">
        <v>0</v>
      </c>
      <c r="AD466" s="38">
        <f>IF(ISNUMBER($AB466),$AB466*(1+N($AC466)),"")</f>
      </c>
      <c r="AE466" s="50">
        <v>350</v>
      </c>
      <c r="AF466" s="50">
        <v>250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CANON-202602-005300</t>
        </is>
      </c>
      <c r="B467" s="30" t="inlineStr">
        <is>
          <t xml:space="preserve">Mireille Harrington</t>
        </is>
      </c>
      <c r="C467" s="31">
        <v>46081</v>
      </c>
      <c r="D467" s="32" t="inlineStr">
        <is>
          <t xml:space="preserve">Bound - within authority</t>
        </is>
      </c>
      <c r="E467" s="32" t="inlineStr">
        <is>
          <t xml:space="preserve">New business</t>
        </is>
      </c>
      <c r="F467" s="30" t="inlineStr">
        <is>
          <t xml:space="preserve">B1234EXOTIC26</t>
        </is>
      </c>
      <c r="G467" s="33">
        <f>IF($A467="","",IF($C467="","",YEAR($C467)))</f>
      </c>
      <c r="H467" s="34">
        <v>1980</v>
      </c>
      <c r="I467" s="30" t="inlineStr">
        <is>
          <t xml:space="preserve">Ringbrothers</t>
        </is>
      </c>
      <c r="J467" s="30" t="inlineStr">
        <is>
          <t xml:space="preserve">Mustang</t>
        </is>
      </c>
      <c r="K467" s="30" t="inlineStr">
        <is>
          <t xml:space="preserve">2P1B8R40HF9A4ENNB</t>
        </is>
      </c>
      <c r="L467" s="32" t="inlineStr">
        <is>
          <t xml:space="preserve">11 - Restomod / Coachbuilt / Bespoke</t>
        </is>
      </c>
      <c r="M467" s="35">
        <v>495000</v>
      </c>
      <c r="N467" s="32" t="inlineStr">
        <is>
          <t xml:space="preserve">Personal</t>
        </is>
      </c>
      <c r="O467" s="30" t="inlineStr">
        <is>
          <t xml:space="preserve">Personal - regular use</t>
        </is>
      </c>
      <c r="P467" s="30" t="inlineStr">
        <is>
          <t xml:space="preserve">Under 1,000</t>
        </is>
      </c>
      <c r="Q467" s="30" t="inlineStr">
        <is>
          <t xml:space="preserve">Florida</t>
        </is>
      </c>
      <c r="R467" s="30" t="inlineStr">
        <is>
          <t xml:space="preserve">33139</t>
        </is>
      </c>
      <c r="S467" s="32" t="inlineStr">
        <is>
          <t xml:space="preserve">Tier 2 - Coastal wind (1-25 miles)</t>
        </is>
      </c>
      <c r="T467" s="36">
        <f>IF($A467="","",IF($S467="","",IFERROR(INDEX('[1]natural catastrophe'!$D$6:$D$17,MATCH($S467,'[1]natural catastrophe'!$B$6:$B$17,0)),"?")))</f>
      </c>
      <c r="U467" s="30" t="inlineStr">
        <is>
          <t xml:space="preserve">2% of agreed value, minimum $10,000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10260.96</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CANON-202602-005302</t>
        </is>
      </c>
      <c r="B468" s="46" t="inlineStr">
        <is>
          <t xml:space="preserve">Ramona Vasquez</t>
        </is>
      </c>
      <c r="C468" s="47">
        <v>46060</v>
      </c>
      <c r="D468" s="48" t="inlineStr">
        <is>
          <t xml:space="preserve">Bound - within authority</t>
        </is>
      </c>
      <c r="E468" s="48" t="inlineStr">
        <is>
          <t xml:space="preserve">New business</t>
        </is>
      </c>
      <c r="F468" s="46" t="inlineStr">
        <is>
          <t xml:space="preserve">B1234EXOTIC26</t>
        </is>
      </c>
      <c r="G468" s="33">
        <f>IF($A468="","",IF($C468="","",YEAR($C468)))</f>
      </c>
      <c r="H468" s="49">
        <v>2012</v>
      </c>
      <c r="I468" s="46" t="inlineStr">
        <is>
          <t xml:space="preserve">Aston Martin</t>
        </is>
      </c>
      <c r="J468" s="46" t="inlineStr">
        <is>
          <t xml:space="preserve">DB12</t>
        </is>
      </c>
      <c r="K468" s="46" t="inlineStr">
        <is>
          <t xml:space="preserve">MCF9ZJVU75Y5PHW9K</t>
        </is>
      </c>
      <c r="L468" s="48" t="inlineStr">
        <is>
          <t xml:space="preserve">02 - Sports / GT</t>
        </is>
      </c>
      <c r="M468" s="50">
        <v>335000</v>
      </c>
      <c r="N468" s="48" t="inlineStr">
        <is>
          <t xml:space="preserve">Personal</t>
        </is>
      </c>
      <c r="O468" s="46" t="inlineStr">
        <is>
          <t xml:space="preserve">Personal - regular use</t>
        </is>
      </c>
      <c r="P468" s="46" t="inlineStr">
        <is>
          <t xml:space="preserve">2,500 - 5,000</t>
        </is>
      </c>
      <c r="Q468" s="46" t="inlineStr">
        <is>
          <t xml:space="preserve">Maine</t>
        </is>
      </c>
      <c r="R468" s="46" t="inlineStr">
        <is>
          <t xml:space="preserve">04101</t>
        </is>
      </c>
      <c r="S468" s="48" t="inlineStr">
        <is>
          <t xml:space="preserve">Tier 3 - Coastal wind (25-100 miles)</t>
        </is>
      </c>
      <c r="T468" s="36">
        <f>IF($A468="","",IF($S468="","",IFERROR(INDEX('[1]natural catastrophe'!$D$6:$D$17,MATCH($S468,'[1]natural catastrophe'!$B$6:$B$17,0)),"?")))</f>
      </c>
      <c r="U468" s="46" t="inlineStr">
        <is>
          <t xml:space="preserve">2% of agreed value, minimum $10,000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4501.34</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CANON-202602-005303</t>
        </is>
      </c>
      <c r="B469" s="30" t="inlineStr">
        <is>
          <t xml:space="preserve">Noor Kingsford</t>
        </is>
      </c>
      <c r="C469" s="31">
        <v>46070</v>
      </c>
      <c r="D469" s="32" t="inlineStr">
        <is>
          <t xml:space="preserve">Bound - within authority</t>
        </is>
      </c>
      <c r="E469" s="32" t="inlineStr">
        <is>
          <t xml:space="preserve">New business</t>
        </is>
      </c>
      <c r="F469" s="30" t="inlineStr">
        <is>
          <t xml:space="preserve">B1234EXOTIC26</t>
        </is>
      </c>
      <c r="G469" s="33">
        <f>IF($A469="","",IF($C469="","",YEAR($C469)))</f>
      </c>
      <c r="H469" s="34">
        <v>1985</v>
      </c>
      <c r="I469" s="30" t="inlineStr">
        <is>
          <t xml:space="preserve">Aston Martin</t>
        </is>
      </c>
      <c r="J469" s="30" t="inlineStr">
        <is>
          <t xml:space="preserve">DB5</t>
        </is>
      </c>
      <c r="K469" s="30" t="inlineStr">
        <is>
          <t xml:space="preserve">M8SGC4VYP11KURFKN</t>
        </is>
      </c>
      <c r="L469" s="32" t="inlineStr">
        <is>
          <t xml:space="preserve">08 - Modern Classic (1973-1999)</t>
        </is>
      </c>
      <c r="M469" s="35">
        <v>430000</v>
      </c>
      <c r="N469" s="32" t="inlineStr">
        <is>
          <t xml:space="preserve">Personal</t>
        </is>
      </c>
      <c r="O469" s="30" t="inlineStr">
        <is>
          <t xml:space="preserve">Personal - regular use</t>
        </is>
      </c>
      <c r="P469" s="30" t="inlineStr">
        <is>
          <t xml:space="preserve">2,500 - 5,000</t>
        </is>
      </c>
      <c r="Q469" s="30" t="inlineStr">
        <is>
          <t xml:space="preserve">Virginia</t>
        </is>
      </c>
      <c r="R469" s="30" t="inlineStr">
        <is>
          <t xml:space="preserve">23219</t>
        </is>
      </c>
      <c r="S469" s="32" t="inlineStr">
        <is>
          <t xml:space="preserve">Tier 3 - Coastal wind (25-100 miles)</t>
        </is>
      </c>
      <c r="T469" s="36">
        <f>IF($A469="","",IF($S469="","",IFERROR(INDEX('[1]natural catastrophe'!$D$6:$D$17,MATCH($S469,'[1]natural catastrophe'!$B$6:$B$17,0)),"?")))</f>
      </c>
      <c r="U469" s="30" t="inlineStr">
        <is>
          <t xml:space="preserve">2% of agreed value, minimum $10,000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3732.05</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CANON-202602-005305</t>
        </is>
      </c>
      <c r="B470" s="46" t="inlineStr">
        <is>
          <t xml:space="preserve">Cassius Blackwood</t>
        </is>
      </c>
      <c r="C470" s="47">
        <v>46072</v>
      </c>
      <c r="D470" s="48" t="inlineStr">
        <is>
          <t xml:space="preserve">Bound - within authority</t>
        </is>
      </c>
      <c r="E470" s="48" t="inlineStr">
        <is>
          <t xml:space="preserve">New business</t>
        </is>
      </c>
      <c r="F470" s="46" t="inlineStr">
        <is>
          <t xml:space="preserve">B1234EXOTIC26</t>
        </is>
      </c>
      <c r="G470" s="33">
        <f>IF($A470="","",IF($C470="","",YEAR($C470)))</f>
      </c>
      <c r="H470" s="49">
        <v>1964</v>
      </c>
      <c r="I470" s="46" t="inlineStr">
        <is>
          <t xml:space="preserve">Porsche</t>
        </is>
      </c>
      <c r="J470" s="46" t="inlineStr">
        <is>
          <t xml:space="preserve">911 Turbo S</t>
        </is>
      </c>
      <c r="K470" s="46" t="inlineStr">
        <is>
          <t xml:space="preserve">YS2UYMVG5X5ZAM1L0</t>
        </is>
      </c>
      <c r="L470" s="48" t="inlineStr">
        <is>
          <t xml:space="preserve">02 - Sports / GT</t>
        </is>
      </c>
      <c r="M470" s="50">
        <v>380000</v>
      </c>
      <c r="N470" s="48" t="inlineStr">
        <is>
          <t xml:space="preserve">Personal</t>
        </is>
      </c>
      <c r="O470" s="46" t="inlineStr">
        <is>
          <t xml:space="preserve">Personal - regular use</t>
        </is>
      </c>
      <c r="P470" s="46" t="inlineStr">
        <is>
          <t xml:space="preserve">2,500 - 5,000</t>
        </is>
      </c>
      <c r="Q470" s="46" t="inlineStr">
        <is>
          <t xml:space="preserve">Iowa</t>
        </is>
      </c>
      <c r="R470" s="46" t="inlineStr">
        <is>
          <t xml:space="preserve">50309</t>
        </is>
      </c>
      <c r="S470" s="48" t="inlineStr">
        <is>
          <t xml:space="preserve">Severe convective - hail alley (high)</t>
        </is>
      </c>
      <c r="T470" s="36">
        <f>IF($A470="","",IF($S470="","",IFERROR(INDEX('[1]natural catastrophe'!$D$6:$D$17,MATCH($S470,'[1]natural catastrophe'!$B$6:$B$17,0)),"?")))</f>
      </c>
      <c r="U470" s="46" t="inlineStr">
        <is>
          <t xml:space="preserve">$5,000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5200.55</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CANON-202602-005306</t>
        </is>
      </c>
      <c r="B471" s="30" t="inlineStr">
        <is>
          <t xml:space="preserve">Desmond Thistlewood</t>
        </is>
      </c>
      <c r="C471" s="31">
        <v>46054</v>
      </c>
      <c r="D471" s="32" t="inlineStr">
        <is>
          <t xml:space="preserve">Bound - within authority</t>
        </is>
      </c>
      <c r="E471" s="32" t="inlineStr">
        <is>
          <t xml:space="preserve">New business</t>
        </is>
      </c>
      <c r="F471" s="30" t="inlineStr">
        <is>
          <t xml:space="preserve">B1234EXOTIC26</t>
        </is>
      </c>
      <c r="G471" s="33">
        <f>IF($A471="","",IF($C471="","",YEAR($C471)))</f>
      </c>
      <c r="H471" s="34">
        <v>2009</v>
      </c>
      <c r="I471" s="30" t="inlineStr">
        <is>
          <t xml:space="preserve">Mercedes-Benz</t>
        </is>
      </c>
      <c r="J471" s="30" t="inlineStr">
        <is>
          <t xml:space="preserve">280SL Pagoda</t>
        </is>
      </c>
      <c r="K471" s="30" t="inlineStr">
        <is>
          <t xml:space="preserve">D5U8TTTZUK5WT202B</t>
        </is>
      </c>
      <c r="L471" s="32" t="inlineStr">
        <is>
          <t xml:space="preserve">09 - Youngtimer / Collectible (2000-2010)</t>
        </is>
      </c>
      <c r="M471" s="35">
        <v>860000</v>
      </c>
      <c r="N471" s="32" t="inlineStr">
        <is>
          <t xml:space="preserve">Personal</t>
        </is>
      </c>
      <c r="O471" s="30" t="inlineStr">
        <is>
          <t xml:space="preserve">Personal - regular use</t>
        </is>
      </c>
      <c r="P471" s="30" t="inlineStr">
        <is>
          <t xml:space="preserve">1,000 - 2,500</t>
        </is>
      </c>
      <c r="Q471" s="30" t="inlineStr">
        <is>
          <t xml:space="preserve">Ohio</t>
        </is>
      </c>
      <c r="R471" s="30" t="inlineStr">
        <is>
          <t xml:space="preserve">43215</t>
        </is>
      </c>
      <c r="S471" s="32" t="inlineStr">
        <is>
          <t xml:space="preserve">Severe convective - hail / tornado (moderate)</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8526.95</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CANON-202602-005309</t>
        </is>
      </c>
      <c r="B472" s="46" t="inlineStr">
        <is>
          <t xml:space="preserve">Thaddeus Okonkwo</t>
        </is>
      </c>
      <c r="C472" s="47">
        <v>46080</v>
      </c>
      <c r="D472" s="48" t="inlineStr">
        <is>
          <t xml:space="preserve">Bound - within authority</t>
        </is>
      </c>
      <c r="E472" s="48" t="inlineStr">
        <is>
          <t xml:space="preserve">New business</t>
        </is>
      </c>
      <c r="F472" s="46" t="inlineStr">
        <is>
          <t xml:space="preserve">B1234EXOTIC26</t>
        </is>
      </c>
      <c r="G472" s="33">
        <f>IF($A472="","",IF($C472="","",YEAR($C472)))</f>
      </c>
      <c r="H472" s="49">
        <v>1956</v>
      </c>
      <c r="I472" s="46" t="inlineStr">
        <is>
          <t xml:space="preserve">Mercedes-Benz</t>
        </is>
      </c>
      <c r="J472" s="46" t="inlineStr">
        <is>
          <t xml:space="preserve">280SL Pagoda</t>
        </is>
      </c>
      <c r="K472" s="46" t="inlineStr">
        <is>
          <t xml:space="preserve">ZL805XDNV271YCX82</t>
        </is>
      </c>
      <c r="L472" s="48" t="inlineStr">
        <is>
          <t xml:space="preserve">07 - Post-War Classic (1946-1972)</t>
        </is>
      </c>
      <c r="M472" s="50">
        <v>690000</v>
      </c>
      <c r="N472" s="48" t="inlineStr">
        <is>
          <t xml:space="preserve">Personal</t>
        </is>
      </c>
      <c r="O472" s="46" t="inlineStr">
        <is>
          <t xml:space="preserve">Personal - regular use</t>
        </is>
      </c>
      <c r="P472" s="46" t="inlineStr">
        <is>
          <t xml:space="preserve">Under 1,000</t>
        </is>
      </c>
      <c r="Q472" s="46" t="inlineStr">
        <is>
          <t xml:space="preserve">Illinois</t>
        </is>
      </c>
      <c r="R472" s="46" t="inlineStr">
        <is>
          <t xml:space="preserve">60601</t>
        </is>
      </c>
      <c r="S472" s="48" t="inlineStr">
        <is>
          <t xml:space="preserve">Severe convective - hail / tornado (moderate)</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6693.73</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CANON-202602-005310</t>
        </is>
      </c>
      <c r="B473" s="30" t="inlineStr">
        <is>
          <t xml:space="preserve">Desmond Vasquez</t>
        </is>
      </c>
      <c r="C473" s="31">
        <v>46062</v>
      </c>
      <c r="D473" s="32" t="inlineStr">
        <is>
          <t xml:space="preserve">Bound - within authority</t>
        </is>
      </c>
      <c r="E473" s="32" t="inlineStr">
        <is>
          <t xml:space="preserve">New business</t>
        </is>
      </c>
      <c r="F473" s="30" t="inlineStr">
        <is>
          <t xml:space="preserve">B1234EXOTIC26</t>
        </is>
      </c>
      <c r="G473" s="33">
        <f>IF($A473="","",IF($C473="","",YEAR($C473)))</f>
      </c>
      <c r="H473" s="34">
        <v>1961</v>
      </c>
      <c r="I473" s="30" t="inlineStr">
        <is>
          <t xml:space="preserve">Mercedes-Benz</t>
        </is>
      </c>
      <c r="J473" s="30" t="inlineStr">
        <is>
          <t xml:space="preserve">AMG GT</t>
        </is>
      </c>
      <c r="K473" s="30" t="inlineStr">
        <is>
          <t xml:space="preserve">TGHW1VTPT8SH63C9D</t>
        </is>
      </c>
      <c r="L473" s="32" t="inlineStr">
        <is>
          <t xml:space="preserve">02 - Sports / GT</t>
        </is>
      </c>
      <c r="M473" s="35">
        <v>285000</v>
      </c>
      <c r="N473" s="32" t="inlineStr">
        <is>
          <t xml:space="preserve">Personal</t>
        </is>
      </c>
      <c r="O473" s="30" t="inlineStr">
        <is>
          <t xml:space="preserve">Personal - regular use</t>
        </is>
      </c>
      <c r="P473" s="30" t="inlineStr">
        <is>
          <t xml:space="preserve">Under 1,000</t>
        </is>
      </c>
      <c r="Q473" s="30" t="inlineStr">
        <is>
          <t xml:space="preserve">Arizona</t>
        </is>
      </c>
      <c r="R473" s="30" t="inlineStr">
        <is>
          <t xml:space="preserve">85001</t>
        </is>
      </c>
      <c r="S473" s="32" t="inlineStr">
        <is>
          <t xml:space="preserve">Wildfire - WUI high hazard</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3581.29</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CANON-202602-005311</t>
        </is>
      </c>
      <c r="B474" s="46" t="inlineStr">
        <is>
          <t xml:space="preserve">Wilhelmina Rourke</t>
        </is>
      </c>
      <c r="C474" s="47">
        <v>46054</v>
      </c>
      <c r="D474" s="48" t="inlineStr">
        <is>
          <t xml:space="preserve">Bound - within authority</t>
        </is>
      </c>
      <c r="E474" s="48" t="inlineStr">
        <is>
          <t xml:space="preserve">New business</t>
        </is>
      </c>
      <c r="F474" s="46" t="inlineStr">
        <is>
          <t xml:space="preserve">B1234EXOTIC26</t>
        </is>
      </c>
      <c r="G474" s="33">
        <f>IF($A474="","",IF($C474="","",YEAR($C474)))</f>
      </c>
      <c r="H474" s="49">
        <v>1999</v>
      </c>
      <c r="I474" s="46" t="inlineStr">
        <is>
          <t xml:space="preserve">Aston Martin</t>
        </is>
      </c>
      <c r="J474" s="46" t="inlineStr">
        <is>
          <t xml:space="preserve">DB12</t>
        </is>
      </c>
      <c r="K474" s="46" t="inlineStr">
        <is>
          <t xml:space="preserve">ZPR2JJ49E6LRJX87K</t>
        </is>
      </c>
      <c r="L474" s="48" t="inlineStr">
        <is>
          <t xml:space="preserve">02 - Sports / GT</t>
        </is>
      </c>
      <c r="M474" s="50">
        <v>525000</v>
      </c>
      <c r="N474" s="48" t="inlineStr">
        <is>
          <t xml:space="preserve">Personal</t>
        </is>
      </c>
      <c r="O474" s="46" t="inlineStr">
        <is>
          <t xml:space="preserve">Personal - regular use</t>
        </is>
      </c>
      <c r="P474" s="46" t="inlineStr">
        <is>
          <t xml:space="preserve">2,500 - 5,000</t>
        </is>
      </c>
      <c r="Q474" s="46" t="inlineStr">
        <is>
          <t xml:space="preserve">Florida</t>
        </is>
      </c>
      <c r="R474" s="46" t="inlineStr">
        <is>
          <t xml:space="preserve">33139</t>
        </is>
      </c>
      <c r="S474" s="48" t="inlineStr">
        <is>
          <t xml:space="preserve">Tier 2 - Coastal wind (1-25 miles)</t>
        </is>
      </c>
      <c r="T474" s="36">
        <f>IF($A474="","",IF($S474="","",IFERROR(INDEX('[1]natural catastrophe'!$D$6:$D$17,MATCH($S474,'[1]natural catastrophe'!$B$6:$B$17,0)),"?")))</f>
      </c>
      <c r="U474" s="46" t="inlineStr">
        <is>
          <t xml:space="preserve">2% of agreed value, minimum $10,000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8038.46</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CANON-202602-005312</t>
        </is>
      </c>
      <c r="B475" s="30" t="inlineStr">
        <is>
          <t xml:space="preserve">Anouk Harrington</t>
        </is>
      </c>
      <c r="C475" s="31">
        <v>46068</v>
      </c>
      <c r="D475" s="32" t="inlineStr">
        <is>
          <t xml:space="preserve">Bound - within authority</t>
        </is>
      </c>
      <c r="E475" s="32" t="inlineStr">
        <is>
          <t xml:space="preserve">New business</t>
        </is>
      </c>
      <c r="F475" s="30" t="inlineStr">
        <is>
          <t xml:space="preserve">B1234EXOTIC26</t>
        </is>
      </c>
      <c r="G475" s="33">
        <f>IF($A475="","",IF($C475="","",YEAR($C475)))</f>
      </c>
      <c r="H475" s="34">
        <v>1986</v>
      </c>
      <c r="I475" s="30" t="inlineStr">
        <is>
          <t xml:space="preserve">BMW</t>
        </is>
      </c>
      <c r="J475" s="30" t="inlineStr">
        <is>
          <t xml:space="preserve">M8 Competition</t>
        </is>
      </c>
      <c r="K475" s="30" t="inlineStr">
        <is>
          <t xml:space="preserve">V5S7KW3SPLSJ0A35H</t>
        </is>
      </c>
      <c r="L475" s="32" t="inlineStr">
        <is>
          <t xml:space="preserve">02 - Sports / GT</t>
        </is>
      </c>
      <c r="M475" s="35">
        <v>225000</v>
      </c>
      <c r="N475" s="32" t="inlineStr">
        <is>
          <t xml:space="preserve">Personal</t>
        </is>
      </c>
      <c r="O475" s="30" t="inlineStr">
        <is>
          <t xml:space="preserve">Personal - regular use</t>
        </is>
      </c>
      <c r="P475" s="30" t="inlineStr">
        <is>
          <t xml:space="preserve">1,000 - 2,500</t>
        </is>
      </c>
      <c r="Q475" s="30" t="inlineStr">
        <is>
          <t xml:space="preserve">Ohio</t>
        </is>
      </c>
      <c r="R475" s="30" t="inlineStr">
        <is>
          <t xml:space="preserve">43215</t>
        </is>
      </c>
      <c r="S475" s="32" t="inlineStr">
        <is>
          <t xml:space="preserve">Severe convective - hail / tornado (moderate)</t>
        </is>
      </c>
      <c r="T475" s="36">
        <f>IF($A475="","",IF($S475="","",IFERROR(INDEX('[1]natural catastrophe'!$D$6:$D$17,MATCH($S475,'[1]natural catastrophe'!$B$6:$B$17,0)),"?")))</f>
      </c>
      <c r="U475" s="30" t="inlineStr">
        <is>
          <t xml:space="preserve">$5,000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4773.06</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CANON-202602-005314</t>
        </is>
      </c>
      <c r="B476" s="46" t="inlineStr">
        <is>
          <t xml:space="preserve">Callum Farkas</t>
        </is>
      </c>
      <c r="C476" s="47">
        <v>46065</v>
      </c>
      <c r="D476" s="48" t="inlineStr">
        <is>
          <t xml:space="preserve">Bound - within authority</t>
        </is>
      </c>
      <c r="E476" s="48" t="inlineStr">
        <is>
          <t xml:space="preserve">New business</t>
        </is>
      </c>
      <c r="F476" s="46" t="inlineStr">
        <is>
          <t xml:space="preserve">B1234EXOTIC26</t>
        </is>
      </c>
      <c r="G476" s="33">
        <f>IF($A476="","",IF($C476="","",YEAR($C476)))</f>
      </c>
      <c r="H476" s="49">
        <v>1976</v>
      </c>
      <c r="I476" s="46" t="inlineStr">
        <is>
          <t xml:space="preserve">Ferrari</t>
        </is>
      </c>
      <c r="J476" s="46" t="inlineStr">
        <is>
          <t xml:space="preserve">SF90 Stradale</t>
        </is>
      </c>
      <c r="K476" s="46" t="inlineStr">
        <is>
          <t xml:space="preserve">DDVXTG1UPMXFXYN7U</t>
        </is>
      </c>
      <c r="L476" s="48" t="inlineStr">
        <is>
          <t xml:space="preserve">03 - Supercar</t>
        </is>
      </c>
      <c r="M476" s="50">
        <v>450000</v>
      </c>
      <c r="N476" s="48" t="inlineStr">
        <is>
          <t xml:space="preserve">Personal</t>
        </is>
      </c>
      <c r="O476" s="46" t="inlineStr">
        <is>
          <t xml:space="preserve">Personal - regular use</t>
        </is>
      </c>
      <c r="P476" s="46" t="inlineStr">
        <is>
          <t xml:space="preserve">2,500 - 5,000</t>
        </is>
      </c>
      <c r="Q476" s="46" t="inlineStr">
        <is>
          <t xml:space="preserve">Colorado</t>
        </is>
      </c>
      <c r="R476" s="46" t="inlineStr">
        <is>
          <t xml:space="preserve">80202</t>
        </is>
      </c>
      <c r="S476" s="48" t="inlineStr">
        <is>
          <t xml:space="preserve">Severe convective - hail alley (high)</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9443.11</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CANON-202602-005315</t>
        </is>
      </c>
      <c r="B477" s="30" t="inlineStr">
        <is>
          <t xml:space="preserve">Wilhelmina Ashcombe</t>
        </is>
      </c>
      <c r="C477" s="31">
        <v>46056</v>
      </c>
      <c r="D477" s="32" t="inlineStr">
        <is>
          <t xml:space="preserve">Bound - within authority</t>
        </is>
      </c>
      <c r="E477" s="32" t="inlineStr">
        <is>
          <t xml:space="preserve">New business</t>
        </is>
      </c>
      <c r="F477" s="30" t="inlineStr">
        <is>
          <t xml:space="preserve">B1234EXOTIC26</t>
        </is>
      </c>
      <c r="G477" s="33">
        <f>IF($A477="","",IF($C477="","",YEAR($C477)))</f>
      </c>
      <c r="H477" s="34">
        <v>1999</v>
      </c>
      <c r="I477" s="30" t="inlineStr">
        <is>
          <t xml:space="preserve">BMW</t>
        </is>
      </c>
      <c r="J477" s="30" t="inlineStr">
        <is>
          <t xml:space="preserve">M8 Competition</t>
        </is>
      </c>
      <c r="K477" s="30" t="inlineStr">
        <is>
          <t xml:space="preserve">P22D0SKE7PDHLXZFW</t>
        </is>
      </c>
      <c r="L477" s="32" t="inlineStr">
        <is>
          <t xml:space="preserve">02 - Sports / GT</t>
        </is>
      </c>
      <c r="M477" s="35">
        <v>355000</v>
      </c>
      <c r="N477" s="32" t="inlineStr">
        <is>
          <t xml:space="preserve">Personal</t>
        </is>
      </c>
      <c r="O477" s="30" t="inlineStr">
        <is>
          <t xml:space="preserve">Personal - regular use</t>
        </is>
      </c>
      <c r="P477" s="30" t="inlineStr">
        <is>
          <t xml:space="preserve">2,500 - 5,000</t>
        </is>
      </c>
      <c r="Q477" s="30" t="inlineStr">
        <is>
          <t xml:space="preserve">Pennsylvania</t>
        </is>
      </c>
      <c r="R477" s="30" t="inlineStr">
        <is>
          <t xml:space="preserve">19103</t>
        </is>
      </c>
      <c r="S477" s="32" t="inlineStr">
        <is>
          <t xml:space="preserve">Low hazard - inland benign</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4416.73</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CANON-202602-005316</t>
        </is>
      </c>
      <c r="B478" s="46" t="inlineStr">
        <is>
          <t xml:space="preserve">Fitzgerald Harrington</t>
        </is>
      </c>
      <c r="C478" s="47">
        <v>46065</v>
      </c>
      <c r="D478" s="48" t="inlineStr">
        <is>
          <t xml:space="preserve">Bound - within authority</t>
        </is>
      </c>
      <c r="E478" s="48" t="inlineStr">
        <is>
          <t xml:space="preserve">New business</t>
        </is>
      </c>
      <c r="F478" s="46" t="inlineStr">
        <is>
          <t xml:space="preserve">B1234EXOTIC26</t>
        </is>
      </c>
      <c r="G478" s="33">
        <f>IF($A478="","",IF($C478="","",YEAR($C478)))</f>
      </c>
      <c r="H478" s="49">
        <v>2008</v>
      </c>
      <c r="I478" s="46" t="inlineStr">
        <is>
          <t xml:space="preserve">Singer</t>
        </is>
      </c>
      <c r="J478" s="46" t="inlineStr">
        <is>
          <t xml:space="preserve">911 Reimagined</t>
        </is>
      </c>
      <c r="K478" s="46" t="inlineStr">
        <is>
          <t xml:space="preserve">1N64PNSX6X4D837S8</t>
        </is>
      </c>
      <c r="L478" s="48" t="inlineStr">
        <is>
          <t xml:space="preserve">11 - Restomod / Coachbuilt / Bespoke</t>
        </is>
      </c>
      <c r="M478" s="50">
        <v>520000</v>
      </c>
      <c r="N478" s="48" t="inlineStr">
        <is>
          <t xml:space="preserve">Personal</t>
        </is>
      </c>
      <c r="O478" s="46" t="inlineStr">
        <is>
          <t xml:space="preserve">Personal - regular use</t>
        </is>
      </c>
      <c r="P478" s="46" t="inlineStr">
        <is>
          <t xml:space="preserve">Under 1,000</t>
        </is>
      </c>
      <c r="Q478" s="46" t="inlineStr">
        <is>
          <t xml:space="preserve">Michigan</t>
        </is>
      </c>
      <c r="R478" s="46" t="inlineStr">
        <is>
          <t xml:space="preserve">48226</t>
        </is>
      </c>
      <c r="S478" s="48" t="inlineStr">
        <is>
          <t xml:space="preserve">Severe convective - hail / tornado (moderate)</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10428.97</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CANON-202602-005317</t>
        </is>
      </c>
      <c r="B479" s="30" t="inlineStr">
        <is>
          <t xml:space="preserve">Mireille Vasquez</t>
        </is>
      </c>
      <c r="C479" s="31">
        <v>46071</v>
      </c>
      <c r="D479" s="32" t="inlineStr">
        <is>
          <t xml:space="preserve">Bound - within authority</t>
        </is>
      </c>
      <c r="E479" s="32" t="inlineStr">
        <is>
          <t xml:space="preserve">New business</t>
        </is>
      </c>
      <c r="F479" s="30" t="inlineStr">
        <is>
          <t xml:space="preserve">B1234EXOTIC26</t>
        </is>
      </c>
      <c r="G479" s="33">
        <f>IF($A479="","",IF($C479="","",YEAR($C479)))</f>
      </c>
      <c r="H479" s="34">
        <v>2019</v>
      </c>
      <c r="I479" s="30" t="inlineStr">
        <is>
          <t xml:space="preserve">BMW</t>
        </is>
      </c>
      <c r="J479" s="30" t="inlineStr">
        <is>
          <t xml:space="preserve">M8 Competition</t>
        </is>
      </c>
      <c r="K479" s="30" t="inlineStr">
        <is>
          <t xml:space="preserve">3EEHLZGF9UA49036M</t>
        </is>
      </c>
      <c r="L479" s="32" t="inlineStr">
        <is>
          <t xml:space="preserve">02 - Sports / GT</t>
        </is>
      </c>
      <c r="M479" s="35">
        <v>610000</v>
      </c>
      <c r="N479" s="32" t="inlineStr">
        <is>
          <t xml:space="preserve">Personal</t>
        </is>
      </c>
      <c r="O479" s="30" t="inlineStr">
        <is>
          <t xml:space="preserve">Personal - regular use</t>
        </is>
      </c>
      <c r="P479" s="30" t="inlineStr">
        <is>
          <t xml:space="preserve">2,500 - 5,000</t>
        </is>
      </c>
      <c r="Q479" s="30" t="inlineStr">
        <is>
          <t xml:space="preserve">Washington</t>
        </is>
      </c>
      <c r="R479" s="30" t="inlineStr">
        <is>
          <t xml:space="preserve">98101</t>
        </is>
      </c>
      <c r="S479" s="32" t="inlineStr">
        <is>
          <t xml:space="preserve">Earthquake - high (CA, Cascadia, New Madrid)</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6314.32</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CANON-202602-005318</t>
        </is>
      </c>
      <c r="B480" s="46" t="inlineStr">
        <is>
          <t xml:space="preserve">Callum Harrington</t>
        </is>
      </c>
      <c r="C480" s="47">
        <v>46066</v>
      </c>
      <c r="D480" s="48" t="inlineStr">
        <is>
          <t xml:space="preserve">Bound - within authority</t>
        </is>
      </c>
      <c r="E480" s="48" t="inlineStr">
        <is>
          <t xml:space="preserve">New business</t>
        </is>
      </c>
      <c r="F480" s="46" t="inlineStr">
        <is>
          <t xml:space="preserve">B1234EXOTIC26</t>
        </is>
      </c>
      <c r="G480" s="33">
        <f>IF($A480="","",IF($C480="","",YEAR($C480)))</f>
      </c>
      <c r="H480" s="49">
        <v>1965</v>
      </c>
      <c r="I480" s="46" t="inlineStr">
        <is>
          <t xml:space="preserve">Bentley</t>
        </is>
      </c>
      <c r="J480" s="46" t="inlineStr">
        <is>
          <t xml:space="preserve">Continental GT</t>
        </is>
      </c>
      <c r="K480" s="46" t="inlineStr">
        <is>
          <t xml:space="preserve">27SWJYD4VNV15TPUW</t>
        </is>
      </c>
      <c r="L480" s="48" t="inlineStr">
        <is>
          <t xml:space="preserve">02 - Sports / GT</t>
        </is>
      </c>
      <c r="M480" s="50">
        <v>540000</v>
      </c>
      <c r="N480" s="48" t="inlineStr">
        <is>
          <t xml:space="preserve">Personal</t>
        </is>
      </c>
      <c r="O480" s="46" t="inlineStr">
        <is>
          <t xml:space="preserve">Personal - regular use</t>
        </is>
      </c>
      <c r="P480" s="46" t="inlineStr">
        <is>
          <t xml:space="preserve">1,000 - 2,500</t>
        </is>
      </c>
      <c r="Q480" s="46" t="inlineStr">
        <is>
          <t xml:space="preserve">Ohio</t>
        </is>
      </c>
      <c r="R480" s="46" t="inlineStr">
        <is>
          <t xml:space="preserve">43215</t>
        </is>
      </c>
      <c r="S480" s="48" t="inlineStr">
        <is>
          <t xml:space="preserve">Severe convective - hail / tornado (moderate)</t>
        </is>
      </c>
      <c r="T480" s="36">
        <f>IF($A480="","",IF($S480="","",IFERROR(INDEX('[1]natural catastrophe'!$D$6:$D$17,MATCH($S480,'[1]natural catastrophe'!$B$6:$B$17,0)),"?")))</f>
      </c>
      <c r="U480" s="46" t="inlineStr">
        <is>
          <t xml:space="preserve">$5,000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8093.45</v>
      </c>
      <c r="AC480" s="51">
        <v>0</v>
      </c>
      <c r="AD480" s="38">
        <f>IF(ISNUMBER($AB480),$AB480*(1+N($AC480)),"")</f>
      </c>
      <c r="AE480" s="50">
        <v>350</v>
      </c>
      <c r="AF480" s="50">
        <v>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CANON-202602-005319</t>
        </is>
      </c>
      <c r="B481" s="30" t="inlineStr">
        <is>
          <t xml:space="preserve">Leopold Rourke</t>
        </is>
      </c>
      <c r="C481" s="31">
        <v>46080</v>
      </c>
      <c r="D481" s="32" t="inlineStr">
        <is>
          <t xml:space="preserve">Bound - within authority</t>
        </is>
      </c>
      <c r="E481" s="32" t="inlineStr">
        <is>
          <t xml:space="preserve">New business</t>
        </is>
      </c>
      <c r="F481" s="30" t="inlineStr">
        <is>
          <t xml:space="preserve">B1234EXOTIC26</t>
        </is>
      </c>
      <c r="G481" s="33">
        <f>IF($A481="","",IF($C481="","",YEAR($C481)))</f>
      </c>
      <c r="H481" s="34">
        <v>2004</v>
      </c>
      <c r="I481" s="30" t="inlineStr">
        <is>
          <t xml:space="preserve">Bugatti</t>
        </is>
      </c>
      <c r="J481" s="30" t="inlineStr">
        <is>
          <t xml:space="preserve">Type 57</t>
        </is>
      </c>
      <c r="K481" s="30" t="inlineStr">
        <is>
          <t xml:space="preserve">ZNTT2SME5W186B1ZW</t>
        </is>
      </c>
      <c r="L481" s="32" t="inlineStr">
        <is>
          <t xml:space="preserve">09 - Youngtimer / Collectible (2000-2010)</t>
        </is>
      </c>
      <c r="M481" s="35">
        <v>1650000</v>
      </c>
      <c r="N481" s="32" t="inlineStr">
        <is>
          <t xml:space="preserve">Personal</t>
        </is>
      </c>
      <c r="O481" s="30" t="inlineStr">
        <is>
          <t xml:space="preserve">Personal - regular use</t>
        </is>
      </c>
      <c r="P481" s="30" t="inlineStr">
        <is>
          <t xml:space="preserve">1,000 - 2,500</t>
        </is>
      </c>
      <c r="Q481" s="30" t="inlineStr">
        <is>
          <t xml:space="preserve">Ohio</t>
        </is>
      </c>
      <c r="R481" s="30" t="inlineStr">
        <is>
          <t xml:space="preserve">43215</t>
        </is>
      </c>
      <c r="S481" s="32" t="inlineStr">
        <is>
          <t xml:space="preserve">Severe convective - hail / tornado (moderate)</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12935.69</v>
      </c>
      <c r="AC481" s="37">
        <v>0</v>
      </c>
      <c r="AD481" s="38">
        <f>IF(ISNUMBER($AB481),$AB481*(1+N($AC481)),"")</f>
      </c>
      <c r="AE481" s="35">
        <v>350</v>
      </c>
      <c r="AF481" s="35">
        <v>250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CANON-202602-005322</t>
        </is>
      </c>
      <c r="B482" s="46" t="inlineStr">
        <is>
          <t xml:space="preserve">Callum Kingsford</t>
        </is>
      </c>
      <c r="C482" s="47">
        <v>46065</v>
      </c>
      <c r="D482" s="48" t="inlineStr">
        <is>
          <t xml:space="preserve">Bound - within authority</t>
        </is>
      </c>
      <c r="E482" s="48" t="inlineStr">
        <is>
          <t xml:space="preserve">New business</t>
        </is>
      </c>
      <c r="F482" s="46" t="inlineStr">
        <is>
          <t xml:space="preserve">B1234EXOTIC26</t>
        </is>
      </c>
      <c r="G482" s="33">
        <f>IF($A482="","",IF($C482="","",YEAR($C482)))</f>
      </c>
      <c r="H482" s="49">
        <v>2018</v>
      </c>
      <c r="I482" s="46" t="inlineStr">
        <is>
          <t xml:space="preserve">Mercedes-Benz</t>
        </is>
      </c>
      <c r="J482" s="46" t="inlineStr">
        <is>
          <t xml:space="preserve">AMG GT</t>
        </is>
      </c>
      <c r="K482" s="46" t="inlineStr">
        <is>
          <t xml:space="preserve">H4X9SGSKWZM12XPFG</t>
        </is>
      </c>
      <c r="L482" s="48" t="inlineStr">
        <is>
          <t xml:space="preserve">02 - Sports / GT</t>
        </is>
      </c>
      <c r="M482" s="50">
        <v>295000</v>
      </c>
      <c r="N482" s="48" t="inlineStr">
        <is>
          <t xml:space="preserve">Personal</t>
        </is>
      </c>
      <c r="O482" s="46" t="inlineStr">
        <is>
          <t xml:space="preserve">Personal - regular use</t>
        </is>
      </c>
      <c r="P482" s="46" t="inlineStr">
        <is>
          <t xml:space="preserve">2,500 - 5,000</t>
        </is>
      </c>
      <c r="Q482" s="46" t="inlineStr">
        <is>
          <t xml:space="preserve">Ohio</t>
        </is>
      </c>
      <c r="R482" s="46" t="inlineStr">
        <is>
          <t xml:space="preserve">43215</t>
        </is>
      </c>
      <c r="S482" s="48" t="inlineStr">
        <is>
          <t xml:space="preserve">Severe convective - hail / tornado (moderate)</t>
        </is>
      </c>
      <c r="T482" s="36">
        <f>IF($A482="","",IF($S482="","",IFERROR(INDEX('[1]natural catastrophe'!$D$6:$D$17,MATCH($S482,'[1]natural catastrophe'!$B$6:$B$17,0)),"?")))</f>
      </c>
      <c r="U482" s="46" t="inlineStr">
        <is>
          <t xml:space="preserve">$5,000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5101.64</v>
      </c>
      <c r="AC482" s="51">
        <v>0</v>
      </c>
      <c r="AD482" s="38">
        <f>IF(ISNUMBER($AB482),$AB482*(1+N($AC482)),"")</f>
      </c>
      <c r="AE482" s="50">
        <v>350</v>
      </c>
      <c r="AF482" s="50">
        <v>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CANON-202602-005323</t>
        </is>
      </c>
      <c r="B483" s="30" t="inlineStr">
        <is>
          <t xml:space="preserve">Ingrid Larsson</t>
        </is>
      </c>
      <c r="C483" s="31">
        <v>46062</v>
      </c>
      <c r="D483" s="32" t="inlineStr">
        <is>
          <t xml:space="preserve">Bound - within authority</t>
        </is>
      </c>
      <c r="E483" s="32" t="inlineStr">
        <is>
          <t xml:space="preserve">New business</t>
        </is>
      </c>
      <c r="F483" s="30" t="inlineStr">
        <is>
          <t xml:space="preserve">B1234EXOTIC26</t>
        </is>
      </c>
      <c r="G483" s="33">
        <f>IF($A483="","",IF($C483="","",YEAR($C483)))</f>
      </c>
      <c r="H483" s="34">
        <v>1978</v>
      </c>
      <c r="I483" s="30" t="inlineStr">
        <is>
          <t xml:space="preserve">Bentley</t>
        </is>
      </c>
      <c r="J483" s="30" t="inlineStr">
        <is>
          <t xml:space="preserve">Continental GT</t>
        </is>
      </c>
      <c r="K483" s="30" t="inlineStr">
        <is>
          <t xml:space="preserve">WVJ3Z93J2YU7LYNJ4</t>
        </is>
      </c>
      <c r="L483" s="32" t="inlineStr">
        <is>
          <t xml:space="preserve">02 - Sports / GT</t>
        </is>
      </c>
      <c r="M483" s="35">
        <v>580000</v>
      </c>
      <c r="N483" s="32" t="inlineStr">
        <is>
          <t xml:space="preserve">Personal</t>
        </is>
      </c>
      <c r="O483" s="30" t="inlineStr">
        <is>
          <t xml:space="preserve">Personal - regular use</t>
        </is>
      </c>
      <c r="P483" s="30" t="inlineStr">
        <is>
          <t xml:space="preserve">Under 1,000</t>
        </is>
      </c>
      <c r="Q483" s="30" t="inlineStr">
        <is>
          <t xml:space="preserve">California</t>
        </is>
      </c>
      <c r="R483" s="30" t="inlineStr">
        <is>
          <t xml:space="preserve">90012</t>
        </is>
      </c>
      <c r="S483" s="32" t="inlineStr">
        <is>
          <t xml:space="preserve">Earthquake - high (CA, Cascadia, New Madrid)</t>
        </is>
      </c>
      <c r="T483" s="36">
        <f>IF($A483="","",IF($S483="","",IFERROR(INDEX('[1]natural catastrophe'!$D$6:$D$17,MATCH($S483,'[1]natural catastrophe'!$B$6:$B$17,0)),"?")))</f>
      </c>
      <c r="U483" s="30" t="inlineStr">
        <is>
          <t xml:space="preserve">$5,000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8442.81</v>
      </c>
      <c r="AC483" s="37">
        <v>0</v>
      </c>
      <c r="AD483" s="38">
        <f>IF(ISNUMBER($AB483),$AB483*(1+N($AC483)),"")</f>
      </c>
      <c r="AE483" s="35">
        <v>350</v>
      </c>
      <c r="AF483" s="35">
        <v>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CANON-202602-005324</t>
        </is>
      </c>
      <c r="B484" s="46" t="inlineStr">
        <is>
          <t xml:space="preserve">Ottilie Fairweather</t>
        </is>
      </c>
      <c r="C484" s="47">
        <v>46071</v>
      </c>
      <c r="D484" s="48" t="inlineStr">
        <is>
          <t xml:space="preserve">Bound - within authority</t>
        </is>
      </c>
      <c r="E484" s="48" t="inlineStr">
        <is>
          <t xml:space="preserve">New business</t>
        </is>
      </c>
      <c r="F484" s="46" t="inlineStr">
        <is>
          <t xml:space="preserve">B1234EXOTIC26</t>
        </is>
      </c>
      <c r="G484" s="33">
        <f>IF($A484="","",IF($C484="","",YEAR($C484)))</f>
      </c>
      <c r="H484" s="49">
        <v>2019</v>
      </c>
      <c r="I484" s="46" t="inlineStr">
        <is>
          <t xml:space="preserve">Bentley</t>
        </is>
      </c>
      <c r="J484" s="46" t="inlineStr">
        <is>
          <t xml:space="preserve">Continental GT</t>
        </is>
      </c>
      <c r="K484" s="46" t="inlineStr">
        <is>
          <t xml:space="preserve">STHAENARD7JWD4BKW</t>
        </is>
      </c>
      <c r="L484" s="48" t="inlineStr">
        <is>
          <t xml:space="preserve">02 - Sports / GT</t>
        </is>
      </c>
      <c r="M484" s="50">
        <v>275000</v>
      </c>
      <c r="N484" s="48" t="inlineStr">
        <is>
          <t xml:space="preserve">Personal</t>
        </is>
      </c>
      <c r="O484" s="46" t="inlineStr">
        <is>
          <t xml:space="preserve">Personal - regular use</t>
        </is>
      </c>
      <c r="P484" s="46" t="inlineStr">
        <is>
          <t xml:space="preserve">1,000 - 2,500</t>
        </is>
      </c>
      <c r="Q484" s="46" t="inlineStr">
        <is>
          <t xml:space="preserve">Massachusetts</t>
        </is>
      </c>
      <c r="R484" s="46" t="inlineStr">
        <is>
          <t xml:space="preserve">02108</t>
        </is>
      </c>
      <c r="S484" s="48" t="inlineStr">
        <is>
          <t xml:space="preserve">Tier 3 - Coastal wind (25-100 miles)</t>
        </is>
      </c>
      <c r="T484" s="36">
        <f>IF($A484="","",IF($S484="","",IFERROR(INDEX('[1]natural catastrophe'!$D$6:$D$17,MATCH($S484,'[1]natural catastrophe'!$B$6:$B$17,0)),"?")))</f>
      </c>
      <c r="U484" s="46" t="inlineStr">
        <is>
          <t xml:space="preserve">2% of agreed value, minimum $10,000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4276.77</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CANON-202602-005326</t>
        </is>
      </c>
      <c r="B485" s="30" t="inlineStr">
        <is>
          <t xml:space="preserve">Cassius Okonkwo</t>
        </is>
      </c>
      <c r="C485" s="31">
        <v>46065</v>
      </c>
      <c r="D485" s="32" t="inlineStr">
        <is>
          <t xml:space="preserve">Bound - within authority</t>
        </is>
      </c>
      <c r="E485" s="32" t="inlineStr">
        <is>
          <t xml:space="preserve">New business</t>
        </is>
      </c>
      <c r="F485" s="30" t="inlineStr">
        <is>
          <t xml:space="preserve">B1234EXOTIC26</t>
        </is>
      </c>
      <c r="G485" s="33">
        <f>IF($A485="","",IF($C485="","",YEAR($C485)))</f>
      </c>
      <c r="H485" s="34">
        <v>1973</v>
      </c>
      <c r="I485" s="30" t="inlineStr">
        <is>
          <t xml:space="preserve">Bentley</t>
        </is>
      </c>
      <c r="J485" s="30" t="inlineStr">
        <is>
          <t xml:space="preserve">Continental GT</t>
        </is>
      </c>
      <c r="K485" s="30" t="inlineStr">
        <is>
          <t xml:space="preserve">7LLJ0DU83LEZ1FHDP</t>
        </is>
      </c>
      <c r="L485" s="32" t="inlineStr">
        <is>
          <t xml:space="preserve">02 - Sports / GT</t>
        </is>
      </c>
      <c r="M485" s="35">
        <v>320000</v>
      </c>
      <c r="N485" s="32" t="inlineStr">
        <is>
          <t xml:space="preserve">Personal</t>
        </is>
      </c>
      <c r="O485" s="30" t="inlineStr">
        <is>
          <t xml:space="preserve">Personal - regular use</t>
        </is>
      </c>
      <c r="P485" s="30" t="inlineStr">
        <is>
          <t xml:space="preserve">Under 1,000</t>
        </is>
      </c>
      <c r="Q485" s="30" t="inlineStr">
        <is>
          <t xml:space="preserve">Virginia</t>
        </is>
      </c>
      <c r="R485" s="30" t="inlineStr">
        <is>
          <t xml:space="preserve">23219</t>
        </is>
      </c>
      <c r="S485" s="32" t="inlineStr">
        <is>
          <t xml:space="preserve">Tier 3 - Coastal wind (25-100 miles)</t>
        </is>
      </c>
      <c r="T485" s="36">
        <f>IF($A485="","",IF($S485="","",IFERROR(INDEX('[1]natural catastrophe'!$D$6:$D$17,MATCH($S485,'[1]natural catastrophe'!$B$6:$B$17,0)),"?")))</f>
      </c>
      <c r="U485" s="30" t="inlineStr">
        <is>
          <t xml:space="preserve">2% of agreed value, minimum $10,000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4339.6</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CANON-202602-005328</t>
        </is>
      </c>
      <c r="B486" s="46" t="inlineStr">
        <is>
          <t xml:space="preserve">Priya Delacroix</t>
        </is>
      </c>
      <c r="C486" s="47">
        <v>46079</v>
      </c>
      <c r="D486" s="48" t="inlineStr">
        <is>
          <t xml:space="preserve">Bound - within authority</t>
        </is>
      </c>
      <c r="E486" s="48" t="inlineStr">
        <is>
          <t xml:space="preserve">New business</t>
        </is>
      </c>
      <c r="F486" s="46" t="inlineStr">
        <is>
          <t xml:space="preserve">B1234EXOTIC26</t>
        </is>
      </c>
      <c r="G486" s="33">
        <f>IF($A486="","",IF($C486="","",YEAR($C486)))</f>
      </c>
      <c r="H486" s="49">
        <v>1986</v>
      </c>
      <c r="I486" s="46" t="inlineStr">
        <is>
          <t xml:space="preserve">Alfa Romeo</t>
        </is>
      </c>
      <c r="J486" s="46" t="inlineStr">
        <is>
          <t xml:space="preserve">8C 2900</t>
        </is>
      </c>
      <c r="K486" s="46" t="inlineStr">
        <is>
          <t xml:space="preserve">XWFPUCBZMAPPT43BZ</t>
        </is>
      </c>
      <c r="L486" s="48" t="inlineStr">
        <is>
          <t xml:space="preserve">08 - Modern Classic (1973-1999)</t>
        </is>
      </c>
      <c r="M486" s="50">
        <v>1485000</v>
      </c>
      <c r="N486" s="48" t="inlineStr">
        <is>
          <t xml:space="preserve">Personal</t>
        </is>
      </c>
      <c r="O486" s="46" t="inlineStr">
        <is>
          <t xml:space="preserve">Personal - regular use</t>
        </is>
      </c>
      <c r="P486" s="46" t="inlineStr">
        <is>
          <t xml:space="preserve">Under 1,000</t>
        </is>
      </c>
      <c r="Q486" s="46" t="inlineStr">
        <is>
          <t xml:space="preserve">Pennsylvania</t>
        </is>
      </c>
      <c r="R486" s="46" t="inlineStr">
        <is>
          <t xml:space="preserve">19103</t>
        </is>
      </c>
      <c r="S486" s="48" t="inlineStr">
        <is>
          <t xml:space="preserve">Low hazard - inland benign</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8375.63</v>
      </c>
      <c r="AC486" s="51">
        <v>0</v>
      </c>
      <c r="AD486" s="38">
        <f>IF(ISNUMBER($AB486),$AB486*(1+N($AC486)),"")</f>
      </c>
      <c r="AE486" s="50">
        <v>350</v>
      </c>
      <c r="AF486" s="50">
        <v>250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CANON-202602-005331</t>
        </is>
      </c>
      <c r="B487" s="30" t="inlineStr">
        <is>
          <t xml:space="preserve">Sunniva Delacroix</t>
        </is>
      </c>
      <c r="C487" s="31">
        <v>46065</v>
      </c>
      <c r="D487" s="32" t="inlineStr">
        <is>
          <t xml:space="preserve">Bound - within authority</t>
        </is>
      </c>
      <c r="E487" s="32" t="inlineStr">
        <is>
          <t xml:space="preserve">New business</t>
        </is>
      </c>
      <c r="F487" s="30" t="inlineStr">
        <is>
          <t xml:space="preserve">B1234EXOTIC26</t>
        </is>
      </c>
      <c r="G487" s="33">
        <f>IF($A487="","",IF($C487="","",YEAR($C487)))</f>
      </c>
      <c r="H487" s="34">
        <v>2019</v>
      </c>
      <c r="I487" s="30" t="inlineStr">
        <is>
          <t xml:space="preserve">Icon</t>
        </is>
      </c>
      <c r="J487" s="30" t="inlineStr">
        <is>
          <t xml:space="preserve">Derelict</t>
        </is>
      </c>
      <c r="K487" s="30" t="inlineStr">
        <is>
          <t xml:space="preserve">H553V6T61F9C74UY9</t>
        </is>
      </c>
      <c r="L487" s="32" t="inlineStr">
        <is>
          <t xml:space="preserve">11 - Restomod / Coachbuilt / Bespoke</t>
        </is>
      </c>
      <c r="M487" s="35">
        <v>1275000</v>
      </c>
      <c r="N487" s="32" t="inlineStr">
        <is>
          <t xml:space="preserve">Personal</t>
        </is>
      </c>
      <c r="O487" s="30" t="inlineStr">
        <is>
          <t xml:space="preserve">Personal - regular use</t>
        </is>
      </c>
      <c r="P487" s="30" t="inlineStr">
        <is>
          <t xml:space="preserve">1,000 - 2,500</t>
        </is>
      </c>
      <c r="Q487" s="30" t="inlineStr">
        <is>
          <t xml:space="preserve">Idaho</t>
        </is>
      </c>
      <c r="R487" s="30" t="inlineStr">
        <is>
          <t xml:space="preserve">83702</t>
        </is>
      </c>
      <c r="S487" s="32" t="inlineStr">
        <is>
          <t xml:space="preserve">Wildfire - WUI high hazard</t>
        </is>
      </c>
      <c r="T487" s="36">
        <f>IF($A487="","",IF($S487="","",IFERROR(INDEX('[1]natural catastrophe'!$D$6:$D$17,MATCH($S487,'[1]natural catastrophe'!$B$6:$B$17,0)),"?")))</f>
      </c>
      <c r="U487" s="30" t="inlineStr">
        <is>
          <t xml:space="preserve">$5,000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14238.56</v>
      </c>
      <c r="AC487" s="37">
        <v>0</v>
      </c>
      <c r="AD487" s="38">
        <f>IF(ISNUMBER($AB487),$AB487*(1+N($AC487)),"")</f>
      </c>
      <c r="AE487" s="35">
        <v>350</v>
      </c>
      <c r="AF487" s="35">
        <v>250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CANON-202602-005332</t>
        </is>
      </c>
      <c r="B488" s="46" t="inlineStr">
        <is>
          <t xml:space="preserve">Cassius Okonkwo</t>
        </is>
      </c>
      <c r="C488" s="47">
        <v>46071</v>
      </c>
      <c r="D488" s="48" t="inlineStr">
        <is>
          <t xml:space="preserve">Bound - within authority</t>
        </is>
      </c>
      <c r="E488" s="48" t="inlineStr">
        <is>
          <t xml:space="preserve">New business</t>
        </is>
      </c>
      <c r="F488" s="46" t="inlineStr">
        <is>
          <t xml:space="preserve">B1234EXOTIC26</t>
        </is>
      </c>
      <c r="G488" s="33">
        <f>IF($A488="","",IF($C488="","",YEAR($C488)))</f>
      </c>
      <c r="H488" s="49">
        <v>1963</v>
      </c>
      <c r="I488" s="46" t="inlineStr">
        <is>
          <t xml:space="preserve">Aston Martin</t>
        </is>
      </c>
      <c r="J488" s="46" t="inlineStr">
        <is>
          <t xml:space="preserve">DB5</t>
        </is>
      </c>
      <c r="K488" s="46" t="inlineStr">
        <is>
          <t xml:space="preserve">J4SA1VUFUVST282VU</t>
        </is>
      </c>
      <c r="L488" s="48" t="inlineStr">
        <is>
          <t xml:space="preserve">07 - Post-War Classic (1946-1972)</t>
        </is>
      </c>
      <c r="M488" s="50">
        <v>425000</v>
      </c>
      <c r="N488" s="48" t="inlineStr">
        <is>
          <t xml:space="preserve">Personal</t>
        </is>
      </c>
      <c r="O488" s="46" t="inlineStr">
        <is>
          <t xml:space="preserve">Personal - regular use</t>
        </is>
      </c>
      <c r="P488" s="46" t="inlineStr">
        <is>
          <t xml:space="preserve">2,500 - 5,000</t>
        </is>
      </c>
      <c r="Q488" s="46" t="inlineStr">
        <is>
          <t xml:space="preserve">New York</t>
        </is>
      </c>
      <c r="R488" s="46" t="inlineStr">
        <is>
          <t xml:space="preserve">10022</t>
        </is>
      </c>
      <c r="S488" s="48" t="inlineStr">
        <is>
          <t xml:space="preserve">Tier 3 - Coastal wind (25-100 miles)</t>
        </is>
      </c>
      <c r="T488" s="36">
        <f>IF($A488="","",IF($S488="","",IFERROR(INDEX('[1]natural catastrophe'!$D$6:$D$17,MATCH($S488,'[1]natural catastrophe'!$B$6:$B$17,0)),"?")))</f>
      </c>
      <c r="U488" s="46" t="inlineStr">
        <is>
          <t xml:space="preserve">2% of agreed value, minimum $10,000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4331.63</v>
      </c>
      <c r="AC488" s="51">
        <v>0</v>
      </c>
      <c r="AD488" s="38">
        <f>IF(ISNUMBER($AB488),$AB488*(1+N($AC488)),"")</f>
      </c>
      <c r="AE488" s="50">
        <v>350</v>
      </c>
      <c r="AF488" s="50">
        <v>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CANON-202602-005333</t>
        </is>
      </c>
      <c r="B489" s="30" t="inlineStr">
        <is>
          <t xml:space="preserve">Delphine Vasquez</t>
        </is>
      </c>
      <c r="C489" s="31">
        <v>46073</v>
      </c>
      <c r="D489" s="32" t="inlineStr">
        <is>
          <t xml:space="preserve">Bound - within authority</t>
        </is>
      </c>
      <c r="E489" s="32" t="inlineStr">
        <is>
          <t xml:space="preserve">New business</t>
        </is>
      </c>
      <c r="F489" s="30" t="inlineStr">
        <is>
          <t xml:space="preserve">B1234EXOTIC26</t>
        </is>
      </c>
      <c r="G489" s="33">
        <f>IF($A489="","",IF($C489="","",YEAR($C489)))</f>
      </c>
      <c r="H489" s="34">
        <v>1979</v>
      </c>
      <c r="I489" s="30" t="inlineStr">
        <is>
          <t xml:space="preserve">Porsche</t>
        </is>
      </c>
      <c r="J489" s="30" t="inlineStr">
        <is>
          <t xml:space="preserve">911 Turbo S</t>
        </is>
      </c>
      <c r="K489" s="30" t="inlineStr">
        <is>
          <t xml:space="preserve">PAGY9EMVXSPWDVW98</t>
        </is>
      </c>
      <c r="L489" s="32" t="inlineStr">
        <is>
          <t xml:space="preserve">02 - Sports / GT</t>
        </is>
      </c>
      <c r="M489" s="35">
        <v>380000</v>
      </c>
      <c r="N489" s="32" t="inlineStr">
        <is>
          <t xml:space="preserve">Personal</t>
        </is>
      </c>
      <c r="O489" s="30" t="inlineStr">
        <is>
          <t xml:space="preserve">Personal - regular use</t>
        </is>
      </c>
      <c r="P489" s="30" t="inlineStr">
        <is>
          <t xml:space="preserve">2,500 - 5,000</t>
        </is>
      </c>
      <c r="Q489" s="30" t="inlineStr">
        <is>
          <t xml:space="preserve">West Virginia</t>
        </is>
      </c>
      <c r="R489" s="30" t="inlineStr">
        <is>
          <t xml:space="preserve">25301</t>
        </is>
      </c>
      <c r="S489" s="32" t="inlineStr">
        <is>
          <t xml:space="preserve">Low hazard - inland benign</t>
        </is>
      </c>
      <c r="T489" s="36">
        <f>IF($A489="","",IF($S489="","",IFERROR(INDEX('[1]natural catastrophe'!$D$6:$D$17,MATCH($S489,'[1]natural catastrophe'!$B$6:$B$17,0)),"?")))</f>
      </c>
      <c r="U489" s="30" t="inlineStr">
        <is>
          <t xml:space="preserve">$5,000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6287.94</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CANON-202602-005334</t>
        </is>
      </c>
      <c r="B490" s="46" t="inlineStr">
        <is>
          <t xml:space="preserve">Sunniva Bellandi</t>
        </is>
      </c>
      <c r="C490" s="47">
        <v>46066</v>
      </c>
      <c r="D490" s="48" t="inlineStr">
        <is>
          <t xml:space="preserve">Bound - within authority</t>
        </is>
      </c>
      <c r="E490" s="48" t="inlineStr">
        <is>
          <t xml:space="preserve">New business</t>
        </is>
      </c>
      <c r="F490" s="46" t="inlineStr">
        <is>
          <t xml:space="preserve">B1234EXOTIC26</t>
        </is>
      </c>
      <c r="G490" s="33">
        <f>IF($A490="","",IF($C490="","",YEAR($C490)))</f>
      </c>
      <c r="H490" s="49">
        <v>1977</v>
      </c>
      <c r="I490" s="46" t="inlineStr">
        <is>
          <t xml:space="preserve">Aston Martin</t>
        </is>
      </c>
      <c r="J490" s="46" t="inlineStr">
        <is>
          <t xml:space="preserve">DB12</t>
        </is>
      </c>
      <c r="K490" s="46" t="inlineStr">
        <is>
          <t xml:space="preserve">D06ACMGXHZDZ3XK3L</t>
        </is>
      </c>
      <c r="L490" s="48" t="inlineStr">
        <is>
          <t xml:space="preserve">02 - Sports / GT</t>
        </is>
      </c>
      <c r="M490" s="50">
        <v>510000</v>
      </c>
      <c r="N490" s="48" t="inlineStr">
        <is>
          <t xml:space="preserve">Personal</t>
        </is>
      </c>
      <c r="O490" s="46" t="inlineStr">
        <is>
          <t xml:space="preserve">Personal - regular use</t>
        </is>
      </c>
      <c r="P490" s="46" t="inlineStr">
        <is>
          <t xml:space="preserve">2,500 - 5,000</t>
        </is>
      </c>
      <c r="Q490" s="46" t="inlineStr">
        <is>
          <t xml:space="preserve">Mississippi</t>
        </is>
      </c>
      <c r="R490" s="46" t="inlineStr">
        <is>
          <t xml:space="preserve">39201</t>
        </is>
      </c>
      <c r="S490" s="48" t="inlineStr">
        <is>
          <t xml:space="preserve">Tier 2 - Coastal wind (1-25 miles)</t>
        </is>
      </c>
      <c r="T490" s="36">
        <f>IF($A490="","",IF($S490="","",IFERROR(INDEX('[1]natural catastrophe'!$D$6:$D$17,MATCH($S490,'[1]natural catastrophe'!$B$6:$B$17,0)),"?")))</f>
      </c>
      <c r="U490" s="46" t="inlineStr">
        <is>
          <t xml:space="preserve">2% of agreed value, minimum $10,000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6543.98</v>
      </c>
      <c r="AC490" s="51">
        <v>0</v>
      </c>
      <c r="AD490" s="38">
        <f>IF(ISNUMBER($AB490),$AB490*(1+N($AC490)),"")</f>
      </c>
      <c r="AE490" s="50">
        <v>350</v>
      </c>
      <c r="AF490" s="50">
        <v>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CANON-202602-005335</t>
        </is>
      </c>
      <c r="B491" s="30" t="inlineStr">
        <is>
          <t xml:space="preserve">Everett Castellanos</t>
        </is>
      </c>
      <c r="C491" s="31">
        <v>46070</v>
      </c>
      <c r="D491" s="32" t="inlineStr">
        <is>
          <t xml:space="preserve">Bound - within authority</t>
        </is>
      </c>
      <c r="E491" s="32" t="inlineStr">
        <is>
          <t xml:space="preserve">New business</t>
        </is>
      </c>
      <c r="F491" s="30" t="inlineStr">
        <is>
          <t xml:space="preserve">B1234EXOTIC26</t>
        </is>
      </c>
      <c r="G491" s="33">
        <f>IF($A491="","",IF($C491="","",YEAR($C491)))</f>
      </c>
      <c r="H491" s="34">
        <v>1970</v>
      </c>
      <c r="I491" s="30" t="inlineStr">
        <is>
          <t xml:space="preserve">Ferrari</t>
        </is>
      </c>
      <c r="J491" s="30" t="inlineStr">
        <is>
          <t xml:space="preserve">275 GTB/4</t>
        </is>
      </c>
      <c r="K491" s="30" t="inlineStr">
        <is>
          <t xml:space="preserve">4ZLZR0NMH23ZSG823</t>
        </is>
      </c>
      <c r="L491" s="32" t="inlineStr">
        <is>
          <t xml:space="preserve">07 - Post-War Classic (1946-1972)</t>
        </is>
      </c>
      <c r="M491" s="35">
        <v>635000</v>
      </c>
      <c r="N491" s="32" t="inlineStr">
        <is>
          <t xml:space="preserve">Personal</t>
        </is>
      </c>
      <c r="O491" s="30" t="inlineStr">
        <is>
          <t xml:space="preserve">Personal - regular use</t>
        </is>
      </c>
      <c r="P491" s="30" t="inlineStr">
        <is>
          <t xml:space="preserve">2,500 - 5,000</t>
        </is>
      </c>
      <c r="Q491" s="30" t="inlineStr">
        <is>
          <t xml:space="preserve">New Jersey</t>
        </is>
      </c>
      <c r="R491" s="30" t="inlineStr">
        <is>
          <t xml:space="preserve">07102</t>
        </is>
      </c>
      <c r="S491" s="32" t="inlineStr">
        <is>
          <t xml:space="preserve">Tier 3 - Coastal wind (25-100 miles)</t>
        </is>
      </c>
      <c r="T491" s="36">
        <f>IF($A491="","",IF($S491="","",IFERROR(INDEX('[1]natural catastrophe'!$D$6:$D$17,MATCH($S491,'[1]natural catastrophe'!$B$6:$B$17,0)),"?")))</f>
      </c>
      <c r="U491" s="30" t="inlineStr">
        <is>
          <t xml:space="preserve">2% of agreed value, minimum $10,000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4121.88</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CANON-202602-005336</t>
        </is>
      </c>
      <c r="B492" s="46" t="inlineStr">
        <is>
          <t xml:space="preserve">Ramona Pennington</t>
        </is>
      </c>
      <c r="C492" s="47">
        <v>46077</v>
      </c>
      <c r="D492" s="48" t="inlineStr">
        <is>
          <t xml:space="preserve">Bound - within authority</t>
        </is>
      </c>
      <c r="E492" s="48" t="inlineStr">
        <is>
          <t xml:space="preserve">New business</t>
        </is>
      </c>
      <c r="F492" s="46" t="inlineStr">
        <is>
          <t xml:space="preserve">B1234EXOTIC26</t>
        </is>
      </c>
      <c r="G492" s="33">
        <f>IF($A492="","",IF($C492="","",YEAR($C492)))</f>
      </c>
      <c r="H492" s="49">
        <v>1993</v>
      </c>
      <c r="I492" s="46" t="inlineStr">
        <is>
          <t xml:space="preserve">BMW</t>
        </is>
      </c>
      <c r="J492" s="46" t="inlineStr">
        <is>
          <t xml:space="preserve">M8 Competition</t>
        </is>
      </c>
      <c r="K492" s="46" t="inlineStr">
        <is>
          <t xml:space="preserve">XCSJZ3VD39P148G2B</t>
        </is>
      </c>
      <c r="L492" s="48" t="inlineStr">
        <is>
          <t xml:space="preserve">02 - Sports / GT</t>
        </is>
      </c>
      <c r="M492" s="50">
        <v>635000</v>
      </c>
      <c r="N492" s="48" t="inlineStr">
        <is>
          <t xml:space="preserve">Personal</t>
        </is>
      </c>
      <c r="O492" s="46" t="inlineStr">
        <is>
          <t xml:space="preserve">Personal - regular use</t>
        </is>
      </c>
      <c r="P492" s="46" t="inlineStr">
        <is>
          <t xml:space="preserve">1,000 - 2,500</t>
        </is>
      </c>
      <c r="Q492" s="46" t="inlineStr">
        <is>
          <t xml:space="preserve">California</t>
        </is>
      </c>
      <c r="R492" s="46" t="inlineStr">
        <is>
          <t xml:space="preserve">90012</t>
        </is>
      </c>
      <c r="S492" s="48" t="inlineStr">
        <is>
          <t xml:space="preserve">Earthquake - high (CA, Cascadia, New Madrid)</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9243.42</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CANON-202602-005337</t>
        </is>
      </c>
      <c r="B493" s="30" t="inlineStr">
        <is>
          <t xml:space="preserve">Everett Fairweather</t>
        </is>
      </c>
      <c r="C493" s="31">
        <v>46062</v>
      </c>
      <c r="D493" s="32" t="inlineStr">
        <is>
          <t xml:space="preserve">Bound - within authority</t>
        </is>
      </c>
      <c r="E493" s="32" t="inlineStr">
        <is>
          <t xml:space="preserve">New business</t>
        </is>
      </c>
      <c r="F493" s="30" t="inlineStr">
        <is>
          <t xml:space="preserve">B1234EXOTIC26</t>
        </is>
      </c>
      <c r="G493" s="33">
        <f>IF($A493="","",IF($C493="","",YEAR($C493)))</f>
      </c>
      <c r="H493" s="34">
        <v>1967</v>
      </c>
      <c r="I493" s="30" t="inlineStr">
        <is>
          <t xml:space="preserve">Ferrari</t>
        </is>
      </c>
      <c r="J493" s="30" t="inlineStr">
        <is>
          <t xml:space="preserve">275 GTB/4</t>
        </is>
      </c>
      <c r="K493" s="30" t="inlineStr">
        <is>
          <t xml:space="preserve">AN7AA3E4WT9551BK6</t>
        </is>
      </c>
      <c r="L493" s="32" t="inlineStr">
        <is>
          <t xml:space="preserve">07 - Post-War Classic (1946-1972)</t>
        </is>
      </c>
      <c r="M493" s="35">
        <v>680000</v>
      </c>
      <c r="N493" s="32" t="inlineStr">
        <is>
          <t xml:space="preserve">Personal</t>
        </is>
      </c>
      <c r="O493" s="30" t="inlineStr">
        <is>
          <t xml:space="preserve">Personal - regular use</t>
        </is>
      </c>
      <c r="P493" s="30" t="inlineStr">
        <is>
          <t xml:space="preserve">Under 1,000</t>
        </is>
      </c>
      <c r="Q493" s="30" t="inlineStr">
        <is>
          <t xml:space="preserve">Washington</t>
        </is>
      </c>
      <c r="R493" s="30" t="inlineStr">
        <is>
          <t xml:space="preserve">98101</t>
        </is>
      </c>
      <c r="S493" s="32" t="inlineStr">
        <is>
          <t xml:space="preserve">Earthquake - high (CA, Cascadia, New Madrid)</t>
        </is>
      </c>
      <c r="T493" s="36">
        <f>IF($A493="","",IF($S493="","",IFERROR(INDEX('[1]natural catastrophe'!$D$6:$D$17,MATCH($S493,'[1]natural catastrophe'!$B$6:$B$17,0)),"?")))</f>
      </c>
      <c r="U493" s="30" t="inlineStr">
        <is>
          <t xml:space="preserve">$5,000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4656.51</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CANON-202602-005338</t>
        </is>
      </c>
      <c r="B494" s="46" t="inlineStr">
        <is>
          <t xml:space="preserve">Delphine Montoya</t>
        </is>
      </c>
      <c r="C494" s="47">
        <v>46079</v>
      </c>
      <c r="D494" s="48" t="inlineStr">
        <is>
          <t xml:space="preserve">Bound - within authority</t>
        </is>
      </c>
      <c r="E494" s="48" t="inlineStr">
        <is>
          <t xml:space="preserve">New business</t>
        </is>
      </c>
      <c r="F494" s="46" t="inlineStr">
        <is>
          <t xml:space="preserve">B1234EXOTIC26</t>
        </is>
      </c>
      <c r="G494" s="33">
        <f>IF($A494="","",IF($C494="","",YEAR($C494)))</f>
      </c>
      <c r="H494" s="49">
        <v>2001</v>
      </c>
      <c r="I494" s="46" t="inlineStr">
        <is>
          <t xml:space="preserve">Singer</t>
        </is>
      </c>
      <c r="J494" s="46" t="inlineStr">
        <is>
          <t xml:space="preserve">911 Reimagined</t>
        </is>
      </c>
      <c r="K494" s="46" t="inlineStr">
        <is>
          <t xml:space="preserve">0DCNX4UA8VMMUC39L</t>
        </is>
      </c>
      <c r="L494" s="48" t="inlineStr">
        <is>
          <t xml:space="preserve">11 - Restomod / Coachbuilt / Bespoke</t>
        </is>
      </c>
      <c r="M494" s="50">
        <v>685000</v>
      </c>
      <c r="N494" s="48" t="inlineStr">
        <is>
          <t xml:space="preserve">Personal</t>
        </is>
      </c>
      <c r="O494" s="46" t="inlineStr">
        <is>
          <t xml:space="preserve">Personal - regular use</t>
        </is>
      </c>
      <c r="P494" s="46" t="inlineStr">
        <is>
          <t xml:space="preserve">2,500 - 5,000</t>
        </is>
      </c>
      <c r="Q494" s="46" t="inlineStr">
        <is>
          <t xml:space="preserve">Nebraska</t>
        </is>
      </c>
      <c r="R494" s="46" t="inlineStr">
        <is>
          <t xml:space="preserve">68102</t>
        </is>
      </c>
      <c r="S494" s="48" t="inlineStr">
        <is>
          <t xml:space="preserve">Severe convective - hail alley (high)</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11522.33</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CANON-202602-005340</t>
        </is>
      </c>
      <c r="B495" s="30" t="inlineStr">
        <is>
          <t xml:space="preserve">Emiliano Rourke</t>
        </is>
      </c>
      <c r="C495" s="31">
        <v>46065</v>
      </c>
      <c r="D495" s="32" t="inlineStr">
        <is>
          <t xml:space="preserve">Bound - within authority</t>
        </is>
      </c>
      <c r="E495" s="32" t="inlineStr">
        <is>
          <t xml:space="preserve">New business</t>
        </is>
      </c>
      <c r="F495" s="30" t="inlineStr">
        <is>
          <t xml:space="preserve">B1234EXOTIC26</t>
        </is>
      </c>
      <c r="G495" s="33">
        <f>IF($A495="","",IF($C495="","",YEAR($C495)))</f>
      </c>
      <c r="H495" s="34">
        <v>1958</v>
      </c>
      <c r="I495" s="30" t="inlineStr">
        <is>
          <t xml:space="preserve">McLaren</t>
        </is>
      </c>
      <c r="J495" s="30" t="inlineStr">
        <is>
          <t xml:space="preserve">750S</t>
        </is>
      </c>
      <c r="K495" s="30" t="inlineStr">
        <is>
          <t xml:space="preserve">CLVBMHEBZKGUT0HYY</t>
        </is>
      </c>
      <c r="L495" s="32" t="inlineStr">
        <is>
          <t xml:space="preserve">03 - Supercar</t>
        </is>
      </c>
      <c r="M495" s="35">
        <v>250000</v>
      </c>
      <c r="N495" s="32" t="inlineStr">
        <is>
          <t xml:space="preserve">Personal</t>
        </is>
      </c>
      <c r="O495" s="30" t="inlineStr">
        <is>
          <t xml:space="preserve">Personal - regular use</t>
        </is>
      </c>
      <c r="P495" s="30" t="inlineStr">
        <is>
          <t xml:space="preserve">1,000 - 2,500</t>
        </is>
      </c>
      <c r="Q495" s="30" t="inlineStr">
        <is>
          <t xml:space="preserve">North Dakota</t>
        </is>
      </c>
      <c r="R495" s="30" t="inlineStr">
        <is>
          <t xml:space="preserve">58501</t>
        </is>
      </c>
      <c r="S495" s="32" t="inlineStr">
        <is>
          <t xml:space="preserve">Severe convective - hail alley (high)</t>
        </is>
      </c>
      <c r="T495" s="36">
        <f>IF($A495="","",IF($S495="","",IFERROR(INDEX('[1]natural catastrophe'!$D$6:$D$17,MATCH($S495,'[1]natural catastrophe'!$B$6:$B$17,0)),"?")))</f>
      </c>
      <c r="U495" s="30" t="inlineStr">
        <is>
          <t xml:space="preserve">$5,000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4864.63</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CANON-202602-005341</t>
        </is>
      </c>
      <c r="B496" s="46" t="inlineStr">
        <is>
          <t xml:space="preserve">Beatrix Fairweather</t>
        </is>
      </c>
      <c r="C496" s="47">
        <v>46073</v>
      </c>
      <c r="D496" s="48" t="inlineStr">
        <is>
          <t xml:space="preserve">Bound - within authority</t>
        </is>
      </c>
      <c r="E496" s="48" t="inlineStr">
        <is>
          <t xml:space="preserve">New business</t>
        </is>
      </c>
      <c r="F496" s="46" t="inlineStr">
        <is>
          <t xml:space="preserve">B1234EXOTIC26</t>
        </is>
      </c>
      <c r="G496" s="33">
        <f>IF($A496="","",IF($C496="","",YEAR($C496)))</f>
      </c>
      <c r="H496" s="49">
        <v>1959</v>
      </c>
      <c r="I496" s="46" t="inlineStr">
        <is>
          <t xml:space="preserve">Maserati</t>
        </is>
      </c>
      <c r="J496" s="46" t="inlineStr">
        <is>
          <t xml:space="preserve">GranTurismo</t>
        </is>
      </c>
      <c r="K496" s="46" t="inlineStr">
        <is>
          <t xml:space="preserve">YFKZX52ACY7XPBE8B</t>
        </is>
      </c>
      <c r="L496" s="48" t="inlineStr">
        <is>
          <t xml:space="preserve">02 - Sports / GT</t>
        </is>
      </c>
      <c r="M496" s="50">
        <v>405000</v>
      </c>
      <c r="N496" s="48" t="inlineStr">
        <is>
          <t xml:space="preserve">Personal</t>
        </is>
      </c>
      <c r="O496" s="46" t="inlineStr">
        <is>
          <t xml:space="preserve">Personal - regular use</t>
        </is>
      </c>
      <c r="P496" s="46" t="inlineStr">
        <is>
          <t xml:space="preserve">1,000 - 2,500</t>
        </is>
      </c>
      <c r="Q496" s="46" t="inlineStr">
        <is>
          <t xml:space="preserve">Pennsylvania</t>
        </is>
      </c>
      <c r="R496" s="46" t="inlineStr">
        <is>
          <t xml:space="preserve">19103</t>
        </is>
      </c>
      <c r="S496" s="48" t="inlineStr">
        <is>
          <t xml:space="preserve">Low hazard - inland benign</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5038.81</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CANON-202602-005342</t>
        </is>
      </c>
      <c r="B497" s="30" t="inlineStr">
        <is>
          <t xml:space="preserve">Wilhelmina Okonkwo</t>
        </is>
      </c>
      <c r="C497" s="31">
        <v>46065</v>
      </c>
      <c r="D497" s="32" t="inlineStr">
        <is>
          <t xml:space="preserve">Bound - within authority</t>
        </is>
      </c>
      <c r="E497" s="32" t="inlineStr">
        <is>
          <t xml:space="preserve">New business</t>
        </is>
      </c>
      <c r="F497" s="30" t="inlineStr">
        <is>
          <t xml:space="preserve">B1234EXOTIC26</t>
        </is>
      </c>
      <c r="G497" s="33">
        <f>IF($A497="","",IF($C497="","",YEAR($C497)))</f>
      </c>
      <c r="H497" s="34">
        <v>2018</v>
      </c>
      <c r="I497" s="30" t="inlineStr">
        <is>
          <t xml:space="preserve">Lamborghini</t>
        </is>
      </c>
      <c r="J497" s="30" t="inlineStr">
        <is>
          <t xml:space="preserve">Huracan EVO</t>
        </is>
      </c>
      <c r="K497" s="30" t="inlineStr">
        <is>
          <t xml:space="preserve">V8B9ZHAWL25TFEYCE</t>
        </is>
      </c>
      <c r="L497" s="32" t="inlineStr">
        <is>
          <t xml:space="preserve">03 - Supercar</t>
        </is>
      </c>
      <c r="M497" s="35">
        <v>615000</v>
      </c>
      <c r="N497" s="32" t="inlineStr">
        <is>
          <t xml:space="preserve">Personal</t>
        </is>
      </c>
      <c r="O497" s="30" t="inlineStr">
        <is>
          <t xml:space="preserve">Personal - regular use</t>
        </is>
      </c>
      <c r="P497" s="30" t="inlineStr">
        <is>
          <t xml:space="preserve">2,500 - 5,000</t>
        </is>
      </c>
      <c r="Q497" s="30" t="inlineStr">
        <is>
          <t xml:space="preserve">Idaho</t>
        </is>
      </c>
      <c r="R497" s="30" t="inlineStr">
        <is>
          <t xml:space="preserve">83702</t>
        </is>
      </c>
      <c r="S497" s="32" t="inlineStr">
        <is>
          <t xml:space="preserve">Wildfire - WUI high hazard</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9595.02</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CANON-202602-005343</t>
        </is>
      </c>
      <c r="B498" s="46" t="inlineStr">
        <is>
          <t xml:space="preserve">Anouk Harrington</t>
        </is>
      </c>
      <c r="C498" s="47">
        <v>46068</v>
      </c>
      <c r="D498" s="48" t="inlineStr">
        <is>
          <t xml:space="preserve">Bound - within authority</t>
        </is>
      </c>
      <c r="E498" s="48" t="inlineStr">
        <is>
          <t xml:space="preserve">New business</t>
        </is>
      </c>
      <c r="F498" s="46" t="inlineStr">
        <is>
          <t xml:space="preserve">B1234EXOTIC26</t>
        </is>
      </c>
      <c r="G498" s="33">
        <f>IF($A498="","",IF($C498="","",YEAR($C498)))</f>
      </c>
      <c r="H498" s="49">
        <v>1987</v>
      </c>
      <c r="I498" s="46" t="inlineStr">
        <is>
          <t xml:space="preserve">BMW</t>
        </is>
      </c>
      <c r="J498" s="46" t="inlineStr">
        <is>
          <t xml:space="preserve">M8 Competition</t>
        </is>
      </c>
      <c r="K498" s="46" t="inlineStr">
        <is>
          <t xml:space="preserve">H05NC28LXBT2ZW891</t>
        </is>
      </c>
      <c r="L498" s="48" t="inlineStr">
        <is>
          <t xml:space="preserve">02 - Sports / GT</t>
        </is>
      </c>
      <c r="M498" s="50">
        <v>775000</v>
      </c>
      <c r="N498" s="48" t="inlineStr">
        <is>
          <t xml:space="preserve">Personal</t>
        </is>
      </c>
      <c r="O498" s="46" t="inlineStr">
        <is>
          <t xml:space="preserve">Personal - regular use</t>
        </is>
      </c>
      <c r="P498" s="46" t="inlineStr">
        <is>
          <t xml:space="preserve">Under 1,000</t>
        </is>
      </c>
      <c r="Q498" s="46" t="inlineStr">
        <is>
          <t xml:space="preserve">Oklahoma</t>
        </is>
      </c>
      <c r="R498" s="46" t="inlineStr">
        <is>
          <t xml:space="preserve">73102</t>
        </is>
      </c>
      <c r="S498" s="48" t="inlineStr">
        <is>
          <t xml:space="preserve">Severe convective - hail alley (high)</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10529.25</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CANON-202602-005344</t>
        </is>
      </c>
      <c r="B499" s="30" t="inlineStr">
        <is>
          <t xml:space="preserve">Fitzgerald Larsson</t>
        </is>
      </c>
      <c r="C499" s="31">
        <v>46064</v>
      </c>
      <c r="D499" s="32" t="inlineStr">
        <is>
          <t xml:space="preserve">Bound - within authority</t>
        </is>
      </c>
      <c r="E499" s="32" t="inlineStr">
        <is>
          <t xml:space="preserve">New business</t>
        </is>
      </c>
      <c r="F499" s="30" t="inlineStr">
        <is>
          <t xml:space="preserve">B1234EXOTIC26</t>
        </is>
      </c>
      <c r="G499" s="33">
        <f>IF($A499="","",IF($C499="","",YEAR($C499)))</f>
      </c>
      <c r="H499" s="34">
        <v>1997</v>
      </c>
      <c r="I499" s="30" t="inlineStr">
        <is>
          <t xml:space="preserve">Aston Martin</t>
        </is>
      </c>
      <c r="J499" s="30" t="inlineStr">
        <is>
          <t xml:space="preserve">DB12</t>
        </is>
      </c>
      <c r="K499" s="30" t="inlineStr">
        <is>
          <t xml:space="preserve">41E2WKLHRJT5DUU8U</t>
        </is>
      </c>
      <c r="L499" s="32" t="inlineStr">
        <is>
          <t xml:space="preserve">02 - Sports / GT</t>
        </is>
      </c>
      <c r="M499" s="35">
        <v>915000</v>
      </c>
      <c r="N499" s="32" t="inlineStr">
        <is>
          <t xml:space="preserve">Personal</t>
        </is>
      </c>
      <c r="O499" s="30" t="inlineStr">
        <is>
          <t xml:space="preserve">Personal - regular use</t>
        </is>
      </c>
      <c r="P499" s="30" t="inlineStr">
        <is>
          <t xml:space="preserve">1,000 - 2,500</t>
        </is>
      </c>
      <c r="Q499" s="30" t="inlineStr">
        <is>
          <t xml:space="preserve">New Jersey</t>
        </is>
      </c>
      <c r="R499" s="30" t="inlineStr">
        <is>
          <t xml:space="preserve">07102</t>
        </is>
      </c>
      <c r="S499" s="32" t="inlineStr">
        <is>
          <t xml:space="preserve">Tier 3 - Coastal wind (25-100 miles)</t>
        </is>
      </c>
      <c r="T499" s="36">
        <f>IF($A499="","",IF($S499="","",IFERROR(INDEX('[1]natural catastrophe'!$D$6:$D$17,MATCH($S499,'[1]natural catastrophe'!$B$6:$B$17,0)),"?")))</f>
      </c>
      <c r="U499" s="30" t="inlineStr">
        <is>
          <t xml:space="preserve">2% of agreed value, minimum $10,000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8978.17</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CANON-202602-005345</t>
        </is>
      </c>
      <c r="B500" s="46" t="inlineStr">
        <is>
          <t xml:space="preserve">Thaddeus Castellanos</t>
        </is>
      </c>
      <c r="C500" s="47">
        <v>46075</v>
      </c>
      <c r="D500" s="48" t="inlineStr">
        <is>
          <t xml:space="preserve">Bound - within authority</t>
        </is>
      </c>
      <c r="E500" s="48" t="inlineStr">
        <is>
          <t xml:space="preserve">New business</t>
        </is>
      </c>
      <c r="F500" s="46" t="inlineStr">
        <is>
          <t xml:space="preserve">B1234EXOTIC26</t>
        </is>
      </c>
      <c r="G500" s="33">
        <f>IF($A500="","",IF($C500="","",YEAR($C500)))</f>
      </c>
      <c r="H500" s="49">
        <v>1979</v>
      </c>
      <c r="I500" s="46" t="inlineStr">
        <is>
          <t xml:space="preserve">Lamborghini</t>
        </is>
      </c>
      <c r="J500" s="46" t="inlineStr">
        <is>
          <t xml:space="preserve">Huracan EVO</t>
        </is>
      </c>
      <c r="K500" s="46" t="inlineStr">
        <is>
          <t xml:space="preserve">SW5P4SAZTCME7G2WK</t>
        </is>
      </c>
      <c r="L500" s="48" t="inlineStr">
        <is>
          <t xml:space="preserve">03 - Supercar</t>
        </is>
      </c>
      <c r="M500" s="50">
        <v>1120000</v>
      </c>
      <c r="N500" s="48" t="inlineStr">
        <is>
          <t xml:space="preserve">Personal</t>
        </is>
      </c>
      <c r="O500" s="46" t="inlineStr">
        <is>
          <t xml:space="preserve">Personal - regular use</t>
        </is>
      </c>
      <c r="P500" s="46" t="inlineStr">
        <is>
          <t xml:space="preserve">Under 1,000</t>
        </is>
      </c>
      <c r="Q500" s="46" t="inlineStr">
        <is>
          <t xml:space="preserve">Florida</t>
        </is>
      </c>
      <c r="R500" s="46" t="inlineStr">
        <is>
          <t xml:space="preserve">33139</t>
        </is>
      </c>
      <c r="S500" s="48" t="inlineStr">
        <is>
          <t xml:space="preserve">Tier 2 - Coastal wind (1-25 miles)</t>
        </is>
      </c>
      <c r="T500" s="36">
        <f>IF($A500="","",IF($S500="","",IFERROR(INDEX('[1]natural catastrophe'!$D$6:$D$17,MATCH($S500,'[1]natural catastrophe'!$B$6:$B$17,0)),"?")))</f>
      </c>
      <c r="U500" s="46" t="inlineStr">
        <is>
          <t xml:space="preserve">2% of agreed value, minimum $10,000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21106.11</v>
      </c>
      <c r="AC500" s="51">
        <v>0</v>
      </c>
      <c r="AD500" s="38">
        <f>IF(ISNUMBER($AB500),$AB500*(1+N($AC500)),"")</f>
      </c>
      <c r="AE500" s="50">
        <v>350</v>
      </c>
      <c r="AF500" s="50">
        <v>250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CANON-202602-005347</t>
        </is>
      </c>
      <c r="B501" s="30" t="inlineStr">
        <is>
          <t xml:space="preserve">Delphine Nakashima</t>
        </is>
      </c>
      <c r="C501" s="31">
        <v>46073</v>
      </c>
      <c r="D501" s="32" t="inlineStr">
        <is>
          <t xml:space="preserve">Bound - within authority</t>
        </is>
      </c>
      <c r="E501" s="32" t="inlineStr">
        <is>
          <t xml:space="preserve">New business</t>
        </is>
      </c>
      <c r="F501" s="30" t="inlineStr">
        <is>
          <t xml:space="preserve">B1234EXOTIC26</t>
        </is>
      </c>
      <c r="G501" s="33">
        <f>IF($A501="","",IF($C501="","",YEAR($C501)))</f>
      </c>
      <c r="H501" s="34">
        <v>2018</v>
      </c>
      <c r="I501" s="30" t="inlineStr">
        <is>
          <t xml:space="preserve">Aston Martin</t>
        </is>
      </c>
      <c r="J501" s="30" t="inlineStr">
        <is>
          <t xml:space="preserve">DB5</t>
        </is>
      </c>
      <c r="K501" s="30" t="inlineStr">
        <is>
          <t xml:space="preserve">DSXZWFE1FRCYL9L90</t>
        </is>
      </c>
      <c r="L501" s="32" t="inlineStr">
        <is>
          <t xml:space="preserve">02 - Sports / GT</t>
        </is>
      </c>
      <c r="M501" s="35">
        <v>1255000</v>
      </c>
      <c r="N501" s="32" t="inlineStr">
        <is>
          <t xml:space="preserve">Personal</t>
        </is>
      </c>
      <c r="O501" s="30" t="inlineStr">
        <is>
          <t xml:space="preserve">Personal - regular use</t>
        </is>
      </c>
      <c r="P501" s="30" t="inlineStr">
        <is>
          <t xml:space="preserve">1,000 - 2,500</t>
        </is>
      </c>
      <c r="Q501" s="30" t="inlineStr">
        <is>
          <t xml:space="preserve">Massachusetts</t>
        </is>
      </c>
      <c r="R501" s="30" t="inlineStr">
        <is>
          <t xml:space="preserve">02108</t>
        </is>
      </c>
      <c r="S501" s="32" t="inlineStr">
        <is>
          <t xml:space="preserve">Tier 3 - Coastal wind (25-100 miles)</t>
        </is>
      </c>
      <c r="T501" s="36">
        <f>IF($A501="","",IF($S501="","",IFERROR(INDEX('[1]natural catastrophe'!$D$6:$D$17,MATCH($S501,'[1]natural catastrophe'!$B$6:$B$17,0)),"?")))</f>
      </c>
      <c r="U501" s="30" t="inlineStr">
        <is>
          <t xml:space="preserve">2% of agreed value, minimum $10,000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9888.93</v>
      </c>
      <c r="AC501" s="37">
        <v>0</v>
      </c>
      <c r="AD501" s="38">
        <f>IF(ISNUMBER($AB501),$AB501*(1+N($AC501)),"")</f>
      </c>
      <c r="AE501" s="35">
        <v>350</v>
      </c>
      <c r="AF501" s="35">
        <v>250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CANON-202602-005348</t>
        </is>
      </c>
      <c r="B502" s="46" t="inlineStr">
        <is>
          <t xml:space="preserve">Mireille Kingsford</t>
        </is>
      </c>
      <c r="C502" s="47">
        <v>46061</v>
      </c>
      <c r="D502" s="48" t="inlineStr">
        <is>
          <t xml:space="preserve">Bound - within authority</t>
        </is>
      </c>
      <c r="E502" s="48" t="inlineStr">
        <is>
          <t xml:space="preserve">New business</t>
        </is>
      </c>
      <c r="F502" s="46" t="inlineStr">
        <is>
          <t xml:space="preserve">B1234EXOTIC26</t>
        </is>
      </c>
      <c r="G502" s="33">
        <f>IF($A502="","",IF($C502="","",YEAR($C502)))</f>
      </c>
      <c r="H502" s="49">
        <v>1975</v>
      </c>
      <c r="I502" s="46" t="inlineStr">
        <is>
          <t xml:space="preserve">Bentley</t>
        </is>
      </c>
      <c r="J502" s="46" t="inlineStr">
        <is>
          <t xml:space="preserve">Continental GT</t>
        </is>
      </c>
      <c r="K502" s="46" t="inlineStr">
        <is>
          <t xml:space="preserve">Y8ZYNVT72KLAFD5AL</t>
        </is>
      </c>
      <c r="L502" s="48" t="inlineStr">
        <is>
          <t xml:space="preserve">02 - Sports / GT</t>
        </is>
      </c>
      <c r="M502" s="50">
        <v>1095000</v>
      </c>
      <c r="N502" s="48" t="inlineStr">
        <is>
          <t xml:space="preserve">Personal</t>
        </is>
      </c>
      <c r="O502" s="46" t="inlineStr">
        <is>
          <t xml:space="preserve">Personal - regular use</t>
        </is>
      </c>
      <c r="P502" s="46" t="inlineStr">
        <is>
          <t xml:space="preserve">Under 1,000</t>
        </is>
      </c>
      <c r="Q502" s="46" t="inlineStr">
        <is>
          <t xml:space="preserve">Maryland</t>
        </is>
      </c>
      <c r="R502" s="46" t="inlineStr">
        <is>
          <t xml:space="preserve">21201</t>
        </is>
      </c>
      <c r="S502" s="48" t="inlineStr">
        <is>
          <t xml:space="preserve">Tier 3 - Coastal wind (25-100 miles)</t>
        </is>
      </c>
      <c r="T502" s="36">
        <f>IF($A502="","",IF($S502="","",IFERROR(INDEX('[1]natural catastrophe'!$D$6:$D$17,MATCH($S502,'[1]natural catastrophe'!$B$6:$B$17,0)),"?")))</f>
      </c>
      <c r="U502" s="46" t="inlineStr">
        <is>
          <t xml:space="preserve">2% of agreed value, minimum $10,000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9491.01</v>
      </c>
      <c r="AC502" s="51">
        <v>0</v>
      </c>
      <c r="AD502" s="38">
        <f>IF(ISNUMBER($AB502),$AB502*(1+N($AC502)),"")</f>
      </c>
      <c r="AE502" s="50">
        <v>350</v>
      </c>
      <c r="AF502" s="50">
        <v>250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CANON-202602-005349</t>
        </is>
      </c>
      <c r="B503" s="30" t="inlineStr">
        <is>
          <t xml:space="preserve">Aurelio Kingsford</t>
        </is>
      </c>
      <c r="C503" s="31">
        <v>46066</v>
      </c>
      <c r="D503" s="32" t="inlineStr">
        <is>
          <t xml:space="preserve">Bound - within authority</t>
        </is>
      </c>
      <c r="E503" s="32" t="inlineStr">
        <is>
          <t xml:space="preserve">New business</t>
        </is>
      </c>
      <c r="F503" s="30" t="inlineStr">
        <is>
          <t xml:space="preserve">B1234EXOTIC26</t>
        </is>
      </c>
      <c r="G503" s="33">
        <f>IF($A503="","",IF($C503="","",YEAR($C503)))</f>
      </c>
      <c r="H503" s="34">
        <v>1995</v>
      </c>
      <c r="I503" s="30" t="inlineStr">
        <is>
          <t xml:space="preserve">Ferrari</t>
        </is>
      </c>
      <c r="J503" s="30" t="inlineStr">
        <is>
          <t xml:space="preserve">275 GTB/4</t>
        </is>
      </c>
      <c r="K503" s="30" t="inlineStr">
        <is>
          <t xml:space="preserve">8XB01JJARZN0AS85R</t>
        </is>
      </c>
      <c r="L503" s="32" t="inlineStr">
        <is>
          <t xml:space="preserve">08 - Modern Classic (1973-1999)</t>
        </is>
      </c>
      <c r="M503" s="35">
        <v>230000</v>
      </c>
      <c r="N503" s="32" t="inlineStr">
        <is>
          <t xml:space="preserve">Personal</t>
        </is>
      </c>
      <c r="O503" s="30" t="inlineStr">
        <is>
          <t xml:space="preserve">Personal - regular use</t>
        </is>
      </c>
      <c r="P503" s="30" t="inlineStr">
        <is>
          <t xml:space="preserve">1,000 - 2,500</t>
        </is>
      </c>
      <c r="Q503" s="30" t="inlineStr">
        <is>
          <t xml:space="preserve">Alabama</t>
        </is>
      </c>
      <c r="R503" s="30" t="inlineStr">
        <is>
          <t xml:space="preserve">35203</t>
        </is>
      </c>
      <c r="S503" s="32" t="inlineStr">
        <is>
          <t xml:space="preserve">Tier 2 - Coastal wind (1-25 miles)</t>
        </is>
      </c>
      <c r="T503" s="36">
        <f>IF($A503="","",IF($S503="","",IFERROR(INDEX('[1]natural catastrophe'!$D$6:$D$17,MATCH($S503,'[1]natural catastrophe'!$B$6:$B$17,0)),"?")))</f>
      </c>
      <c r="U503" s="30" t="inlineStr">
        <is>
          <t xml:space="preserve">2% of agreed value, minimum $10,000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2761.96</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CANON-202602-005350</t>
        </is>
      </c>
      <c r="B504" s="46" t="inlineStr">
        <is>
          <t xml:space="preserve">Fitzgerald Thistlewood</t>
        </is>
      </c>
      <c r="C504" s="47">
        <v>46080</v>
      </c>
      <c r="D504" s="48" t="inlineStr">
        <is>
          <t xml:space="preserve">Bound - within authority</t>
        </is>
      </c>
      <c r="E504" s="48" t="inlineStr">
        <is>
          <t xml:space="preserve">New business</t>
        </is>
      </c>
      <c r="F504" s="46" t="inlineStr">
        <is>
          <t xml:space="preserve">B1234EXOTIC26</t>
        </is>
      </c>
      <c r="G504" s="33">
        <f>IF($A504="","",IF($C504="","",YEAR($C504)))</f>
      </c>
      <c r="H504" s="49">
        <v>1984</v>
      </c>
      <c r="I504" s="46" t="inlineStr">
        <is>
          <t xml:space="preserve">Mercedes-Benz</t>
        </is>
      </c>
      <c r="J504" s="46" t="inlineStr">
        <is>
          <t xml:space="preserve">AMG GT</t>
        </is>
      </c>
      <c r="K504" s="46" t="inlineStr">
        <is>
          <t xml:space="preserve">19GS0JSHN6CXTEKJC</t>
        </is>
      </c>
      <c r="L504" s="48" t="inlineStr">
        <is>
          <t xml:space="preserve">02 - Sports / GT</t>
        </is>
      </c>
      <c r="M504" s="50">
        <v>345000</v>
      </c>
      <c r="N504" s="48" t="inlineStr">
        <is>
          <t xml:space="preserve">Personal</t>
        </is>
      </c>
      <c r="O504" s="46" t="inlineStr">
        <is>
          <t xml:space="preserve">Personal - regular use</t>
        </is>
      </c>
      <c r="P504" s="46" t="inlineStr">
        <is>
          <t xml:space="preserve">2,500 - 5,000</t>
        </is>
      </c>
      <c r="Q504" s="46" t="inlineStr">
        <is>
          <t xml:space="preserve">California</t>
        </is>
      </c>
      <c r="R504" s="46" t="inlineStr">
        <is>
          <t xml:space="preserve">90012</t>
        </is>
      </c>
      <c r="S504" s="48" t="inlineStr">
        <is>
          <t xml:space="preserve">Earthquake - high (CA, Cascadia, New Madrid)</t>
        </is>
      </c>
      <c r="T504" s="36">
        <f>IF($A504="","",IF($S504="","",IFERROR(INDEX('[1]natural catastrophe'!$D$6:$D$17,MATCH($S504,'[1]natural catastrophe'!$B$6:$B$17,0)),"?")))</f>
      </c>
      <c r="U504" s="46" t="inlineStr">
        <is>
          <t xml:space="preserve">$5,000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5794.63</v>
      </c>
      <c r="AC504" s="51">
        <v>0</v>
      </c>
      <c r="AD504" s="38">
        <f>IF(ISNUMBER($AB504),$AB504*(1+N($AC504)),"")</f>
      </c>
      <c r="AE504" s="50">
        <v>350</v>
      </c>
      <c r="AF504" s="50">
        <v>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CANON-202602-005351</t>
        </is>
      </c>
      <c r="B505" s="30" t="inlineStr">
        <is>
          <t xml:space="preserve">Mireille Merriweather</t>
        </is>
      </c>
      <c r="C505" s="31">
        <v>46059</v>
      </c>
      <c r="D505" s="32" t="inlineStr">
        <is>
          <t xml:space="preserve">Bound - within authority</t>
        </is>
      </c>
      <c r="E505" s="32" t="inlineStr">
        <is>
          <t xml:space="preserve">New business</t>
        </is>
      </c>
      <c r="F505" s="30" t="inlineStr">
        <is>
          <t xml:space="preserve">B1234EXOTIC26</t>
        </is>
      </c>
      <c r="G505" s="33">
        <f>IF($A505="","",IF($C505="","",YEAR($C505)))</f>
      </c>
      <c r="H505" s="34">
        <v>1979</v>
      </c>
      <c r="I505" s="30" t="inlineStr">
        <is>
          <t xml:space="preserve">Mercedes-Benz</t>
        </is>
      </c>
      <c r="J505" s="30" t="inlineStr">
        <is>
          <t xml:space="preserve">280SL Pagoda</t>
        </is>
      </c>
      <c r="K505" s="30" t="inlineStr">
        <is>
          <t xml:space="preserve">XH53AWKN6MTVL1VHE</t>
        </is>
      </c>
      <c r="L505" s="32" t="inlineStr">
        <is>
          <t xml:space="preserve">08 - Modern Classic (1973-1999)</t>
        </is>
      </c>
      <c r="M505" s="35">
        <v>765000</v>
      </c>
      <c r="N505" s="32" t="inlineStr">
        <is>
          <t xml:space="preserve">Personal</t>
        </is>
      </c>
      <c r="O505" s="30" t="inlineStr">
        <is>
          <t xml:space="preserve">Personal - regular use</t>
        </is>
      </c>
      <c r="P505" s="30" t="inlineStr">
        <is>
          <t xml:space="preserve">2,500 - 5,000</t>
        </is>
      </c>
      <c r="Q505" s="30" t="inlineStr">
        <is>
          <t xml:space="preserve">South Dakota</t>
        </is>
      </c>
      <c r="R505" s="30" t="inlineStr">
        <is>
          <t xml:space="preserve">57501</t>
        </is>
      </c>
      <c r="S505" s="32" t="inlineStr">
        <is>
          <t xml:space="preserve">Severe convective - hail alley (high)</t>
        </is>
      </c>
      <c r="T505" s="36">
        <f>IF($A505="","",IF($S505="","",IFERROR(INDEX('[1]natural catastrophe'!$D$6:$D$17,MATCH($S505,'[1]natural catastrophe'!$B$6:$B$17,0)),"?")))</f>
      </c>
      <c r="U505" s="30" t="inlineStr">
        <is>
          <t xml:space="preserve">$5,000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6057.1</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CANON-202602-005353</t>
        </is>
      </c>
      <c r="B506" s="46" t="inlineStr">
        <is>
          <t xml:space="preserve">Ramona Vandermeer</t>
        </is>
      </c>
      <c r="C506" s="47">
        <v>46068</v>
      </c>
      <c r="D506" s="48" t="inlineStr">
        <is>
          <t xml:space="preserve">Bound - within authority</t>
        </is>
      </c>
      <c r="E506" s="48" t="inlineStr">
        <is>
          <t xml:space="preserve">New business</t>
        </is>
      </c>
      <c r="F506" s="46" t="inlineStr">
        <is>
          <t xml:space="preserve">B1234EXOTIC26</t>
        </is>
      </c>
      <c r="G506" s="33">
        <f>IF($A506="","",IF($C506="","",YEAR($C506)))</f>
      </c>
      <c r="H506" s="49">
        <v>1995</v>
      </c>
      <c r="I506" s="46" t="inlineStr">
        <is>
          <t xml:space="preserve">BMW</t>
        </is>
      </c>
      <c r="J506" s="46" t="inlineStr">
        <is>
          <t xml:space="preserve">M8 Competition</t>
        </is>
      </c>
      <c r="K506" s="46" t="inlineStr">
        <is>
          <t xml:space="preserve">TT9WEB0JVV65WXVBW</t>
        </is>
      </c>
      <c r="L506" s="48" t="inlineStr">
        <is>
          <t xml:space="preserve">02 - Sports / GT</t>
        </is>
      </c>
      <c r="M506" s="50">
        <v>580000</v>
      </c>
      <c r="N506" s="48" t="inlineStr">
        <is>
          <t xml:space="preserve">Personal</t>
        </is>
      </c>
      <c r="O506" s="46" t="inlineStr">
        <is>
          <t xml:space="preserve">Personal - regular use</t>
        </is>
      </c>
      <c r="P506" s="46" t="inlineStr">
        <is>
          <t xml:space="preserve">Under 1,000</t>
        </is>
      </c>
      <c r="Q506" s="46" t="inlineStr">
        <is>
          <t xml:space="preserve">Ohio</t>
        </is>
      </c>
      <c r="R506" s="46" t="inlineStr">
        <is>
          <t xml:space="preserve">43215</t>
        </is>
      </c>
      <c r="S506" s="48" t="inlineStr">
        <is>
          <t xml:space="preserve">Severe convective - hail / tornado (moderate)</t>
        </is>
      </c>
      <c r="T506" s="36">
        <f>IF($A506="","",IF($S506="","",IFERROR(INDEX('[1]natural catastrophe'!$D$6:$D$17,MATCH($S506,'[1]natural catastrophe'!$B$6:$B$17,0)),"?")))</f>
      </c>
      <c r="U506" s="46" t="inlineStr">
        <is>
          <t xml:space="preserve">$5,000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8692.97</v>
      </c>
      <c r="AC506" s="51">
        <v>0</v>
      </c>
      <c r="AD506" s="38">
        <f>IF(ISNUMBER($AB506),$AB506*(1+N($AC506)),"")</f>
      </c>
      <c r="AE506" s="50">
        <v>350</v>
      </c>
      <c r="AF506" s="50">
        <v>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CANON-202602-005354</t>
        </is>
      </c>
      <c r="B507" s="30" t="inlineStr">
        <is>
          <t xml:space="preserve">Emiliano Harrington</t>
        </is>
      </c>
      <c r="C507" s="31">
        <v>46069</v>
      </c>
      <c r="D507" s="32" t="inlineStr">
        <is>
          <t xml:space="preserve">Bound - within authority</t>
        </is>
      </c>
      <c r="E507" s="32" t="inlineStr">
        <is>
          <t xml:space="preserve">New business</t>
        </is>
      </c>
      <c r="F507" s="30" t="inlineStr">
        <is>
          <t xml:space="preserve">B1234EXOTIC26</t>
        </is>
      </c>
      <c r="G507" s="33">
        <f>IF($A507="","",IF($C507="","",YEAR($C507)))</f>
      </c>
      <c r="H507" s="34">
        <v>1957</v>
      </c>
      <c r="I507" s="30" t="inlineStr">
        <is>
          <t xml:space="preserve">BMW</t>
        </is>
      </c>
      <c r="J507" s="30" t="inlineStr">
        <is>
          <t xml:space="preserve">M8 Competition</t>
        </is>
      </c>
      <c r="K507" s="30" t="inlineStr">
        <is>
          <t xml:space="preserve">DG9EFXB59834YYN2R</t>
        </is>
      </c>
      <c r="L507" s="32" t="inlineStr">
        <is>
          <t xml:space="preserve">02 - Sports / GT</t>
        </is>
      </c>
      <c r="M507" s="35">
        <v>540000</v>
      </c>
      <c r="N507" s="32" t="inlineStr">
        <is>
          <t xml:space="preserve">Personal</t>
        </is>
      </c>
      <c r="O507" s="30" t="inlineStr">
        <is>
          <t xml:space="preserve">Personal - regular use</t>
        </is>
      </c>
      <c r="P507" s="30" t="inlineStr">
        <is>
          <t xml:space="preserve">Under 1,000</t>
        </is>
      </c>
      <c r="Q507" s="30" t="inlineStr">
        <is>
          <t xml:space="preserve">Hawaii</t>
        </is>
      </c>
      <c r="R507" s="30" t="inlineStr">
        <is>
          <t xml:space="preserve">96813</t>
        </is>
      </c>
      <c r="S507" s="32" t="inlineStr">
        <is>
          <t xml:space="preserve">Earthquake - high (CA, Cascadia, New Madrid)</t>
        </is>
      </c>
      <c r="T507" s="36">
        <f>IF($A507="","",IF($S507="","",IFERROR(INDEX('[1]natural catastrophe'!$D$6:$D$17,MATCH($S507,'[1]natural catastrophe'!$B$6:$B$17,0)),"?")))</f>
      </c>
      <c r="U507" s="30" t="inlineStr">
        <is>
          <t xml:space="preserve">$5,000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7569.41</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CANON-202602-005355</t>
        </is>
      </c>
      <c r="B508" s="46" t="inlineStr">
        <is>
          <t xml:space="preserve">Emiliano Kingsford</t>
        </is>
      </c>
      <c r="C508" s="47">
        <v>46073</v>
      </c>
      <c r="D508" s="48" t="inlineStr">
        <is>
          <t xml:space="preserve">Bound - within authority</t>
        </is>
      </c>
      <c r="E508" s="48" t="inlineStr">
        <is>
          <t xml:space="preserve">New business</t>
        </is>
      </c>
      <c r="F508" s="46" t="inlineStr">
        <is>
          <t xml:space="preserve">B1234EXOTIC26</t>
        </is>
      </c>
      <c r="G508" s="33">
        <f>IF($A508="","",IF($C508="","",YEAR($C508)))</f>
      </c>
      <c r="H508" s="49">
        <v>1987</v>
      </c>
      <c r="I508" s="46" t="inlineStr">
        <is>
          <t xml:space="preserve">Bentley</t>
        </is>
      </c>
      <c r="J508" s="46" t="inlineStr">
        <is>
          <t xml:space="preserve">Continental GT</t>
        </is>
      </c>
      <c r="K508" s="46" t="inlineStr">
        <is>
          <t xml:space="preserve">1KBNK8F0WYSNJ9VBD</t>
        </is>
      </c>
      <c r="L508" s="48" t="inlineStr">
        <is>
          <t xml:space="preserve">02 - Sports / GT</t>
        </is>
      </c>
      <c r="M508" s="50">
        <v>325000</v>
      </c>
      <c r="N508" s="48" t="inlineStr">
        <is>
          <t xml:space="preserve">Personal</t>
        </is>
      </c>
      <c r="O508" s="46" t="inlineStr">
        <is>
          <t xml:space="preserve">Personal - regular use</t>
        </is>
      </c>
      <c r="P508" s="46" t="inlineStr">
        <is>
          <t xml:space="preserve">1,000 - 2,500</t>
        </is>
      </c>
      <c r="Q508" s="46" t="inlineStr">
        <is>
          <t xml:space="preserve">North Carolina</t>
        </is>
      </c>
      <c r="R508" s="46" t="inlineStr">
        <is>
          <t xml:space="preserve">28202</t>
        </is>
      </c>
      <c r="S508" s="48" t="inlineStr">
        <is>
          <t xml:space="preserve">Tier 2 - Coastal wind (1-25 miles)</t>
        </is>
      </c>
      <c r="T508" s="36">
        <f>IF($A508="","",IF($S508="","",IFERROR(INDEX('[1]natural catastrophe'!$D$6:$D$17,MATCH($S508,'[1]natural catastrophe'!$B$6:$B$17,0)),"?")))</f>
      </c>
      <c r="U508" s="46" t="inlineStr">
        <is>
          <t xml:space="preserve">2% of agreed value, minimum $10,000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4650.02</v>
      </c>
      <c r="AC508" s="51">
        <v>0</v>
      </c>
      <c r="AD508" s="38">
        <f>IF(ISNUMBER($AB508),$AB508*(1+N($AC508)),"")</f>
      </c>
      <c r="AE508" s="50">
        <v>350</v>
      </c>
      <c r="AF508" s="50">
        <v>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CANON-202602-005357</t>
        </is>
      </c>
      <c r="B509" s="30" t="inlineStr">
        <is>
          <t xml:space="preserve">Cassius Pennington</t>
        </is>
      </c>
      <c r="C509" s="31">
        <v>46081</v>
      </c>
      <c r="D509" s="32" t="inlineStr">
        <is>
          <t xml:space="preserve">Bound - within authority</t>
        </is>
      </c>
      <c r="E509" s="32" t="inlineStr">
        <is>
          <t xml:space="preserve">New business</t>
        </is>
      </c>
      <c r="F509" s="30" t="inlineStr">
        <is>
          <t xml:space="preserve">B1234EXOTIC26</t>
        </is>
      </c>
      <c r="G509" s="33">
        <f>IF($A509="","",IF($C509="","",YEAR($C509)))</f>
      </c>
      <c r="H509" s="34">
        <v>1986</v>
      </c>
      <c r="I509" s="30" t="inlineStr">
        <is>
          <t xml:space="preserve">Bentley</t>
        </is>
      </c>
      <c r="J509" s="30" t="inlineStr">
        <is>
          <t xml:space="preserve">Continental GT</t>
        </is>
      </c>
      <c r="K509" s="30" t="inlineStr">
        <is>
          <t xml:space="preserve">DW63AMZ69S56N5LJW</t>
        </is>
      </c>
      <c r="L509" s="32" t="inlineStr">
        <is>
          <t xml:space="preserve">02 - Sports / GT</t>
        </is>
      </c>
      <c r="M509" s="35">
        <v>565000</v>
      </c>
      <c r="N509" s="32" t="inlineStr">
        <is>
          <t xml:space="preserve">Personal</t>
        </is>
      </c>
      <c r="O509" s="30" t="inlineStr">
        <is>
          <t xml:space="preserve">Personal - regular use</t>
        </is>
      </c>
      <c r="P509" s="30" t="inlineStr">
        <is>
          <t xml:space="preserve">Under 1,000</t>
        </is>
      </c>
      <c r="Q509" s="30" t="inlineStr">
        <is>
          <t xml:space="preserve">Hawaii</t>
        </is>
      </c>
      <c r="R509" s="30" t="inlineStr">
        <is>
          <t xml:space="preserve">96813</t>
        </is>
      </c>
      <c r="S509" s="32" t="inlineStr">
        <is>
          <t xml:space="preserve">Earthquake - high (CA, Cascadia, New Madrid)</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7919.85</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CANON-202602-005360</t>
        </is>
      </c>
      <c r="B510" s="46" t="inlineStr">
        <is>
          <t xml:space="preserve">Desmond Fairweather</t>
        </is>
      </c>
      <c r="C510" s="47">
        <v>46055</v>
      </c>
      <c r="D510" s="48" t="inlineStr">
        <is>
          <t xml:space="preserve">Bound - within authority</t>
        </is>
      </c>
      <c r="E510" s="48" t="inlineStr">
        <is>
          <t xml:space="preserve">New business</t>
        </is>
      </c>
      <c r="F510" s="46" t="inlineStr">
        <is>
          <t xml:space="preserve">B1234EXOTIC26</t>
        </is>
      </c>
      <c r="G510" s="33">
        <f>IF($A510="","",IF($C510="","",YEAR($C510)))</f>
      </c>
      <c r="H510" s="49">
        <v>1962</v>
      </c>
      <c r="I510" s="46" t="inlineStr">
        <is>
          <t xml:space="preserve">Lamborghini</t>
        </is>
      </c>
      <c r="J510" s="46" t="inlineStr">
        <is>
          <t xml:space="preserve">Huracan EVO</t>
        </is>
      </c>
      <c r="K510" s="46" t="inlineStr">
        <is>
          <t xml:space="preserve">RBH2KK3JM3551S8RS</t>
        </is>
      </c>
      <c r="L510" s="48" t="inlineStr">
        <is>
          <t xml:space="preserve">03 - Supercar</t>
        </is>
      </c>
      <c r="M510" s="50">
        <v>355000</v>
      </c>
      <c r="N510" s="48" t="inlineStr">
        <is>
          <t xml:space="preserve">Personal</t>
        </is>
      </c>
      <c r="O510" s="46" t="inlineStr">
        <is>
          <t xml:space="preserve">Personal - regular use</t>
        </is>
      </c>
      <c r="P510" s="46" t="inlineStr">
        <is>
          <t xml:space="preserve">2,500 - 5,000</t>
        </is>
      </c>
      <c r="Q510" s="46" t="inlineStr">
        <is>
          <t xml:space="preserve">Wyoming</t>
        </is>
      </c>
      <c r="R510" s="46" t="inlineStr">
        <is>
          <t xml:space="preserve">82001</t>
        </is>
      </c>
      <c r="S510" s="48" t="inlineStr">
        <is>
          <t xml:space="preserve">Severe convective - hail alley (high)</t>
        </is>
      </c>
      <c r="T510" s="36">
        <f>IF($A510="","",IF($S510="","",IFERROR(INDEX('[1]natural catastrophe'!$D$6:$D$17,MATCH($S510,'[1]natural catastrophe'!$B$6:$B$17,0)),"?")))</f>
      </c>
      <c r="U510" s="46" t="inlineStr">
        <is>
          <t xml:space="preserve">$5,000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7246.39</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CANON-202602-005361</t>
        </is>
      </c>
      <c r="B511" s="30" t="inlineStr">
        <is>
          <t xml:space="preserve">Delphine Rourke</t>
        </is>
      </c>
      <c r="C511" s="31">
        <v>46061</v>
      </c>
      <c r="D511" s="32" t="inlineStr">
        <is>
          <t xml:space="preserve">Bound - within authority</t>
        </is>
      </c>
      <c r="E511" s="32" t="inlineStr">
        <is>
          <t xml:space="preserve">New business</t>
        </is>
      </c>
      <c r="F511" s="30" t="inlineStr">
        <is>
          <t xml:space="preserve">B1234EXOTIC26</t>
        </is>
      </c>
      <c r="G511" s="33">
        <f>IF($A511="","",IF($C511="","",YEAR($C511)))</f>
      </c>
      <c r="H511" s="34">
        <v>1965</v>
      </c>
      <c r="I511" s="30" t="inlineStr">
        <is>
          <t xml:space="preserve">Aston Martin</t>
        </is>
      </c>
      <c r="J511" s="30" t="inlineStr">
        <is>
          <t xml:space="preserve">DB12</t>
        </is>
      </c>
      <c r="K511" s="30" t="inlineStr">
        <is>
          <t xml:space="preserve">61AX01NDW8LY1PYEC</t>
        </is>
      </c>
      <c r="L511" s="32" t="inlineStr">
        <is>
          <t xml:space="preserve">02 - Sports / GT</t>
        </is>
      </c>
      <c r="M511" s="35">
        <v>440000</v>
      </c>
      <c r="N511" s="32" t="inlineStr">
        <is>
          <t xml:space="preserve">Personal</t>
        </is>
      </c>
      <c r="O511" s="30" t="inlineStr">
        <is>
          <t xml:space="preserve">Personal - regular use</t>
        </is>
      </c>
      <c r="P511" s="30" t="inlineStr">
        <is>
          <t xml:space="preserve">Under 1,000</t>
        </is>
      </c>
      <c r="Q511" s="30" t="inlineStr">
        <is>
          <t xml:space="preserve">Oregon</t>
        </is>
      </c>
      <c r="R511" s="30" t="inlineStr">
        <is>
          <t xml:space="preserve">97204</t>
        </is>
      </c>
      <c r="S511" s="32" t="inlineStr">
        <is>
          <t xml:space="preserve">Earthquake - high (CA, Cascadia, New Madrid)</t>
        </is>
      </c>
      <c r="T511" s="36">
        <f>IF($A511="","",IF($S511="","",IFERROR(INDEX('[1]natural catastrophe'!$D$6:$D$17,MATCH($S511,'[1]natural catastrophe'!$B$6:$B$17,0)),"?")))</f>
      </c>
      <c r="U511" s="30" t="inlineStr">
        <is>
          <t xml:space="preserve">$5,000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6185.92</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CANON-202602-005362</t>
        </is>
      </c>
      <c r="B512" s="46" t="inlineStr">
        <is>
          <t xml:space="preserve">Priya Larsson</t>
        </is>
      </c>
      <c r="C512" s="47">
        <v>46066</v>
      </c>
      <c r="D512" s="48" t="inlineStr">
        <is>
          <t xml:space="preserve">Bound - within authority</t>
        </is>
      </c>
      <c r="E512" s="48" t="inlineStr">
        <is>
          <t xml:space="preserve">New business</t>
        </is>
      </c>
      <c r="F512" s="46" t="inlineStr">
        <is>
          <t xml:space="preserve">B1234EXOTIC26</t>
        </is>
      </c>
      <c r="G512" s="33">
        <f>IF($A512="","",IF($C512="","",YEAR($C512)))</f>
      </c>
      <c r="H512" s="49">
        <v>1978</v>
      </c>
      <c r="I512" s="46" t="inlineStr">
        <is>
          <t xml:space="preserve">Alfa Romeo</t>
        </is>
      </c>
      <c r="J512" s="46" t="inlineStr">
        <is>
          <t xml:space="preserve">8C 2900</t>
        </is>
      </c>
      <c r="K512" s="46" t="inlineStr">
        <is>
          <t xml:space="preserve">PM6KCY72KVC0LLAL7</t>
        </is>
      </c>
      <c r="L512" s="48" t="inlineStr">
        <is>
          <t xml:space="preserve">08 - Modern Classic (1973-1999)</t>
        </is>
      </c>
      <c r="M512" s="50">
        <v>1865000</v>
      </c>
      <c r="N512" s="48" t="inlineStr">
        <is>
          <t xml:space="preserve">Personal</t>
        </is>
      </c>
      <c r="O512" s="46" t="inlineStr">
        <is>
          <t xml:space="preserve">Personal - regular use</t>
        </is>
      </c>
      <c r="P512" s="46" t="inlineStr">
        <is>
          <t xml:space="preserve">Under 1,000</t>
        </is>
      </c>
      <c r="Q512" s="46" t="inlineStr">
        <is>
          <t xml:space="preserve">Maryland</t>
        </is>
      </c>
      <c r="R512" s="46" t="inlineStr">
        <is>
          <t xml:space="preserve">21201</t>
        </is>
      </c>
      <c r="S512" s="48" t="inlineStr">
        <is>
          <t xml:space="preserve">Tier 3 - Coastal wind (25-100 miles)</t>
        </is>
      </c>
      <c r="T512" s="36">
        <f>IF($A512="","",IF($S512="","",IFERROR(INDEX('[1]natural catastrophe'!$D$6:$D$17,MATCH($S512,'[1]natural catastrophe'!$B$6:$B$17,0)),"?")))</f>
      </c>
      <c r="U512" s="46" t="inlineStr">
        <is>
          <t xml:space="preserve">2% of agreed value, minimum $10,000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9992.93</v>
      </c>
      <c r="AC512" s="51">
        <v>0</v>
      </c>
      <c r="AD512" s="38">
        <f>IF(ISNUMBER($AB512),$AB512*(1+N($AC512)),"")</f>
      </c>
      <c r="AE512" s="50">
        <v>350</v>
      </c>
      <c r="AF512" s="50">
        <v>250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CANON-202602-005363</t>
        </is>
      </c>
      <c r="B513" s="30" t="inlineStr">
        <is>
          <t xml:space="preserve">Ottilie Blackwood</t>
        </is>
      </c>
      <c r="C513" s="31">
        <v>46063</v>
      </c>
      <c r="D513" s="32" t="inlineStr">
        <is>
          <t xml:space="preserve">Bound - within authority</t>
        </is>
      </c>
      <c r="E513" s="32" t="inlineStr">
        <is>
          <t xml:space="preserve">New business</t>
        </is>
      </c>
      <c r="F513" s="30" t="inlineStr">
        <is>
          <t xml:space="preserve">B1234EXOTIC26</t>
        </is>
      </c>
      <c r="G513" s="33">
        <f>IF($A513="","",IF($C513="","",YEAR($C513)))</f>
      </c>
      <c r="H513" s="34">
        <v>1986</v>
      </c>
      <c r="I513" s="30" t="inlineStr">
        <is>
          <t xml:space="preserve">Maserati</t>
        </is>
      </c>
      <c r="J513" s="30" t="inlineStr">
        <is>
          <t xml:space="preserve">GranTurismo</t>
        </is>
      </c>
      <c r="K513" s="30" t="inlineStr">
        <is>
          <t xml:space="preserve">CJF6CELKHC4VYJUPU</t>
        </is>
      </c>
      <c r="L513" s="32" t="inlineStr">
        <is>
          <t xml:space="preserve">02 - Sports / GT</t>
        </is>
      </c>
      <c r="M513" s="35">
        <v>175000</v>
      </c>
      <c r="N513" s="32" t="inlineStr">
        <is>
          <t xml:space="preserve">Personal</t>
        </is>
      </c>
      <c r="O513" s="30" t="inlineStr">
        <is>
          <t xml:space="preserve">Personal - regular use</t>
        </is>
      </c>
      <c r="P513" s="30" t="inlineStr">
        <is>
          <t xml:space="preserve">Under 1,000</t>
        </is>
      </c>
      <c r="Q513" s="30" t="inlineStr">
        <is>
          <t xml:space="preserve">Georgia</t>
        </is>
      </c>
      <c r="R513" s="30" t="inlineStr">
        <is>
          <t xml:space="preserve">30303</t>
        </is>
      </c>
      <c r="S513" s="32" t="inlineStr">
        <is>
          <t xml:space="preserve">Tier 2 - Coastal wind (1-25 miles)</t>
        </is>
      </c>
      <c r="T513" s="36">
        <f>IF($A513="","",IF($S513="","",IFERROR(INDEX('[1]natural catastrophe'!$D$6:$D$17,MATCH($S513,'[1]natural catastrophe'!$B$6:$B$17,0)),"?")))</f>
      </c>
      <c r="U513" s="30" t="inlineStr">
        <is>
          <t xml:space="preserve">2% of agreed value, minimum $10,000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2991.27</v>
      </c>
      <c r="AC513" s="37">
        <v>0</v>
      </c>
      <c r="AD513" s="38">
        <f>IF(ISNUMBER($AB513),$AB513*(1+N($AC513)),"")</f>
      </c>
      <c r="AE513" s="35">
        <v>350</v>
      </c>
      <c r="AF513" s="35">
        <v>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CANON-202602-005364</t>
        </is>
      </c>
      <c r="B514" s="46" t="inlineStr">
        <is>
          <t xml:space="preserve">Thaddeus Underwood</t>
        </is>
      </c>
      <c r="C514" s="47">
        <v>46060</v>
      </c>
      <c r="D514" s="48" t="inlineStr">
        <is>
          <t xml:space="preserve">Bound - within authority</t>
        </is>
      </c>
      <c r="E514" s="48" t="inlineStr">
        <is>
          <t xml:space="preserve">New business</t>
        </is>
      </c>
      <c r="F514" s="46" t="inlineStr">
        <is>
          <t xml:space="preserve">B1234EXOTIC26</t>
        </is>
      </c>
      <c r="G514" s="33">
        <f>IF($A514="","",IF($C514="","",YEAR($C514)))</f>
      </c>
      <c r="H514" s="49">
        <v>2018</v>
      </c>
      <c r="I514" s="46" t="inlineStr">
        <is>
          <t xml:space="preserve">Aston Martin</t>
        </is>
      </c>
      <c r="J514" s="46" t="inlineStr">
        <is>
          <t xml:space="preserve">DB12</t>
        </is>
      </c>
      <c r="K514" s="46" t="inlineStr">
        <is>
          <t xml:space="preserve">FGXS8U9WB0DVCNY4P</t>
        </is>
      </c>
      <c r="L514" s="48" t="inlineStr">
        <is>
          <t xml:space="preserve">02 - Sports / GT</t>
        </is>
      </c>
      <c r="M514" s="50">
        <v>745000</v>
      </c>
      <c r="N514" s="48" t="inlineStr">
        <is>
          <t xml:space="preserve">Personal</t>
        </is>
      </c>
      <c r="O514" s="46" t="inlineStr">
        <is>
          <t xml:space="preserve">Personal - regular use</t>
        </is>
      </c>
      <c r="P514" s="46" t="inlineStr">
        <is>
          <t xml:space="preserve">2,500 - 5,000</t>
        </is>
      </c>
      <c r="Q514" s="46" t="inlineStr">
        <is>
          <t xml:space="preserve">Pennsylvania</t>
        </is>
      </c>
      <c r="R514" s="46" t="inlineStr">
        <is>
          <t xml:space="preserve">19103</t>
        </is>
      </c>
      <c r="S514" s="48" t="inlineStr">
        <is>
          <t xml:space="preserve">Low hazard - inland benign</t>
        </is>
      </c>
      <c r="T514" s="36">
        <f>IF($A514="","",IF($S514="","",IFERROR(INDEX('[1]natural catastrophe'!$D$6:$D$17,MATCH($S514,'[1]natural catastrophe'!$B$6:$B$17,0)),"?")))</f>
      </c>
      <c r="U514" s="46" t="inlineStr">
        <is>
          <t xml:space="preserve">$5,000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8033.07</v>
      </c>
      <c r="AC514" s="51">
        <v>0</v>
      </c>
      <c r="AD514" s="38">
        <f>IF(ISNUMBER($AB514),$AB514*(1+N($AC514)),"")</f>
      </c>
      <c r="AE514" s="50">
        <v>350</v>
      </c>
      <c r="AF514" s="50">
        <v>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CANON-202602-005365</t>
        </is>
      </c>
      <c r="B515" s="30" t="inlineStr">
        <is>
          <t xml:space="preserve">Leopold Nakashima</t>
        </is>
      </c>
      <c r="C515" s="31">
        <v>46067</v>
      </c>
      <c r="D515" s="32" t="inlineStr">
        <is>
          <t xml:space="preserve">Bound - within authority</t>
        </is>
      </c>
      <c r="E515" s="32" t="inlineStr">
        <is>
          <t xml:space="preserve">New business</t>
        </is>
      </c>
      <c r="F515" s="30" t="inlineStr">
        <is>
          <t xml:space="preserve">B1234EXOTIC26</t>
        </is>
      </c>
      <c r="G515" s="33">
        <f>IF($A515="","",IF($C515="","",YEAR($C515)))</f>
      </c>
      <c r="H515" s="34">
        <v>1980</v>
      </c>
      <c r="I515" s="30" t="inlineStr">
        <is>
          <t xml:space="preserve">Mercedes-Benz</t>
        </is>
      </c>
      <c r="J515" s="30" t="inlineStr">
        <is>
          <t xml:space="preserve">280SL Pagoda</t>
        </is>
      </c>
      <c r="K515" s="30" t="inlineStr">
        <is>
          <t xml:space="preserve">ZVJC63H3NT2LW006S</t>
        </is>
      </c>
      <c r="L515" s="32" t="inlineStr">
        <is>
          <t xml:space="preserve">08 - Modern Classic (1973-1999)</t>
        </is>
      </c>
      <c r="M515" s="35">
        <v>430000</v>
      </c>
      <c r="N515" s="32" t="inlineStr">
        <is>
          <t xml:space="preserve">Personal</t>
        </is>
      </c>
      <c r="O515" s="30" t="inlineStr">
        <is>
          <t xml:space="preserve">Personal - regular use</t>
        </is>
      </c>
      <c r="P515" s="30" t="inlineStr">
        <is>
          <t xml:space="preserve">1,000 - 2,500</t>
        </is>
      </c>
      <c r="Q515" s="30" t="inlineStr">
        <is>
          <t xml:space="preserve">Wyoming</t>
        </is>
      </c>
      <c r="R515" s="30" t="inlineStr">
        <is>
          <t xml:space="preserve">82001</t>
        </is>
      </c>
      <c r="S515" s="32" t="inlineStr">
        <is>
          <t xml:space="preserve">Severe convective - hail alley (high)</t>
        </is>
      </c>
      <c r="T515" s="36">
        <f>IF($A515="","",IF($S515="","",IFERROR(INDEX('[1]natural catastrophe'!$D$6:$D$17,MATCH($S515,'[1]natural catastrophe'!$B$6:$B$17,0)),"?")))</f>
      </c>
      <c r="U515" s="30" t="inlineStr">
        <is>
          <t xml:space="preserve">$5,000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3663.57</v>
      </c>
      <c r="AC515" s="37">
        <v>0</v>
      </c>
      <c r="AD515" s="38">
        <f>IF(ISNUMBER($AB515),$AB515*(1+N($AC515)),"")</f>
      </c>
      <c r="AE515" s="35">
        <v>350</v>
      </c>
      <c r="AF515" s="35">
        <v>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CANON-202602-005368</t>
        </is>
      </c>
      <c r="B516" s="46" t="inlineStr">
        <is>
          <t xml:space="preserve">Fitzgerald Kingsford</t>
        </is>
      </c>
      <c r="C516" s="47">
        <v>46065</v>
      </c>
      <c r="D516" s="48" t="inlineStr">
        <is>
          <t xml:space="preserve">Bound - within authority</t>
        </is>
      </c>
      <c r="E516" s="48" t="inlineStr">
        <is>
          <t xml:space="preserve">New business</t>
        </is>
      </c>
      <c r="F516" s="46" t="inlineStr">
        <is>
          <t xml:space="preserve">B1234EXOTIC26</t>
        </is>
      </c>
      <c r="G516" s="33">
        <f>IF($A516="","",IF($C516="","",YEAR($C516)))</f>
      </c>
      <c r="H516" s="49">
        <v>2002</v>
      </c>
      <c r="I516" s="46" t="inlineStr">
        <is>
          <t xml:space="preserve">Porsche</t>
        </is>
      </c>
      <c r="J516" s="46" t="inlineStr">
        <is>
          <t xml:space="preserve">911 Turbo S</t>
        </is>
      </c>
      <c r="K516" s="46" t="inlineStr">
        <is>
          <t xml:space="preserve">PLYVLUN2XE6R5XH22</t>
        </is>
      </c>
      <c r="L516" s="48" t="inlineStr">
        <is>
          <t xml:space="preserve">02 - Sports / GT</t>
        </is>
      </c>
      <c r="M516" s="50">
        <v>545000</v>
      </c>
      <c r="N516" s="48" t="inlineStr">
        <is>
          <t xml:space="preserve">Personal</t>
        </is>
      </c>
      <c r="O516" s="46" t="inlineStr">
        <is>
          <t xml:space="preserve">Personal - regular use</t>
        </is>
      </c>
      <c r="P516" s="46" t="inlineStr">
        <is>
          <t xml:space="preserve">1,000 - 2,500</t>
        </is>
      </c>
      <c r="Q516" s="46" t="inlineStr">
        <is>
          <t xml:space="preserve">Texas</t>
        </is>
      </c>
      <c r="R516" s="46" t="inlineStr">
        <is>
          <t xml:space="preserve">75201</t>
        </is>
      </c>
      <c r="S516" s="48" t="inlineStr">
        <is>
          <t xml:space="preserve">Tier 2 - Coastal wind (1-25 miles)</t>
        </is>
      </c>
      <c r="T516" s="36">
        <f>IF($A516="","",IF($S516="","",IFERROR(INDEX('[1]natural catastrophe'!$D$6:$D$17,MATCH($S516,'[1]natural catastrophe'!$B$6:$B$17,0)),"?")))</f>
      </c>
      <c r="U516" s="46" t="inlineStr">
        <is>
          <t xml:space="preserve">2% of agreed value, minimum $10,000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6758.02</v>
      </c>
      <c r="AC516" s="51">
        <v>0</v>
      </c>
      <c r="AD516" s="38">
        <f>IF(ISNUMBER($AB516),$AB516*(1+N($AC516)),"")</f>
      </c>
      <c r="AE516" s="50">
        <v>350</v>
      </c>
      <c r="AF516" s="50">
        <v>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CANON-202602-005369</t>
        </is>
      </c>
      <c r="B517" s="30" t="inlineStr">
        <is>
          <t xml:space="preserve">Thaddeus Fairweather</t>
        </is>
      </c>
      <c r="C517" s="31">
        <v>46056</v>
      </c>
      <c r="D517" s="32" t="inlineStr">
        <is>
          <t xml:space="preserve">Bound - within authority</t>
        </is>
      </c>
      <c r="E517" s="32" t="inlineStr">
        <is>
          <t xml:space="preserve">New business</t>
        </is>
      </c>
      <c r="F517" s="30" t="inlineStr">
        <is>
          <t xml:space="preserve">B1234EXOTIC26</t>
        </is>
      </c>
      <c r="G517" s="33">
        <f>IF($A517="","",IF($C517="","",YEAR($C517)))</f>
      </c>
      <c r="H517" s="34">
        <v>1994</v>
      </c>
      <c r="I517" s="30" t="inlineStr">
        <is>
          <t xml:space="preserve">Aston Martin</t>
        </is>
      </c>
      <c r="J517" s="30" t="inlineStr">
        <is>
          <t xml:space="preserve">DB12</t>
        </is>
      </c>
      <c r="K517" s="30" t="inlineStr">
        <is>
          <t xml:space="preserve">0SRMMVDJBTTSF0LCB</t>
        </is>
      </c>
      <c r="L517" s="32" t="inlineStr">
        <is>
          <t xml:space="preserve">02 - Sports / GT</t>
        </is>
      </c>
      <c r="M517" s="35">
        <v>460000</v>
      </c>
      <c r="N517" s="32" t="inlineStr">
        <is>
          <t xml:space="preserve">Personal</t>
        </is>
      </c>
      <c r="O517" s="30" t="inlineStr">
        <is>
          <t xml:space="preserve">Personal - regular use</t>
        </is>
      </c>
      <c r="P517" s="30" t="inlineStr">
        <is>
          <t xml:space="preserve">1,000 - 2,500</t>
        </is>
      </c>
      <c r="Q517" s="30" t="inlineStr">
        <is>
          <t xml:space="preserve">Michigan</t>
        </is>
      </c>
      <c r="R517" s="30" t="inlineStr">
        <is>
          <t xml:space="preserve">48226</t>
        </is>
      </c>
      <c r="S517" s="32" t="inlineStr">
        <is>
          <t xml:space="preserve">Severe convective - hail / tornado (moderate)</t>
        </is>
      </c>
      <c r="T517" s="36">
        <f>IF($A517="","",IF($S517="","",IFERROR(INDEX('[1]natural catastrophe'!$D$6:$D$17,MATCH($S517,'[1]natural catastrophe'!$B$6:$B$17,0)),"?")))</f>
      </c>
      <c r="U517" s="30" t="inlineStr">
        <is>
          <t xml:space="preserve">$5,000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8870.79</v>
      </c>
      <c r="AC517" s="37">
        <v>0</v>
      </c>
      <c r="AD517" s="38">
        <f>IF(ISNUMBER($AB517),$AB517*(1+N($AC517)),"")</f>
      </c>
      <c r="AE517" s="35">
        <v>350</v>
      </c>
      <c r="AF517" s="35">
        <v>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CANON-202602-005370</t>
        </is>
      </c>
      <c r="B518" s="46" t="inlineStr">
        <is>
          <t xml:space="preserve">Leopold Larsson</t>
        </is>
      </c>
      <c r="C518" s="47">
        <v>46057</v>
      </c>
      <c r="D518" s="48" t="inlineStr">
        <is>
          <t xml:space="preserve">Bound - within authority</t>
        </is>
      </c>
      <c r="E518" s="48" t="inlineStr">
        <is>
          <t xml:space="preserve">New business</t>
        </is>
      </c>
      <c r="F518" s="46" t="inlineStr">
        <is>
          <t xml:space="preserve">B1234EXOTIC26</t>
        </is>
      </c>
      <c r="G518" s="33">
        <f>IF($A518="","",IF($C518="","",YEAR($C518)))</f>
      </c>
      <c r="H518" s="49">
        <v>2022</v>
      </c>
      <c r="I518" s="46" t="inlineStr">
        <is>
          <t xml:space="preserve">Jaguar</t>
        </is>
      </c>
      <c r="J518" s="46" t="inlineStr">
        <is>
          <t xml:space="preserve">E-Type Series 1</t>
        </is>
      </c>
      <c r="K518" s="46" t="inlineStr">
        <is>
          <t xml:space="preserve">80ZKH0TSHAZWFYMMM</t>
        </is>
      </c>
      <c r="L518" s="48" t="inlineStr">
        <is>
          <t xml:space="preserve">02 - Sports / GT</t>
        </is>
      </c>
      <c r="M518" s="50">
        <v>280000</v>
      </c>
      <c r="N518" s="48" t="inlineStr">
        <is>
          <t xml:space="preserve">Personal</t>
        </is>
      </c>
      <c r="O518" s="46" t="inlineStr">
        <is>
          <t xml:space="preserve">Personal - regular use</t>
        </is>
      </c>
      <c r="P518" s="46" t="inlineStr">
        <is>
          <t xml:space="preserve">1,000 - 2,500</t>
        </is>
      </c>
      <c r="Q518" s="46" t="inlineStr">
        <is>
          <t xml:space="preserve">Vermont</t>
        </is>
      </c>
      <c r="R518" s="46" t="inlineStr">
        <is>
          <t xml:space="preserve">05601</t>
        </is>
      </c>
      <c r="S518" s="48" t="inlineStr">
        <is>
          <t xml:space="preserve">Low hazard - inland benign</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2720.02</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CANON-202602-005372</t>
        </is>
      </c>
      <c r="B519" s="30" t="inlineStr">
        <is>
          <t xml:space="preserve">Saoirse Castellanos</t>
        </is>
      </c>
      <c r="C519" s="31">
        <v>46079</v>
      </c>
      <c r="D519" s="32" t="inlineStr">
        <is>
          <t xml:space="preserve">Bound - within authority</t>
        </is>
      </c>
      <c r="E519" s="32" t="inlineStr">
        <is>
          <t xml:space="preserve">New business</t>
        </is>
      </c>
      <c r="F519" s="30" t="inlineStr">
        <is>
          <t xml:space="preserve">B1234EXOTIC26</t>
        </is>
      </c>
      <c r="G519" s="33">
        <f>IF($A519="","",IF($C519="","",YEAR($C519)))</f>
      </c>
      <c r="H519" s="34">
        <v>2003</v>
      </c>
      <c r="I519" s="30" t="inlineStr">
        <is>
          <t xml:space="preserve">Ferrari</t>
        </is>
      </c>
      <c r="J519" s="30" t="inlineStr">
        <is>
          <t xml:space="preserve">SF90 Stradale</t>
        </is>
      </c>
      <c r="K519" s="30" t="inlineStr">
        <is>
          <t xml:space="preserve">7ZYJB9E2LAXYVEKUK</t>
        </is>
      </c>
      <c r="L519" s="32" t="inlineStr">
        <is>
          <t xml:space="preserve">03 - Supercar</t>
        </is>
      </c>
      <c r="M519" s="35">
        <v>370000</v>
      </c>
      <c r="N519" s="32" t="inlineStr">
        <is>
          <t xml:space="preserve">Personal</t>
        </is>
      </c>
      <c r="O519" s="30" t="inlineStr">
        <is>
          <t xml:space="preserve">Personal - regular use</t>
        </is>
      </c>
      <c r="P519" s="30" t="inlineStr">
        <is>
          <t xml:space="preserve">1,000 - 2,500</t>
        </is>
      </c>
      <c r="Q519" s="30" t="inlineStr">
        <is>
          <t xml:space="preserve">California</t>
        </is>
      </c>
      <c r="R519" s="30" t="inlineStr">
        <is>
          <t xml:space="preserve">90012</t>
        </is>
      </c>
      <c r="S519" s="32" t="inlineStr">
        <is>
          <t xml:space="preserve">Earthquake - high (CA, Cascadia, New Madrid)</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9528.95</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CANON-202602-005373</t>
        </is>
      </c>
      <c r="B520" s="46" t="inlineStr">
        <is>
          <t xml:space="preserve">Priya Harrington</t>
        </is>
      </c>
      <c r="C520" s="47">
        <v>46078</v>
      </c>
      <c r="D520" s="48" t="inlineStr">
        <is>
          <t xml:space="preserve">Bound - within authority</t>
        </is>
      </c>
      <c r="E520" s="48" t="inlineStr">
        <is>
          <t xml:space="preserve">New business</t>
        </is>
      </c>
      <c r="F520" s="46" t="inlineStr">
        <is>
          <t xml:space="preserve">B1234EXOTIC26</t>
        </is>
      </c>
      <c r="G520" s="33">
        <f>IF($A520="","",IF($C520="","",YEAR($C520)))</f>
      </c>
      <c r="H520" s="49">
        <v>1956</v>
      </c>
      <c r="I520" s="46" t="inlineStr">
        <is>
          <t xml:space="preserve">Maserati</t>
        </is>
      </c>
      <c r="J520" s="46" t="inlineStr">
        <is>
          <t xml:space="preserve">GranTurismo</t>
        </is>
      </c>
      <c r="K520" s="46" t="inlineStr">
        <is>
          <t xml:space="preserve">80DUT9FPPAVKS8AS3</t>
        </is>
      </c>
      <c r="L520" s="48" t="inlineStr">
        <is>
          <t xml:space="preserve">02 - Sports / GT</t>
        </is>
      </c>
      <c r="M520" s="50">
        <v>895000</v>
      </c>
      <c r="N520" s="48" t="inlineStr">
        <is>
          <t xml:space="preserve">Personal</t>
        </is>
      </c>
      <c r="O520" s="46" t="inlineStr">
        <is>
          <t xml:space="preserve">Personal - regular use</t>
        </is>
      </c>
      <c r="P520" s="46" t="inlineStr">
        <is>
          <t xml:space="preserve">Under 1,000</t>
        </is>
      </c>
      <c r="Q520" s="46" t="inlineStr">
        <is>
          <t xml:space="preserve">New York</t>
        </is>
      </c>
      <c r="R520" s="46" t="inlineStr">
        <is>
          <t xml:space="preserve">10022</t>
        </is>
      </c>
      <c r="S520" s="48" t="inlineStr">
        <is>
          <t xml:space="preserve">Tier 3 - Coastal wind (25-100 miles)</t>
        </is>
      </c>
      <c r="T520" s="36">
        <f>IF($A520="","",IF($S520="","",IFERROR(INDEX('[1]natural catastrophe'!$D$6:$D$17,MATCH($S520,'[1]natural catastrophe'!$B$6:$B$17,0)),"?")))</f>
      </c>
      <c r="U520" s="46" t="inlineStr">
        <is>
          <t xml:space="preserve">2% of agreed value, minimum $10,000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12352.59</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CANON-202602-005374</t>
        </is>
      </c>
      <c r="B521" s="30" t="inlineStr">
        <is>
          <t xml:space="preserve">Ingrid Rourke</t>
        </is>
      </c>
      <c r="C521" s="31">
        <v>46075</v>
      </c>
      <c r="D521" s="32" t="inlineStr">
        <is>
          <t xml:space="preserve">Bound - within authority</t>
        </is>
      </c>
      <c r="E521" s="32" t="inlineStr">
        <is>
          <t xml:space="preserve">New business</t>
        </is>
      </c>
      <c r="F521" s="30" t="inlineStr">
        <is>
          <t xml:space="preserve">B1234EXOTIC26</t>
        </is>
      </c>
      <c r="G521" s="33">
        <f>IF($A521="","",IF($C521="","",YEAR($C521)))</f>
      </c>
      <c r="H521" s="34">
        <v>2017</v>
      </c>
      <c r="I521" s="30" t="inlineStr">
        <is>
          <t xml:space="preserve">Maserati</t>
        </is>
      </c>
      <c r="J521" s="30" t="inlineStr">
        <is>
          <t xml:space="preserve">GranTurismo</t>
        </is>
      </c>
      <c r="K521" s="30" t="inlineStr">
        <is>
          <t xml:space="preserve">C7FTHVU71HRFCN7L5</t>
        </is>
      </c>
      <c r="L521" s="32" t="inlineStr">
        <is>
          <t xml:space="preserve">02 - Sports / GT</t>
        </is>
      </c>
      <c r="M521" s="35">
        <v>480000</v>
      </c>
      <c r="N521" s="32" t="inlineStr">
        <is>
          <t xml:space="preserve">Personal</t>
        </is>
      </c>
      <c r="O521" s="30" t="inlineStr">
        <is>
          <t xml:space="preserve">Personal - regular use</t>
        </is>
      </c>
      <c r="P521" s="30" t="inlineStr">
        <is>
          <t xml:space="preserve">Under 1,000</t>
        </is>
      </c>
      <c r="Q521" s="30" t="inlineStr">
        <is>
          <t xml:space="preserve">New York</t>
        </is>
      </c>
      <c r="R521" s="30" t="inlineStr">
        <is>
          <t xml:space="preserve">10022</t>
        </is>
      </c>
      <c r="S521" s="32" t="inlineStr">
        <is>
          <t xml:space="preserve">Tier 3 - Coastal wind (25-100 miles)</t>
        </is>
      </c>
      <c r="T521" s="36">
        <f>IF($A521="","",IF($S521="","",IFERROR(INDEX('[1]natural catastrophe'!$D$6:$D$17,MATCH($S521,'[1]natural catastrophe'!$B$6:$B$17,0)),"?")))</f>
      </c>
      <c r="U521" s="30" t="inlineStr">
        <is>
          <t xml:space="preserve">2% of agreed value, minimum $10,000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7644.06</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CANON-202602-005375</t>
        </is>
      </c>
      <c r="B522" s="46" t="inlineStr">
        <is>
          <t xml:space="preserve">Saoirse Blackwood</t>
        </is>
      </c>
      <c r="C522" s="47">
        <v>46065</v>
      </c>
      <c r="D522" s="48" t="inlineStr">
        <is>
          <t xml:space="preserve">Bound - within authority</t>
        </is>
      </c>
      <c r="E522" s="48" t="inlineStr">
        <is>
          <t xml:space="preserve">New business</t>
        </is>
      </c>
      <c r="F522" s="46" t="inlineStr">
        <is>
          <t xml:space="preserve">B1234EXOTIC26</t>
        </is>
      </c>
      <c r="G522" s="33">
        <f>IF($A522="","",IF($C522="","",YEAR($C522)))</f>
      </c>
      <c r="H522" s="49">
        <v>1955</v>
      </c>
      <c r="I522" s="46" t="inlineStr">
        <is>
          <t xml:space="preserve">Bentley</t>
        </is>
      </c>
      <c r="J522" s="46" t="inlineStr">
        <is>
          <t xml:space="preserve">Continental GT</t>
        </is>
      </c>
      <c r="K522" s="46" t="inlineStr">
        <is>
          <t xml:space="preserve">9X291M13RT9V6SB82</t>
        </is>
      </c>
      <c r="L522" s="48" t="inlineStr">
        <is>
          <t xml:space="preserve">02 - Sports / GT</t>
        </is>
      </c>
      <c r="M522" s="50">
        <v>575000</v>
      </c>
      <c r="N522" s="48" t="inlineStr">
        <is>
          <t xml:space="preserve">Personal</t>
        </is>
      </c>
      <c r="O522" s="46" t="inlineStr">
        <is>
          <t xml:space="preserve">Personal - regular use</t>
        </is>
      </c>
      <c r="P522" s="46" t="inlineStr">
        <is>
          <t xml:space="preserve">2,500 - 5,000</t>
        </is>
      </c>
      <c r="Q522" s="46" t="inlineStr">
        <is>
          <t xml:space="preserve">Rhode Island</t>
        </is>
      </c>
      <c r="R522" s="46" t="inlineStr">
        <is>
          <t xml:space="preserve">02903</t>
        </is>
      </c>
      <c r="S522" s="48" t="inlineStr">
        <is>
          <t xml:space="preserve">Tier 3 - Coastal wind (25-100 miles)</t>
        </is>
      </c>
      <c r="T522" s="36">
        <f>IF($A522="","",IF($S522="","",IFERROR(INDEX('[1]natural catastrophe'!$D$6:$D$17,MATCH($S522,'[1]natural catastrophe'!$B$6:$B$17,0)),"?")))</f>
      </c>
      <c r="U522" s="46" t="inlineStr">
        <is>
          <t xml:space="preserve">2% of agreed value, minimum $10,000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8494.02</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CANON-202602-005376</t>
        </is>
      </c>
      <c r="B523" s="30" t="inlineStr">
        <is>
          <t xml:space="preserve">Ramona Castellanos</t>
        </is>
      </c>
      <c r="C523" s="31">
        <v>46057</v>
      </c>
      <c r="D523" s="32" t="inlineStr">
        <is>
          <t xml:space="preserve">Bound - within authority</t>
        </is>
      </c>
      <c r="E523" s="32" t="inlineStr">
        <is>
          <t xml:space="preserve">New business</t>
        </is>
      </c>
      <c r="F523" s="30" t="inlineStr">
        <is>
          <t xml:space="preserve">B1234EXOTIC26</t>
        </is>
      </c>
      <c r="G523" s="33">
        <f>IF($A523="","",IF($C523="","",YEAR($C523)))</f>
      </c>
      <c r="H523" s="34">
        <v>2007</v>
      </c>
      <c r="I523" s="30" t="inlineStr">
        <is>
          <t xml:space="preserve">Lamborghini</t>
        </is>
      </c>
      <c r="J523" s="30" t="inlineStr">
        <is>
          <t xml:space="preserve">Huracan EVO</t>
        </is>
      </c>
      <c r="K523" s="30" t="inlineStr">
        <is>
          <t xml:space="preserve">XGGZR2WYVNGDV5YS9</t>
        </is>
      </c>
      <c r="L523" s="32" t="inlineStr">
        <is>
          <t xml:space="preserve">03 - Supercar</t>
        </is>
      </c>
      <c r="M523" s="35">
        <v>1445000</v>
      </c>
      <c r="N523" s="32" t="inlineStr">
        <is>
          <t xml:space="preserve">Personal</t>
        </is>
      </c>
      <c r="O523" s="30" t="inlineStr">
        <is>
          <t xml:space="preserve">Personal - regular use</t>
        </is>
      </c>
      <c r="P523" s="30" t="inlineStr">
        <is>
          <t xml:space="preserve">1,000 - 2,500</t>
        </is>
      </c>
      <c r="Q523" s="30" t="inlineStr">
        <is>
          <t xml:space="preserve">Florida</t>
        </is>
      </c>
      <c r="R523" s="30" t="inlineStr">
        <is>
          <t xml:space="preserve">33139</t>
        </is>
      </c>
      <c r="S523" s="32" t="inlineStr">
        <is>
          <t xml:space="preserve">Tier 2 - Coastal wind (1-25 miles)</t>
        </is>
      </c>
      <c r="T523" s="36">
        <f>IF($A523="","",IF($S523="","",IFERROR(INDEX('[1]natural catastrophe'!$D$6:$D$17,MATCH($S523,'[1]natural catastrophe'!$B$6:$B$17,0)),"?")))</f>
      </c>
      <c r="U523" s="30" t="inlineStr">
        <is>
          <t xml:space="preserve">2% of agreed value, minimum $10,000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27230.65</v>
      </c>
      <c r="AC523" s="37">
        <v>0</v>
      </c>
      <c r="AD523" s="38">
        <f>IF(ISNUMBER($AB523),$AB523*(1+N($AC523)),"")</f>
      </c>
      <c r="AE523" s="35">
        <v>350</v>
      </c>
      <c r="AF523" s="35">
        <v>250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CANON-202602-005377</t>
        </is>
      </c>
      <c r="B524" s="46" t="inlineStr">
        <is>
          <t xml:space="preserve">Ingrid Underwood</t>
        </is>
      </c>
      <c r="C524" s="47">
        <v>46063</v>
      </c>
      <c r="D524" s="48" t="inlineStr">
        <is>
          <t xml:space="preserve">Bound - within authority</t>
        </is>
      </c>
      <c r="E524" s="48" t="inlineStr">
        <is>
          <t xml:space="preserve">New business</t>
        </is>
      </c>
      <c r="F524" s="46" t="inlineStr">
        <is>
          <t xml:space="preserve">B1234EXOTIC26</t>
        </is>
      </c>
      <c r="G524" s="33">
        <f>IF($A524="","",IF($C524="","",YEAR($C524)))</f>
      </c>
      <c r="H524" s="49">
        <v>1976</v>
      </c>
      <c r="I524" s="46" t="inlineStr">
        <is>
          <t xml:space="preserve">Porsche</t>
        </is>
      </c>
      <c r="J524" s="46" t="inlineStr">
        <is>
          <t xml:space="preserve">911 Turbo S</t>
        </is>
      </c>
      <c r="K524" s="46" t="inlineStr">
        <is>
          <t xml:space="preserve">JSX0H8EB0X9MX06ZT</t>
        </is>
      </c>
      <c r="L524" s="48" t="inlineStr">
        <is>
          <t xml:space="preserve">02 - Sports / GT</t>
        </is>
      </c>
      <c r="M524" s="50">
        <v>1200000</v>
      </c>
      <c r="N524" s="48" t="inlineStr">
        <is>
          <t xml:space="preserve">Personal</t>
        </is>
      </c>
      <c r="O524" s="46" t="inlineStr">
        <is>
          <t xml:space="preserve">Personal - regular use</t>
        </is>
      </c>
      <c r="P524" s="46" t="inlineStr">
        <is>
          <t xml:space="preserve">Under 1,000</t>
        </is>
      </c>
      <c r="Q524" s="46" t="inlineStr">
        <is>
          <t xml:space="preserve">California</t>
        </is>
      </c>
      <c r="R524" s="46" t="inlineStr">
        <is>
          <t xml:space="preserve">90012</t>
        </is>
      </c>
      <c r="S524" s="48" t="inlineStr">
        <is>
          <t xml:space="preserve">Earthquake - high (CA, Cascadia, New Madrid)</t>
        </is>
      </c>
      <c r="T524" s="36">
        <f>IF($A524="","",IF($S524="","",IFERROR(INDEX('[1]natural catastrophe'!$D$6:$D$17,MATCH($S524,'[1]natural catastrophe'!$B$6:$B$17,0)),"?")))</f>
      </c>
      <c r="U524" s="46" t="inlineStr">
        <is>
          <t xml:space="preserve">$5,000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14780.51</v>
      </c>
      <c r="AC524" s="51">
        <v>0</v>
      </c>
      <c r="AD524" s="38">
        <f>IF(ISNUMBER($AB524),$AB524*(1+N($AC524)),"")</f>
      </c>
      <c r="AE524" s="50">
        <v>350</v>
      </c>
      <c r="AF524" s="50">
        <v>250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CANON-202602-005378</t>
        </is>
      </c>
      <c r="B525" s="30" t="inlineStr">
        <is>
          <t xml:space="preserve">Aurelio Merriweather</t>
        </is>
      </c>
      <c r="C525" s="31">
        <v>46070</v>
      </c>
      <c r="D525" s="32" t="inlineStr">
        <is>
          <t xml:space="preserve">Bound - within authority</t>
        </is>
      </c>
      <c r="E525" s="32" t="inlineStr">
        <is>
          <t xml:space="preserve">New business</t>
        </is>
      </c>
      <c r="F525" s="30" t="inlineStr">
        <is>
          <t xml:space="preserve">B1234EXOTIC26</t>
        </is>
      </c>
      <c r="G525" s="33">
        <f>IF($A525="","",IF($C525="","",YEAR($C525)))</f>
      </c>
      <c r="H525" s="34">
        <v>2006</v>
      </c>
      <c r="I525" s="30" t="inlineStr">
        <is>
          <t xml:space="preserve">Porsche</t>
        </is>
      </c>
      <c r="J525" s="30" t="inlineStr">
        <is>
          <t xml:space="preserve">911 Turbo S</t>
        </is>
      </c>
      <c r="K525" s="30" t="inlineStr">
        <is>
          <t xml:space="preserve">J8J7M8SR5DPZGPKXE</t>
        </is>
      </c>
      <c r="L525" s="32" t="inlineStr">
        <is>
          <t xml:space="preserve">02 - Sports / GT</t>
        </is>
      </c>
      <c r="M525" s="35">
        <v>760000</v>
      </c>
      <c r="N525" s="32" t="inlineStr">
        <is>
          <t xml:space="preserve">Personal</t>
        </is>
      </c>
      <c r="O525" s="30" t="inlineStr">
        <is>
          <t xml:space="preserve">Personal - regular use</t>
        </is>
      </c>
      <c r="P525" s="30" t="inlineStr">
        <is>
          <t xml:space="preserve">1,000 - 2,500</t>
        </is>
      </c>
      <c r="Q525" s="30" t="inlineStr">
        <is>
          <t xml:space="preserve">Pennsylvania</t>
        </is>
      </c>
      <c r="R525" s="30" t="inlineStr">
        <is>
          <t xml:space="preserve">19103</t>
        </is>
      </c>
      <c r="S525" s="32" t="inlineStr">
        <is>
          <t xml:space="preserve">Low hazard - inland benign</t>
        </is>
      </c>
      <c r="T525" s="36">
        <f>IF($A525="","",IF($S525="","",IFERROR(INDEX('[1]natural catastrophe'!$D$6:$D$17,MATCH($S525,'[1]natural catastrophe'!$B$6:$B$17,0)),"?")))</f>
      </c>
      <c r="U525" s="30" t="inlineStr">
        <is>
          <t xml:space="preserve">$5,000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8194.8</v>
      </c>
      <c r="AC525" s="37">
        <v>0</v>
      </c>
      <c r="AD525" s="38">
        <f>IF(ISNUMBER($AB525),$AB525*(1+N($AC525)),"")</f>
      </c>
      <c r="AE525" s="35">
        <v>350</v>
      </c>
      <c r="AF525" s="35">
        <v>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CANON-202602-005379</t>
        </is>
      </c>
      <c r="B526" s="46" t="inlineStr">
        <is>
          <t xml:space="preserve">Beatrix Ashcombe</t>
        </is>
      </c>
      <c r="C526" s="47">
        <v>46080</v>
      </c>
      <c r="D526" s="48" t="inlineStr">
        <is>
          <t xml:space="preserve">Bound - within authority</t>
        </is>
      </c>
      <c r="E526" s="48" t="inlineStr">
        <is>
          <t xml:space="preserve">New business</t>
        </is>
      </c>
      <c r="F526" s="46" t="inlineStr">
        <is>
          <t xml:space="preserve">B1234EXOTIC26</t>
        </is>
      </c>
      <c r="G526" s="33">
        <f>IF($A526="","",IF($C526="","",YEAR($C526)))</f>
      </c>
      <c r="H526" s="49">
        <v>1957</v>
      </c>
      <c r="I526" s="46" t="inlineStr">
        <is>
          <t xml:space="preserve">Ferrari</t>
        </is>
      </c>
      <c r="J526" s="46" t="inlineStr">
        <is>
          <t xml:space="preserve">296 GTB</t>
        </is>
      </c>
      <c r="K526" s="46" t="inlineStr">
        <is>
          <t xml:space="preserve">V48J75E3DVPHTRJW9</t>
        </is>
      </c>
      <c r="L526" s="48" t="inlineStr">
        <is>
          <t xml:space="preserve">03 - Supercar</t>
        </is>
      </c>
      <c r="M526" s="50">
        <v>470000</v>
      </c>
      <c r="N526" s="48" t="inlineStr">
        <is>
          <t xml:space="preserve">Personal</t>
        </is>
      </c>
      <c r="O526" s="46" t="inlineStr">
        <is>
          <t xml:space="preserve">Personal - regular use</t>
        </is>
      </c>
      <c r="P526" s="46" t="inlineStr">
        <is>
          <t xml:space="preserve">1,000 - 2,500</t>
        </is>
      </c>
      <c r="Q526" s="46" t="inlineStr">
        <is>
          <t xml:space="preserve">South Carolina</t>
        </is>
      </c>
      <c r="R526" s="46" t="inlineStr">
        <is>
          <t xml:space="preserve">29401</t>
        </is>
      </c>
      <c r="S526" s="48" t="inlineStr">
        <is>
          <t xml:space="preserve">Tier 2 - Coastal wind (1-25 miles)</t>
        </is>
      </c>
      <c r="T526" s="36">
        <f>IF($A526="","",IF($S526="","",IFERROR(INDEX('[1]natural catastrophe'!$D$6:$D$17,MATCH($S526,'[1]natural catastrophe'!$B$6:$B$17,0)),"?")))</f>
      </c>
      <c r="U526" s="46" t="inlineStr">
        <is>
          <t xml:space="preserve">2% of agreed value, minimum $10,000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11118.06</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CANON-202602-005380</t>
        </is>
      </c>
      <c r="B527" s="30" t="inlineStr">
        <is>
          <t xml:space="preserve">Fitzgerald Kingsford</t>
        </is>
      </c>
      <c r="C527" s="31">
        <v>46080</v>
      </c>
      <c r="D527" s="32" t="inlineStr">
        <is>
          <t xml:space="preserve">Bound - within authority</t>
        </is>
      </c>
      <c r="E527" s="32" t="inlineStr">
        <is>
          <t xml:space="preserve">New business</t>
        </is>
      </c>
      <c r="F527" s="30" t="inlineStr">
        <is>
          <t xml:space="preserve">B1234EXOTIC26</t>
        </is>
      </c>
      <c r="G527" s="33">
        <f>IF($A527="","",IF($C527="","",YEAR($C527)))</f>
      </c>
      <c r="H527" s="34">
        <v>1955</v>
      </c>
      <c r="I527" s="30" t="inlineStr">
        <is>
          <t xml:space="preserve">Bentley</t>
        </is>
      </c>
      <c r="J527" s="30" t="inlineStr">
        <is>
          <t xml:space="preserve">Continental GT</t>
        </is>
      </c>
      <c r="K527" s="30" t="inlineStr">
        <is>
          <t xml:space="preserve">88TT8AK5A94LL4BN1</t>
        </is>
      </c>
      <c r="L527" s="32" t="inlineStr">
        <is>
          <t xml:space="preserve">02 - Sports / GT</t>
        </is>
      </c>
      <c r="M527" s="35">
        <v>345000</v>
      </c>
      <c r="N527" s="32" t="inlineStr">
        <is>
          <t xml:space="preserve">Personal</t>
        </is>
      </c>
      <c r="O527" s="30" t="inlineStr">
        <is>
          <t xml:space="preserve">Personal - regular use</t>
        </is>
      </c>
      <c r="P527" s="30" t="inlineStr">
        <is>
          <t xml:space="preserve">2,500 - 5,000</t>
        </is>
      </c>
      <c r="Q527" s="30" t="inlineStr">
        <is>
          <t xml:space="preserve">North Dakota</t>
        </is>
      </c>
      <c r="R527" s="30" t="inlineStr">
        <is>
          <t xml:space="preserve">58501</t>
        </is>
      </c>
      <c r="S527" s="32" t="inlineStr">
        <is>
          <t xml:space="preserve">Severe convective - hail alley (high)</t>
        </is>
      </c>
      <c r="T527" s="36">
        <f>IF($A527="","",IF($S527="","",IFERROR(INDEX('[1]natural catastrophe'!$D$6:$D$17,MATCH($S527,'[1]natural catastrophe'!$B$6:$B$17,0)),"?")))</f>
      </c>
      <c r="U527" s="30" t="inlineStr">
        <is>
          <t xml:space="preserve">$5,000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4378.17</v>
      </c>
      <c r="AC527" s="37">
        <v>0</v>
      </c>
      <c r="AD527" s="38">
        <f>IF(ISNUMBER($AB527),$AB527*(1+N($AC527)),"")</f>
      </c>
      <c r="AE527" s="35">
        <v>350</v>
      </c>
      <c r="AF527" s="35">
        <v>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CANON-202602-005382</t>
        </is>
      </c>
      <c r="B528" s="46" t="inlineStr">
        <is>
          <t xml:space="preserve">Anouk Ashcombe</t>
        </is>
      </c>
      <c r="C528" s="47">
        <v>46058</v>
      </c>
      <c r="D528" s="48" t="inlineStr">
        <is>
          <t xml:space="preserve">Bound - within authority</t>
        </is>
      </c>
      <c r="E528" s="48" t="inlineStr">
        <is>
          <t xml:space="preserve">New business</t>
        </is>
      </c>
      <c r="F528" s="46" t="inlineStr">
        <is>
          <t xml:space="preserve">B1234EXOTIC26</t>
        </is>
      </c>
      <c r="G528" s="33">
        <f>IF($A528="","",IF($C528="","",YEAR($C528)))</f>
      </c>
      <c r="H528" s="49">
        <v>1981</v>
      </c>
      <c r="I528" s="46" t="inlineStr">
        <is>
          <t xml:space="preserve">BMW</t>
        </is>
      </c>
      <c r="J528" s="46" t="inlineStr">
        <is>
          <t xml:space="preserve">M8 Competition</t>
        </is>
      </c>
      <c r="K528" s="46" t="inlineStr">
        <is>
          <t xml:space="preserve">9ARZEX6MEUEDLNYCU</t>
        </is>
      </c>
      <c r="L528" s="48" t="inlineStr">
        <is>
          <t xml:space="preserve">02 - Sports / GT</t>
        </is>
      </c>
      <c r="M528" s="50">
        <v>725000</v>
      </c>
      <c r="N528" s="48" t="inlineStr">
        <is>
          <t xml:space="preserve">Personal</t>
        </is>
      </c>
      <c r="O528" s="46" t="inlineStr">
        <is>
          <t xml:space="preserve">Personal - regular use</t>
        </is>
      </c>
      <c r="P528" s="46" t="inlineStr">
        <is>
          <t xml:space="preserve">Under 1,000</t>
        </is>
      </c>
      <c r="Q528" s="46" t="inlineStr">
        <is>
          <t xml:space="preserve">Texas</t>
        </is>
      </c>
      <c r="R528" s="46" t="inlineStr">
        <is>
          <t xml:space="preserve">75201</t>
        </is>
      </c>
      <c r="S528" s="48" t="inlineStr">
        <is>
          <t xml:space="preserve">Tier 2 - Coastal wind (1-25 miles)</t>
        </is>
      </c>
      <c r="T528" s="36">
        <f>IF($A528="","",IF($S528="","",IFERROR(INDEX('[1]natural catastrophe'!$D$6:$D$17,MATCH($S528,'[1]natural catastrophe'!$B$6:$B$17,0)),"?")))</f>
      </c>
      <c r="U528" s="46" t="inlineStr">
        <is>
          <t xml:space="preserve">2% of agreed value, minimum $10,000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8990.03</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CANON-202602-005383</t>
        </is>
      </c>
      <c r="B529" s="30" t="inlineStr">
        <is>
          <t xml:space="preserve">Lorenzo Delacroix</t>
        </is>
      </c>
      <c r="C529" s="31">
        <v>46081</v>
      </c>
      <c r="D529" s="32" t="inlineStr">
        <is>
          <t xml:space="preserve">Bound - within authority</t>
        </is>
      </c>
      <c r="E529" s="32" t="inlineStr">
        <is>
          <t xml:space="preserve">New business</t>
        </is>
      </c>
      <c r="F529" s="30" t="inlineStr">
        <is>
          <t xml:space="preserve">B1234EXOTIC26</t>
        </is>
      </c>
      <c r="G529" s="33">
        <f>IF($A529="","",IF($C529="","",YEAR($C529)))</f>
      </c>
      <c r="H529" s="34">
        <v>1958</v>
      </c>
      <c r="I529" s="30" t="inlineStr">
        <is>
          <t xml:space="preserve">Aston Martin</t>
        </is>
      </c>
      <c r="J529" s="30" t="inlineStr">
        <is>
          <t xml:space="preserve">DB12</t>
        </is>
      </c>
      <c r="K529" s="30" t="inlineStr">
        <is>
          <t xml:space="preserve">HEXKDSVD0X95AL3H0</t>
        </is>
      </c>
      <c r="L529" s="32" t="inlineStr">
        <is>
          <t xml:space="preserve">02 - Sports / GT</t>
        </is>
      </c>
      <c r="M529" s="35">
        <v>410000</v>
      </c>
      <c r="N529" s="32" t="inlineStr">
        <is>
          <t xml:space="preserve">Personal</t>
        </is>
      </c>
      <c r="O529" s="30" t="inlineStr">
        <is>
          <t xml:space="preserve">Personal - regular use</t>
        </is>
      </c>
      <c r="P529" s="30" t="inlineStr">
        <is>
          <t xml:space="preserve">Under 1,000</t>
        </is>
      </c>
      <c r="Q529" s="30" t="inlineStr">
        <is>
          <t xml:space="preserve">Connecticut</t>
        </is>
      </c>
      <c r="R529" s="30" t="inlineStr">
        <is>
          <t xml:space="preserve">06103</t>
        </is>
      </c>
      <c r="S529" s="32" t="inlineStr">
        <is>
          <t xml:space="preserve">Tier 3 - Coastal wind (25-100 miles)</t>
        </is>
      </c>
      <c r="T529" s="36">
        <f>IF($A529="","",IF($S529="","",IFERROR(INDEX('[1]natural catastrophe'!$D$6:$D$17,MATCH($S529,'[1]natural catastrophe'!$B$6:$B$17,0)),"?")))</f>
      </c>
      <c r="U529" s="30" t="inlineStr">
        <is>
          <t xml:space="preserve">2% of agreed value, minimum $10,000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5713.14</v>
      </c>
      <c r="AC529" s="37">
        <v>0</v>
      </c>
      <c r="AD529" s="38">
        <f>IF(ISNUMBER($AB529),$AB529*(1+N($AC529)),"")</f>
      </c>
      <c r="AE529" s="35">
        <v>350</v>
      </c>
      <c r="AF529" s="35">
        <v>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CANON-202602-005384</t>
        </is>
      </c>
      <c r="B530" s="46" t="inlineStr">
        <is>
          <t xml:space="preserve">Callum Ashcombe</t>
        </is>
      </c>
      <c r="C530" s="47">
        <v>46072</v>
      </c>
      <c r="D530" s="48" t="inlineStr">
        <is>
          <t xml:space="preserve">Bound - within authority</t>
        </is>
      </c>
      <c r="E530" s="48" t="inlineStr">
        <is>
          <t xml:space="preserve">New business</t>
        </is>
      </c>
      <c r="F530" s="46" t="inlineStr">
        <is>
          <t xml:space="preserve">B1234EXOTIC26</t>
        </is>
      </c>
      <c r="G530" s="33">
        <f>IF($A530="","",IF($C530="","",YEAR($C530)))</f>
      </c>
      <c r="H530" s="49">
        <v>2010</v>
      </c>
      <c r="I530" s="46" t="inlineStr">
        <is>
          <t xml:space="preserve">Ferrari</t>
        </is>
      </c>
      <c r="J530" s="46" t="inlineStr">
        <is>
          <t xml:space="preserve">275 GTB/4</t>
        </is>
      </c>
      <c r="K530" s="46" t="inlineStr">
        <is>
          <t xml:space="preserve">6TV1AHN8S43DH9J2F</t>
        </is>
      </c>
      <c r="L530" s="48" t="inlineStr">
        <is>
          <t xml:space="preserve">09 - Youngtimer / Collectible (2000-2010)</t>
        </is>
      </c>
      <c r="M530" s="50">
        <v>365000</v>
      </c>
      <c r="N530" s="48" t="inlineStr">
        <is>
          <t xml:space="preserve">Personal</t>
        </is>
      </c>
      <c r="O530" s="46" t="inlineStr">
        <is>
          <t xml:space="preserve">Personal - regular use</t>
        </is>
      </c>
      <c r="P530" s="46" t="inlineStr">
        <is>
          <t xml:space="preserve">1,000 - 2,500</t>
        </is>
      </c>
      <c r="Q530" s="46" t="inlineStr">
        <is>
          <t xml:space="preserve">New York</t>
        </is>
      </c>
      <c r="R530" s="46" t="inlineStr">
        <is>
          <t xml:space="preserve">10022</t>
        </is>
      </c>
      <c r="S530" s="48" t="inlineStr">
        <is>
          <t xml:space="preserve">Tier 3 - Coastal wind (25-100 miles)</t>
        </is>
      </c>
      <c r="T530" s="36">
        <f>IF($A530="","",IF($S530="","",IFERROR(INDEX('[1]natural catastrophe'!$D$6:$D$17,MATCH($S530,'[1]natural catastrophe'!$B$6:$B$17,0)),"?")))</f>
      </c>
      <c r="U530" s="46" t="inlineStr">
        <is>
          <t xml:space="preserve">2% of agreed value, minimum $10,000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3720.11</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CANON-202602-005386</t>
        </is>
      </c>
      <c r="B531" s="30" t="inlineStr">
        <is>
          <t xml:space="preserve">Ramona Nakashima</t>
        </is>
      </c>
      <c r="C531" s="31">
        <v>46070</v>
      </c>
      <c r="D531" s="32" t="inlineStr">
        <is>
          <t xml:space="preserve">Bound - within authority</t>
        </is>
      </c>
      <c r="E531" s="32" t="inlineStr">
        <is>
          <t xml:space="preserve">New business</t>
        </is>
      </c>
      <c r="F531" s="30" t="inlineStr">
        <is>
          <t xml:space="preserve">B1234EXOTIC26</t>
        </is>
      </c>
      <c r="G531" s="33">
        <f>IF($A531="","",IF($C531="","",YEAR($C531)))</f>
      </c>
      <c r="H531" s="34">
        <v>2017</v>
      </c>
      <c r="I531" s="30" t="inlineStr">
        <is>
          <t xml:space="preserve">BMW</t>
        </is>
      </c>
      <c r="J531" s="30" t="inlineStr">
        <is>
          <t xml:space="preserve">M8 Competition</t>
        </is>
      </c>
      <c r="K531" s="30" t="inlineStr">
        <is>
          <t xml:space="preserve">W57SAKB2UJEL6JA6E</t>
        </is>
      </c>
      <c r="L531" s="32" t="inlineStr">
        <is>
          <t xml:space="preserve">02 - Sports / GT</t>
        </is>
      </c>
      <c r="M531" s="35">
        <v>805000</v>
      </c>
      <c r="N531" s="32" t="inlineStr">
        <is>
          <t xml:space="preserve">Personal</t>
        </is>
      </c>
      <c r="O531" s="30" t="inlineStr">
        <is>
          <t xml:space="preserve">Personal - regular use</t>
        </is>
      </c>
      <c r="P531" s="30" t="inlineStr">
        <is>
          <t xml:space="preserve">Under 1,000</t>
        </is>
      </c>
      <c r="Q531" s="30" t="inlineStr">
        <is>
          <t xml:space="preserve">Maryland</t>
        </is>
      </c>
      <c r="R531" s="30" t="inlineStr">
        <is>
          <t xml:space="preserve">21201</t>
        </is>
      </c>
      <c r="S531" s="32" t="inlineStr">
        <is>
          <t xml:space="preserve">Tier 3 - Coastal wind (25-100 miles)</t>
        </is>
      </c>
      <c r="T531" s="36">
        <f>IF($A531="","",IF($S531="","",IFERROR(INDEX('[1]natural catastrophe'!$D$6:$D$17,MATCH($S531,'[1]natural catastrophe'!$B$6:$B$17,0)),"?")))</f>
      </c>
      <c r="U531" s="30" t="inlineStr">
        <is>
          <t xml:space="preserve">2% of agreed value, minimum $10,000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8246.03</v>
      </c>
      <c r="AC531" s="37">
        <v>0</v>
      </c>
      <c r="AD531" s="38">
        <f>IF(ISNUMBER($AB531),$AB531*(1+N($AC531)),"")</f>
      </c>
      <c r="AE531" s="35">
        <v>350</v>
      </c>
      <c r="AF531" s="35">
        <v>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CANON-202602-005387</t>
        </is>
      </c>
      <c r="B532" s="46" t="inlineStr">
        <is>
          <t xml:space="preserve">Emiliano Harrington</t>
        </is>
      </c>
      <c r="C532" s="47">
        <v>46064</v>
      </c>
      <c r="D532" s="48" t="inlineStr">
        <is>
          <t xml:space="preserve">Bound - within authority</t>
        </is>
      </c>
      <c r="E532" s="48" t="inlineStr">
        <is>
          <t xml:space="preserve">New business</t>
        </is>
      </c>
      <c r="F532" s="46" t="inlineStr">
        <is>
          <t xml:space="preserve">B1234EXOTIC26</t>
        </is>
      </c>
      <c r="G532" s="33">
        <f>IF($A532="","",IF($C532="","",YEAR($C532)))</f>
      </c>
      <c r="H532" s="49">
        <v>2011</v>
      </c>
      <c r="I532" s="46" t="inlineStr">
        <is>
          <t xml:space="preserve">BMW</t>
        </is>
      </c>
      <c r="J532" s="46" t="inlineStr">
        <is>
          <t xml:space="preserve">M8 Competition</t>
        </is>
      </c>
      <c r="K532" s="46" t="inlineStr">
        <is>
          <t xml:space="preserve">139KHUWVEXEP5YSM9</t>
        </is>
      </c>
      <c r="L532" s="48" t="inlineStr">
        <is>
          <t xml:space="preserve">02 - Sports / GT</t>
        </is>
      </c>
      <c r="M532" s="50">
        <v>350000</v>
      </c>
      <c r="N532" s="48" t="inlineStr">
        <is>
          <t xml:space="preserve">Personal</t>
        </is>
      </c>
      <c r="O532" s="46" t="inlineStr">
        <is>
          <t xml:space="preserve">Personal - regular use</t>
        </is>
      </c>
      <c r="P532" s="46" t="inlineStr">
        <is>
          <t xml:space="preserve">1,000 - 2,500</t>
        </is>
      </c>
      <c r="Q532" s="46" t="inlineStr">
        <is>
          <t xml:space="preserve">Mississippi</t>
        </is>
      </c>
      <c r="R532" s="46" t="inlineStr">
        <is>
          <t xml:space="preserve">39201</t>
        </is>
      </c>
      <c r="S532" s="48" t="inlineStr">
        <is>
          <t xml:space="preserve">Tier 2 - Coastal wind (1-25 miles)</t>
        </is>
      </c>
      <c r="T532" s="36">
        <f>IF($A532="","",IF($S532="","",IFERROR(INDEX('[1]natural catastrophe'!$D$6:$D$17,MATCH($S532,'[1]natural catastrophe'!$B$6:$B$17,0)),"?")))</f>
      </c>
      <c r="U532" s="46" t="inlineStr">
        <is>
          <t xml:space="preserve">2% of agreed value, minimum $10,000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5181.89</v>
      </c>
      <c r="AC532" s="51">
        <v>0</v>
      </c>
      <c r="AD532" s="38">
        <f>IF(ISNUMBER($AB532),$AB532*(1+N($AC532)),"")</f>
      </c>
      <c r="AE532" s="50">
        <v>350</v>
      </c>
      <c r="AF532" s="50">
        <v>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CANON-202602-005388</t>
        </is>
      </c>
      <c r="B533" s="30" t="inlineStr">
        <is>
          <t xml:space="preserve">Sunniva Kingsford</t>
        </is>
      </c>
      <c r="C533" s="31">
        <v>46069</v>
      </c>
      <c r="D533" s="32" t="inlineStr">
        <is>
          <t xml:space="preserve">Bound - within authority</t>
        </is>
      </c>
      <c r="E533" s="32" t="inlineStr">
        <is>
          <t xml:space="preserve">New business</t>
        </is>
      </c>
      <c r="F533" s="30" t="inlineStr">
        <is>
          <t xml:space="preserve">B1234EXOTIC26</t>
        </is>
      </c>
      <c r="G533" s="33">
        <f>IF($A533="","",IF($C533="","",YEAR($C533)))</f>
      </c>
      <c r="H533" s="34">
        <v>2022</v>
      </c>
      <c r="I533" s="30" t="inlineStr">
        <is>
          <t xml:space="preserve">BMW</t>
        </is>
      </c>
      <c r="J533" s="30" t="inlineStr">
        <is>
          <t xml:space="preserve">M8 Competition</t>
        </is>
      </c>
      <c r="K533" s="30" t="inlineStr">
        <is>
          <t xml:space="preserve">G9VRF5GBRCCZBGMSN</t>
        </is>
      </c>
      <c r="L533" s="32" t="inlineStr">
        <is>
          <t xml:space="preserve">02 - Sports / GT</t>
        </is>
      </c>
      <c r="M533" s="35">
        <v>270000</v>
      </c>
      <c r="N533" s="32" t="inlineStr">
        <is>
          <t xml:space="preserve">Personal</t>
        </is>
      </c>
      <c r="O533" s="30" t="inlineStr">
        <is>
          <t xml:space="preserve">Personal - regular use</t>
        </is>
      </c>
      <c r="P533" s="30" t="inlineStr">
        <is>
          <t xml:space="preserve">1,000 - 2,500</t>
        </is>
      </c>
      <c r="Q533" s="30" t="inlineStr">
        <is>
          <t xml:space="preserve">New Mexico</t>
        </is>
      </c>
      <c r="R533" s="30" t="inlineStr">
        <is>
          <t xml:space="preserve">87501</t>
        </is>
      </c>
      <c r="S533" s="32" t="inlineStr">
        <is>
          <t xml:space="preserve">Wildfire - WUI high hazard</t>
        </is>
      </c>
      <c r="T533" s="36">
        <f>IF($A533="","",IF($S533="","",IFERROR(INDEX('[1]natural catastrophe'!$D$6:$D$17,MATCH($S533,'[1]natural catastrophe'!$B$6:$B$17,0)),"?")))</f>
      </c>
      <c r="U533" s="30" t="inlineStr">
        <is>
          <t xml:space="preserve">$5,000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4299.79</v>
      </c>
      <c r="AC533" s="37">
        <v>0</v>
      </c>
      <c r="AD533" s="38">
        <f>IF(ISNUMBER($AB533),$AB533*(1+N($AC533)),"")</f>
      </c>
      <c r="AE533" s="35">
        <v>350</v>
      </c>
      <c r="AF533" s="35">
        <v>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CANON-202602-005389</t>
        </is>
      </c>
      <c r="B534" s="46" t="inlineStr">
        <is>
          <t xml:space="preserve">Fitzgerald Okonkwo</t>
        </is>
      </c>
      <c r="C534" s="47">
        <v>46063</v>
      </c>
      <c r="D534" s="48" t="inlineStr">
        <is>
          <t xml:space="preserve">Bound - within authority</t>
        </is>
      </c>
      <c r="E534" s="48" t="inlineStr">
        <is>
          <t xml:space="preserve">New business</t>
        </is>
      </c>
      <c r="F534" s="46" t="inlineStr">
        <is>
          <t xml:space="preserve">B1234EXOTIC26</t>
        </is>
      </c>
      <c r="G534" s="33">
        <f>IF($A534="","",IF($C534="","",YEAR($C534)))</f>
      </c>
      <c r="H534" s="49">
        <v>1961</v>
      </c>
      <c r="I534" s="46" t="inlineStr">
        <is>
          <t xml:space="preserve">Alfa Romeo</t>
        </is>
      </c>
      <c r="J534" s="46" t="inlineStr">
        <is>
          <t xml:space="preserve">8C 2900</t>
        </is>
      </c>
      <c r="K534" s="46" t="inlineStr">
        <is>
          <t xml:space="preserve">P25CHW63XAL431N7R</t>
        </is>
      </c>
      <c r="L534" s="48" t="inlineStr">
        <is>
          <t xml:space="preserve">07 - Post-War Classic (1946-1972)</t>
        </is>
      </c>
      <c r="M534" s="50">
        <v>1950000</v>
      </c>
      <c r="N534" s="48" t="inlineStr">
        <is>
          <t xml:space="preserve">Personal</t>
        </is>
      </c>
      <c r="O534" s="46" t="inlineStr">
        <is>
          <t xml:space="preserve">Personal - regular use</t>
        </is>
      </c>
      <c r="P534" s="46" t="inlineStr">
        <is>
          <t xml:space="preserve">Under 1,000</t>
        </is>
      </c>
      <c r="Q534" s="46" t="inlineStr">
        <is>
          <t xml:space="preserve">Ohio</t>
        </is>
      </c>
      <c r="R534" s="46" t="inlineStr">
        <is>
          <t xml:space="preserve">43215</t>
        </is>
      </c>
      <c r="S534" s="48" t="inlineStr">
        <is>
          <t xml:space="preserve">Severe convective - hail / tornado (moderate)</t>
        </is>
      </c>
      <c r="T534" s="36">
        <f>IF($A534="","",IF($S534="","",IFERROR(INDEX('[1]natural catastrophe'!$D$6:$D$17,MATCH($S534,'[1]natural catastrophe'!$B$6:$B$17,0)),"?")))</f>
      </c>
      <c r="U534" s="46" t="inlineStr">
        <is>
          <t xml:space="preserve">$5,000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15287.63</v>
      </c>
      <c r="AC534" s="51">
        <v>0</v>
      </c>
      <c r="AD534" s="38">
        <f>IF(ISNUMBER($AB534),$AB534*(1+N($AC534)),"")</f>
      </c>
      <c r="AE534" s="50">
        <v>350</v>
      </c>
      <c r="AF534" s="50">
        <v>250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CANON-202602-005390</t>
        </is>
      </c>
      <c r="B535" s="30" t="inlineStr">
        <is>
          <t xml:space="preserve">Wilhelmina Kingsford</t>
        </is>
      </c>
      <c r="C535" s="31">
        <v>46060</v>
      </c>
      <c r="D535" s="32" t="inlineStr">
        <is>
          <t xml:space="preserve">Bound - within authority</t>
        </is>
      </c>
      <c r="E535" s="32" t="inlineStr">
        <is>
          <t xml:space="preserve">New business</t>
        </is>
      </c>
      <c r="F535" s="30" t="inlineStr">
        <is>
          <t xml:space="preserve">B1234EXOTIC26</t>
        </is>
      </c>
      <c r="G535" s="33">
        <f>IF($A535="","",IF($C535="","",YEAR($C535)))</f>
      </c>
      <c r="H535" s="34">
        <v>1969</v>
      </c>
      <c r="I535" s="30" t="inlineStr">
        <is>
          <t xml:space="preserve">Bentley</t>
        </is>
      </c>
      <c r="J535" s="30" t="inlineStr">
        <is>
          <t xml:space="preserve">Continental GT</t>
        </is>
      </c>
      <c r="K535" s="30" t="inlineStr">
        <is>
          <t xml:space="preserve">YEV6ZXKS43AF65WYZ</t>
        </is>
      </c>
      <c r="L535" s="32" t="inlineStr">
        <is>
          <t xml:space="preserve">02 - Sports / GT</t>
        </is>
      </c>
      <c r="M535" s="35">
        <v>600000</v>
      </c>
      <c r="N535" s="32" t="inlineStr">
        <is>
          <t xml:space="preserve">Personal</t>
        </is>
      </c>
      <c r="O535" s="30" t="inlineStr">
        <is>
          <t xml:space="preserve">Personal - regular use</t>
        </is>
      </c>
      <c r="P535" s="30" t="inlineStr">
        <is>
          <t xml:space="preserve">1,000 - 2,500</t>
        </is>
      </c>
      <c r="Q535" s="30" t="inlineStr">
        <is>
          <t xml:space="preserve">Wyoming</t>
        </is>
      </c>
      <c r="R535" s="30" t="inlineStr">
        <is>
          <t xml:space="preserve">82001</t>
        </is>
      </c>
      <c r="S535" s="32" t="inlineStr">
        <is>
          <t xml:space="preserve">Severe convective - hail alley (high)</t>
        </is>
      </c>
      <c r="T535" s="36">
        <f>IF($A535="","",IF($S535="","",IFERROR(INDEX('[1]natural catastrophe'!$D$6:$D$17,MATCH($S535,'[1]natural catastrophe'!$B$6:$B$17,0)),"?")))</f>
      </c>
      <c r="U535" s="30" t="inlineStr">
        <is>
          <t xml:space="preserve">$5,000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6922.45</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CANON-202602-005391</t>
        </is>
      </c>
      <c r="B536" s="46" t="inlineStr">
        <is>
          <t xml:space="preserve">Ramona Delacroix</t>
        </is>
      </c>
      <c r="C536" s="47">
        <v>46063</v>
      </c>
      <c r="D536" s="48" t="inlineStr">
        <is>
          <t xml:space="preserve">Bound - within authority</t>
        </is>
      </c>
      <c r="E536" s="48" t="inlineStr">
        <is>
          <t xml:space="preserve">New business</t>
        </is>
      </c>
      <c r="F536" s="46" t="inlineStr">
        <is>
          <t xml:space="preserve">B1234EXOTIC26</t>
        </is>
      </c>
      <c r="G536" s="33">
        <f>IF($A536="","",IF($C536="","",YEAR($C536)))</f>
      </c>
      <c r="H536" s="49">
        <v>2023</v>
      </c>
      <c r="I536" s="46" t="inlineStr">
        <is>
          <t xml:space="preserve">Ferrari</t>
        </is>
      </c>
      <c r="J536" s="46" t="inlineStr">
        <is>
          <t xml:space="preserve">296 GTB</t>
        </is>
      </c>
      <c r="K536" s="46" t="inlineStr">
        <is>
          <t xml:space="preserve">M2L4ZLFPPCET1ZMUN</t>
        </is>
      </c>
      <c r="L536" s="48" t="inlineStr">
        <is>
          <t xml:space="preserve">03 - Supercar</t>
        </is>
      </c>
      <c r="M536" s="50">
        <v>710000</v>
      </c>
      <c r="N536" s="48" t="inlineStr">
        <is>
          <t xml:space="preserve">Personal</t>
        </is>
      </c>
      <c r="O536" s="46" t="inlineStr">
        <is>
          <t xml:space="preserve">Personal - regular use</t>
        </is>
      </c>
      <c r="P536" s="46" t="inlineStr">
        <is>
          <t xml:space="preserve">Under 1,000</t>
        </is>
      </c>
      <c r="Q536" s="46" t="inlineStr">
        <is>
          <t xml:space="preserve">New York</t>
        </is>
      </c>
      <c r="R536" s="46" t="inlineStr">
        <is>
          <t xml:space="preserve">10022</t>
        </is>
      </c>
      <c r="S536" s="48" t="inlineStr">
        <is>
          <t xml:space="preserve">Tier 3 - Coastal wind (25-100 miles)</t>
        </is>
      </c>
      <c r="T536" s="36">
        <f>IF($A536="","",IF($S536="","",IFERROR(INDEX('[1]natural catastrophe'!$D$6:$D$17,MATCH($S536,'[1]natural catastrophe'!$B$6:$B$17,0)),"?")))</f>
      </c>
      <c r="U536" s="46" t="inlineStr">
        <is>
          <t xml:space="preserve">2% of agreed value, minimum $10,000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14322</v>
      </c>
      <c r="AC536" s="51">
        <v>0</v>
      </c>
      <c r="AD536" s="38">
        <f>IF(ISNUMBER($AB536),$AB536*(1+N($AC536)),"")</f>
      </c>
      <c r="AE536" s="50">
        <v>350</v>
      </c>
      <c r="AF536" s="50">
        <v>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CANON-202602-005392</t>
        </is>
      </c>
      <c r="B537" s="30" t="inlineStr">
        <is>
          <t xml:space="preserve">Priya Larsson</t>
        </is>
      </c>
      <c r="C537" s="31">
        <v>46058</v>
      </c>
      <c r="D537" s="32" t="inlineStr">
        <is>
          <t xml:space="preserve">Bound - within authority</t>
        </is>
      </c>
      <c r="E537" s="32" t="inlineStr">
        <is>
          <t xml:space="preserve">New business</t>
        </is>
      </c>
      <c r="F537" s="30" t="inlineStr">
        <is>
          <t xml:space="preserve">B1234EXOTIC26</t>
        </is>
      </c>
      <c r="G537" s="33">
        <f>IF($A537="","",IF($C537="","",YEAR($C537)))</f>
      </c>
      <c r="H537" s="34">
        <v>2005</v>
      </c>
      <c r="I537" s="30" t="inlineStr">
        <is>
          <t xml:space="preserve">Porsche</t>
        </is>
      </c>
      <c r="J537" s="30" t="inlineStr">
        <is>
          <t xml:space="preserve">911 Turbo S</t>
        </is>
      </c>
      <c r="K537" s="30" t="inlineStr">
        <is>
          <t xml:space="preserve">9RDHAFZ8NAPT6X6EY</t>
        </is>
      </c>
      <c r="L537" s="32" t="inlineStr">
        <is>
          <t xml:space="preserve">02 - Sports / GT</t>
        </is>
      </c>
      <c r="M537" s="35">
        <v>895000</v>
      </c>
      <c r="N537" s="32" t="inlineStr">
        <is>
          <t xml:space="preserve">Personal</t>
        </is>
      </c>
      <c r="O537" s="30" t="inlineStr">
        <is>
          <t xml:space="preserve">Personal - regular use</t>
        </is>
      </c>
      <c r="P537" s="30" t="inlineStr">
        <is>
          <t xml:space="preserve">1,000 - 2,500</t>
        </is>
      </c>
      <c r="Q537" s="30" t="inlineStr">
        <is>
          <t xml:space="preserve">Missouri</t>
        </is>
      </c>
      <c r="R537" s="30" t="inlineStr">
        <is>
          <t xml:space="preserve">63101</t>
        </is>
      </c>
      <c r="S537" s="32" t="inlineStr">
        <is>
          <t xml:space="preserve">Severe convective - hail / tornado (moderate)</t>
        </is>
      </c>
      <c r="T537" s="36">
        <f>IF($A537="","",IF($S537="","",IFERROR(INDEX('[1]natural catastrophe'!$D$6:$D$17,MATCH($S537,'[1]natural catastrophe'!$B$6:$B$17,0)),"?")))</f>
      </c>
      <c r="U537" s="30" t="inlineStr">
        <is>
          <t xml:space="preserve">$5,000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10229.49</v>
      </c>
      <c r="AC537" s="37">
        <v>0</v>
      </c>
      <c r="AD537" s="38">
        <f>IF(ISNUMBER($AB537),$AB537*(1+N($AC537)),"")</f>
      </c>
      <c r="AE537" s="35">
        <v>350</v>
      </c>
      <c r="AF537" s="35">
        <v>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CANON-202602-005393</t>
        </is>
      </c>
      <c r="B538" s="46" t="inlineStr">
        <is>
          <t xml:space="preserve">Sunniva Larsson</t>
        </is>
      </c>
      <c r="C538" s="47">
        <v>46059</v>
      </c>
      <c r="D538" s="48" t="inlineStr">
        <is>
          <t xml:space="preserve">Bound - within authority</t>
        </is>
      </c>
      <c r="E538" s="48" t="inlineStr">
        <is>
          <t xml:space="preserve">New business</t>
        </is>
      </c>
      <c r="F538" s="46" t="inlineStr">
        <is>
          <t xml:space="preserve">B1234EXOTIC26</t>
        </is>
      </c>
      <c r="G538" s="33">
        <f>IF($A538="","",IF($C538="","",YEAR($C538)))</f>
      </c>
      <c r="H538" s="49">
        <v>1968</v>
      </c>
      <c r="I538" s="46" t="inlineStr">
        <is>
          <t xml:space="preserve">Ferrari</t>
        </is>
      </c>
      <c r="J538" s="46" t="inlineStr">
        <is>
          <t xml:space="preserve">296 GTB</t>
        </is>
      </c>
      <c r="K538" s="46" t="inlineStr">
        <is>
          <t xml:space="preserve">5EZCV8S53J4PYZGNB</t>
        </is>
      </c>
      <c r="L538" s="48" t="inlineStr">
        <is>
          <t xml:space="preserve">03 - Supercar</t>
        </is>
      </c>
      <c r="M538" s="50">
        <v>940000</v>
      </c>
      <c r="N538" s="48" t="inlineStr">
        <is>
          <t xml:space="preserve">Personal</t>
        </is>
      </c>
      <c r="O538" s="46" t="inlineStr">
        <is>
          <t xml:space="preserve">Personal - regular use</t>
        </is>
      </c>
      <c r="P538" s="46" t="inlineStr">
        <is>
          <t xml:space="preserve">Under 1,000</t>
        </is>
      </c>
      <c r="Q538" s="46" t="inlineStr">
        <is>
          <t xml:space="preserve">Virginia</t>
        </is>
      </c>
      <c r="R538" s="46" t="inlineStr">
        <is>
          <t xml:space="preserve">23219</t>
        </is>
      </c>
      <c r="S538" s="48" t="inlineStr">
        <is>
          <t xml:space="preserve">Tier 3 - Coastal wind (25-100 miles)</t>
        </is>
      </c>
      <c r="T538" s="36">
        <f>IF($A538="","",IF($S538="","",IFERROR(INDEX('[1]natural catastrophe'!$D$6:$D$17,MATCH($S538,'[1]natural catastrophe'!$B$6:$B$17,0)),"?")))</f>
      </c>
      <c r="U538" s="46" t="inlineStr">
        <is>
          <t xml:space="preserve">2% of agreed value, minimum $10,000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16146.92</v>
      </c>
      <c r="AC538" s="51">
        <v>0</v>
      </c>
      <c r="AD538" s="38">
        <f>IF(ISNUMBER($AB538),$AB538*(1+N($AC538)),"")</f>
      </c>
      <c r="AE538" s="50">
        <v>350</v>
      </c>
      <c r="AF538" s="50">
        <v>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CANON-202602-005394</t>
        </is>
      </c>
      <c r="B539" s="30" t="inlineStr">
        <is>
          <t xml:space="preserve">Saoirse Blackwood</t>
        </is>
      </c>
      <c r="C539" s="31">
        <v>46071</v>
      </c>
      <c r="D539" s="32" t="inlineStr">
        <is>
          <t xml:space="preserve">Bound - within authority</t>
        </is>
      </c>
      <c r="E539" s="32" t="inlineStr">
        <is>
          <t xml:space="preserve">New business</t>
        </is>
      </c>
      <c r="F539" s="30" t="inlineStr">
        <is>
          <t xml:space="preserve">B1234EXOTIC26</t>
        </is>
      </c>
      <c r="G539" s="33">
        <f>IF($A539="","",IF($C539="","",YEAR($C539)))</f>
      </c>
      <c r="H539" s="34">
        <v>1969</v>
      </c>
      <c r="I539" s="30" t="inlineStr">
        <is>
          <t xml:space="preserve">BMW</t>
        </is>
      </c>
      <c r="J539" s="30" t="inlineStr">
        <is>
          <t xml:space="preserve">M8 Competition</t>
        </is>
      </c>
      <c r="K539" s="30" t="inlineStr">
        <is>
          <t xml:space="preserve">T72ZXZCTTXW50ZLND</t>
        </is>
      </c>
      <c r="L539" s="32" t="inlineStr">
        <is>
          <t xml:space="preserve">02 - Sports / GT</t>
        </is>
      </c>
      <c r="M539" s="35">
        <v>230000</v>
      </c>
      <c r="N539" s="32" t="inlineStr">
        <is>
          <t xml:space="preserve">Personal</t>
        </is>
      </c>
      <c r="O539" s="30" t="inlineStr">
        <is>
          <t xml:space="preserve">Personal - regular use</t>
        </is>
      </c>
      <c r="P539" s="30" t="inlineStr">
        <is>
          <t xml:space="preserve">Under 1,000</t>
        </is>
      </c>
      <c r="Q539" s="30" t="inlineStr">
        <is>
          <t xml:space="preserve">New York</t>
        </is>
      </c>
      <c r="R539" s="30" t="inlineStr">
        <is>
          <t xml:space="preserve">10022</t>
        </is>
      </c>
      <c r="S539" s="32" t="inlineStr">
        <is>
          <t xml:space="preserve">Tier 3 - Coastal wind (25-100 miles)</t>
        </is>
      </c>
      <c r="T539" s="36">
        <f>IF($A539="","",IF($S539="","",IFERROR(INDEX('[1]natural catastrophe'!$D$6:$D$17,MATCH($S539,'[1]natural catastrophe'!$B$6:$B$17,0)),"?")))</f>
      </c>
      <c r="U539" s="30" t="inlineStr">
        <is>
          <t xml:space="preserve">2% of agreed value, minimum $10,000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4493.01</v>
      </c>
      <c r="AC539" s="37">
        <v>0</v>
      </c>
      <c r="AD539" s="38">
        <f>IF(ISNUMBER($AB539),$AB539*(1+N($AC539)),"")</f>
      </c>
      <c r="AE539" s="35">
        <v>350</v>
      </c>
      <c r="AF539" s="35">
        <v>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CANON-202602-005395</t>
        </is>
      </c>
      <c r="B540" s="46" t="inlineStr">
        <is>
          <t xml:space="preserve">Marisol Nakashima</t>
        </is>
      </c>
      <c r="C540" s="47">
        <v>46081</v>
      </c>
      <c r="D540" s="48" t="inlineStr">
        <is>
          <t xml:space="preserve">Bound - within authority</t>
        </is>
      </c>
      <c r="E540" s="48" t="inlineStr">
        <is>
          <t xml:space="preserve">New business</t>
        </is>
      </c>
      <c r="F540" s="46" t="inlineStr">
        <is>
          <t xml:space="preserve">B1234EXOTIC26</t>
        </is>
      </c>
      <c r="G540" s="33">
        <f>IF($A540="","",IF($C540="","",YEAR($C540)))</f>
      </c>
      <c r="H540" s="49">
        <v>2014</v>
      </c>
      <c r="I540" s="46" t="inlineStr">
        <is>
          <t xml:space="preserve">Mercedes-Benz</t>
        </is>
      </c>
      <c r="J540" s="46" t="inlineStr">
        <is>
          <t xml:space="preserve">AMG GT</t>
        </is>
      </c>
      <c r="K540" s="46" t="inlineStr">
        <is>
          <t xml:space="preserve">1S7PBL42BS22BEJ96</t>
        </is>
      </c>
      <c r="L540" s="48" t="inlineStr">
        <is>
          <t xml:space="preserve">02 - Sports / GT</t>
        </is>
      </c>
      <c r="M540" s="50">
        <v>655000</v>
      </c>
      <c r="N540" s="48" t="inlineStr">
        <is>
          <t xml:space="preserve">Personal</t>
        </is>
      </c>
      <c r="O540" s="46" t="inlineStr">
        <is>
          <t xml:space="preserve">Personal - regular use</t>
        </is>
      </c>
      <c r="P540" s="46" t="inlineStr">
        <is>
          <t xml:space="preserve">1,000 - 2,500</t>
        </is>
      </c>
      <c r="Q540" s="46" t="inlineStr">
        <is>
          <t xml:space="preserve">Connecticut</t>
        </is>
      </c>
      <c r="R540" s="46" t="inlineStr">
        <is>
          <t xml:space="preserve">06103</t>
        </is>
      </c>
      <c r="S540" s="48" t="inlineStr">
        <is>
          <t xml:space="preserve">Tier 3 - Coastal wind (25-100 miles)</t>
        </is>
      </c>
      <c r="T540" s="36">
        <f>IF($A540="","",IF($S540="","",IFERROR(INDEX('[1]natural catastrophe'!$D$6:$D$17,MATCH($S540,'[1]natural catastrophe'!$B$6:$B$17,0)),"?")))</f>
      </c>
      <c r="U540" s="46" t="inlineStr">
        <is>
          <t xml:space="preserve">2% of agreed value, minimum $10,000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7910.14</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CANON-202602-005396</t>
        </is>
      </c>
      <c r="B541" s="30" t="inlineStr">
        <is>
          <t xml:space="preserve">Cassius Merriweather</t>
        </is>
      </c>
      <c r="C541" s="31">
        <v>46064</v>
      </c>
      <c r="D541" s="32" t="inlineStr">
        <is>
          <t xml:space="preserve">Bound - within authority</t>
        </is>
      </c>
      <c r="E541" s="32" t="inlineStr">
        <is>
          <t xml:space="preserve">New business</t>
        </is>
      </c>
      <c r="F541" s="30" t="inlineStr">
        <is>
          <t xml:space="preserve">B1234EXOTIC26</t>
        </is>
      </c>
      <c r="G541" s="33">
        <f>IF($A541="","",IF($C541="","",YEAR($C541)))</f>
      </c>
      <c r="H541" s="34">
        <v>2016</v>
      </c>
      <c r="I541" s="30" t="inlineStr">
        <is>
          <t xml:space="preserve">Ferrari</t>
        </is>
      </c>
      <c r="J541" s="30" t="inlineStr">
        <is>
          <t xml:space="preserve">296 GTB</t>
        </is>
      </c>
      <c r="K541" s="30" t="inlineStr">
        <is>
          <t xml:space="preserve">7Z87AFRGWJBWH85N8</t>
        </is>
      </c>
      <c r="L541" s="32" t="inlineStr">
        <is>
          <t xml:space="preserve">03 - Supercar</t>
        </is>
      </c>
      <c r="M541" s="35">
        <v>685000</v>
      </c>
      <c r="N541" s="32" t="inlineStr">
        <is>
          <t xml:space="preserve">Personal</t>
        </is>
      </c>
      <c r="O541" s="30" t="inlineStr">
        <is>
          <t xml:space="preserve">Personal - regular use</t>
        </is>
      </c>
      <c r="P541" s="30" t="inlineStr">
        <is>
          <t xml:space="preserve">Under 1,000</t>
        </is>
      </c>
      <c r="Q541" s="30" t="inlineStr">
        <is>
          <t xml:space="preserve">North Dakota</t>
        </is>
      </c>
      <c r="R541" s="30" t="inlineStr">
        <is>
          <t xml:space="preserve">58501</t>
        </is>
      </c>
      <c r="S541" s="32" t="inlineStr">
        <is>
          <t xml:space="preserve">Severe convective - hail alley (high)</t>
        </is>
      </c>
      <c r="T541" s="36">
        <f>IF($A541="","",IF($S541="","",IFERROR(INDEX('[1]natural catastrophe'!$D$6:$D$17,MATCH($S541,'[1]natural catastrophe'!$B$6:$B$17,0)),"?")))</f>
      </c>
      <c r="U541" s="30" t="inlineStr">
        <is>
          <t xml:space="preserve">$5,000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11010.99</v>
      </c>
      <c r="AC541" s="37">
        <v>0</v>
      </c>
      <c r="AD541" s="38">
        <f>IF(ISNUMBER($AB541),$AB541*(1+N($AC541)),"")</f>
      </c>
      <c r="AE541" s="35">
        <v>350</v>
      </c>
      <c r="AF541" s="35">
        <v>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CANON-202602-005399</t>
        </is>
      </c>
      <c r="B542" s="46" t="inlineStr">
        <is>
          <t xml:space="preserve">Desmond Kingsford</t>
        </is>
      </c>
      <c r="C542" s="47">
        <v>46055</v>
      </c>
      <c r="D542" s="48" t="inlineStr">
        <is>
          <t xml:space="preserve">Bound - within authority</t>
        </is>
      </c>
      <c r="E542" s="48" t="inlineStr">
        <is>
          <t xml:space="preserve">New business</t>
        </is>
      </c>
      <c r="F542" s="46" t="inlineStr">
        <is>
          <t xml:space="preserve">B1234EXOTIC26</t>
        </is>
      </c>
      <c r="G542" s="33">
        <f>IF($A542="","",IF($C542="","",YEAR($C542)))</f>
      </c>
      <c r="H542" s="49">
        <v>1992</v>
      </c>
      <c r="I542" s="46" t="inlineStr">
        <is>
          <t xml:space="preserve">Mercedes-Benz</t>
        </is>
      </c>
      <c r="J542" s="46" t="inlineStr">
        <is>
          <t xml:space="preserve">AMG GT</t>
        </is>
      </c>
      <c r="K542" s="46" t="inlineStr">
        <is>
          <t xml:space="preserve">WA6JHRLRD93M8GKDJ</t>
        </is>
      </c>
      <c r="L542" s="48" t="inlineStr">
        <is>
          <t xml:space="preserve">02 - Sports / GT</t>
        </is>
      </c>
      <c r="M542" s="50">
        <v>505000</v>
      </c>
      <c r="N542" s="48" t="inlineStr">
        <is>
          <t xml:space="preserve">Personal</t>
        </is>
      </c>
      <c r="O542" s="46" t="inlineStr">
        <is>
          <t xml:space="preserve">Personal - regular use</t>
        </is>
      </c>
      <c r="P542" s="46" t="inlineStr">
        <is>
          <t xml:space="preserve">2,500 - 5,000</t>
        </is>
      </c>
      <c r="Q542" s="46" t="inlineStr">
        <is>
          <t xml:space="preserve">Texas</t>
        </is>
      </c>
      <c r="R542" s="46" t="inlineStr">
        <is>
          <t xml:space="preserve">75201</t>
        </is>
      </c>
      <c r="S542" s="48" t="inlineStr">
        <is>
          <t xml:space="preserve">Tier 2 - Coastal wind (1-25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6262.02</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CANON-202602-005400</t>
        </is>
      </c>
      <c r="B543" s="30" t="inlineStr">
        <is>
          <t xml:space="preserve">Thaddeus Blackwood</t>
        </is>
      </c>
      <c r="C543" s="31">
        <v>46065</v>
      </c>
      <c r="D543" s="32" t="inlineStr">
        <is>
          <t xml:space="preserve">Bound - within authority</t>
        </is>
      </c>
      <c r="E543" s="32" t="inlineStr">
        <is>
          <t xml:space="preserve">New business</t>
        </is>
      </c>
      <c r="F543" s="30" t="inlineStr">
        <is>
          <t xml:space="preserve">B1234EXOTIC26</t>
        </is>
      </c>
      <c r="G543" s="33">
        <f>IF($A543="","",IF($C543="","",YEAR($C543)))</f>
      </c>
      <c r="H543" s="34">
        <v>1961</v>
      </c>
      <c r="I543" s="30" t="inlineStr">
        <is>
          <t xml:space="preserve">Bugatti</t>
        </is>
      </c>
      <c r="J543" s="30" t="inlineStr">
        <is>
          <t xml:space="preserve">Type 57</t>
        </is>
      </c>
      <c r="K543" s="30" t="inlineStr">
        <is>
          <t xml:space="preserve">XB4A6F25HX553J1VT</t>
        </is>
      </c>
      <c r="L543" s="32" t="inlineStr">
        <is>
          <t xml:space="preserve">07 - Post-War Classic (1946-1972)</t>
        </is>
      </c>
      <c r="M543" s="35">
        <v>795000</v>
      </c>
      <c r="N543" s="32" t="inlineStr">
        <is>
          <t xml:space="preserve">Personal</t>
        </is>
      </c>
      <c r="O543" s="30" t="inlineStr">
        <is>
          <t xml:space="preserve">Personal - regular use</t>
        </is>
      </c>
      <c r="P543" s="30" t="inlineStr">
        <is>
          <t xml:space="preserve">Under 1,000</t>
        </is>
      </c>
      <c r="Q543" s="30" t="inlineStr">
        <is>
          <t xml:space="preserve">Oklahoma</t>
        </is>
      </c>
      <c r="R543" s="30" t="inlineStr">
        <is>
          <t xml:space="preserve">73102</t>
        </is>
      </c>
      <c r="S543" s="32" t="inlineStr">
        <is>
          <t xml:space="preserve">Severe convective - hail alley (high)</t>
        </is>
      </c>
      <c r="T543" s="36">
        <f>IF($A543="","",IF($S543="","",IFERROR(INDEX('[1]natural catastrophe'!$D$6:$D$17,MATCH($S543,'[1]natural catastrophe'!$B$6:$B$17,0)),"?")))</f>
      </c>
      <c r="U543" s="30" t="inlineStr">
        <is>
          <t xml:space="preserve">$5,000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6314.41</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CANON-202602-005402</t>
        </is>
      </c>
      <c r="B544" s="46" t="inlineStr">
        <is>
          <t xml:space="preserve">Ottilie Thistlewood</t>
        </is>
      </c>
      <c r="C544" s="47">
        <v>46069</v>
      </c>
      <c r="D544" s="48" t="inlineStr">
        <is>
          <t xml:space="preserve">Bound - within authority</t>
        </is>
      </c>
      <c r="E544" s="48" t="inlineStr">
        <is>
          <t xml:space="preserve">New business</t>
        </is>
      </c>
      <c r="F544" s="46" t="inlineStr">
        <is>
          <t xml:space="preserve">B1234EXOTIC26</t>
        </is>
      </c>
      <c r="G544" s="33">
        <f>IF($A544="","",IF($C544="","",YEAR($C544)))</f>
      </c>
      <c r="H544" s="49">
        <v>1963</v>
      </c>
      <c r="I544" s="46" t="inlineStr">
        <is>
          <t xml:space="preserve">Bentley</t>
        </is>
      </c>
      <c r="J544" s="46" t="inlineStr">
        <is>
          <t xml:space="preserve">Continental GT</t>
        </is>
      </c>
      <c r="K544" s="46" t="inlineStr">
        <is>
          <t xml:space="preserve">MP5VU32XXAMU8R767</t>
        </is>
      </c>
      <c r="L544" s="48" t="inlineStr">
        <is>
          <t xml:space="preserve">02 - Sports / GT</t>
        </is>
      </c>
      <c r="M544" s="50">
        <v>220000</v>
      </c>
      <c r="N544" s="48" t="inlineStr">
        <is>
          <t xml:space="preserve">Personal</t>
        </is>
      </c>
      <c r="O544" s="46" t="inlineStr">
        <is>
          <t xml:space="preserve">Personal - regular use</t>
        </is>
      </c>
      <c r="P544" s="46" t="inlineStr">
        <is>
          <t xml:space="preserve">2,500 - 5,000</t>
        </is>
      </c>
      <c r="Q544" s="46" t="inlineStr">
        <is>
          <t xml:space="preserve">Delaware</t>
        </is>
      </c>
      <c r="R544" s="46" t="inlineStr">
        <is>
          <t xml:space="preserve">19801</t>
        </is>
      </c>
      <c r="S544" s="48" t="inlineStr">
        <is>
          <t xml:space="preserve">Tier 3 - Coastal wind (25-100 miles)</t>
        </is>
      </c>
      <c r="T544" s="36">
        <f>IF($A544="","",IF($S544="","",IFERROR(INDEX('[1]natural catastrophe'!$D$6:$D$17,MATCH($S544,'[1]natural catastrophe'!$B$6:$B$17,0)),"?")))</f>
      </c>
      <c r="U544" s="46" t="inlineStr">
        <is>
          <t xml:space="preserve">2% of agreed value, minimum $10,000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4196.93</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CANON-202602-005403</t>
        </is>
      </c>
      <c r="B545" s="30" t="inlineStr">
        <is>
          <t xml:space="preserve">Ingrid Chattopadhyay</t>
        </is>
      </c>
      <c r="C545" s="31">
        <v>46057</v>
      </c>
      <c r="D545" s="32" t="inlineStr">
        <is>
          <t xml:space="preserve">Bound - within authority</t>
        </is>
      </c>
      <c r="E545" s="32" t="inlineStr">
        <is>
          <t xml:space="preserve">New business</t>
        </is>
      </c>
      <c r="F545" s="30" t="inlineStr">
        <is>
          <t xml:space="preserve">B1234EXOTIC26</t>
        </is>
      </c>
      <c r="G545" s="33">
        <f>IF($A545="","",IF($C545="","",YEAR($C545)))</f>
      </c>
      <c r="H545" s="34">
        <v>2016</v>
      </c>
      <c r="I545" s="30" t="inlineStr">
        <is>
          <t xml:space="preserve">Porsche</t>
        </is>
      </c>
      <c r="J545" s="30" t="inlineStr">
        <is>
          <t xml:space="preserve">911 Turbo S</t>
        </is>
      </c>
      <c r="K545" s="30" t="inlineStr">
        <is>
          <t xml:space="preserve">WHTMSXRNX0YSJ7M2E</t>
        </is>
      </c>
      <c r="L545" s="32" t="inlineStr">
        <is>
          <t xml:space="preserve">02 - Sports / GT</t>
        </is>
      </c>
      <c r="M545" s="35">
        <v>760000</v>
      </c>
      <c r="N545" s="32" t="inlineStr">
        <is>
          <t xml:space="preserve">Personal</t>
        </is>
      </c>
      <c r="O545" s="30" t="inlineStr">
        <is>
          <t xml:space="preserve">Personal - regular use</t>
        </is>
      </c>
      <c r="P545" s="30" t="inlineStr">
        <is>
          <t xml:space="preserve">Under 1,000</t>
        </is>
      </c>
      <c r="Q545" s="30" t="inlineStr">
        <is>
          <t xml:space="preserve">Colorado</t>
        </is>
      </c>
      <c r="R545" s="30" t="inlineStr">
        <is>
          <t xml:space="preserve">80202</t>
        </is>
      </c>
      <c r="S545" s="32" t="inlineStr">
        <is>
          <t xml:space="preserve">Severe convective - hail alley (high)</t>
        </is>
      </c>
      <c r="T545" s="36">
        <f>IF($A545="","",IF($S545="","",IFERROR(INDEX('[1]natural catastrophe'!$D$6:$D$17,MATCH($S545,'[1]natural catastrophe'!$B$6:$B$17,0)),"?")))</f>
      </c>
      <c r="U545" s="30" t="inlineStr">
        <is>
          <t xml:space="preserve">$5,000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9014.29</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CANON-202602-005404</t>
        </is>
      </c>
      <c r="B546" s="46" t="inlineStr">
        <is>
          <t xml:space="preserve">Lorenzo Blackwood</t>
        </is>
      </c>
      <c r="C546" s="47">
        <v>46075</v>
      </c>
      <c r="D546" s="48" t="inlineStr">
        <is>
          <t xml:space="preserve">Bound - within authority</t>
        </is>
      </c>
      <c r="E546" s="48" t="inlineStr">
        <is>
          <t xml:space="preserve">New business</t>
        </is>
      </c>
      <c r="F546" s="46" t="inlineStr">
        <is>
          <t xml:space="preserve">B1234EXOTIC26</t>
        </is>
      </c>
      <c r="G546" s="33">
        <f>IF($A546="","",IF($C546="","",YEAR($C546)))</f>
      </c>
      <c r="H546" s="49">
        <v>1961</v>
      </c>
      <c r="I546" s="46" t="inlineStr">
        <is>
          <t xml:space="preserve">Mercedes-Benz</t>
        </is>
      </c>
      <c r="J546" s="46" t="inlineStr">
        <is>
          <t xml:space="preserve">AMG GT</t>
        </is>
      </c>
      <c r="K546" s="46" t="inlineStr">
        <is>
          <t xml:space="preserve">FBJ669CBBMVX3474S</t>
        </is>
      </c>
      <c r="L546" s="48" t="inlineStr">
        <is>
          <t xml:space="preserve">02 - Sports / GT</t>
        </is>
      </c>
      <c r="M546" s="50">
        <v>740000</v>
      </c>
      <c r="N546" s="48" t="inlineStr">
        <is>
          <t xml:space="preserve">Personal</t>
        </is>
      </c>
      <c r="O546" s="46" t="inlineStr">
        <is>
          <t xml:space="preserve">Personal - regular use</t>
        </is>
      </c>
      <c r="P546" s="46" t="inlineStr">
        <is>
          <t xml:space="preserve">Under 1,000</t>
        </is>
      </c>
      <c r="Q546" s="46" t="inlineStr">
        <is>
          <t xml:space="preserve">California</t>
        </is>
      </c>
      <c r="R546" s="46" t="inlineStr">
        <is>
          <t xml:space="preserve">90012</t>
        </is>
      </c>
      <c r="S546" s="48" t="inlineStr">
        <is>
          <t xml:space="preserve">Earthquake - high (CA, Cascadia, New Madrid)</t>
        </is>
      </c>
      <c r="T546" s="36">
        <f>IF($A546="","",IF($S546="","",IFERROR(INDEX('[1]natural catastrophe'!$D$6:$D$17,MATCH($S546,'[1]natural catastrophe'!$B$6:$B$17,0)),"?")))</f>
      </c>
      <c r="U546" s="46" t="inlineStr">
        <is>
          <t xml:space="preserve">$5,000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10771.86</v>
      </c>
      <c r="AC546" s="51">
        <v>0</v>
      </c>
      <c r="AD546" s="38">
        <f>IF(ISNUMBER($AB546),$AB546*(1+N($AC546)),"")</f>
      </c>
      <c r="AE546" s="50">
        <v>350</v>
      </c>
      <c r="AF546" s="50">
        <v>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CANON-202602-005406</t>
        </is>
      </c>
      <c r="B547" s="30" t="inlineStr">
        <is>
          <t xml:space="preserve">Ingrid Fairweather</t>
        </is>
      </c>
      <c r="C547" s="31">
        <v>46075</v>
      </c>
      <c r="D547" s="32" t="inlineStr">
        <is>
          <t xml:space="preserve">Bound - within authority</t>
        </is>
      </c>
      <c r="E547" s="32" t="inlineStr">
        <is>
          <t xml:space="preserve">New business</t>
        </is>
      </c>
      <c r="F547" s="30" t="inlineStr">
        <is>
          <t xml:space="preserve">B1234EXOTIC26</t>
        </is>
      </c>
      <c r="G547" s="33">
        <f>IF($A547="","",IF($C547="","",YEAR($C547)))</f>
      </c>
      <c r="H547" s="34">
        <v>2015</v>
      </c>
      <c r="I547" s="30" t="inlineStr">
        <is>
          <t xml:space="preserve">Maserati</t>
        </is>
      </c>
      <c r="J547" s="30" t="inlineStr">
        <is>
          <t xml:space="preserve">GranTurismo</t>
        </is>
      </c>
      <c r="K547" s="30" t="inlineStr">
        <is>
          <t xml:space="preserve">YLXY4VMLAVB4B58Z0</t>
        </is>
      </c>
      <c r="L547" s="32" t="inlineStr">
        <is>
          <t xml:space="preserve">02 - Sports / GT</t>
        </is>
      </c>
      <c r="M547" s="35">
        <v>1170000</v>
      </c>
      <c r="N547" s="32" t="inlineStr">
        <is>
          <t xml:space="preserve">Personal</t>
        </is>
      </c>
      <c r="O547" s="30" t="inlineStr">
        <is>
          <t xml:space="preserve">Personal - regular use</t>
        </is>
      </c>
      <c r="P547" s="30" t="inlineStr">
        <is>
          <t xml:space="preserve">1,000 - 2,500</t>
        </is>
      </c>
      <c r="Q547" s="30" t="inlineStr">
        <is>
          <t xml:space="preserve">Michigan</t>
        </is>
      </c>
      <c r="R547" s="30" t="inlineStr">
        <is>
          <t xml:space="preserve">48226</t>
        </is>
      </c>
      <c r="S547" s="32" t="inlineStr">
        <is>
          <t xml:space="preserve">Severe convective - hail / tornado (moderate)</t>
        </is>
      </c>
      <c r="T547" s="36">
        <f>IF($A547="","",IF($S547="","",IFERROR(INDEX('[1]natural catastrophe'!$D$6:$D$17,MATCH($S547,'[1]natural catastrophe'!$B$6:$B$17,0)),"?")))</f>
      </c>
      <c r="U547" s="30" t="inlineStr">
        <is>
          <t xml:space="preserve">$5,000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16545.96</v>
      </c>
      <c r="AC547" s="37">
        <v>0</v>
      </c>
      <c r="AD547" s="38">
        <f>IF(ISNUMBER($AB547),$AB547*(1+N($AC547)),"")</f>
      </c>
      <c r="AE547" s="35">
        <v>350</v>
      </c>
      <c r="AF547" s="35">
        <v>250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CANON-202602-005407</t>
        </is>
      </c>
      <c r="B548" s="46" t="inlineStr">
        <is>
          <t xml:space="preserve">Aurelio Rourke</t>
        </is>
      </c>
      <c r="C548" s="47">
        <v>46081</v>
      </c>
      <c r="D548" s="48" t="inlineStr">
        <is>
          <t xml:space="preserve">Bound - within authority</t>
        </is>
      </c>
      <c r="E548" s="48" t="inlineStr">
        <is>
          <t xml:space="preserve">New business</t>
        </is>
      </c>
      <c r="F548" s="46" t="inlineStr">
        <is>
          <t xml:space="preserve">B1234EXOTIC26</t>
        </is>
      </c>
      <c r="G548" s="33">
        <f>IF($A548="","",IF($C548="","",YEAR($C548)))</f>
      </c>
      <c r="H548" s="49">
        <v>2005</v>
      </c>
      <c r="I548" s="46" t="inlineStr">
        <is>
          <t xml:space="preserve">Mercedes-Benz</t>
        </is>
      </c>
      <c r="J548" s="46" t="inlineStr">
        <is>
          <t xml:space="preserve">AMG GT</t>
        </is>
      </c>
      <c r="K548" s="46" t="inlineStr">
        <is>
          <t xml:space="preserve">3NN94PJ1FMBX744VG</t>
        </is>
      </c>
      <c r="L548" s="48" t="inlineStr">
        <is>
          <t xml:space="preserve">02 - Sports / GT</t>
        </is>
      </c>
      <c r="M548" s="50">
        <v>405000</v>
      </c>
      <c r="N548" s="48" t="inlineStr">
        <is>
          <t xml:space="preserve">Personal</t>
        </is>
      </c>
      <c r="O548" s="46" t="inlineStr">
        <is>
          <t xml:space="preserve">Personal - regular use</t>
        </is>
      </c>
      <c r="P548" s="46" t="inlineStr">
        <is>
          <t xml:space="preserve">2,500 - 5,000</t>
        </is>
      </c>
      <c r="Q548" s="46" t="inlineStr">
        <is>
          <t xml:space="preserve">Rhode Island</t>
        </is>
      </c>
      <c r="R548" s="46" t="inlineStr">
        <is>
          <t xml:space="preserve">02903</t>
        </is>
      </c>
      <c r="S548" s="48" t="inlineStr">
        <is>
          <t xml:space="preserve">Tier 3 - Coastal wind (25-100 miles)</t>
        </is>
      </c>
      <c r="T548" s="36">
        <f>IF($A548="","",IF($S548="","",IFERROR(INDEX('[1]natural catastrophe'!$D$6:$D$17,MATCH($S548,'[1]natural catastrophe'!$B$6:$B$17,0)),"?")))</f>
      </c>
      <c r="U548" s="46" t="inlineStr">
        <is>
          <t xml:space="preserve">2% of agreed value, minimum $10,000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6903.17</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CANON-202602-005408</t>
        </is>
      </c>
      <c r="B549" s="30" t="inlineStr">
        <is>
          <t xml:space="preserve">Beatrix Pennington</t>
        </is>
      </c>
      <c r="C549" s="31">
        <v>46076</v>
      </c>
      <c r="D549" s="32" t="inlineStr">
        <is>
          <t xml:space="preserve">Bound - within authority</t>
        </is>
      </c>
      <c r="E549" s="32" t="inlineStr">
        <is>
          <t xml:space="preserve">New business</t>
        </is>
      </c>
      <c r="F549" s="30" t="inlineStr">
        <is>
          <t xml:space="preserve">B1234EXOTIC26</t>
        </is>
      </c>
      <c r="G549" s="33">
        <f>IF($A549="","",IF($C549="","",YEAR($C549)))</f>
      </c>
      <c r="H549" s="34">
        <v>2023</v>
      </c>
      <c r="I549" s="30" t="inlineStr">
        <is>
          <t xml:space="preserve">Mercedes-Benz</t>
        </is>
      </c>
      <c r="J549" s="30" t="inlineStr">
        <is>
          <t xml:space="preserve">280SL Pagoda</t>
        </is>
      </c>
      <c r="K549" s="30" t="inlineStr">
        <is>
          <t xml:space="preserve">3TENC0G57YRXKXMSF</t>
        </is>
      </c>
      <c r="L549" s="32" t="inlineStr">
        <is>
          <t xml:space="preserve">02 - Sports / GT</t>
        </is>
      </c>
      <c r="M549" s="35">
        <v>505000</v>
      </c>
      <c r="N549" s="32" t="inlineStr">
        <is>
          <t xml:space="preserve">Personal</t>
        </is>
      </c>
      <c r="O549" s="30" t="inlineStr">
        <is>
          <t xml:space="preserve">Personal - regular use</t>
        </is>
      </c>
      <c r="P549" s="30" t="inlineStr">
        <is>
          <t xml:space="preserve">1,000 - 2,500</t>
        </is>
      </c>
      <c r="Q549" s="30" t="inlineStr">
        <is>
          <t xml:space="preserve">New Mexico</t>
        </is>
      </c>
      <c r="R549" s="30" t="inlineStr">
        <is>
          <t xml:space="preserve">87501</t>
        </is>
      </c>
      <c r="S549" s="32" t="inlineStr">
        <is>
          <t xml:space="preserve">Wildfire - WUI high hazard</t>
        </is>
      </c>
      <c r="T549" s="36">
        <f>IF($A549="","",IF($S549="","",IFERROR(INDEX('[1]natural catastrophe'!$D$6:$D$17,MATCH($S549,'[1]natural catastrophe'!$B$6:$B$17,0)),"?")))</f>
      </c>
      <c r="U549" s="30" t="inlineStr">
        <is>
          <t xml:space="preserve">$5,000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4610.86</v>
      </c>
      <c r="AC549" s="37">
        <v>0</v>
      </c>
      <c r="AD549" s="38">
        <f>IF(ISNUMBER($AB549),$AB549*(1+N($AC549)),"")</f>
      </c>
      <c r="AE549" s="35">
        <v>350</v>
      </c>
      <c r="AF549" s="35">
        <v>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CANON-202602-005409</t>
        </is>
      </c>
      <c r="B550" s="46" t="inlineStr">
        <is>
          <t xml:space="preserve">Fenwick Castellanos</t>
        </is>
      </c>
      <c r="C550" s="47">
        <v>46057</v>
      </c>
      <c r="D550" s="48" t="inlineStr">
        <is>
          <t xml:space="preserve">Bound - within authority</t>
        </is>
      </c>
      <c r="E550" s="48" t="inlineStr">
        <is>
          <t xml:space="preserve">New business</t>
        </is>
      </c>
      <c r="F550" s="46" t="inlineStr">
        <is>
          <t xml:space="preserve">B1234EXOTIC26</t>
        </is>
      </c>
      <c r="G550" s="33">
        <f>IF($A550="","",IF($C550="","",YEAR($C550)))</f>
      </c>
      <c r="H550" s="49">
        <v>1974</v>
      </c>
      <c r="I550" s="46" t="inlineStr">
        <is>
          <t xml:space="preserve">BMW</t>
        </is>
      </c>
      <c r="J550" s="46" t="inlineStr">
        <is>
          <t xml:space="preserve">M8 Competition</t>
        </is>
      </c>
      <c r="K550" s="46" t="inlineStr">
        <is>
          <t xml:space="preserve">JW2VYB2TGB1UFY7C5</t>
        </is>
      </c>
      <c r="L550" s="48" t="inlineStr">
        <is>
          <t xml:space="preserve">02 - Sports / GT</t>
        </is>
      </c>
      <c r="M550" s="50">
        <v>700000</v>
      </c>
      <c r="N550" s="48" t="inlineStr">
        <is>
          <t xml:space="preserve">Personal</t>
        </is>
      </c>
      <c r="O550" s="46" t="inlineStr">
        <is>
          <t xml:space="preserve">Personal - regular use</t>
        </is>
      </c>
      <c r="P550" s="46" t="inlineStr">
        <is>
          <t xml:space="preserve">Under 1,000</t>
        </is>
      </c>
      <c r="Q550" s="46" t="inlineStr">
        <is>
          <t xml:space="preserve">Colorado</t>
        </is>
      </c>
      <c r="R550" s="46" t="inlineStr">
        <is>
          <t xml:space="preserve">80202</t>
        </is>
      </c>
      <c r="S550" s="48" t="inlineStr">
        <is>
          <t xml:space="preserve">Severe convective - hail alley (high)</t>
        </is>
      </c>
      <c r="T550" s="36">
        <f>IF($A550="","",IF($S550="","",IFERROR(INDEX('[1]natural catastrophe'!$D$6:$D$17,MATCH($S550,'[1]natural catastrophe'!$B$6:$B$17,0)),"?")))</f>
      </c>
      <c r="U550" s="46" t="inlineStr">
        <is>
          <t xml:space="preserve">$5,000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8302.64</v>
      </c>
      <c r="AC550" s="51">
        <v>0</v>
      </c>
      <c r="AD550" s="38">
        <f>IF(ISNUMBER($AB550),$AB550*(1+N($AC550)),"")</f>
      </c>
      <c r="AE550" s="50">
        <v>350</v>
      </c>
      <c r="AF550" s="50">
        <v>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CANON-202602-005410</t>
        </is>
      </c>
      <c r="B551" s="30" t="inlineStr">
        <is>
          <t xml:space="preserve">Fitzgerald Vasquez</t>
        </is>
      </c>
      <c r="C551" s="31">
        <v>46065</v>
      </c>
      <c r="D551" s="32" t="inlineStr">
        <is>
          <t xml:space="preserve">Bound - within authority</t>
        </is>
      </c>
      <c r="E551" s="32" t="inlineStr">
        <is>
          <t xml:space="preserve">New business</t>
        </is>
      </c>
      <c r="F551" s="30" t="inlineStr">
        <is>
          <t xml:space="preserve">B1234EXOTIC26</t>
        </is>
      </c>
      <c r="G551" s="33">
        <f>IF($A551="","",IF($C551="","",YEAR($C551)))</f>
      </c>
      <c r="H551" s="34">
        <v>2016</v>
      </c>
      <c r="I551" s="30" t="inlineStr">
        <is>
          <t xml:space="preserve">Ferrari</t>
        </is>
      </c>
      <c r="J551" s="30" t="inlineStr">
        <is>
          <t xml:space="preserve">275 GTB/4</t>
        </is>
      </c>
      <c r="K551" s="30" t="inlineStr">
        <is>
          <t xml:space="preserve">ZZJ2MT67VLL77U8FD</t>
        </is>
      </c>
      <c r="L551" s="32" t="inlineStr">
        <is>
          <t xml:space="preserve">02 - Sports / GT</t>
        </is>
      </c>
      <c r="M551" s="35">
        <v>1145000</v>
      </c>
      <c r="N551" s="32" t="inlineStr">
        <is>
          <t xml:space="preserve">Personal</t>
        </is>
      </c>
      <c r="O551" s="30" t="inlineStr">
        <is>
          <t xml:space="preserve">Personal - regular use</t>
        </is>
      </c>
      <c r="P551" s="30" t="inlineStr">
        <is>
          <t xml:space="preserve">1,000 - 2,500</t>
        </is>
      </c>
      <c r="Q551" s="30" t="inlineStr">
        <is>
          <t xml:space="preserve">Kentucky</t>
        </is>
      </c>
      <c r="R551" s="30" t="inlineStr">
        <is>
          <t xml:space="preserve">40202</t>
        </is>
      </c>
      <c r="S551" s="32" t="inlineStr">
        <is>
          <t xml:space="preserve">Severe convective - hail / tornado (moderate)</t>
        </is>
      </c>
      <c r="T551" s="36">
        <f>IF($A551="","",IF($S551="","",IFERROR(INDEX('[1]natural catastrophe'!$D$6:$D$17,MATCH($S551,'[1]natural catastrophe'!$B$6:$B$17,0)),"?")))</f>
      </c>
      <c r="U551" s="30" t="inlineStr">
        <is>
          <t xml:space="preserve">$5,000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9671.76</v>
      </c>
      <c r="AC551" s="37">
        <v>0</v>
      </c>
      <c r="AD551" s="38">
        <f>IF(ISNUMBER($AB551),$AB551*(1+N($AC551)),"")</f>
      </c>
      <c r="AE551" s="35">
        <v>350</v>
      </c>
      <c r="AF551" s="35">
        <v>250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CANON-202602-005411</t>
        </is>
      </c>
      <c r="B552" s="46" t="inlineStr">
        <is>
          <t xml:space="preserve">Wilhelmina Farkas</t>
        </is>
      </c>
      <c r="C552" s="47">
        <v>46061</v>
      </c>
      <c r="D552" s="48" t="inlineStr">
        <is>
          <t xml:space="preserve">Bound - within authority</t>
        </is>
      </c>
      <c r="E552" s="48" t="inlineStr">
        <is>
          <t xml:space="preserve">New business</t>
        </is>
      </c>
      <c r="F552" s="46" t="inlineStr">
        <is>
          <t xml:space="preserve">B1234EXOTIC26</t>
        </is>
      </c>
      <c r="G552" s="33">
        <f>IF($A552="","",IF($C552="","",YEAR($C552)))</f>
      </c>
      <c r="H552" s="49">
        <v>1958</v>
      </c>
      <c r="I552" s="46" t="inlineStr">
        <is>
          <t xml:space="preserve">Mercedes-Benz</t>
        </is>
      </c>
      <c r="J552" s="46" t="inlineStr">
        <is>
          <t xml:space="preserve">AMG GT</t>
        </is>
      </c>
      <c r="K552" s="46" t="inlineStr">
        <is>
          <t xml:space="preserve">N90LDREJB9XEV0RT3</t>
        </is>
      </c>
      <c r="L552" s="48" t="inlineStr">
        <is>
          <t xml:space="preserve">02 - Sports / GT</t>
        </is>
      </c>
      <c r="M552" s="50">
        <v>745000</v>
      </c>
      <c r="N552" s="48" t="inlineStr">
        <is>
          <t xml:space="preserve">Personal</t>
        </is>
      </c>
      <c r="O552" s="46" t="inlineStr">
        <is>
          <t xml:space="preserve">Personal - regular use</t>
        </is>
      </c>
      <c r="P552" s="46" t="inlineStr">
        <is>
          <t xml:space="preserve">Under 1,000</t>
        </is>
      </c>
      <c r="Q552" s="46" t="inlineStr">
        <is>
          <t xml:space="preserve">Alabama</t>
        </is>
      </c>
      <c r="R552" s="46" t="inlineStr">
        <is>
          <t xml:space="preserve">35203</t>
        </is>
      </c>
      <c r="S552" s="48" t="inlineStr">
        <is>
          <t xml:space="preserve">Tier 2 - Coastal wind (1-25 miles)</t>
        </is>
      </c>
      <c r="T552" s="36">
        <f>IF($A552="","",IF($S552="","",IFERROR(INDEX('[1]natural catastrophe'!$D$6:$D$17,MATCH($S552,'[1]natural catastrophe'!$B$6:$B$17,0)),"?")))</f>
      </c>
      <c r="U552" s="46" t="inlineStr">
        <is>
          <t xml:space="preserve">2% of agreed value, minimum $10,000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10202</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CANON-202602-005413</t>
        </is>
      </c>
      <c r="B553" s="30" t="inlineStr">
        <is>
          <t xml:space="preserve">Beatrix Chattopadhyay</t>
        </is>
      </c>
      <c r="C553" s="31">
        <v>46081</v>
      </c>
      <c r="D553" s="32" t="inlineStr">
        <is>
          <t xml:space="preserve">Bound - within authority</t>
        </is>
      </c>
      <c r="E553" s="32" t="inlineStr">
        <is>
          <t xml:space="preserve">New business</t>
        </is>
      </c>
      <c r="F553" s="30" t="inlineStr">
        <is>
          <t xml:space="preserve">B1234EXOTIC26</t>
        </is>
      </c>
      <c r="G553" s="33">
        <f>IF($A553="","",IF($C553="","",YEAR($C553)))</f>
      </c>
      <c r="H553" s="34">
        <v>1956</v>
      </c>
      <c r="I553" s="30" t="inlineStr">
        <is>
          <t xml:space="preserve">Maserati</t>
        </is>
      </c>
      <c r="J553" s="30" t="inlineStr">
        <is>
          <t xml:space="preserve">GranTurismo</t>
        </is>
      </c>
      <c r="K553" s="30" t="inlineStr">
        <is>
          <t xml:space="preserve">MGF89VGH40BAA1R8C</t>
        </is>
      </c>
      <c r="L553" s="32" t="inlineStr">
        <is>
          <t xml:space="preserve">02 - Sports / GT</t>
        </is>
      </c>
      <c r="M553" s="35">
        <v>745000</v>
      </c>
      <c r="N553" s="32" t="inlineStr">
        <is>
          <t xml:space="preserve">Personal</t>
        </is>
      </c>
      <c r="O553" s="30" t="inlineStr">
        <is>
          <t xml:space="preserve">Personal - regular use</t>
        </is>
      </c>
      <c r="P553" s="30" t="inlineStr">
        <is>
          <t xml:space="preserve">Under 1,000</t>
        </is>
      </c>
      <c r="Q553" s="30" t="inlineStr">
        <is>
          <t xml:space="preserve">Louisiana</t>
        </is>
      </c>
      <c r="R553" s="30" t="inlineStr">
        <is>
          <t xml:space="preserve">70112</t>
        </is>
      </c>
      <c r="S553" s="32" t="inlineStr">
        <is>
          <t xml:space="preserve">Tier 2 - Coastal wind (1-25 miles)</t>
        </is>
      </c>
      <c r="T553" s="36">
        <f>IF($A553="","",IF($S553="","",IFERROR(INDEX('[1]natural catastrophe'!$D$6:$D$17,MATCH($S553,'[1]natural catastrophe'!$B$6:$B$17,0)),"?")))</f>
      </c>
      <c r="U553" s="30" t="inlineStr">
        <is>
          <t xml:space="preserve">2% of agreed value, minimum $10,000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9720.01</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CANON-202602-005414</t>
        </is>
      </c>
      <c r="B554" s="46" t="inlineStr">
        <is>
          <t xml:space="preserve">Ingrid Montoya</t>
        </is>
      </c>
      <c r="C554" s="47">
        <v>46074</v>
      </c>
      <c r="D554" s="48" t="inlineStr">
        <is>
          <t xml:space="preserve">Bound - within authority</t>
        </is>
      </c>
      <c r="E554" s="48" t="inlineStr">
        <is>
          <t xml:space="preserve">New business</t>
        </is>
      </c>
      <c r="F554" s="46" t="inlineStr">
        <is>
          <t xml:space="preserve">B1234EXOTIC26</t>
        </is>
      </c>
      <c r="G554" s="33">
        <f>IF($A554="","",IF($C554="","",YEAR($C554)))</f>
      </c>
      <c r="H554" s="49">
        <v>1976</v>
      </c>
      <c r="I554" s="46" t="inlineStr">
        <is>
          <t xml:space="preserve">Porsche</t>
        </is>
      </c>
      <c r="J554" s="46" t="inlineStr">
        <is>
          <t xml:space="preserve">911 Turbo S</t>
        </is>
      </c>
      <c r="K554" s="46" t="inlineStr">
        <is>
          <t xml:space="preserve">JURYDL50P3MCZ172B</t>
        </is>
      </c>
      <c r="L554" s="48" t="inlineStr">
        <is>
          <t xml:space="preserve">02 - Sports / GT</t>
        </is>
      </c>
      <c r="M554" s="50">
        <v>690000</v>
      </c>
      <c r="N554" s="48" t="inlineStr">
        <is>
          <t xml:space="preserve">Personal</t>
        </is>
      </c>
      <c r="O554" s="46" t="inlineStr">
        <is>
          <t xml:space="preserve">Personal - regular use</t>
        </is>
      </c>
      <c r="P554" s="46" t="inlineStr">
        <is>
          <t xml:space="preserve">2,500 - 5,000</t>
        </is>
      </c>
      <c r="Q554" s="46" t="inlineStr">
        <is>
          <t xml:space="preserve">Connecticut</t>
        </is>
      </c>
      <c r="R554" s="46" t="inlineStr">
        <is>
          <t xml:space="preserve">06103</t>
        </is>
      </c>
      <c r="S554" s="48" t="inlineStr">
        <is>
          <t xml:space="preserve">Tier 3 - Coastal wind (25-100 miles)</t>
        </is>
      </c>
      <c r="T554" s="36">
        <f>IF($A554="","",IF($S554="","",IFERROR(INDEX('[1]natural catastrophe'!$D$6:$D$17,MATCH($S554,'[1]natural catastrophe'!$B$6:$B$17,0)),"?")))</f>
      </c>
      <c r="U554" s="46" t="inlineStr">
        <is>
          <t xml:space="preserve">2% of agreed value, minimum $10,000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8332.83</v>
      </c>
      <c r="AC554" s="51">
        <v>0</v>
      </c>
      <c r="AD554" s="38">
        <f>IF(ISNUMBER($AB554),$AB554*(1+N($AC554)),"")</f>
      </c>
      <c r="AE554" s="50">
        <v>350</v>
      </c>
      <c r="AF554" s="50">
        <v>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CANON-202602-005416</t>
        </is>
      </c>
      <c r="B555" s="30" t="inlineStr">
        <is>
          <t xml:space="preserve">Horace Rourke</t>
        </is>
      </c>
      <c r="C555" s="31">
        <v>46062</v>
      </c>
      <c r="D555" s="32" t="inlineStr">
        <is>
          <t xml:space="preserve">Bound - within authority</t>
        </is>
      </c>
      <c r="E555" s="32" t="inlineStr">
        <is>
          <t xml:space="preserve">New business</t>
        </is>
      </c>
      <c r="F555" s="30" t="inlineStr">
        <is>
          <t xml:space="preserve">B1234EXOTIC26</t>
        </is>
      </c>
      <c r="G555" s="33">
        <f>IF($A555="","",IF($C555="","",YEAR($C555)))</f>
      </c>
      <c r="H555" s="34">
        <v>2002</v>
      </c>
      <c r="I555" s="30" t="inlineStr">
        <is>
          <t xml:space="preserve">Aston Martin</t>
        </is>
      </c>
      <c r="J555" s="30" t="inlineStr">
        <is>
          <t xml:space="preserve">DB5</t>
        </is>
      </c>
      <c r="K555" s="30" t="inlineStr">
        <is>
          <t xml:space="preserve">FCH01P8H6ZJEAEEZ7</t>
        </is>
      </c>
      <c r="L555" s="32" t="inlineStr">
        <is>
          <t xml:space="preserve">09 - Youngtimer / Collectible (2000-2010)</t>
        </is>
      </c>
      <c r="M555" s="35">
        <v>330000</v>
      </c>
      <c r="N555" s="32" t="inlineStr">
        <is>
          <t xml:space="preserve">Personal</t>
        </is>
      </c>
      <c r="O555" s="30" t="inlineStr">
        <is>
          <t xml:space="preserve">Personal - regular use</t>
        </is>
      </c>
      <c r="P555" s="30" t="inlineStr">
        <is>
          <t xml:space="preserve">Under 1,000</t>
        </is>
      </c>
      <c r="Q555" s="30" t="inlineStr">
        <is>
          <t xml:space="preserve">Alaska</t>
        </is>
      </c>
      <c r="R555" s="30" t="inlineStr">
        <is>
          <t xml:space="preserve">99501</t>
        </is>
      </c>
      <c r="S555" s="32" t="inlineStr">
        <is>
          <t xml:space="preserve">Earthquake - high (CA, Cascadia, New Madrid)</t>
        </is>
      </c>
      <c r="T555" s="36">
        <f>IF($A555="","",IF($S555="","",IFERROR(INDEX('[1]natural catastrophe'!$D$6:$D$17,MATCH($S555,'[1]natural catastrophe'!$B$6:$B$17,0)),"?")))</f>
      </c>
      <c r="U555" s="30" t="inlineStr">
        <is>
          <t xml:space="preserve">$5,000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2995.51</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CANON-202602-005417</t>
        </is>
      </c>
      <c r="B556" s="46" t="inlineStr">
        <is>
          <t xml:space="preserve">Emiliano Montoya</t>
        </is>
      </c>
      <c r="C556" s="47">
        <v>46065</v>
      </c>
      <c r="D556" s="48" t="inlineStr">
        <is>
          <t xml:space="preserve">Bound - within authority</t>
        </is>
      </c>
      <c r="E556" s="48" t="inlineStr">
        <is>
          <t xml:space="preserve">New business</t>
        </is>
      </c>
      <c r="F556" s="46" t="inlineStr">
        <is>
          <t xml:space="preserve">B1234EXOTIC26</t>
        </is>
      </c>
      <c r="G556" s="33">
        <f>IF($A556="","",IF($C556="","",YEAR($C556)))</f>
      </c>
      <c r="H556" s="49">
        <v>1957</v>
      </c>
      <c r="I556" s="46" t="inlineStr">
        <is>
          <t xml:space="preserve">Bentley</t>
        </is>
      </c>
      <c r="J556" s="46" t="inlineStr">
        <is>
          <t xml:space="preserve">Continental GT</t>
        </is>
      </c>
      <c r="K556" s="46" t="inlineStr">
        <is>
          <t xml:space="preserve">6MT68VACEV1V30SK0</t>
        </is>
      </c>
      <c r="L556" s="48" t="inlineStr">
        <is>
          <t xml:space="preserve">02 - Sports / GT</t>
        </is>
      </c>
      <c r="M556" s="50">
        <v>580000</v>
      </c>
      <c r="N556" s="48" t="inlineStr">
        <is>
          <t xml:space="preserve">Personal</t>
        </is>
      </c>
      <c r="O556" s="46" t="inlineStr">
        <is>
          <t xml:space="preserve">Personal - regular use</t>
        </is>
      </c>
      <c r="P556" s="46" t="inlineStr">
        <is>
          <t xml:space="preserve">2,500 - 5,000</t>
        </is>
      </c>
      <c r="Q556" s="46" t="inlineStr">
        <is>
          <t xml:space="preserve">Florida</t>
        </is>
      </c>
      <c r="R556" s="46" t="inlineStr">
        <is>
          <t xml:space="preserve">33139</t>
        </is>
      </c>
      <c r="S556" s="48" t="inlineStr">
        <is>
          <t xml:space="preserve">Tier 2 - Coastal wind (1-25 miles)</t>
        </is>
      </c>
      <c r="T556" s="36">
        <f>IF($A556="","",IF($S556="","",IFERROR(INDEX('[1]natural catastrophe'!$D$6:$D$17,MATCH($S556,'[1]natural catastrophe'!$B$6:$B$17,0)),"?")))</f>
      </c>
      <c r="U556" s="46" t="inlineStr">
        <is>
          <t xml:space="preserve">2% of agreed value, minimum $10,000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8880.58</v>
      </c>
      <c r="AC556" s="51">
        <v>0</v>
      </c>
      <c r="AD556" s="38">
        <f>IF(ISNUMBER($AB556),$AB556*(1+N($AC556)),"")</f>
      </c>
      <c r="AE556" s="50">
        <v>350</v>
      </c>
      <c r="AF556" s="50">
        <v>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CANON-202602-005419</t>
        </is>
      </c>
      <c r="B557" s="30" t="inlineStr">
        <is>
          <t xml:space="preserve">Marisol Larsson</t>
        </is>
      </c>
      <c r="C557" s="31">
        <v>46060</v>
      </c>
      <c r="D557" s="32" t="inlineStr">
        <is>
          <t xml:space="preserve">Bound - within authority</t>
        </is>
      </c>
      <c r="E557" s="32" t="inlineStr">
        <is>
          <t xml:space="preserve">New business</t>
        </is>
      </c>
      <c r="F557" s="30" t="inlineStr">
        <is>
          <t xml:space="preserve">B1234EXOTIC26</t>
        </is>
      </c>
      <c r="G557" s="33">
        <f>IF($A557="","",IF($C557="","",YEAR($C557)))</f>
      </c>
      <c r="H557" s="34">
        <v>1972</v>
      </c>
      <c r="I557" s="30" t="inlineStr">
        <is>
          <t xml:space="preserve">Lamborghini</t>
        </is>
      </c>
      <c r="J557" s="30" t="inlineStr">
        <is>
          <t xml:space="preserve">Huracan EVO</t>
        </is>
      </c>
      <c r="K557" s="30" t="inlineStr">
        <is>
          <t xml:space="preserve">19CLPDW5670SL7RPU</t>
        </is>
      </c>
      <c r="L557" s="32" t="inlineStr">
        <is>
          <t xml:space="preserve">03 - Supercar</t>
        </is>
      </c>
      <c r="M557" s="35">
        <v>1555000</v>
      </c>
      <c r="N557" s="32" t="inlineStr">
        <is>
          <t xml:space="preserve">Personal</t>
        </is>
      </c>
      <c r="O557" s="30" t="inlineStr">
        <is>
          <t xml:space="preserve">Personal - regular use</t>
        </is>
      </c>
      <c r="P557" s="30" t="inlineStr">
        <is>
          <t xml:space="preserve">Under 1,000</t>
        </is>
      </c>
      <c r="Q557" s="30" t="inlineStr">
        <is>
          <t xml:space="preserve">New York</t>
        </is>
      </c>
      <c r="R557" s="30" t="inlineStr">
        <is>
          <t xml:space="preserve">10022</t>
        </is>
      </c>
      <c r="S557" s="32" t="inlineStr">
        <is>
          <t xml:space="preserve">Tier 3 - Coastal wind (25-100 miles)</t>
        </is>
      </c>
      <c r="T557" s="36">
        <f>IF($A557="","",IF($S557="","",IFERROR(INDEX('[1]natural catastrophe'!$D$6:$D$17,MATCH($S557,'[1]natural catastrophe'!$B$6:$B$17,0)),"?")))</f>
      </c>
      <c r="U557" s="30" t="inlineStr">
        <is>
          <t xml:space="preserve">2% of agreed value, minimum $10,000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26414.48</v>
      </c>
      <c r="AC557" s="37">
        <v>0</v>
      </c>
      <c r="AD557" s="38">
        <f>IF(ISNUMBER($AB557),$AB557*(1+N($AC557)),"")</f>
      </c>
      <c r="AE557" s="35">
        <v>350</v>
      </c>
      <c r="AF557" s="35">
        <v>250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CANON-202602-005420</t>
        </is>
      </c>
      <c r="B558" s="46" t="inlineStr">
        <is>
          <t xml:space="preserve">Everett Bellandi</t>
        </is>
      </c>
      <c r="C558" s="47">
        <v>46069</v>
      </c>
      <c r="D558" s="48" t="inlineStr">
        <is>
          <t xml:space="preserve">Bound - within authority</t>
        </is>
      </c>
      <c r="E558" s="48" t="inlineStr">
        <is>
          <t xml:space="preserve">New business</t>
        </is>
      </c>
      <c r="F558" s="46" t="inlineStr">
        <is>
          <t xml:space="preserve">B1234EXOTIC26</t>
        </is>
      </c>
      <c r="G558" s="33">
        <f>IF($A558="","",IF($C558="","",YEAR($C558)))</f>
      </c>
      <c r="H558" s="49">
        <v>1968</v>
      </c>
      <c r="I558" s="46" t="inlineStr">
        <is>
          <t xml:space="preserve">Porsche</t>
        </is>
      </c>
      <c r="J558" s="46" t="inlineStr">
        <is>
          <t xml:space="preserve">911 Turbo S</t>
        </is>
      </c>
      <c r="K558" s="46" t="inlineStr">
        <is>
          <t xml:space="preserve">ME3SHHBGDG9AJBUAB</t>
        </is>
      </c>
      <c r="L558" s="48" t="inlineStr">
        <is>
          <t xml:space="preserve">02 - Sports / GT</t>
        </is>
      </c>
      <c r="M558" s="50">
        <v>350000</v>
      </c>
      <c r="N558" s="48" t="inlineStr">
        <is>
          <t xml:space="preserve">Personal</t>
        </is>
      </c>
      <c r="O558" s="46" t="inlineStr">
        <is>
          <t xml:space="preserve">Personal - regular use</t>
        </is>
      </c>
      <c r="P558" s="46" t="inlineStr">
        <is>
          <t xml:space="preserve">Under 1,000</t>
        </is>
      </c>
      <c r="Q558" s="46" t="inlineStr">
        <is>
          <t xml:space="preserve">Hawaii</t>
        </is>
      </c>
      <c r="R558" s="46" t="inlineStr">
        <is>
          <t xml:space="preserve">96813</t>
        </is>
      </c>
      <c r="S558" s="48" t="inlineStr">
        <is>
          <t xml:space="preserve">Earthquake - high (CA, Cascadia, New Madrid)</t>
        </is>
      </c>
      <c r="T558" s="36">
        <f>IF($A558="","",IF($S558="","",IFERROR(INDEX('[1]natural catastrophe'!$D$6:$D$17,MATCH($S558,'[1]natural catastrophe'!$B$6:$B$17,0)),"?")))</f>
      </c>
      <c r="U558" s="46" t="inlineStr">
        <is>
          <t xml:space="preserve">$5,000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5660.89</v>
      </c>
      <c r="AC558" s="51">
        <v>0</v>
      </c>
      <c r="AD558" s="38">
        <f>IF(ISNUMBER($AB558),$AB558*(1+N($AC558)),"")</f>
      </c>
      <c r="AE558" s="50">
        <v>350</v>
      </c>
      <c r="AF558" s="50">
        <v>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CANON-202602-005421</t>
        </is>
      </c>
      <c r="B559" s="30" t="inlineStr">
        <is>
          <t xml:space="preserve">Thaddeus Thistlewood</t>
        </is>
      </c>
      <c r="C559" s="31">
        <v>46081</v>
      </c>
      <c r="D559" s="32" t="inlineStr">
        <is>
          <t xml:space="preserve">Bound - within authority</t>
        </is>
      </c>
      <c r="E559" s="32" t="inlineStr">
        <is>
          <t xml:space="preserve">New business</t>
        </is>
      </c>
      <c r="F559" s="30" t="inlineStr">
        <is>
          <t xml:space="preserve">B1234EXOTIC26</t>
        </is>
      </c>
      <c r="G559" s="33">
        <f>IF($A559="","",IF($C559="","",YEAR($C559)))</f>
      </c>
      <c r="H559" s="34">
        <v>1972</v>
      </c>
      <c r="I559" s="30" t="inlineStr">
        <is>
          <t xml:space="preserve">Ferrari</t>
        </is>
      </c>
      <c r="J559" s="30" t="inlineStr">
        <is>
          <t xml:space="preserve">SF90 Stradale</t>
        </is>
      </c>
      <c r="K559" s="30" t="inlineStr">
        <is>
          <t xml:space="preserve">Y25PKYHHNC6DJXZE9</t>
        </is>
      </c>
      <c r="L559" s="32" t="inlineStr">
        <is>
          <t xml:space="preserve">03 - Supercar</t>
        </is>
      </c>
      <c r="M559" s="35">
        <v>855000</v>
      </c>
      <c r="N559" s="32" t="inlineStr">
        <is>
          <t xml:space="preserve">Personal</t>
        </is>
      </c>
      <c r="O559" s="30" t="inlineStr">
        <is>
          <t xml:space="preserve">Personal - regular use</t>
        </is>
      </c>
      <c r="P559" s="30" t="inlineStr">
        <is>
          <t xml:space="preserve">Under 1,000</t>
        </is>
      </c>
      <c r="Q559" s="30" t="inlineStr">
        <is>
          <t xml:space="preserve">Massachusetts</t>
        </is>
      </c>
      <c r="R559" s="30" t="inlineStr">
        <is>
          <t xml:space="preserve">02108</t>
        </is>
      </c>
      <c r="S559" s="32" t="inlineStr">
        <is>
          <t xml:space="preserve">Tier 3 - Coastal wind (25-100 miles)</t>
        </is>
      </c>
      <c r="T559" s="36">
        <f>IF($A559="","",IF($S559="","",IFERROR(INDEX('[1]natural catastrophe'!$D$6:$D$17,MATCH($S559,'[1]natural catastrophe'!$B$6:$B$17,0)),"?")))</f>
      </c>
      <c r="U559" s="30" t="inlineStr">
        <is>
          <t xml:space="preserve">2% of agreed value, minimum $10,000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16842.69</v>
      </c>
      <c r="AC559" s="37">
        <v>0</v>
      </c>
      <c r="AD559" s="38">
        <f>IF(ISNUMBER($AB559),$AB559*(1+N($AC559)),"")</f>
      </c>
      <c r="AE559" s="35">
        <v>350</v>
      </c>
      <c r="AF559" s="35">
        <v>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CANON-202602-005422</t>
        </is>
      </c>
      <c r="B560" s="46" t="inlineStr">
        <is>
          <t xml:space="preserve">Ottilie Delacroix</t>
        </is>
      </c>
      <c r="C560" s="47">
        <v>46072</v>
      </c>
      <c r="D560" s="48" t="inlineStr">
        <is>
          <t xml:space="preserve">Bound - within authority</t>
        </is>
      </c>
      <c r="E560" s="48" t="inlineStr">
        <is>
          <t xml:space="preserve">New business</t>
        </is>
      </c>
      <c r="F560" s="46" t="inlineStr">
        <is>
          <t xml:space="preserve">B1234EXOTIC26</t>
        </is>
      </c>
      <c r="G560" s="33">
        <f>IF($A560="","",IF($C560="","",YEAR($C560)))</f>
      </c>
      <c r="H560" s="49">
        <v>2006</v>
      </c>
      <c r="I560" s="46" t="inlineStr">
        <is>
          <t xml:space="preserve">Maserati</t>
        </is>
      </c>
      <c r="J560" s="46" t="inlineStr">
        <is>
          <t xml:space="preserve">GranTurismo</t>
        </is>
      </c>
      <c r="K560" s="46" t="inlineStr">
        <is>
          <t xml:space="preserve">DBKECRPVWM54MHVR9</t>
        </is>
      </c>
      <c r="L560" s="48" t="inlineStr">
        <is>
          <t xml:space="preserve">02 - Sports / GT</t>
        </is>
      </c>
      <c r="M560" s="50">
        <v>520000</v>
      </c>
      <c r="N560" s="48" t="inlineStr">
        <is>
          <t xml:space="preserve">Personal</t>
        </is>
      </c>
      <c r="O560" s="46" t="inlineStr">
        <is>
          <t xml:space="preserve">Personal - regular use</t>
        </is>
      </c>
      <c r="P560" s="46" t="inlineStr">
        <is>
          <t xml:space="preserve">2,500 - 5,000</t>
        </is>
      </c>
      <c r="Q560" s="46" t="inlineStr">
        <is>
          <t xml:space="preserve">Maryland</t>
        </is>
      </c>
      <c r="R560" s="46" t="inlineStr">
        <is>
          <t xml:space="preserve">21201</t>
        </is>
      </c>
      <c r="S560" s="48" t="inlineStr">
        <is>
          <t xml:space="preserve">Tier 3 - Coastal wind (25-100 miles)</t>
        </is>
      </c>
      <c r="T560" s="36">
        <f>IF($A560="","",IF($S560="","",IFERROR(INDEX('[1]natural catastrophe'!$D$6:$D$17,MATCH($S560,'[1]natural catastrophe'!$B$6:$B$17,0)),"?")))</f>
      </c>
      <c r="U560" s="46" t="inlineStr">
        <is>
          <t xml:space="preserve">2% of agreed value, minimum $10,000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5326.62</v>
      </c>
      <c r="AC560" s="51">
        <v>0</v>
      </c>
      <c r="AD560" s="38">
        <f>IF(ISNUMBER($AB560),$AB560*(1+N($AC560)),"")</f>
      </c>
      <c r="AE560" s="50">
        <v>350</v>
      </c>
      <c r="AF560" s="50">
        <v>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CANON-202602-005423</t>
        </is>
      </c>
      <c r="B561" s="30" t="inlineStr">
        <is>
          <t xml:space="preserve">Ottilie Blackwood</t>
        </is>
      </c>
      <c r="C561" s="31">
        <v>46071</v>
      </c>
      <c r="D561" s="32" t="inlineStr">
        <is>
          <t xml:space="preserve">Bound - within authority</t>
        </is>
      </c>
      <c r="E561" s="32" t="inlineStr">
        <is>
          <t xml:space="preserve">New business</t>
        </is>
      </c>
      <c r="F561" s="30" t="inlineStr">
        <is>
          <t xml:space="preserve">B1234EXOTIC26</t>
        </is>
      </c>
      <c r="G561" s="33">
        <f>IF($A561="","",IF($C561="","",YEAR($C561)))</f>
      </c>
      <c r="H561" s="34">
        <v>2017</v>
      </c>
      <c r="I561" s="30" t="inlineStr">
        <is>
          <t xml:space="preserve">Ferrari</t>
        </is>
      </c>
      <c r="J561" s="30" t="inlineStr">
        <is>
          <t xml:space="preserve">SF90 Stradale</t>
        </is>
      </c>
      <c r="K561" s="30" t="inlineStr">
        <is>
          <t xml:space="preserve">V9TT2UMXCMS3NYL0M</t>
        </is>
      </c>
      <c r="L561" s="32" t="inlineStr">
        <is>
          <t xml:space="preserve">03 - Supercar</t>
        </is>
      </c>
      <c r="M561" s="35">
        <v>380000</v>
      </c>
      <c r="N561" s="32" t="inlineStr">
        <is>
          <t xml:space="preserve">Personal</t>
        </is>
      </c>
      <c r="O561" s="30" t="inlineStr">
        <is>
          <t xml:space="preserve">Personal - regular use</t>
        </is>
      </c>
      <c r="P561" s="30" t="inlineStr">
        <is>
          <t xml:space="preserve">Under 1,000</t>
        </is>
      </c>
      <c r="Q561" s="30" t="inlineStr">
        <is>
          <t xml:space="preserve">Alaska</t>
        </is>
      </c>
      <c r="R561" s="30" t="inlineStr">
        <is>
          <t xml:space="preserve">99501</t>
        </is>
      </c>
      <c r="S561" s="32" t="inlineStr">
        <is>
          <t xml:space="preserve">Earthquake - high (CA, Cascadia, New Madrid)</t>
        </is>
      </c>
      <c r="T561" s="36">
        <f>IF($A561="","",IF($S561="","",IFERROR(INDEX('[1]natural catastrophe'!$D$6:$D$17,MATCH($S561,'[1]natural catastrophe'!$B$6:$B$17,0)),"?")))</f>
      </c>
      <c r="U561" s="30" t="inlineStr">
        <is>
          <t xml:space="preserve">$5,000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8264.15</v>
      </c>
      <c r="AC561" s="37">
        <v>0</v>
      </c>
      <c r="AD561" s="38">
        <f>IF(ISNUMBER($AB561),$AB561*(1+N($AC561)),"")</f>
      </c>
      <c r="AE561" s="35">
        <v>350</v>
      </c>
      <c r="AF561" s="35">
        <v>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CANON-202602-005424</t>
        </is>
      </c>
      <c r="B562" s="46" t="inlineStr">
        <is>
          <t xml:space="preserve">Thaddeus Bellandi</t>
        </is>
      </c>
      <c r="C562" s="47">
        <v>46056</v>
      </c>
      <c r="D562" s="48" t="inlineStr">
        <is>
          <t xml:space="preserve">Bound - within authority</t>
        </is>
      </c>
      <c r="E562" s="48" t="inlineStr">
        <is>
          <t xml:space="preserve">New business</t>
        </is>
      </c>
      <c r="F562" s="46" t="inlineStr">
        <is>
          <t xml:space="preserve">B1234EXOTIC26</t>
        </is>
      </c>
      <c r="G562" s="33">
        <f>IF($A562="","",IF($C562="","",YEAR($C562)))</f>
      </c>
      <c r="H562" s="49">
        <v>1977</v>
      </c>
      <c r="I562" s="46" t="inlineStr">
        <is>
          <t xml:space="preserve">Ferrari</t>
        </is>
      </c>
      <c r="J562" s="46" t="inlineStr">
        <is>
          <t xml:space="preserve">SF90 Stradale</t>
        </is>
      </c>
      <c r="K562" s="46" t="inlineStr">
        <is>
          <t xml:space="preserve">NUHALDB4L2YG1EMTK</t>
        </is>
      </c>
      <c r="L562" s="48" t="inlineStr">
        <is>
          <t xml:space="preserve">03 - Supercar</t>
        </is>
      </c>
      <c r="M562" s="50">
        <v>420000</v>
      </c>
      <c r="N562" s="48" t="inlineStr">
        <is>
          <t xml:space="preserve">Personal</t>
        </is>
      </c>
      <c r="O562" s="46" t="inlineStr">
        <is>
          <t xml:space="preserve">Personal - regular use</t>
        </is>
      </c>
      <c r="P562" s="46" t="inlineStr">
        <is>
          <t xml:space="preserve">2,500 - 5,000</t>
        </is>
      </c>
      <c r="Q562" s="46" t="inlineStr">
        <is>
          <t xml:space="preserve">California</t>
        </is>
      </c>
      <c r="R562" s="46" t="inlineStr">
        <is>
          <t xml:space="preserve">90012</t>
        </is>
      </c>
      <c r="S562" s="48" t="inlineStr">
        <is>
          <t xml:space="preserve">Earthquake - high (CA, Cascadia, New Madrid)</t>
        </is>
      </c>
      <c r="T562" s="36">
        <f>IF($A562="","",IF($S562="","",IFERROR(INDEX('[1]natural catastrophe'!$D$6:$D$17,MATCH($S562,'[1]natural catastrophe'!$B$6:$B$17,0)),"?")))</f>
      </c>
      <c r="U562" s="46" t="inlineStr">
        <is>
          <t xml:space="preserve">$5,000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10816.65</v>
      </c>
      <c r="AC562" s="51">
        <v>0</v>
      </c>
      <c r="AD562" s="38">
        <f>IF(ISNUMBER($AB562),$AB562*(1+N($AC562)),"")</f>
      </c>
      <c r="AE562" s="50">
        <v>350</v>
      </c>
      <c r="AF562" s="50">
        <v>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CANON-202602-005425</t>
        </is>
      </c>
      <c r="B563" s="30" t="inlineStr">
        <is>
          <t xml:space="preserve">Desmond Fairweather</t>
        </is>
      </c>
      <c r="C563" s="31">
        <v>46079</v>
      </c>
      <c r="D563" s="32" t="inlineStr">
        <is>
          <t xml:space="preserve">Bound - within authority</t>
        </is>
      </c>
      <c r="E563" s="32" t="inlineStr">
        <is>
          <t xml:space="preserve">New business</t>
        </is>
      </c>
      <c r="F563" s="30" t="inlineStr">
        <is>
          <t xml:space="preserve">B1234EXOTIC26</t>
        </is>
      </c>
      <c r="G563" s="33">
        <f>IF($A563="","",IF($C563="","",YEAR($C563)))</f>
      </c>
      <c r="H563" s="34">
        <v>1976</v>
      </c>
      <c r="I563" s="30" t="inlineStr">
        <is>
          <t xml:space="preserve">Lamborghini</t>
        </is>
      </c>
      <c r="J563" s="30" t="inlineStr">
        <is>
          <t xml:space="preserve">Huracan EVO</t>
        </is>
      </c>
      <c r="K563" s="30" t="inlineStr">
        <is>
          <t xml:space="preserve">8S6NEJBAPW2WNEU8L</t>
        </is>
      </c>
      <c r="L563" s="32" t="inlineStr">
        <is>
          <t xml:space="preserve">03 - Supercar</t>
        </is>
      </c>
      <c r="M563" s="35">
        <v>645000</v>
      </c>
      <c r="N563" s="32" t="inlineStr">
        <is>
          <t xml:space="preserve">Personal</t>
        </is>
      </c>
      <c r="O563" s="30" t="inlineStr">
        <is>
          <t xml:space="preserve">Personal - regular use</t>
        </is>
      </c>
      <c r="P563" s="30" t="inlineStr">
        <is>
          <t xml:space="preserve">Under 1,000</t>
        </is>
      </c>
      <c r="Q563" s="30" t="inlineStr">
        <is>
          <t xml:space="preserve">Texas</t>
        </is>
      </c>
      <c r="R563" s="30" t="inlineStr">
        <is>
          <t xml:space="preserve">75201</t>
        </is>
      </c>
      <c r="S563" s="32" t="inlineStr">
        <is>
          <t xml:space="preserve">Tier 2 - Coastal wind (1-25 miles)</t>
        </is>
      </c>
      <c r="T563" s="36">
        <f>IF($A563="","",IF($S563="","",IFERROR(INDEX('[1]natural catastrophe'!$D$6:$D$17,MATCH($S563,'[1]natural catastrophe'!$B$6:$B$17,0)),"?")))</f>
      </c>
      <c r="U563" s="30" t="inlineStr">
        <is>
          <t xml:space="preserve">2% of agreed value, minimum $10,000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11689.42</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CANON-202602-005426</t>
        </is>
      </c>
      <c r="B564" s="46" t="inlineStr">
        <is>
          <t xml:space="preserve">Fitzgerald Nakashima</t>
        </is>
      </c>
      <c r="C564" s="47">
        <v>46060</v>
      </c>
      <c r="D564" s="48" t="inlineStr">
        <is>
          <t xml:space="preserve">Bound - within authority</t>
        </is>
      </c>
      <c r="E564" s="48" t="inlineStr">
        <is>
          <t xml:space="preserve">New business</t>
        </is>
      </c>
      <c r="F564" s="46" t="inlineStr">
        <is>
          <t xml:space="preserve">B1234EXOTIC26</t>
        </is>
      </c>
      <c r="G564" s="33">
        <f>IF($A564="","",IF($C564="","",YEAR($C564)))</f>
      </c>
      <c r="H564" s="49">
        <v>1986</v>
      </c>
      <c r="I564" s="46" t="inlineStr">
        <is>
          <t xml:space="preserve">Ferrari</t>
        </is>
      </c>
      <c r="J564" s="46" t="inlineStr">
        <is>
          <t xml:space="preserve">275 GTB/4</t>
        </is>
      </c>
      <c r="K564" s="46" t="inlineStr">
        <is>
          <t xml:space="preserve">UXYYX5443D2WAFBZC</t>
        </is>
      </c>
      <c r="L564" s="48" t="inlineStr">
        <is>
          <t xml:space="preserve">08 - Modern Classic (1973-1999)</t>
        </is>
      </c>
      <c r="M564" s="50">
        <v>915000</v>
      </c>
      <c r="N564" s="48" t="inlineStr">
        <is>
          <t xml:space="preserve">Personal</t>
        </is>
      </c>
      <c r="O564" s="46" t="inlineStr">
        <is>
          <t xml:space="preserve">Personal - regular use</t>
        </is>
      </c>
      <c r="P564" s="46" t="inlineStr">
        <is>
          <t xml:space="preserve">1,000 - 2,500</t>
        </is>
      </c>
      <c r="Q564" s="46" t="inlineStr">
        <is>
          <t xml:space="preserve">Illinois</t>
        </is>
      </c>
      <c r="R564" s="46" t="inlineStr">
        <is>
          <t xml:space="preserve">60601</t>
        </is>
      </c>
      <c r="S564" s="48" t="inlineStr">
        <is>
          <t xml:space="preserve">Severe convective - hail / tornado (moderate)</t>
        </is>
      </c>
      <c r="T564" s="36">
        <f>IF($A564="","",IF($S564="","",IFERROR(INDEX('[1]natural catastrophe'!$D$6:$D$17,MATCH($S564,'[1]natural catastrophe'!$B$6:$B$17,0)),"?")))</f>
      </c>
      <c r="U564" s="46" t="inlineStr">
        <is>
          <t xml:space="preserve">$5,000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8876.47</v>
      </c>
      <c r="AC564" s="51">
        <v>0</v>
      </c>
      <c r="AD564" s="38">
        <f>IF(ISNUMBER($AB564),$AB564*(1+N($AC564)),"")</f>
      </c>
      <c r="AE564" s="50">
        <v>350</v>
      </c>
      <c r="AF564" s="50">
        <v>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CANON-202602-005427</t>
        </is>
      </c>
      <c r="B565" s="30" t="inlineStr">
        <is>
          <t xml:space="preserve">Leopold Fairweather</t>
        </is>
      </c>
      <c r="C565" s="31">
        <v>46056</v>
      </c>
      <c r="D565" s="32" t="inlineStr">
        <is>
          <t xml:space="preserve">Bound - within authority</t>
        </is>
      </c>
      <c r="E565" s="32" t="inlineStr">
        <is>
          <t xml:space="preserve">New business</t>
        </is>
      </c>
      <c r="F565" s="30" t="inlineStr">
        <is>
          <t xml:space="preserve">B1234EXOTIC26</t>
        </is>
      </c>
      <c r="G565" s="33">
        <f>IF($A565="","",IF($C565="","",YEAR($C565)))</f>
      </c>
      <c r="H565" s="34">
        <v>2024</v>
      </c>
      <c r="I565" s="30" t="inlineStr">
        <is>
          <t xml:space="preserve">Ferrari</t>
        </is>
      </c>
      <c r="J565" s="30" t="inlineStr">
        <is>
          <t xml:space="preserve">SF90 Stradale</t>
        </is>
      </c>
      <c r="K565" s="30" t="inlineStr">
        <is>
          <t xml:space="preserve">JNZW2GNT5ZC9HF9A2</t>
        </is>
      </c>
      <c r="L565" s="32" t="inlineStr">
        <is>
          <t xml:space="preserve">03 - Supercar</t>
        </is>
      </c>
      <c r="M565" s="35">
        <v>185000</v>
      </c>
      <c r="N565" s="32" t="inlineStr">
        <is>
          <t xml:space="preserve">Personal</t>
        </is>
      </c>
      <c r="O565" s="30" t="inlineStr">
        <is>
          <t xml:space="preserve">Personal - regular use</t>
        </is>
      </c>
      <c r="P565" s="30" t="inlineStr">
        <is>
          <t xml:space="preserve">Under 1,000</t>
        </is>
      </c>
      <c r="Q565" s="30" t="inlineStr">
        <is>
          <t xml:space="preserve">Washington</t>
        </is>
      </c>
      <c r="R565" s="30" t="inlineStr">
        <is>
          <t xml:space="preserve">98101</t>
        </is>
      </c>
      <c r="S565" s="32" t="inlineStr">
        <is>
          <t xml:space="preserve">Earthquake - high (CA, Cascadia, New Madrid)</t>
        </is>
      </c>
      <c r="T565" s="36">
        <f>IF($A565="","",IF($S565="","",IFERROR(INDEX('[1]natural catastrophe'!$D$6:$D$17,MATCH($S565,'[1]natural catastrophe'!$B$6:$B$17,0)),"?")))</f>
      </c>
      <c r="U565" s="30" t="inlineStr">
        <is>
          <t xml:space="preserve">$5,000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4183.53</v>
      </c>
      <c r="AC565" s="37">
        <v>0</v>
      </c>
      <c r="AD565" s="38">
        <f>IF(ISNUMBER($AB565),$AB565*(1+N($AC565)),"")</f>
      </c>
      <c r="AE565" s="35">
        <v>350</v>
      </c>
      <c r="AF565" s="35">
        <v>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CANON-202602-005431</t>
        </is>
      </c>
      <c r="B566" s="46" t="inlineStr">
        <is>
          <t xml:space="preserve">Sunniva Farkas</t>
        </is>
      </c>
      <c r="C566" s="47">
        <v>46063</v>
      </c>
      <c r="D566" s="48" t="inlineStr">
        <is>
          <t xml:space="preserve">Bound - within authority</t>
        </is>
      </c>
      <c r="E566" s="48" t="inlineStr">
        <is>
          <t xml:space="preserve">New business</t>
        </is>
      </c>
      <c r="F566" s="46" t="inlineStr">
        <is>
          <t xml:space="preserve">B1234EXOTIC26</t>
        </is>
      </c>
      <c r="G566" s="33">
        <f>IF($A566="","",IF($C566="","",YEAR($C566)))</f>
      </c>
      <c r="H566" s="49">
        <v>1974</v>
      </c>
      <c r="I566" s="46" t="inlineStr">
        <is>
          <t xml:space="preserve">BMW</t>
        </is>
      </c>
      <c r="J566" s="46" t="inlineStr">
        <is>
          <t xml:space="preserve">M8 Competition</t>
        </is>
      </c>
      <c r="K566" s="46" t="inlineStr">
        <is>
          <t xml:space="preserve">G0PFYZFGTTXN8J4KX</t>
        </is>
      </c>
      <c r="L566" s="48" t="inlineStr">
        <is>
          <t xml:space="preserve">02 - Sports / GT</t>
        </is>
      </c>
      <c r="M566" s="50">
        <v>230000</v>
      </c>
      <c r="N566" s="48" t="inlineStr">
        <is>
          <t xml:space="preserve">Personal</t>
        </is>
      </c>
      <c r="O566" s="46" t="inlineStr">
        <is>
          <t xml:space="preserve">Personal - regular use</t>
        </is>
      </c>
      <c r="P566" s="46" t="inlineStr">
        <is>
          <t xml:space="preserve">2,500 - 5,000</t>
        </is>
      </c>
      <c r="Q566" s="46" t="inlineStr">
        <is>
          <t xml:space="preserve">Maine</t>
        </is>
      </c>
      <c r="R566" s="46" t="inlineStr">
        <is>
          <t xml:space="preserve">04101</t>
        </is>
      </c>
      <c r="S566" s="48" t="inlineStr">
        <is>
          <t xml:space="preserve">Tier 3 - Coastal wind (25-100 miles)</t>
        </is>
      </c>
      <c r="T566" s="36">
        <f>IF($A566="","",IF($S566="","",IFERROR(INDEX('[1]natural catastrophe'!$D$6:$D$17,MATCH($S566,'[1]natural catastrophe'!$B$6:$B$17,0)),"?")))</f>
      </c>
      <c r="U566" s="46" t="inlineStr">
        <is>
          <t xml:space="preserve">2% of agreed value, minimum $10,000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3790.98</v>
      </c>
      <c r="AC566" s="51">
        <v>0</v>
      </c>
      <c r="AD566" s="38">
        <f>IF(ISNUMBER($AB566),$AB566*(1+N($AC566)),"")</f>
      </c>
      <c r="AE566" s="50">
        <v>350</v>
      </c>
      <c r="AF566" s="50">
        <v>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CANON-202602-005432</t>
        </is>
      </c>
      <c r="B567" s="30" t="inlineStr">
        <is>
          <t xml:space="preserve">Mireille Rourke</t>
        </is>
      </c>
      <c r="C567" s="31">
        <v>46080</v>
      </c>
      <c r="D567" s="32" t="inlineStr">
        <is>
          <t xml:space="preserve">Bound - within authority</t>
        </is>
      </c>
      <c r="E567" s="32" t="inlineStr">
        <is>
          <t xml:space="preserve">New business</t>
        </is>
      </c>
      <c r="F567" s="30" t="inlineStr">
        <is>
          <t xml:space="preserve">B1234EXOTIC26</t>
        </is>
      </c>
      <c r="G567" s="33">
        <f>IF($A567="","",IF($C567="","",YEAR($C567)))</f>
      </c>
      <c r="H567" s="34">
        <v>1973</v>
      </c>
      <c r="I567" s="30" t="inlineStr">
        <is>
          <t xml:space="preserve">BMW</t>
        </is>
      </c>
      <c r="J567" s="30" t="inlineStr">
        <is>
          <t xml:space="preserve">M8 Competition</t>
        </is>
      </c>
      <c r="K567" s="30" t="inlineStr">
        <is>
          <t xml:space="preserve">LSBN9RD00CCR2J0E8</t>
        </is>
      </c>
      <c r="L567" s="32" t="inlineStr">
        <is>
          <t xml:space="preserve">02 - Sports / GT</t>
        </is>
      </c>
      <c r="M567" s="35">
        <v>310000</v>
      </c>
      <c r="N567" s="32" t="inlineStr">
        <is>
          <t xml:space="preserve">Personal</t>
        </is>
      </c>
      <c r="O567" s="30" t="inlineStr">
        <is>
          <t xml:space="preserve">Personal - regular use</t>
        </is>
      </c>
      <c r="P567" s="30" t="inlineStr">
        <is>
          <t xml:space="preserve">1,000 - 2,500</t>
        </is>
      </c>
      <c r="Q567" s="30" t="inlineStr">
        <is>
          <t xml:space="preserve">Indiana</t>
        </is>
      </c>
      <c r="R567" s="30" t="inlineStr">
        <is>
          <t xml:space="preserve">46204</t>
        </is>
      </c>
      <c r="S567" s="32" t="inlineStr">
        <is>
          <t xml:space="preserve">Severe convective - hail / tornado (moderate)</t>
        </is>
      </c>
      <c r="T567" s="36">
        <f>IF($A567="","",IF($S567="","",IFERROR(INDEX('[1]natural catastrophe'!$D$6:$D$17,MATCH($S567,'[1]natural catastrophe'!$B$6:$B$17,0)),"?")))</f>
      </c>
      <c r="U567" s="30" t="inlineStr">
        <is>
          <t xml:space="preserve">$5,000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4743.94</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CANON-202602-005433</t>
        </is>
      </c>
      <c r="B568" s="46" t="inlineStr">
        <is>
          <t xml:space="preserve">Leopold Okonkwo</t>
        </is>
      </c>
      <c r="C568" s="47">
        <v>46055</v>
      </c>
      <c r="D568" s="48" t="inlineStr">
        <is>
          <t xml:space="preserve">Bound - within authority</t>
        </is>
      </c>
      <c r="E568" s="48" t="inlineStr">
        <is>
          <t xml:space="preserve">New business</t>
        </is>
      </c>
      <c r="F568" s="46" t="inlineStr">
        <is>
          <t xml:space="preserve">B1234EXOTIC26</t>
        </is>
      </c>
      <c r="G568" s="33">
        <f>IF($A568="","",IF($C568="","",YEAR($C568)))</f>
      </c>
      <c r="H568" s="49">
        <v>1969</v>
      </c>
      <c r="I568" s="46" t="inlineStr">
        <is>
          <t xml:space="preserve">Bugatti</t>
        </is>
      </c>
      <c r="J568" s="46" t="inlineStr">
        <is>
          <t xml:space="preserve">Type 57</t>
        </is>
      </c>
      <c r="K568" s="46" t="inlineStr">
        <is>
          <t xml:space="preserve">MSDFXVJSB84E7S8TG</t>
        </is>
      </c>
      <c r="L568" s="48" t="inlineStr">
        <is>
          <t xml:space="preserve">07 - Post-War Classic (1946-1972)</t>
        </is>
      </c>
      <c r="M568" s="50">
        <v>500000</v>
      </c>
      <c r="N568" s="48" t="inlineStr">
        <is>
          <t xml:space="preserve">Personal</t>
        </is>
      </c>
      <c r="O568" s="46" t="inlineStr">
        <is>
          <t xml:space="preserve">Personal - regular use</t>
        </is>
      </c>
      <c r="P568" s="46" t="inlineStr">
        <is>
          <t xml:space="preserve">1,000 - 2,500</t>
        </is>
      </c>
      <c r="Q568" s="46" t="inlineStr">
        <is>
          <t xml:space="preserve">Florida</t>
        </is>
      </c>
      <c r="R568" s="46" t="inlineStr">
        <is>
          <t xml:space="preserve">33139</t>
        </is>
      </c>
      <c r="S568" s="48" t="inlineStr">
        <is>
          <t xml:space="preserve">Tier 2 - Coastal wind (1-25 miles)</t>
        </is>
      </c>
      <c r="T568" s="36">
        <f>IF($A568="","",IF($S568="","",IFERROR(INDEX('[1]natural catastrophe'!$D$6:$D$17,MATCH($S568,'[1]natural catastrophe'!$B$6:$B$17,0)),"?")))</f>
      </c>
      <c r="U568" s="46" t="inlineStr">
        <is>
          <t xml:space="preserve">2% of agreed value, minimum $10,000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4475.63</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CANON-202602-005436</t>
        </is>
      </c>
      <c r="B569" s="30" t="inlineStr">
        <is>
          <t xml:space="preserve">Wilhelmina Okonkwo</t>
        </is>
      </c>
      <c r="C569" s="31">
        <v>46077</v>
      </c>
      <c r="D569" s="32" t="inlineStr">
        <is>
          <t xml:space="preserve">Bound - within authority</t>
        </is>
      </c>
      <c r="E569" s="32" t="inlineStr">
        <is>
          <t xml:space="preserve">New business</t>
        </is>
      </c>
      <c r="F569" s="30" t="inlineStr">
        <is>
          <t xml:space="preserve">B1234EXOTIC26</t>
        </is>
      </c>
      <c r="G569" s="33">
        <f>IF($A569="","",IF($C569="","",YEAR($C569)))</f>
      </c>
      <c r="H569" s="34">
        <v>2001</v>
      </c>
      <c r="I569" s="30" t="inlineStr">
        <is>
          <t xml:space="preserve">Maserati</t>
        </is>
      </c>
      <c r="J569" s="30" t="inlineStr">
        <is>
          <t xml:space="preserve">GranTurismo</t>
        </is>
      </c>
      <c r="K569" s="30" t="inlineStr">
        <is>
          <t xml:space="preserve">7MYL9RFZKYY6VXFGN</t>
        </is>
      </c>
      <c r="L569" s="32" t="inlineStr">
        <is>
          <t xml:space="preserve">02 - Sports / GT</t>
        </is>
      </c>
      <c r="M569" s="35">
        <v>670000</v>
      </c>
      <c r="N569" s="32" t="inlineStr">
        <is>
          <t xml:space="preserve">Personal</t>
        </is>
      </c>
      <c r="O569" s="30" t="inlineStr">
        <is>
          <t xml:space="preserve">Personal - regular use</t>
        </is>
      </c>
      <c r="P569" s="30" t="inlineStr">
        <is>
          <t xml:space="preserve">2,500 - 5,000</t>
        </is>
      </c>
      <c r="Q569" s="30" t="inlineStr">
        <is>
          <t xml:space="preserve">New Hampshire</t>
        </is>
      </c>
      <c r="R569" s="30" t="inlineStr">
        <is>
          <t xml:space="preserve">03301</t>
        </is>
      </c>
      <c r="S569" s="32" t="inlineStr">
        <is>
          <t xml:space="preserve">Tier 3 - Coastal wind (25-100 miles)</t>
        </is>
      </c>
      <c r="T569" s="36">
        <f>IF($A569="","",IF($S569="","",IFERROR(INDEX('[1]natural catastrophe'!$D$6:$D$17,MATCH($S569,'[1]natural catastrophe'!$B$6:$B$17,0)),"?")))</f>
      </c>
      <c r="U569" s="30" t="inlineStr">
        <is>
          <t xml:space="preserve">2% of agreed value, minimum $10,000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7513.34</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CANON-202602-005437</t>
        </is>
      </c>
      <c r="B570" s="46" t="inlineStr">
        <is>
          <t xml:space="preserve">Beatrix Fairweather</t>
        </is>
      </c>
      <c r="C570" s="47">
        <v>46062</v>
      </c>
      <c r="D570" s="48" t="inlineStr">
        <is>
          <t xml:space="preserve">Bound - within authority</t>
        </is>
      </c>
      <c r="E570" s="48" t="inlineStr">
        <is>
          <t xml:space="preserve">New business</t>
        </is>
      </c>
      <c r="F570" s="46" t="inlineStr">
        <is>
          <t xml:space="preserve">B1234EXOTIC26</t>
        </is>
      </c>
      <c r="G570" s="33">
        <f>IF($A570="","",IF($C570="","",YEAR($C570)))</f>
      </c>
      <c r="H570" s="49">
        <v>1992</v>
      </c>
      <c r="I570" s="46" t="inlineStr">
        <is>
          <t xml:space="preserve">Bentley</t>
        </is>
      </c>
      <c r="J570" s="46" t="inlineStr">
        <is>
          <t xml:space="preserve">Continental GT</t>
        </is>
      </c>
      <c r="K570" s="46" t="inlineStr">
        <is>
          <t xml:space="preserve">LFWTE7VPKV55MY713</t>
        </is>
      </c>
      <c r="L570" s="48" t="inlineStr">
        <is>
          <t xml:space="preserve">02 - Sports / GT</t>
        </is>
      </c>
      <c r="M570" s="50">
        <v>330000</v>
      </c>
      <c r="N570" s="48" t="inlineStr">
        <is>
          <t xml:space="preserve">Personal</t>
        </is>
      </c>
      <c r="O570" s="46" t="inlineStr">
        <is>
          <t xml:space="preserve">Personal - regular use</t>
        </is>
      </c>
      <c r="P570" s="46" t="inlineStr">
        <is>
          <t xml:space="preserve">1,000 - 2,500</t>
        </is>
      </c>
      <c r="Q570" s="46" t="inlineStr">
        <is>
          <t xml:space="preserve">Rhode Island</t>
        </is>
      </c>
      <c r="R570" s="46" t="inlineStr">
        <is>
          <t xml:space="preserve">02903</t>
        </is>
      </c>
      <c r="S570" s="48" t="inlineStr">
        <is>
          <t xml:space="preserve">Tier 3 - Coastal wind (25-100 miles)</t>
        </is>
      </c>
      <c r="T570" s="36">
        <f>IF($A570="","",IF($S570="","",IFERROR(INDEX('[1]natural catastrophe'!$D$6:$D$17,MATCH($S570,'[1]natural catastrophe'!$B$6:$B$17,0)),"?")))</f>
      </c>
      <c r="U570" s="46" t="inlineStr">
        <is>
          <t xml:space="preserve">2% of agreed value, minimum $10,000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5624.81</v>
      </c>
      <c r="AC570" s="51">
        <v>0</v>
      </c>
      <c r="AD570" s="38">
        <f>IF(ISNUMBER($AB570),$AB570*(1+N($AC570)),"")</f>
      </c>
      <c r="AE570" s="50">
        <v>350</v>
      </c>
      <c r="AF570" s="50">
        <v>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CANON-202602-005439</t>
        </is>
      </c>
      <c r="B571" s="30" t="inlineStr">
        <is>
          <t xml:space="preserve">Leopold Bellandi</t>
        </is>
      </c>
      <c r="C571" s="31">
        <v>46074</v>
      </c>
      <c r="D571" s="32" t="inlineStr">
        <is>
          <t xml:space="preserve">Bound - within authority</t>
        </is>
      </c>
      <c r="E571" s="32" t="inlineStr">
        <is>
          <t xml:space="preserve">New business</t>
        </is>
      </c>
      <c r="F571" s="30" t="inlineStr">
        <is>
          <t xml:space="preserve">B1234EXOTIC26</t>
        </is>
      </c>
      <c r="G571" s="33">
        <f>IF($A571="","",IF($C571="","",YEAR($C571)))</f>
      </c>
      <c r="H571" s="34">
        <v>1998</v>
      </c>
      <c r="I571" s="30" t="inlineStr">
        <is>
          <t xml:space="preserve">Mercedes-Benz</t>
        </is>
      </c>
      <c r="J571" s="30" t="inlineStr">
        <is>
          <t xml:space="preserve">AMG GT</t>
        </is>
      </c>
      <c r="K571" s="30" t="inlineStr">
        <is>
          <t xml:space="preserve">NJR0LD7BZ359H04KF</t>
        </is>
      </c>
      <c r="L571" s="32" t="inlineStr">
        <is>
          <t xml:space="preserve">02 - Sports / GT</t>
        </is>
      </c>
      <c r="M571" s="35">
        <v>465000</v>
      </c>
      <c r="N571" s="32" t="inlineStr">
        <is>
          <t xml:space="preserve">Personal</t>
        </is>
      </c>
      <c r="O571" s="30" t="inlineStr">
        <is>
          <t xml:space="preserve">Personal - regular use</t>
        </is>
      </c>
      <c r="P571" s="30" t="inlineStr">
        <is>
          <t xml:space="preserve">Under 1,000</t>
        </is>
      </c>
      <c r="Q571" s="30" t="inlineStr">
        <is>
          <t xml:space="preserve">Connecticut</t>
        </is>
      </c>
      <c r="R571" s="30" t="inlineStr">
        <is>
          <t xml:space="preserve">06103</t>
        </is>
      </c>
      <c r="S571" s="32" t="inlineStr">
        <is>
          <t xml:space="preserve">Tier 3 - Coastal wind (25-100 miles)</t>
        </is>
      </c>
      <c r="T571" s="36">
        <f>IF($A571="","",IF($S571="","",IFERROR(INDEX('[1]natural catastrophe'!$D$6:$D$17,MATCH($S571,'[1]natural catastrophe'!$B$6:$B$17,0)),"?")))</f>
      </c>
      <c r="U571" s="30" t="inlineStr">
        <is>
          <t xml:space="preserve">2% of agreed value, minimum $10,000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6479.54</v>
      </c>
      <c r="AC571" s="37">
        <v>0</v>
      </c>
      <c r="AD571" s="38">
        <f>IF(ISNUMBER($AB571),$AB571*(1+N($AC571)),"")</f>
      </c>
      <c r="AE571" s="35">
        <v>350</v>
      </c>
      <c r="AF571" s="35">
        <v>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CANON-202602-005440</t>
        </is>
      </c>
      <c r="B572" s="46" t="inlineStr">
        <is>
          <t xml:space="preserve">Aurelio Pennington</t>
        </is>
      </c>
      <c r="C572" s="47">
        <v>46069</v>
      </c>
      <c r="D572" s="48" t="inlineStr">
        <is>
          <t xml:space="preserve">Bound - within authority</t>
        </is>
      </c>
      <c r="E572" s="48" t="inlineStr">
        <is>
          <t xml:space="preserve">New business</t>
        </is>
      </c>
      <c r="F572" s="46" t="inlineStr">
        <is>
          <t xml:space="preserve">B1234EXOTIC26</t>
        </is>
      </c>
      <c r="G572" s="33">
        <f>IF($A572="","",IF($C572="","",YEAR($C572)))</f>
      </c>
      <c r="H572" s="49">
        <v>1985</v>
      </c>
      <c r="I572" s="46" t="inlineStr">
        <is>
          <t xml:space="preserve">Ferrari</t>
        </is>
      </c>
      <c r="J572" s="46" t="inlineStr">
        <is>
          <t xml:space="preserve">275 GTB/4</t>
        </is>
      </c>
      <c r="K572" s="46" t="inlineStr">
        <is>
          <t xml:space="preserve">0WTXREJE83SNGH7HA</t>
        </is>
      </c>
      <c r="L572" s="48" t="inlineStr">
        <is>
          <t xml:space="preserve">08 - Modern Classic (1973-1999)</t>
        </is>
      </c>
      <c r="M572" s="50">
        <v>1070000</v>
      </c>
      <c r="N572" s="48" t="inlineStr">
        <is>
          <t xml:space="preserve">Personal</t>
        </is>
      </c>
      <c r="O572" s="46" t="inlineStr">
        <is>
          <t xml:space="preserve">Personal - regular use</t>
        </is>
      </c>
      <c r="P572" s="46" t="inlineStr">
        <is>
          <t xml:space="preserve">1,000 - 2,500</t>
        </is>
      </c>
      <c r="Q572" s="46" t="inlineStr">
        <is>
          <t xml:space="preserve">Texas</t>
        </is>
      </c>
      <c r="R572" s="46" t="inlineStr">
        <is>
          <t xml:space="preserve">75201</t>
        </is>
      </c>
      <c r="S572" s="48" t="inlineStr">
        <is>
          <t xml:space="preserve">Tier 2 - Coastal wind (1-25 miles)</t>
        </is>
      </c>
      <c r="T572" s="36">
        <f>IF($A572="","",IF($S572="","",IFERROR(INDEX('[1]natural catastrophe'!$D$6:$D$17,MATCH($S572,'[1]natural catastrophe'!$B$6:$B$17,0)),"?")))</f>
      </c>
      <c r="U572" s="46" t="inlineStr">
        <is>
          <t xml:space="preserve">2% of agreed value, minimum $10,000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7756.7</v>
      </c>
      <c r="AC572" s="51">
        <v>0</v>
      </c>
      <c r="AD572" s="38">
        <f>IF(ISNUMBER($AB572),$AB572*(1+N($AC572)),"")</f>
      </c>
      <c r="AE572" s="50">
        <v>350</v>
      </c>
      <c r="AF572" s="50">
        <v>250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CANON-202602-005441</t>
        </is>
      </c>
      <c r="B573" s="30" t="inlineStr">
        <is>
          <t xml:space="preserve">Noor Farkas</t>
        </is>
      </c>
      <c r="C573" s="31">
        <v>46054</v>
      </c>
      <c r="D573" s="32" t="inlineStr">
        <is>
          <t xml:space="preserve">Bound - within authority</t>
        </is>
      </c>
      <c r="E573" s="32" t="inlineStr">
        <is>
          <t xml:space="preserve">New business</t>
        </is>
      </c>
      <c r="F573" s="30" t="inlineStr">
        <is>
          <t xml:space="preserve">B1234EXOTIC26</t>
        </is>
      </c>
      <c r="G573" s="33">
        <f>IF($A573="","",IF($C573="","",YEAR($C573)))</f>
      </c>
      <c r="H573" s="34">
        <v>1960</v>
      </c>
      <c r="I573" s="30" t="inlineStr">
        <is>
          <t xml:space="preserve">Ferrari</t>
        </is>
      </c>
      <c r="J573" s="30" t="inlineStr">
        <is>
          <t xml:space="preserve">SF90 Stradale</t>
        </is>
      </c>
      <c r="K573" s="30" t="inlineStr">
        <is>
          <t xml:space="preserve">9BMYXFHKRNESRLAGY</t>
        </is>
      </c>
      <c r="L573" s="32" t="inlineStr">
        <is>
          <t xml:space="preserve">03 - Supercar</t>
        </is>
      </c>
      <c r="M573" s="35">
        <v>235000</v>
      </c>
      <c r="N573" s="32" t="inlineStr">
        <is>
          <t xml:space="preserve">Personal</t>
        </is>
      </c>
      <c r="O573" s="30" t="inlineStr">
        <is>
          <t xml:space="preserve">Personal - regular use</t>
        </is>
      </c>
      <c r="P573" s="30" t="inlineStr">
        <is>
          <t xml:space="preserve">Under 1,000</t>
        </is>
      </c>
      <c r="Q573" s="30" t="inlineStr">
        <is>
          <t xml:space="preserve">Oklahoma</t>
        </is>
      </c>
      <c r="R573" s="30" t="inlineStr">
        <is>
          <t xml:space="preserve">73102</t>
        </is>
      </c>
      <c r="S573" s="32" t="inlineStr">
        <is>
          <t xml:space="preserve">Severe convective - hail alley (high)</t>
        </is>
      </c>
      <c r="T573" s="36">
        <f>IF($A573="","",IF($S573="","",IFERROR(INDEX('[1]natural catastrophe'!$D$6:$D$17,MATCH($S573,'[1]natural catastrophe'!$B$6:$B$17,0)),"?")))</f>
      </c>
      <c r="U573" s="30" t="inlineStr">
        <is>
          <t xml:space="preserve">$5,000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6974.91</v>
      </c>
      <c r="AC573" s="37">
        <v>0</v>
      </c>
      <c r="AD573" s="38">
        <f>IF(ISNUMBER($AB573),$AB573*(1+N($AC573)),"")</f>
      </c>
      <c r="AE573" s="35">
        <v>350</v>
      </c>
      <c r="AF573" s="35">
        <v>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CANON-202602-005442</t>
        </is>
      </c>
      <c r="B574" s="46" t="inlineStr">
        <is>
          <t xml:space="preserve">Ingrid Ashcombe</t>
        </is>
      </c>
      <c r="C574" s="47">
        <v>46079</v>
      </c>
      <c r="D574" s="48" t="inlineStr">
        <is>
          <t xml:space="preserve">Bound - within authority</t>
        </is>
      </c>
      <c r="E574" s="48" t="inlineStr">
        <is>
          <t xml:space="preserve">New business</t>
        </is>
      </c>
      <c r="F574" s="46" t="inlineStr">
        <is>
          <t xml:space="preserve">B1234EXOTIC26</t>
        </is>
      </c>
      <c r="G574" s="33">
        <f>IF($A574="","",IF($C574="","",YEAR($C574)))</f>
      </c>
      <c r="H574" s="49">
        <v>2001</v>
      </c>
      <c r="I574" s="46" t="inlineStr">
        <is>
          <t xml:space="preserve">Porsche</t>
        </is>
      </c>
      <c r="J574" s="46" t="inlineStr">
        <is>
          <t xml:space="preserve">911 Turbo S</t>
        </is>
      </c>
      <c r="K574" s="46" t="inlineStr">
        <is>
          <t xml:space="preserve">EDV48JNX8WNWFS35N</t>
        </is>
      </c>
      <c r="L574" s="48" t="inlineStr">
        <is>
          <t xml:space="preserve">02 - Sports / GT</t>
        </is>
      </c>
      <c r="M574" s="50">
        <v>235000</v>
      </c>
      <c r="N574" s="48" t="inlineStr">
        <is>
          <t xml:space="preserve">Personal</t>
        </is>
      </c>
      <c r="O574" s="46" t="inlineStr">
        <is>
          <t xml:space="preserve">Personal - regular use</t>
        </is>
      </c>
      <c r="P574" s="46" t="inlineStr">
        <is>
          <t xml:space="preserve">1,000 - 2,500</t>
        </is>
      </c>
      <c r="Q574" s="46" t="inlineStr">
        <is>
          <t xml:space="preserve">Michigan</t>
        </is>
      </c>
      <c r="R574" s="46" t="inlineStr">
        <is>
          <t xml:space="preserve">48226</t>
        </is>
      </c>
      <c r="S574" s="48" t="inlineStr">
        <is>
          <t xml:space="preserve">Severe convective - hail / tornado (moderate)</t>
        </is>
      </c>
      <c r="T574" s="36">
        <f>IF($A574="","",IF($S574="","",IFERROR(INDEX('[1]natural catastrophe'!$D$6:$D$17,MATCH($S574,'[1]natural catastrophe'!$B$6:$B$17,0)),"?")))</f>
      </c>
      <c r="U574" s="46" t="inlineStr">
        <is>
          <t xml:space="preserve">$5,000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5559.03</v>
      </c>
      <c r="AC574" s="51">
        <v>0</v>
      </c>
      <c r="AD574" s="38">
        <f>IF(ISNUMBER($AB574),$AB574*(1+N($AC574)),"")</f>
      </c>
      <c r="AE574" s="50">
        <v>350</v>
      </c>
      <c r="AF574" s="50">
        <v>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CANON-202602-005443</t>
        </is>
      </c>
      <c r="B575" s="30" t="inlineStr">
        <is>
          <t xml:space="preserve">Mireille Chattopadhyay</t>
        </is>
      </c>
      <c r="C575" s="31">
        <v>46076</v>
      </c>
      <c r="D575" s="32" t="inlineStr">
        <is>
          <t xml:space="preserve">Bound - within authority</t>
        </is>
      </c>
      <c r="E575" s="32" t="inlineStr">
        <is>
          <t xml:space="preserve">New business</t>
        </is>
      </c>
      <c r="F575" s="30" t="inlineStr">
        <is>
          <t xml:space="preserve">B1234EXOTIC26</t>
        </is>
      </c>
      <c r="G575" s="33">
        <f>IF($A575="","",IF($C575="","",YEAR($C575)))</f>
      </c>
      <c r="H575" s="34">
        <v>1991</v>
      </c>
      <c r="I575" s="30" t="inlineStr">
        <is>
          <t xml:space="preserve">McLaren</t>
        </is>
      </c>
      <c r="J575" s="30" t="inlineStr">
        <is>
          <t xml:space="preserve">750S</t>
        </is>
      </c>
      <c r="K575" s="30" t="inlineStr">
        <is>
          <t xml:space="preserve">3RVVGR75H06CMTXCA</t>
        </is>
      </c>
      <c r="L575" s="32" t="inlineStr">
        <is>
          <t xml:space="preserve">03 - Supercar</t>
        </is>
      </c>
      <c r="M575" s="35">
        <v>1255000</v>
      </c>
      <c r="N575" s="32" t="inlineStr">
        <is>
          <t xml:space="preserve">Personal</t>
        </is>
      </c>
      <c r="O575" s="30" t="inlineStr">
        <is>
          <t xml:space="preserve">Personal - regular use</t>
        </is>
      </c>
      <c r="P575" s="30" t="inlineStr">
        <is>
          <t xml:space="preserve">2,500 - 5,000</t>
        </is>
      </c>
      <c r="Q575" s="30" t="inlineStr">
        <is>
          <t xml:space="preserve">Michigan</t>
        </is>
      </c>
      <c r="R575" s="30" t="inlineStr">
        <is>
          <t xml:space="preserve">48226</t>
        </is>
      </c>
      <c r="S575" s="32" t="inlineStr">
        <is>
          <t xml:space="preserve">Severe convective - hail / tornado (moderate)</t>
        </is>
      </c>
      <c r="T575" s="36">
        <f>IF($A575="","",IF($S575="","",IFERROR(INDEX('[1]natural catastrophe'!$D$6:$D$17,MATCH($S575,'[1]natural catastrophe'!$B$6:$B$17,0)),"?")))</f>
      </c>
      <c r="U575" s="30" t="inlineStr">
        <is>
          <t xml:space="preserve">$5,000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25815.3</v>
      </c>
      <c r="AC575" s="37">
        <v>0</v>
      </c>
      <c r="AD575" s="38">
        <f>IF(ISNUMBER($AB575),$AB575*(1+N($AC575)),"")</f>
      </c>
      <c r="AE575" s="35">
        <v>350</v>
      </c>
      <c r="AF575" s="35">
        <v>250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CANON-202602-005444</t>
        </is>
      </c>
      <c r="B576" s="46" t="inlineStr">
        <is>
          <t xml:space="preserve">Horace Blackwood</t>
        </is>
      </c>
      <c r="C576" s="47">
        <v>46075</v>
      </c>
      <c r="D576" s="48" t="inlineStr">
        <is>
          <t xml:space="preserve">Bound - within authority</t>
        </is>
      </c>
      <c r="E576" s="48" t="inlineStr">
        <is>
          <t xml:space="preserve">New business</t>
        </is>
      </c>
      <c r="F576" s="46" t="inlineStr">
        <is>
          <t xml:space="preserve">B1234EXOTIC26</t>
        </is>
      </c>
      <c r="G576" s="33">
        <f>IF($A576="","",IF($C576="","",YEAR($C576)))</f>
      </c>
      <c r="H576" s="49">
        <v>1963</v>
      </c>
      <c r="I576" s="46" t="inlineStr">
        <is>
          <t xml:space="preserve">Maserati</t>
        </is>
      </c>
      <c r="J576" s="46" t="inlineStr">
        <is>
          <t xml:space="preserve">GranTurismo</t>
        </is>
      </c>
      <c r="K576" s="46" t="inlineStr">
        <is>
          <t xml:space="preserve">MG567BKKDZMN86BM5</t>
        </is>
      </c>
      <c r="L576" s="48" t="inlineStr">
        <is>
          <t xml:space="preserve">02 - Sports / GT</t>
        </is>
      </c>
      <c r="M576" s="50">
        <v>265000</v>
      </c>
      <c r="N576" s="48" t="inlineStr">
        <is>
          <t xml:space="preserve">Personal</t>
        </is>
      </c>
      <c r="O576" s="46" t="inlineStr">
        <is>
          <t xml:space="preserve">Personal - regular use</t>
        </is>
      </c>
      <c r="P576" s="46" t="inlineStr">
        <is>
          <t xml:space="preserve">Under 1,000</t>
        </is>
      </c>
      <c r="Q576" s="46" t="inlineStr">
        <is>
          <t xml:space="preserve">Kentucky</t>
        </is>
      </c>
      <c r="R576" s="46" t="inlineStr">
        <is>
          <t xml:space="preserve">40202</t>
        </is>
      </c>
      <c r="S576" s="48" t="inlineStr">
        <is>
          <t xml:space="preserve">Severe convective - hail / tornado (moderate)</t>
        </is>
      </c>
      <c r="T576" s="36">
        <f>IF($A576="","",IF($S576="","",IFERROR(INDEX('[1]natural catastrophe'!$D$6:$D$17,MATCH($S576,'[1]natural catastrophe'!$B$6:$B$17,0)),"?")))</f>
      </c>
      <c r="U576" s="46" t="inlineStr">
        <is>
          <t xml:space="preserve">$5,000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4417.98</v>
      </c>
      <c r="AC576" s="51">
        <v>0</v>
      </c>
      <c r="AD576" s="38">
        <f>IF(ISNUMBER($AB576),$AB576*(1+N($AC576)),"")</f>
      </c>
      <c r="AE576" s="50">
        <v>350</v>
      </c>
      <c r="AF576" s="50">
        <v>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CANON-202602-005446</t>
        </is>
      </c>
      <c r="B577" s="30" t="inlineStr">
        <is>
          <t xml:space="preserve">Ottilie Ashcombe</t>
        </is>
      </c>
      <c r="C577" s="31">
        <v>46054</v>
      </c>
      <c r="D577" s="32" t="inlineStr">
        <is>
          <t xml:space="preserve">Bound - within authority</t>
        </is>
      </c>
      <c r="E577" s="32" t="inlineStr">
        <is>
          <t xml:space="preserve">New business</t>
        </is>
      </c>
      <c r="F577" s="30" t="inlineStr">
        <is>
          <t xml:space="preserve">B1234EXOTIC26</t>
        </is>
      </c>
      <c r="G577" s="33">
        <f>IF($A577="","",IF($C577="","",YEAR($C577)))</f>
      </c>
      <c r="H577" s="34">
        <v>1962</v>
      </c>
      <c r="I577" s="30" t="inlineStr">
        <is>
          <t xml:space="preserve">Aston Martin</t>
        </is>
      </c>
      <c r="J577" s="30" t="inlineStr">
        <is>
          <t xml:space="preserve">DB12</t>
        </is>
      </c>
      <c r="K577" s="30" t="inlineStr">
        <is>
          <t xml:space="preserve">PYW58MML0U7VDVTUD</t>
        </is>
      </c>
      <c r="L577" s="32" t="inlineStr">
        <is>
          <t xml:space="preserve">02 - Sports / GT</t>
        </is>
      </c>
      <c r="M577" s="35">
        <v>480000</v>
      </c>
      <c r="N577" s="32" t="inlineStr">
        <is>
          <t xml:space="preserve">Personal</t>
        </is>
      </c>
      <c r="O577" s="30" t="inlineStr">
        <is>
          <t xml:space="preserve">Personal - regular use</t>
        </is>
      </c>
      <c r="P577" s="30" t="inlineStr">
        <is>
          <t xml:space="preserve">2,500 - 5,000</t>
        </is>
      </c>
      <c r="Q577" s="30" t="inlineStr">
        <is>
          <t xml:space="preserve">Maine</t>
        </is>
      </c>
      <c r="R577" s="30" t="inlineStr">
        <is>
          <t xml:space="preserve">04101</t>
        </is>
      </c>
      <c r="S577" s="32" t="inlineStr">
        <is>
          <t xml:space="preserve">Tier 3 - Coastal wind (25-100 miles)</t>
        </is>
      </c>
      <c r="T577" s="36">
        <f>IF($A577="","",IF($S577="","",IFERROR(INDEX('[1]natural catastrophe'!$D$6:$D$17,MATCH($S577,'[1]natural catastrophe'!$B$6:$B$17,0)),"?")))</f>
      </c>
      <c r="U577" s="30" t="inlineStr">
        <is>
          <t xml:space="preserve">2% of agreed value, minimum $10,000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6449.68</v>
      </c>
      <c r="AC577" s="37">
        <v>0</v>
      </c>
      <c r="AD577" s="38">
        <f>IF(ISNUMBER($AB577),$AB577*(1+N($AC577)),"")</f>
      </c>
      <c r="AE577" s="35">
        <v>350</v>
      </c>
      <c r="AF577" s="35">
        <v>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CANON-202602-005447</t>
        </is>
      </c>
      <c r="B578" s="46" t="inlineStr">
        <is>
          <t xml:space="preserve">Aurelio Fairweather</t>
        </is>
      </c>
      <c r="C578" s="47">
        <v>46055</v>
      </c>
      <c r="D578" s="48" t="inlineStr">
        <is>
          <t xml:space="preserve">Bound - within authority</t>
        </is>
      </c>
      <c r="E578" s="48" t="inlineStr">
        <is>
          <t xml:space="preserve">New business</t>
        </is>
      </c>
      <c r="F578" s="46" t="inlineStr">
        <is>
          <t xml:space="preserve">B1234EXOTIC26</t>
        </is>
      </c>
      <c r="G578" s="33">
        <f>IF($A578="","",IF($C578="","",YEAR($C578)))</f>
      </c>
      <c r="H578" s="49">
        <v>2002</v>
      </c>
      <c r="I578" s="46" t="inlineStr">
        <is>
          <t xml:space="preserve">Maserati</t>
        </is>
      </c>
      <c r="J578" s="46" t="inlineStr">
        <is>
          <t xml:space="preserve">GranTurismo</t>
        </is>
      </c>
      <c r="K578" s="46" t="inlineStr">
        <is>
          <t xml:space="preserve">STPSUHKM1JH5P71HR</t>
        </is>
      </c>
      <c r="L578" s="48" t="inlineStr">
        <is>
          <t xml:space="preserve">02 - Sports / GT</t>
        </is>
      </c>
      <c r="M578" s="50">
        <v>1380000</v>
      </c>
      <c r="N578" s="48" t="inlineStr">
        <is>
          <t xml:space="preserve">Personal</t>
        </is>
      </c>
      <c r="O578" s="46" t="inlineStr">
        <is>
          <t xml:space="preserve">Personal - regular use</t>
        </is>
      </c>
      <c r="P578" s="46" t="inlineStr">
        <is>
          <t xml:space="preserve">1,000 - 2,500</t>
        </is>
      </c>
      <c r="Q578" s="46" t="inlineStr">
        <is>
          <t xml:space="preserve">New York</t>
        </is>
      </c>
      <c r="R578" s="46" t="inlineStr">
        <is>
          <t xml:space="preserve">10022</t>
        </is>
      </c>
      <c r="S578" s="48" t="inlineStr">
        <is>
          <t xml:space="preserve">Tier 3 - Coastal wind (25-100 miles)</t>
        </is>
      </c>
      <c r="T578" s="36">
        <f>IF($A578="","",IF($S578="","",IFERROR(INDEX('[1]natural catastrophe'!$D$6:$D$17,MATCH($S578,'[1]natural catastrophe'!$B$6:$B$17,0)),"?")))</f>
      </c>
      <c r="U578" s="46" t="inlineStr">
        <is>
          <t xml:space="preserve">2% of agreed value, minimum $10,000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16116.24</v>
      </c>
      <c r="AC578" s="51">
        <v>0</v>
      </c>
      <c r="AD578" s="38">
        <f>IF(ISNUMBER($AB578),$AB578*(1+N($AC578)),"")</f>
      </c>
      <c r="AE578" s="50">
        <v>350</v>
      </c>
      <c r="AF578" s="50">
        <v>250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CANON-202602-005448</t>
        </is>
      </c>
      <c r="B579" s="30" t="inlineStr">
        <is>
          <t xml:space="preserve">Emiliano Ashcombe</t>
        </is>
      </c>
      <c r="C579" s="31">
        <v>46072</v>
      </c>
      <c r="D579" s="32" t="inlineStr">
        <is>
          <t xml:space="preserve">Bound - within authority</t>
        </is>
      </c>
      <c r="E579" s="32" t="inlineStr">
        <is>
          <t xml:space="preserve">New business</t>
        </is>
      </c>
      <c r="F579" s="30" t="inlineStr">
        <is>
          <t xml:space="preserve">B1234EXOTIC26</t>
        </is>
      </c>
      <c r="G579" s="33">
        <f>IF($A579="","",IF($C579="","",YEAR($C579)))</f>
      </c>
      <c r="H579" s="34">
        <v>1971</v>
      </c>
      <c r="I579" s="30" t="inlineStr">
        <is>
          <t xml:space="preserve">Mercedes-Benz</t>
        </is>
      </c>
      <c r="J579" s="30" t="inlineStr">
        <is>
          <t xml:space="preserve">AMG GT</t>
        </is>
      </c>
      <c r="K579" s="30" t="inlineStr">
        <is>
          <t xml:space="preserve">BR79SPNS1LXU4VYZT</t>
        </is>
      </c>
      <c r="L579" s="32" t="inlineStr">
        <is>
          <t xml:space="preserve">02 - Sports / GT</t>
        </is>
      </c>
      <c r="M579" s="35">
        <v>1040000</v>
      </c>
      <c r="N579" s="32" t="inlineStr">
        <is>
          <t xml:space="preserve">Personal</t>
        </is>
      </c>
      <c r="O579" s="30" t="inlineStr">
        <is>
          <t xml:space="preserve">Personal - regular use</t>
        </is>
      </c>
      <c r="P579" s="30" t="inlineStr">
        <is>
          <t xml:space="preserve">Under 1,000</t>
        </is>
      </c>
      <c r="Q579" s="30" t="inlineStr">
        <is>
          <t xml:space="preserve">Massachusetts</t>
        </is>
      </c>
      <c r="R579" s="30" t="inlineStr">
        <is>
          <t xml:space="preserve">02108</t>
        </is>
      </c>
      <c r="S579" s="32" t="inlineStr">
        <is>
          <t xml:space="preserve">Tier 3 - Coastal wind (25-100 miles)</t>
        </is>
      </c>
      <c r="T579" s="36">
        <f>IF($A579="","",IF($S579="","",IFERROR(INDEX('[1]natural catastrophe'!$D$6:$D$17,MATCH($S579,'[1]natural catastrophe'!$B$6:$B$17,0)),"?")))</f>
      </c>
      <c r="U579" s="30" t="inlineStr">
        <is>
          <t xml:space="preserve">2% of agreed value, minimum $10,000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11860.91</v>
      </c>
      <c r="AC579" s="37">
        <v>0</v>
      </c>
      <c r="AD579" s="38">
        <f>IF(ISNUMBER($AB579),$AB579*(1+N($AC579)),"")</f>
      </c>
      <c r="AE579" s="35">
        <v>350</v>
      </c>
      <c r="AF579" s="35">
        <v>250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row r="580" spans="1:58" ht="18.75" customHeight="1" x14ac:dyDescent="0.25">
      <c r="A580" s="46" t="inlineStr">
        <is>
          <t xml:space="preserve">CANON-202602-005449</t>
        </is>
      </c>
      <c r="B580" s="46" t="inlineStr">
        <is>
          <t xml:space="preserve">Fenwick Fairweather</t>
        </is>
      </c>
      <c r="C580" s="47">
        <v>46058</v>
      </c>
      <c r="D580" s="48" t="inlineStr">
        <is>
          <t xml:space="preserve">Bound - within authority</t>
        </is>
      </c>
      <c r="E580" s="48" t="inlineStr">
        <is>
          <t xml:space="preserve">New business</t>
        </is>
      </c>
      <c r="F580" s="46" t="inlineStr">
        <is>
          <t xml:space="preserve">B1234EXOTIC26</t>
        </is>
      </c>
      <c r="G580" s="33">
        <f>IF($A580="","",IF($C580="","",YEAR($C580)))</f>
      </c>
      <c r="H580" s="49">
        <v>1967</v>
      </c>
      <c r="I580" s="46" t="inlineStr">
        <is>
          <t xml:space="preserve">Porsche</t>
        </is>
      </c>
      <c r="J580" s="46" t="inlineStr">
        <is>
          <t xml:space="preserve">911 Turbo S</t>
        </is>
      </c>
      <c r="K580" s="46" t="inlineStr">
        <is>
          <t xml:space="preserve">RZL55GR4L8YC2N93W</t>
        </is>
      </c>
      <c r="L580" s="48" t="inlineStr">
        <is>
          <t xml:space="preserve">02 - Sports / GT</t>
        </is>
      </c>
      <c r="M580" s="50">
        <v>1115000</v>
      </c>
      <c r="N580" s="48" t="inlineStr">
        <is>
          <t xml:space="preserve">Personal</t>
        </is>
      </c>
      <c r="O580" s="46" t="inlineStr">
        <is>
          <t xml:space="preserve">Personal - regular use</t>
        </is>
      </c>
      <c r="P580" s="46" t="inlineStr">
        <is>
          <t xml:space="preserve">Under 1,000</t>
        </is>
      </c>
      <c r="Q580" s="46" t="inlineStr">
        <is>
          <t xml:space="preserve">Hawaii</t>
        </is>
      </c>
      <c r="R580" s="46" t="inlineStr">
        <is>
          <t xml:space="preserve">96813</t>
        </is>
      </c>
      <c r="S580" s="48" t="inlineStr">
        <is>
          <t xml:space="preserve">Earthquake - high (CA, Cascadia, New Madrid)</t>
        </is>
      </c>
      <c r="T580" s="36">
        <f>IF($A580="","",IF($S580="","",IFERROR(INDEX('[1]natural catastrophe'!$D$6:$D$17,MATCH($S580,'[1]natural catastrophe'!$B$6:$B$17,0)),"?")))</f>
      </c>
      <c r="U580" s="46" t="inlineStr">
        <is>
          <t xml:space="preserve">$5,000</t>
        </is>
      </c>
      <c r="V580" s="48" t="inlineStr">
        <is>
          <t xml:space="preserve">Agreed Value</t>
        </is>
      </c>
      <c r="W580" s="46" t="inlineStr">
        <is>
          <t xml:space="preserve">$1,000</t>
        </is>
      </c>
      <c r="X580" s="48" t="inlineStr">
        <is>
          <t xml:space="preserve">$1,000,000 CSL</t>
        </is>
      </c>
      <c r="Y580" s="46"/>
      <c r="Z580" s="46"/>
      <c r="AA580" s="48" t="inlineStr">
        <is>
          <t xml:space="preserve">Surplus Lines</t>
        </is>
      </c>
      <c r="AB580" s="50">
        <v>13224.91</v>
      </c>
      <c r="AC580" s="51">
        <v>0</v>
      </c>
      <c r="AD580" s="38">
        <f>IF(ISNUMBER($AB580),$AB580*(1+N($AC580)),"")</f>
      </c>
      <c r="AE580" s="50">
        <v>350</v>
      </c>
      <c r="AF580" s="50">
        <v>250</v>
      </c>
      <c r="AG580" s="51"/>
      <c r="AH580" s="39">
        <f>IF(ISNUMBER($AD580),($AD580+$AE580+$AF580)*$AG580,"")</f>
      </c>
      <c r="AI580" s="50"/>
      <c r="AJ580" s="38">
        <f>IF(ISNUMBER($AD580),SUM($AD580:$AH580),"")</f>
      </c>
      <c r="AK580" s="40">
        <f>IF(AND(ISNUMBER($AB580),ISNUMBER($AD580)),IF($AB580&gt;0,$AD580/$AB580,""),"")</f>
      </c>
      <c r="AL580" s="48" t="inlineStr">
        <is>
          <t xml:space="preserve">At technical</t>
        </is>
      </c>
      <c r="AM580" s="41">
        <f>IF(ISNUMBER($AD580),Header!$I$3,"")</f>
      </c>
      <c r="AN580" s="39">
        <f>IF(ISNUMBER($AD580),$AO580+$AP580,"")</f>
      </c>
      <c r="AO580" s="39">
        <f>IF(ISNUMBER($AD580),ROUND($AD580*Header!$K$3,2),"")</f>
      </c>
      <c r="AP580" s="39">
        <f>IF(ISNUMBER($AD580),ROUND($AD580*Header!$M$3,2),"")</f>
      </c>
      <c r="AQ580" s="38">
        <f>IF(ISNUMBER($AD580),ROUND($AD580,2)-$AO580-$AP580,"")</f>
      </c>
      <c r="AR580" s="39">
        <f>IF(ISNUMBER($AD580),IF(Header!$D$34="","?",$AD580*Header!$D$34),"")</f>
      </c>
      <c r="AS580" s="39">
        <f>IF(ISNUMBER($AB580),IF(Header!$D$34="","?",$AB580*Header!$D$34),"")</f>
      </c>
      <c r="AT580" s="42">
        <f>IF(AND(ISNUMBER($AB580),$M580&gt;0),$AB580/$M580*100,"")</f>
      </c>
      <c r="AU580" s="42">
        <f>IF(AND(ISNUMBER($AD580),$M580&gt;0),$AD580/$M580*100,"")</f>
      </c>
      <c r="AV580" s="40">
        <f>IF(AND(ISNUMBER($AB580),ISNUMBER($AD580),ABS($AB580)&gt;0),$AD580/$AB580,"")</f>
      </c>
      <c r="AW580" s="39">
        <f>IF(ISNUMBER($AD580),MAX(0,(1-0.55-Header!$O$3)*Header!$Q$3*$AQ580),"")</f>
      </c>
      <c r="AX580" s="43">
        <f>IF($A580="","",IF(TRIM(IF($A580="","Missing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",""))="","PASS","FAIL: "&amp;TRIM(IF($A580="","Missing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f>
      </c>
      <c r="AY580" s="44">
        <f>IF($M580="","",IF(ISNUMBER($M580),IF($M580&gt;=Header!$C$18,"YES — refer","No"),""))</f>
      </c>
      <c r="AZ580" s="44">
        <f>IF($AD580="","",IF(ISNUMBER($AD580),IF($AD580&lt;Header!$C$20,"BELOW MIN PREMIUM","OK"),""))</f>
      </c>
      <c r="BA580" s="48" t="inlineStr">
        <is>
          <t xml:space="preserve">Yes</t>
        </is>
      </c>
      <c r="BB580" s="48" t="inlineStr">
        <is>
          <t xml:space="preserve">Yes</t>
        </is>
      </c>
      <c r="BC580" s="46" t="inlineStr">
        <is>
          <t xml:space="preserve">Synthetic demo data</t>
        </is>
      </c>
      <c r="BE580" s="45">
        <f>IF(OR($A580="",$L580="",$H580=""),"",IF(AND(LEFT($L580,2)="06",$H580&gt;1945),"FAIL - pre-war class, year "&amp;$H580,IF(AND(LEFT($L580,2)="07",OR($H580&lt;1946,$H580&gt;1972)),"FAIL - 1946-72 class, year "&amp;$H580,IF(AND(LEFT($L580,2)="08",OR($H580&lt;1973,$H580&gt;1999)),"FAIL - 1973-99 class, year "&amp;$H580,IF(AND(LEFT($L580,2)="09",OR($H580&lt;2000,$H580&gt;2010)),"FAIL - 2000-10 class, year "&amp;$H580,"OK")))))</f>
      </c>
      <c r="BF580" s="45">
        <f>IF($AD580="","",IF(ROUND($AO580+$AP580+$AQ580-$AD580,2)=0,"OK","FAIL - out by "&amp;TEXT($AO580+$AP580+$AQ580-$AD580,"$0.00")))</f>
      </c>
    </row>
    <row r="581" spans="1:58" ht="18.75" customHeight="1" x14ac:dyDescent="0.25">
      <c r="A581" s="30" t="inlineStr">
        <is>
          <t xml:space="preserve">CANON-202602-005450</t>
        </is>
      </c>
      <c r="B581" s="30" t="inlineStr">
        <is>
          <t xml:space="preserve">Sunniva Okonkwo</t>
        </is>
      </c>
      <c r="C581" s="31">
        <v>46062</v>
      </c>
      <c r="D581" s="32" t="inlineStr">
        <is>
          <t xml:space="preserve">Bound - within authority</t>
        </is>
      </c>
      <c r="E581" s="32" t="inlineStr">
        <is>
          <t xml:space="preserve">New business</t>
        </is>
      </c>
      <c r="F581" s="30" t="inlineStr">
        <is>
          <t xml:space="preserve">B1234EXOTIC26</t>
        </is>
      </c>
      <c r="G581" s="33">
        <f>IF($A581="","",IF($C581="","",YEAR($C581)))</f>
      </c>
      <c r="H581" s="34">
        <v>1975</v>
      </c>
      <c r="I581" s="30" t="inlineStr">
        <is>
          <t xml:space="preserve">Aston Martin</t>
        </is>
      </c>
      <c r="J581" s="30" t="inlineStr">
        <is>
          <t xml:space="preserve">DB12</t>
        </is>
      </c>
      <c r="K581" s="30" t="inlineStr">
        <is>
          <t xml:space="preserve">SD2D6CDDCJ6N1US2J</t>
        </is>
      </c>
      <c r="L581" s="32" t="inlineStr">
        <is>
          <t xml:space="preserve">02 - Sports / GT</t>
        </is>
      </c>
      <c r="M581" s="35">
        <v>550000</v>
      </c>
      <c r="N581" s="32" t="inlineStr">
        <is>
          <t xml:space="preserve">Personal</t>
        </is>
      </c>
      <c r="O581" s="30" t="inlineStr">
        <is>
          <t xml:space="preserve">Personal - regular use</t>
        </is>
      </c>
      <c r="P581" s="30" t="inlineStr">
        <is>
          <t xml:space="preserve">Under 1,000</t>
        </is>
      </c>
      <c r="Q581" s="30" t="inlineStr">
        <is>
          <t xml:space="preserve">Pennsylvania</t>
        </is>
      </c>
      <c r="R581" s="30" t="inlineStr">
        <is>
          <t xml:space="preserve">19103</t>
        </is>
      </c>
      <c r="S581" s="32" t="inlineStr">
        <is>
          <t xml:space="preserve">Low hazard - inland benign</t>
        </is>
      </c>
      <c r="T581" s="36">
        <f>IF($A581="","",IF($S581="","",IFERROR(INDEX('[1]natural catastrophe'!$D$6:$D$17,MATCH($S581,'[1]natural catastrophe'!$B$6:$B$17,0)),"?")))</f>
      </c>
      <c r="U581" s="30" t="inlineStr">
        <is>
          <t xml:space="preserve">$5,000</t>
        </is>
      </c>
      <c r="V581" s="32" t="inlineStr">
        <is>
          <t xml:space="preserve">Agreed Value</t>
        </is>
      </c>
      <c r="W581" s="30" t="inlineStr">
        <is>
          <t xml:space="preserve">$1,000</t>
        </is>
      </c>
      <c r="X581" s="32" t="inlineStr">
        <is>
          <t xml:space="preserve">$1,000,000 CSL</t>
        </is>
      </c>
      <c r="Y581" s="30"/>
      <c r="Z581" s="30"/>
      <c r="AA581" s="32" t="inlineStr">
        <is>
          <t xml:space="preserve">Surplus Lines</t>
        </is>
      </c>
      <c r="AB581" s="35">
        <v>5930.45</v>
      </c>
      <c r="AC581" s="37">
        <v>0</v>
      </c>
      <c r="AD581" s="38">
        <f>IF(ISNUMBER($AB581),$AB581*(1+N($AC581)),"")</f>
      </c>
      <c r="AE581" s="35">
        <v>350</v>
      </c>
      <c r="AF581" s="35">
        <v>0</v>
      </c>
      <c r="AG581" s="37"/>
      <c r="AH581" s="39">
        <f>IF(ISNUMBER($AD581),($AD581+$AE581+$AF581)*$AG581,"")</f>
      </c>
      <c r="AI581" s="35"/>
      <c r="AJ581" s="38">
        <f>IF(ISNUMBER($AD581),SUM($AD581:$AH581),"")</f>
      </c>
      <c r="AK581" s="40">
        <f>IF(AND(ISNUMBER($AB581),ISNUMBER($AD581)),IF($AB581&gt;0,$AD581/$AB581,""),"")</f>
      </c>
      <c r="AL581" s="32" t="inlineStr">
        <is>
          <t xml:space="preserve">At technical</t>
        </is>
      </c>
      <c r="AM581" s="41">
        <f>IF(ISNUMBER($AD581),Header!$I$3,"")</f>
      </c>
      <c r="AN581" s="39">
        <f>IF(ISNUMBER($AD581),$AO581+$AP581,"")</f>
      </c>
      <c r="AO581" s="39">
        <f>IF(ISNUMBER($AD581),ROUND($AD581*Header!$K$3,2),"")</f>
      </c>
      <c r="AP581" s="39">
        <f>IF(ISNUMBER($AD581),ROUND($AD581*Header!$M$3,2),"")</f>
      </c>
      <c r="AQ581" s="38">
        <f>IF(ISNUMBER($AD581),ROUND($AD581,2)-$AO581-$AP581,"")</f>
      </c>
      <c r="AR581" s="39">
        <f>IF(ISNUMBER($AD581),IF(Header!$D$34="","?",$AD581*Header!$D$34),"")</f>
      </c>
      <c r="AS581" s="39">
        <f>IF(ISNUMBER($AB581),IF(Header!$D$34="","?",$AB581*Header!$D$34),"")</f>
      </c>
      <c r="AT581" s="42">
        <f>IF(AND(ISNUMBER($AB581),$M581&gt;0),$AB581/$M581*100,"")</f>
      </c>
      <c r="AU581" s="42">
        <f>IF(AND(ISNUMBER($AD581),$M581&gt;0),$AD581/$M581*100,"")</f>
      </c>
      <c r="AV581" s="40">
        <f>IF(AND(ISNUMBER($AB581),ISNUMBER($AD581),ABS($AB581)&gt;0),$AD581/$AB581,"")</f>
      </c>
      <c r="AW581" s="39">
        <f>IF(ISNUMBER($AD581),MAX(0,(1-0.55-Header!$O$3)*Header!$Q$3*$AQ581),"")</f>
      </c>
      <c r="AX581" s="43">
        <f>IF($A581="","",IF(TRIM(IF($A581="","Missing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",""))="","PASS","FAIL: "&amp;TRIM(IF($A581="","Missing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f>
      </c>
      <c r="AY581" s="44">
        <f>IF($M581="","",IF(ISNUMBER($M581),IF($M581&gt;=Header!$C$18,"YES — refer","No"),""))</f>
      </c>
      <c r="AZ581" s="44">
        <f>IF($AD581="","",IF(ISNUMBER($AD581),IF($AD581&lt;Header!$C$20,"BELOW MIN PREMIUM","OK"),""))</f>
      </c>
      <c r="BA581" s="32" t="inlineStr">
        <is>
          <t xml:space="preserve">Yes</t>
        </is>
      </c>
      <c r="BB581" s="32" t="inlineStr">
        <is>
          <t xml:space="preserve">Yes</t>
        </is>
      </c>
      <c r="BC581" s="30" t="inlineStr">
        <is>
          <t xml:space="preserve">Synthetic demo data</t>
        </is>
      </c>
      <c r="BE581" s="45">
        <f>IF(OR($A581="",$L581="",$H581=""),"",IF(AND(LEFT($L581,2)="06",$H581&gt;1945),"FAIL - pre-war class, year "&amp;$H581,IF(AND(LEFT($L581,2)="07",OR($H581&lt;1946,$H581&gt;1972)),"FAIL - 1946-72 class, year "&amp;$H581,IF(AND(LEFT($L581,2)="08",OR($H581&lt;1973,$H581&gt;1999)),"FAIL - 1973-99 class, year "&amp;$H581,IF(AND(LEFT($L581,2)="09",OR($H581&lt;2000,$H581&gt;2010)),"FAIL - 2000-10 class, year "&amp;$H581,"OK")))))</f>
      </c>
      <c r="BF581" s="45">
        <f>IF($AD581="","",IF(ROUND($AO581+$AP581+$AQ581-$AD581,2)=0,"OK","FAIL - out by "&amp;TEXT($AO581+$AP581+$AQ581-$AD581,"$0.00")))</f>
      </c>
    </row>
    <row r="582" spans="1:58" ht="18.75" customHeight="1" x14ac:dyDescent="0.25">
      <c r="A582" s="46" t="inlineStr">
        <is>
          <t xml:space="preserve">CANON-202602-005452</t>
        </is>
      </c>
      <c r="B582" s="46" t="inlineStr">
        <is>
          <t xml:space="preserve">Horace Harrington</t>
        </is>
      </c>
      <c r="C582" s="47">
        <v>46074</v>
      </c>
      <c r="D582" s="48" t="inlineStr">
        <is>
          <t xml:space="preserve">Bound - within authority</t>
        </is>
      </c>
      <c r="E582" s="48" t="inlineStr">
        <is>
          <t xml:space="preserve">New business</t>
        </is>
      </c>
      <c r="F582" s="46" t="inlineStr">
        <is>
          <t xml:space="preserve">B1234EXOTIC26</t>
        </is>
      </c>
      <c r="G582" s="33">
        <f>IF($A582="","",IF($C582="","",YEAR($C582)))</f>
      </c>
      <c r="H582" s="49">
        <v>1985</v>
      </c>
      <c r="I582" s="46" t="inlineStr">
        <is>
          <t xml:space="preserve">Lamborghini</t>
        </is>
      </c>
      <c r="J582" s="46" t="inlineStr">
        <is>
          <t xml:space="preserve">Huracan EVO</t>
        </is>
      </c>
      <c r="K582" s="46" t="inlineStr">
        <is>
          <t xml:space="preserve">45W6ZB2YY7VY5A780</t>
        </is>
      </c>
      <c r="L582" s="48" t="inlineStr">
        <is>
          <t xml:space="preserve">03 - Supercar</t>
        </is>
      </c>
      <c r="M582" s="50">
        <v>530000</v>
      </c>
      <c r="N582" s="48" t="inlineStr">
        <is>
          <t xml:space="preserve">Personal</t>
        </is>
      </c>
      <c r="O582" s="46" t="inlineStr">
        <is>
          <t xml:space="preserve">Personal - regular use</t>
        </is>
      </c>
      <c r="P582" s="46" t="inlineStr">
        <is>
          <t xml:space="preserve">Under 1,000</t>
        </is>
      </c>
      <c r="Q582" s="46" t="inlineStr">
        <is>
          <t xml:space="preserve">Illinois</t>
        </is>
      </c>
      <c r="R582" s="46" t="inlineStr">
        <is>
          <t xml:space="preserve">60601</t>
        </is>
      </c>
      <c r="S582" s="48" t="inlineStr">
        <is>
          <t xml:space="preserve">Severe convective - hail / tornado (moderate)</t>
        </is>
      </c>
      <c r="T582" s="36">
        <f>IF($A582="","",IF($S582="","",IFERROR(INDEX('[1]natural catastrophe'!$D$6:$D$17,MATCH($S582,'[1]natural catastrophe'!$B$6:$B$17,0)),"?")))</f>
      </c>
      <c r="U582" s="46" t="inlineStr">
        <is>
          <t xml:space="preserve">$5,000</t>
        </is>
      </c>
      <c r="V582" s="48" t="inlineStr">
        <is>
          <t xml:space="preserve">Agreed Value</t>
        </is>
      </c>
      <c r="W582" s="46" t="inlineStr">
        <is>
          <t xml:space="preserve">$1,000</t>
        </is>
      </c>
      <c r="X582" s="48" t="inlineStr">
        <is>
          <t xml:space="preserve">$1,000,000 CSL</t>
        </is>
      </c>
      <c r="Y582" s="46"/>
      <c r="Z582" s="46"/>
      <c r="AA582" s="48" t="inlineStr">
        <is>
          <t xml:space="preserve">Surplus Lines</t>
        </is>
      </c>
      <c r="AB582" s="50">
        <v>11359.26</v>
      </c>
      <c r="AC582" s="51">
        <v>0</v>
      </c>
      <c r="AD582" s="38">
        <f>IF(ISNUMBER($AB582),$AB582*(1+N($AC582)),"")</f>
      </c>
      <c r="AE582" s="50">
        <v>350</v>
      </c>
      <c r="AF582" s="50">
        <v>0</v>
      </c>
      <c r="AG582" s="51"/>
      <c r="AH582" s="39">
        <f>IF(ISNUMBER($AD582),($AD582+$AE582+$AF582)*$AG582,"")</f>
      </c>
      <c r="AI582" s="50"/>
      <c r="AJ582" s="38">
        <f>IF(ISNUMBER($AD582),SUM($AD582:$AH582),"")</f>
      </c>
      <c r="AK582" s="40">
        <f>IF(AND(ISNUMBER($AB582),ISNUMBER($AD582)),IF($AB582&gt;0,$AD582/$AB582,""),"")</f>
      </c>
      <c r="AL582" s="48" t="inlineStr">
        <is>
          <t xml:space="preserve">At technical</t>
        </is>
      </c>
      <c r="AM582" s="41">
        <f>IF(ISNUMBER($AD582),Header!$I$3,"")</f>
      </c>
      <c r="AN582" s="39">
        <f>IF(ISNUMBER($AD582),$AO582+$AP582,"")</f>
      </c>
      <c r="AO582" s="39">
        <f>IF(ISNUMBER($AD582),ROUND($AD582*Header!$K$3,2),"")</f>
      </c>
      <c r="AP582" s="39">
        <f>IF(ISNUMBER($AD582),ROUND($AD582*Header!$M$3,2),"")</f>
      </c>
      <c r="AQ582" s="38">
        <f>IF(ISNUMBER($AD582),ROUND($AD582,2)-$AO582-$AP582,"")</f>
      </c>
      <c r="AR582" s="39">
        <f>IF(ISNUMBER($AD582),IF(Header!$D$34="","?",$AD582*Header!$D$34),"")</f>
      </c>
      <c r="AS582" s="39">
        <f>IF(ISNUMBER($AB582),IF(Header!$D$34="","?",$AB582*Header!$D$34),"")</f>
      </c>
      <c r="AT582" s="42">
        <f>IF(AND(ISNUMBER($AB582),$M582&gt;0),$AB582/$M582*100,"")</f>
      </c>
      <c r="AU582" s="42">
        <f>IF(AND(ISNUMBER($AD582),$M582&gt;0),$AD582/$M582*100,"")</f>
      </c>
      <c r="AV582" s="40">
        <f>IF(AND(ISNUMBER($AB582),ISNUMBER($AD582),ABS($AB582)&gt;0),$AD582/$AB582,"")</f>
      </c>
      <c r="AW582" s="39">
        <f>IF(ISNUMBER($AD582),MAX(0,(1-0.55-Header!$O$3)*Header!$Q$3*$AQ582),"")</f>
      </c>
      <c r="AX582" s="43">
        <f>IF($A582="","",IF(TRIM(IF($A582="","Missing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",""))="","PASS","FAIL: "&amp;TRIM(IF($A582="","Missing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f>
      </c>
      <c r="AY582" s="44">
        <f>IF($M582="","",IF(ISNUMBER($M582),IF($M582&gt;=Header!$C$18,"YES — refer","No"),""))</f>
      </c>
      <c r="AZ582" s="44">
        <f>IF($AD582="","",IF(ISNUMBER($AD582),IF($AD582&lt;Header!$C$20,"BELOW MIN PREMIUM","OK"),""))</f>
      </c>
      <c r="BA582" s="48" t="inlineStr">
        <is>
          <t xml:space="preserve">Yes</t>
        </is>
      </c>
      <c r="BB582" s="48" t="inlineStr">
        <is>
          <t xml:space="preserve">Yes</t>
        </is>
      </c>
      <c r="BC582" s="46" t="inlineStr">
        <is>
          <t xml:space="preserve">Synthetic demo data</t>
        </is>
      </c>
      <c r="BE582" s="45">
        <f>IF(OR($A582="",$L582="",$H582=""),"",IF(AND(LEFT($L582,2)="06",$H582&gt;1945),"FAIL - pre-war class, year "&amp;$H582,IF(AND(LEFT($L582,2)="07",OR($H582&lt;1946,$H582&gt;1972)),"FAIL - 1946-72 class, year "&amp;$H582,IF(AND(LEFT($L582,2)="08",OR($H582&lt;1973,$H582&gt;1999)),"FAIL - 1973-99 class, year "&amp;$H582,IF(AND(LEFT($L582,2)="09",OR($H582&lt;2000,$H582&gt;2010)),"FAIL - 2000-10 class, year "&amp;$H582,"OK")))))</f>
      </c>
      <c r="BF582" s="45">
        <f>IF($AD582="","",IF(ROUND($AO582+$AP582+$AQ582-$AD582,2)=0,"OK","FAIL - out by "&amp;TEXT($AO582+$AP582+$AQ582-$AD582,"$0.00")))</f>
      </c>
    </row>
    <row r="583" spans="1:58" ht="18.75" customHeight="1" x14ac:dyDescent="0.25">
      <c r="A583" s="30" t="inlineStr">
        <is>
          <t xml:space="preserve">CANON-202602-005453</t>
        </is>
      </c>
      <c r="B583" s="30" t="inlineStr">
        <is>
          <t xml:space="preserve">Saoirse Fairweather</t>
        </is>
      </c>
      <c r="C583" s="31">
        <v>46069</v>
      </c>
      <c r="D583" s="32" t="inlineStr">
        <is>
          <t xml:space="preserve">Bound - within authority</t>
        </is>
      </c>
      <c r="E583" s="32" t="inlineStr">
        <is>
          <t xml:space="preserve">New business</t>
        </is>
      </c>
      <c r="F583" s="30" t="inlineStr">
        <is>
          <t xml:space="preserve">B1234EXOTIC26</t>
        </is>
      </c>
      <c r="G583" s="33">
        <f>IF($A583="","",IF($C583="","",YEAR($C583)))</f>
      </c>
      <c r="H583" s="34">
        <v>1982</v>
      </c>
      <c r="I583" s="30" t="inlineStr">
        <is>
          <t xml:space="preserve">Jaguar</t>
        </is>
      </c>
      <c r="J583" s="30" t="inlineStr">
        <is>
          <t xml:space="preserve">E-Type Series 1</t>
        </is>
      </c>
      <c r="K583" s="30" t="inlineStr">
        <is>
          <t xml:space="preserve">XL7KZ7LP7Y858V7D2</t>
        </is>
      </c>
      <c r="L583" s="32" t="inlineStr">
        <is>
          <t xml:space="preserve">08 - Modern Classic (1973-1999)</t>
        </is>
      </c>
      <c r="M583" s="35">
        <v>360000</v>
      </c>
      <c r="N583" s="32" t="inlineStr">
        <is>
          <t xml:space="preserve">Personal</t>
        </is>
      </c>
      <c r="O583" s="30" t="inlineStr">
        <is>
          <t xml:space="preserve">Personal - regular use</t>
        </is>
      </c>
      <c r="P583" s="30" t="inlineStr">
        <is>
          <t xml:space="preserve">1,000 - 2,500</t>
        </is>
      </c>
      <c r="Q583" s="30" t="inlineStr">
        <is>
          <t xml:space="preserve">Alaska</t>
        </is>
      </c>
      <c r="R583" s="30" t="inlineStr">
        <is>
          <t xml:space="preserve">99501</t>
        </is>
      </c>
      <c r="S583" s="32" t="inlineStr">
        <is>
          <t xml:space="preserve">Earthquake - high (CA, Cascadia, New Madrid)</t>
        </is>
      </c>
      <c r="T583" s="36">
        <f>IF($A583="","",IF($S583="","",IFERROR(INDEX('[1]natural catastrophe'!$D$6:$D$17,MATCH($S583,'[1]natural catastrophe'!$B$6:$B$17,0)),"?")))</f>
      </c>
      <c r="U583" s="30" t="inlineStr">
        <is>
          <t xml:space="preserve">$5,000</t>
        </is>
      </c>
      <c r="V583" s="32" t="inlineStr">
        <is>
          <t xml:space="preserve">Agreed Value</t>
        </is>
      </c>
      <c r="W583" s="30" t="inlineStr">
        <is>
          <t xml:space="preserve">$1,000</t>
        </is>
      </c>
      <c r="X583" s="32" t="inlineStr">
        <is>
          <t xml:space="preserve">$1,000,000 CSL</t>
        </is>
      </c>
      <c r="Y583" s="30"/>
      <c r="Z583" s="30"/>
      <c r="AA583" s="32" t="inlineStr">
        <is>
          <t xml:space="preserve">Surplus Lines</t>
        </is>
      </c>
      <c r="AB583" s="35">
        <v>3267.84</v>
      </c>
      <c r="AC583" s="37">
        <v>0</v>
      </c>
      <c r="AD583" s="38">
        <f>IF(ISNUMBER($AB583),$AB583*(1+N($AC583)),"")</f>
      </c>
      <c r="AE583" s="35">
        <v>350</v>
      </c>
      <c r="AF583" s="35">
        <v>0</v>
      </c>
      <c r="AG583" s="37"/>
      <c r="AH583" s="39">
        <f>IF(ISNUMBER($AD583),($AD583+$AE583+$AF583)*$AG583,"")</f>
      </c>
      <c r="AI583" s="35"/>
      <c r="AJ583" s="38">
        <f>IF(ISNUMBER($AD583),SUM($AD583:$AH583),"")</f>
      </c>
      <c r="AK583" s="40">
        <f>IF(AND(ISNUMBER($AB583),ISNUMBER($AD583)),IF($AB583&gt;0,$AD583/$AB583,""),"")</f>
      </c>
      <c r="AL583" s="32" t="inlineStr">
        <is>
          <t xml:space="preserve">At technical</t>
        </is>
      </c>
      <c r="AM583" s="41">
        <f>IF(ISNUMBER($AD583),Header!$I$3,"")</f>
      </c>
      <c r="AN583" s="39">
        <f>IF(ISNUMBER($AD583),$AO583+$AP583,"")</f>
      </c>
      <c r="AO583" s="39">
        <f>IF(ISNUMBER($AD583),ROUND($AD583*Header!$K$3,2),"")</f>
      </c>
      <c r="AP583" s="39">
        <f>IF(ISNUMBER($AD583),ROUND($AD583*Header!$M$3,2),"")</f>
      </c>
      <c r="AQ583" s="38">
        <f>IF(ISNUMBER($AD583),ROUND($AD583,2)-$AO583-$AP583,"")</f>
      </c>
      <c r="AR583" s="39">
        <f>IF(ISNUMBER($AD583),IF(Header!$D$34="","?",$AD583*Header!$D$34),"")</f>
      </c>
      <c r="AS583" s="39">
        <f>IF(ISNUMBER($AB583),IF(Header!$D$34="","?",$AB583*Header!$D$34),"")</f>
      </c>
      <c r="AT583" s="42">
        <f>IF(AND(ISNUMBER($AB583),$M583&gt;0),$AB583/$M583*100,"")</f>
      </c>
      <c r="AU583" s="42">
        <f>IF(AND(ISNUMBER($AD583),$M583&gt;0),$AD583/$M583*100,"")</f>
      </c>
      <c r="AV583" s="40">
        <f>IF(AND(ISNUMBER($AB583),ISNUMBER($AD583),ABS($AB583)&gt;0),$AD583/$AB583,"")</f>
      </c>
      <c r="AW583" s="39">
        <f>IF(ISNUMBER($AD583),MAX(0,(1-0.55-Header!$O$3)*Header!$Q$3*$AQ583),"")</f>
      </c>
      <c r="AX583" s="43">
        <f>IF($A583="","",IF(TRIM(IF($A583="","Missing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",""))="","PASS","FAIL: "&amp;TRIM(IF($A583="","Missing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f>
      </c>
      <c r="AY583" s="44">
        <f>IF($M583="","",IF(ISNUMBER($M583),IF($M583&gt;=Header!$C$18,"YES — refer","No"),""))</f>
      </c>
      <c r="AZ583" s="44">
        <f>IF($AD583="","",IF(ISNUMBER($AD583),IF($AD583&lt;Header!$C$20,"BELOW MIN PREMIUM","OK"),""))</f>
      </c>
      <c r="BA583" s="32" t="inlineStr">
        <is>
          <t xml:space="preserve">Yes</t>
        </is>
      </c>
      <c r="BB583" s="32" t="inlineStr">
        <is>
          <t xml:space="preserve">Yes</t>
        </is>
      </c>
      <c r="BC583" s="30" t="inlineStr">
        <is>
          <t xml:space="preserve">Synthetic demo data</t>
        </is>
      </c>
      <c r="BE583" s="45">
        <f>IF(OR($A583="",$L583="",$H583=""),"",IF(AND(LEFT($L583,2)="06",$H583&gt;1945),"FAIL - pre-war class, year "&amp;$H583,IF(AND(LEFT($L583,2)="07",OR($H583&lt;1946,$H583&gt;1972)),"FAIL - 1946-72 class, year "&amp;$H583,IF(AND(LEFT($L583,2)="08",OR($H583&lt;1973,$H583&gt;1999)),"FAIL - 1973-99 class, year "&amp;$H583,IF(AND(LEFT($L583,2)="09",OR($H583&lt;2000,$H583&gt;2010)),"FAIL - 2000-10 class, year "&amp;$H583,"OK")))))</f>
      </c>
      <c r="BF583" s="45">
        <f>IF($AD583="","",IF(ROUND($AO583+$AP583+$AQ583-$AD583,2)=0,"OK","FAIL - out by "&amp;TEXT($AO583+$AP583+$AQ583-$AD583,"$0.00")))</f>
      </c>
    </row>
    <row r="584" spans="1:58" ht="18.75" customHeight="1" x14ac:dyDescent="0.25">
      <c r="A584" s="46" t="inlineStr">
        <is>
          <t xml:space="preserve">CANON-202602-005455</t>
        </is>
      </c>
      <c r="B584" s="46" t="inlineStr">
        <is>
          <t xml:space="preserve">Priya Pennington</t>
        </is>
      </c>
      <c r="C584" s="47">
        <v>46055</v>
      </c>
      <c r="D584" s="48" t="inlineStr">
        <is>
          <t xml:space="preserve">Bound - within authority</t>
        </is>
      </c>
      <c r="E584" s="48" t="inlineStr">
        <is>
          <t xml:space="preserve">New business</t>
        </is>
      </c>
      <c r="F584" s="46" t="inlineStr">
        <is>
          <t xml:space="preserve">B1234EXOTIC26</t>
        </is>
      </c>
      <c r="G584" s="33">
        <f>IF($A584="","",IF($C584="","",YEAR($C584)))</f>
      </c>
      <c r="H584" s="49">
        <v>1983</v>
      </c>
      <c r="I584" s="46" t="inlineStr">
        <is>
          <t xml:space="preserve">Maserati</t>
        </is>
      </c>
      <c r="J584" s="46" t="inlineStr">
        <is>
          <t xml:space="preserve">GranTurismo</t>
        </is>
      </c>
      <c r="K584" s="46" t="inlineStr">
        <is>
          <t xml:space="preserve">GZYSFJAZXGTY81SND</t>
        </is>
      </c>
      <c r="L584" s="48" t="inlineStr">
        <is>
          <t xml:space="preserve">02 - Sports / GT</t>
        </is>
      </c>
      <c r="M584" s="50">
        <v>595000</v>
      </c>
      <c r="N584" s="48" t="inlineStr">
        <is>
          <t xml:space="preserve">Personal</t>
        </is>
      </c>
      <c r="O584" s="46" t="inlineStr">
        <is>
          <t xml:space="preserve">Personal - regular use</t>
        </is>
      </c>
      <c r="P584" s="46" t="inlineStr">
        <is>
          <t xml:space="preserve">2,500 - 5,000</t>
        </is>
      </c>
      <c r="Q584" s="46" t="inlineStr">
        <is>
          <t xml:space="preserve">Oregon</t>
        </is>
      </c>
      <c r="R584" s="46" t="inlineStr">
        <is>
          <t xml:space="preserve">97204</t>
        </is>
      </c>
      <c r="S584" s="48" t="inlineStr">
        <is>
          <t xml:space="preserve">Earthquake - high (CA, Cascadia, New Madrid)</t>
        </is>
      </c>
      <c r="T584" s="36">
        <f>IF($A584="","",IF($S584="","",IFERROR(INDEX('[1]natural catastrophe'!$D$6:$D$17,MATCH($S584,'[1]natural catastrophe'!$B$6:$B$17,0)),"?")))</f>
      </c>
      <c r="U584" s="46" t="inlineStr">
        <is>
          <t xml:space="preserve">$5,000</t>
        </is>
      </c>
      <c r="V584" s="48" t="inlineStr">
        <is>
          <t xml:space="preserve">Agreed Value</t>
        </is>
      </c>
      <c r="W584" s="46" t="inlineStr">
        <is>
          <t xml:space="preserve">$1,000</t>
        </is>
      </c>
      <c r="X584" s="48" t="inlineStr">
        <is>
          <t xml:space="preserve">$1,000,000 CSL</t>
        </is>
      </c>
      <c r="Y584" s="46"/>
      <c r="Z584" s="46"/>
      <c r="AA584" s="48" t="inlineStr">
        <is>
          <t xml:space="preserve">Surplus Lines</t>
        </is>
      </c>
      <c r="AB584" s="50">
        <v>7249.71</v>
      </c>
      <c r="AC584" s="51">
        <v>0</v>
      </c>
      <c r="AD584" s="38">
        <f>IF(ISNUMBER($AB584),$AB584*(1+N($AC584)),"")</f>
      </c>
      <c r="AE584" s="50">
        <v>350</v>
      </c>
      <c r="AF584" s="50">
        <v>0</v>
      </c>
      <c r="AG584" s="51"/>
      <c r="AH584" s="39">
        <f>IF(ISNUMBER($AD584),($AD584+$AE584+$AF584)*$AG584,"")</f>
      </c>
      <c r="AI584" s="50"/>
      <c r="AJ584" s="38">
        <f>IF(ISNUMBER($AD584),SUM($AD584:$AH584),"")</f>
      </c>
      <c r="AK584" s="40">
        <f>IF(AND(ISNUMBER($AB584),ISNUMBER($AD584)),IF($AB584&gt;0,$AD584/$AB584,""),"")</f>
      </c>
      <c r="AL584" s="48" t="inlineStr">
        <is>
          <t xml:space="preserve">At technical</t>
        </is>
      </c>
      <c r="AM584" s="41">
        <f>IF(ISNUMBER($AD584),Header!$I$3,"")</f>
      </c>
      <c r="AN584" s="39">
        <f>IF(ISNUMBER($AD584),$AO584+$AP584,"")</f>
      </c>
      <c r="AO584" s="39">
        <f>IF(ISNUMBER($AD584),ROUND($AD584*Header!$K$3,2),"")</f>
      </c>
      <c r="AP584" s="39">
        <f>IF(ISNUMBER($AD584),ROUND($AD584*Header!$M$3,2),"")</f>
      </c>
      <c r="AQ584" s="38">
        <f>IF(ISNUMBER($AD584),ROUND($AD584,2)-$AO584-$AP584,"")</f>
      </c>
      <c r="AR584" s="39">
        <f>IF(ISNUMBER($AD584),IF(Header!$D$34="","?",$AD584*Header!$D$34),"")</f>
      </c>
      <c r="AS584" s="39">
        <f>IF(ISNUMBER($AB584),IF(Header!$D$34="","?",$AB584*Header!$D$34),"")</f>
      </c>
      <c r="AT584" s="42">
        <f>IF(AND(ISNUMBER($AB584),$M584&gt;0),$AB584/$M584*100,"")</f>
      </c>
      <c r="AU584" s="42">
        <f>IF(AND(ISNUMBER($AD584),$M584&gt;0),$AD584/$M584*100,"")</f>
      </c>
      <c r="AV584" s="40">
        <f>IF(AND(ISNUMBER($AB584),ISNUMBER($AD584),ABS($AB584)&gt;0),$AD584/$AB584,"")</f>
      </c>
      <c r="AW584" s="39">
        <f>IF(ISNUMBER($AD584),MAX(0,(1-0.55-Header!$O$3)*Header!$Q$3*$AQ584),"")</f>
      </c>
      <c r="AX584" s="43">
        <f>IF($A584="","",IF(TRIM(IF($A584="","Missing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",""))="","PASS","FAIL: "&amp;TRIM(IF($A584="","Missing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f>
      </c>
      <c r="AY584" s="44">
        <f>IF($M584="","",IF(ISNUMBER($M584),IF($M584&gt;=Header!$C$18,"YES — refer","No"),""))</f>
      </c>
      <c r="AZ584" s="44">
        <f>IF($AD584="","",IF(ISNUMBER($AD584),IF($AD584&lt;Header!$C$20,"BELOW MIN PREMIUM","OK"),""))</f>
      </c>
      <c r="BA584" s="48" t="inlineStr">
        <is>
          <t xml:space="preserve">Yes</t>
        </is>
      </c>
      <c r="BB584" s="48" t="inlineStr">
        <is>
          <t xml:space="preserve">Yes</t>
        </is>
      </c>
      <c r="BC584" s="46" t="inlineStr">
        <is>
          <t xml:space="preserve">Synthetic demo data</t>
        </is>
      </c>
      <c r="BE584" s="45">
        <f>IF(OR($A584="",$L584="",$H584=""),"",IF(AND(LEFT($L584,2)="06",$H584&gt;1945),"FAIL - pre-war class, year "&amp;$H584,IF(AND(LEFT($L584,2)="07",OR($H584&lt;1946,$H584&gt;1972)),"FAIL - 1946-72 class, year "&amp;$H584,IF(AND(LEFT($L584,2)="08",OR($H584&lt;1973,$H584&gt;1999)),"FAIL - 1973-99 class, year "&amp;$H584,IF(AND(LEFT($L584,2)="09",OR($H584&lt;2000,$H584&gt;2010)),"FAIL - 2000-10 class, year "&amp;$H584,"OK")))))</f>
      </c>
      <c r="BF584" s="45">
        <f>IF($AD584="","",IF(ROUND($AO584+$AP584+$AQ584-$AD584,2)=0,"OK","FAIL - out by "&amp;TEXT($AO584+$AP584+$AQ584-$AD584,"$0.00")))</f>
      </c>
    </row>
    <row r="585" spans="1:58" ht="18.75" customHeight="1" x14ac:dyDescent="0.25">
      <c r="A585" s="30" t="inlineStr">
        <is>
          <t xml:space="preserve">CANON-202602-005456</t>
        </is>
      </c>
      <c r="B585" s="30" t="inlineStr">
        <is>
          <t xml:space="preserve">Wilhelmina Larsson</t>
        </is>
      </c>
      <c r="C585" s="31">
        <v>46070</v>
      </c>
      <c r="D585" s="32" t="inlineStr">
        <is>
          <t xml:space="preserve">Bound - within authority</t>
        </is>
      </c>
      <c r="E585" s="32" t="inlineStr">
        <is>
          <t xml:space="preserve">New business</t>
        </is>
      </c>
      <c r="F585" s="30" t="inlineStr">
        <is>
          <t xml:space="preserve">B1234EXOTIC26</t>
        </is>
      </c>
      <c r="G585" s="33">
        <f>IF($A585="","",IF($C585="","",YEAR($C585)))</f>
      </c>
      <c r="H585" s="34">
        <v>1978</v>
      </c>
      <c r="I585" s="30" t="inlineStr">
        <is>
          <t xml:space="preserve">Lamborghini</t>
        </is>
      </c>
      <c r="J585" s="30" t="inlineStr">
        <is>
          <t xml:space="preserve">Huracan EVO</t>
        </is>
      </c>
      <c r="K585" s="30" t="inlineStr">
        <is>
          <t xml:space="preserve">3DDV1JK4H8HG91FJA</t>
        </is>
      </c>
      <c r="L585" s="32" t="inlineStr">
        <is>
          <t xml:space="preserve">03 - Supercar</t>
        </is>
      </c>
      <c r="M585" s="35">
        <v>1635000</v>
      </c>
      <c r="N585" s="32" t="inlineStr">
        <is>
          <t xml:space="preserve">Personal</t>
        </is>
      </c>
      <c r="O585" s="30" t="inlineStr">
        <is>
          <t xml:space="preserve">Personal - regular use</t>
        </is>
      </c>
      <c r="P585" s="30" t="inlineStr">
        <is>
          <t xml:space="preserve">2,500 - 5,000</t>
        </is>
      </c>
      <c r="Q585" s="30" t="inlineStr">
        <is>
          <t xml:space="preserve">North Dakota</t>
        </is>
      </c>
      <c r="R585" s="30" t="inlineStr">
        <is>
          <t xml:space="preserve">58501</t>
        </is>
      </c>
      <c r="S585" s="32" t="inlineStr">
        <is>
          <t xml:space="preserve">Severe convective - hail alley (high)</t>
        </is>
      </c>
      <c r="T585" s="36">
        <f>IF($A585="","",IF($S585="","",IFERROR(INDEX('[1]natural catastrophe'!$D$6:$D$17,MATCH($S585,'[1]natural catastrophe'!$B$6:$B$17,0)),"?")))</f>
      </c>
      <c r="U585" s="30" t="inlineStr">
        <is>
          <t xml:space="preserve">$5,000</t>
        </is>
      </c>
      <c r="V585" s="32" t="inlineStr">
        <is>
          <t xml:space="preserve">Agreed Value</t>
        </is>
      </c>
      <c r="W585" s="30" t="inlineStr">
        <is>
          <t xml:space="preserve">$1,000</t>
        </is>
      </c>
      <c r="X585" s="32" t="inlineStr">
        <is>
          <t xml:space="preserve">$1,000,000 CSL</t>
        </is>
      </c>
      <c r="Y585" s="30"/>
      <c r="Z585" s="30"/>
      <c r="AA585" s="32" t="inlineStr">
        <is>
          <t xml:space="preserve">Surplus Lines</t>
        </is>
      </c>
      <c r="AB585" s="35">
        <v>22131.95</v>
      </c>
      <c r="AC585" s="37">
        <v>0</v>
      </c>
      <c r="AD585" s="38">
        <f>IF(ISNUMBER($AB585),$AB585*(1+N($AC585)),"")</f>
      </c>
      <c r="AE585" s="35">
        <v>350</v>
      </c>
      <c r="AF585" s="35">
        <v>250</v>
      </c>
      <c r="AG585" s="37"/>
      <c r="AH585" s="39">
        <f>IF(ISNUMBER($AD585),($AD585+$AE585+$AF585)*$AG585,"")</f>
      </c>
      <c r="AI585" s="35"/>
      <c r="AJ585" s="38">
        <f>IF(ISNUMBER($AD585),SUM($AD585:$AH585),"")</f>
      </c>
      <c r="AK585" s="40">
        <f>IF(AND(ISNUMBER($AB585),ISNUMBER($AD585)),IF($AB585&gt;0,$AD585/$AB585,""),"")</f>
      </c>
      <c r="AL585" s="32" t="inlineStr">
        <is>
          <t xml:space="preserve">At technical</t>
        </is>
      </c>
      <c r="AM585" s="41">
        <f>IF(ISNUMBER($AD585),Header!$I$3,"")</f>
      </c>
      <c r="AN585" s="39">
        <f>IF(ISNUMBER($AD585),$AO585+$AP585,"")</f>
      </c>
      <c r="AO585" s="39">
        <f>IF(ISNUMBER($AD585),ROUND($AD585*Header!$K$3,2),"")</f>
      </c>
      <c r="AP585" s="39">
        <f>IF(ISNUMBER($AD585),ROUND($AD585*Header!$M$3,2),"")</f>
      </c>
      <c r="AQ585" s="38">
        <f>IF(ISNUMBER($AD585),ROUND($AD585,2)-$AO585-$AP585,"")</f>
      </c>
      <c r="AR585" s="39">
        <f>IF(ISNUMBER($AD585),IF(Header!$D$34="","?",$AD585*Header!$D$34),"")</f>
      </c>
      <c r="AS585" s="39">
        <f>IF(ISNUMBER($AB585),IF(Header!$D$34="","?",$AB585*Header!$D$34),"")</f>
      </c>
      <c r="AT585" s="42">
        <f>IF(AND(ISNUMBER($AB585),$M585&gt;0),$AB585/$M585*100,"")</f>
      </c>
      <c r="AU585" s="42">
        <f>IF(AND(ISNUMBER($AD585),$M585&gt;0),$AD585/$M585*100,"")</f>
      </c>
      <c r="AV585" s="40">
        <f>IF(AND(ISNUMBER($AB585),ISNUMBER($AD585),ABS($AB585)&gt;0),$AD585/$AB585,"")</f>
      </c>
      <c r="AW585" s="39">
        <f>IF(ISNUMBER($AD585),MAX(0,(1-0.55-Header!$O$3)*Header!$Q$3*$AQ585),"")</f>
      </c>
      <c r="AX585" s="43">
        <f>IF($A585="","",IF(TRIM(IF($A585="","Missing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",""))="","PASS","FAIL: "&amp;TRIM(IF($A585="","Missing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f>
      </c>
      <c r="AY585" s="44">
        <f>IF($M585="","",IF(ISNUMBER($M585),IF($M585&gt;=Header!$C$18,"YES — refer","No"),""))</f>
      </c>
      <c r="AZ585" s="44">
        <f>IF($AD585="","",IF(ISNUMBER($AD585),IF($AD585&lt;Header!$C$20,"BELOW MIN PREMIUM","OK"),""))</f>
      </c>
      <c r="BA585" s="32" t="inlineStr">
        <is>
          <t xml:space="preserve">Yes</t>
        </is>
      </c>
      <c r="BB585" s="32" t="inlineStr">
        <is>
          <t xml:space="preserve">Yes</t>
        </is>
      </c>
      <c r="BC585" s="30" t="inlineStr">
        <is>
          <t xml:space="preserve">Synthetic demo data</t>
        </is>
      </c>
      <c r="BE585" s="45">
        <f>IF(OR($A585="",$L585="",$H585=""),"",IF(AND(LEFT($L585,2)="06",$H585&gt;1945),"FAIL - pre-war class, year "&amp;$H585,IF(AND(LEFT($L585,2)="07",OR($H585&lt;1946,$H585&gt;1972)),"FAIL - 1946-72 class, year "&amp;$H585,IF(AND(LEFT($L585,2)="08",OR($H585&lt;1973,$H585&gt;1999)),"FAIL - 1973-99 class, year "&amp;$H585,IF(AND(LEFT($L585,2)="09",OR($H585&lt;2000,$H585&gt;2010)),"FAIL - 2000-10 class, year "&amp;$H585,"OK")))))</f>
      </c>
      <c r="BF585" s="45">
        <f>IF($AD585="","",IF(ROUND($AO585+$AP585+$AQ585-$AD585,2)=0,"OK","FAIL - out by "&amp;TEXT($AO585+$AP585+$AQ585-$AD585,"$0.00")))</f>
      </c>
    </row>
    <row r="586" spans="1:58" ht="18.75" customHeight="1" x14ac:dyDescent="0.25">
      <c r="A586" s="46" t="inlineStr">
        <is>
          <t xml:space="preserve">CANON-202602-005457</t>
        </is>
      </c>
      <c r="B586" s="46" t="inlineStr">
        <is>
          <t xml:space="preserve">Horace Okonkwo</t>
        </is>
      </c>
      <c r="C586" s="47">
        <v>46062</v>
      </c>
      <c r="D586" s="48" t="inlineStr">
        <is>
          <t xml:space="preserve">Bound - within authority</t>
        </is>
      </c>
      <c r="E586" s="48" t="inlineStr">
        <is>
          <t xml:space="preserve">New business</t>
        </is>
      </c>
      <c r="F586" s="46" t="inlineStr">
        <is>
          <t xml:space="preserve">B1234EXOTIC26</t>
        </is>
      </c>
      <c r="G586" s="33">
        <f>IF($A586="","",IF($C586="","",YEAR($C586)))</f>
      </c>
      <c r="H586" s="49">
        <v>1977</v>
      </c>
      <c r="I586" s="46" t="inlineStr">
        <is>
          <t xml:space="preserve">Icon</t>
        </is>
      </c>
      <c r="J586" s="46" t="inlineStr">
        <is>
          <t xml:space="preserve">Derelict</t>
        </is>
      </c>
      <c r="K586" s="46" t="inlineStr">
        <is>
          <t xml:space="preserve">W13VH4TP9S068ZUAX</t>
        </is>
      </c>
      <c r="L586" s="48" t="inlineStr">
        <is>
          <t xml:space="preserve">11 - Restomod / Coachbuilt / Bespoke</t>
        </is>
      </c>
      <c r="M586" s="50">
        <v>395000</v>
      </c>
      <c r="N586" s="48" t="inlineStr">
        <is>
          <t xml:space="preserve">Personal</t>
        </is>
      </c>
      <c r="O586" s="46" t="inlineStr">
        <is>
          <t xml:space="preserve">Personal - regular use</t>
        </is>
      </c>
      <c r="P586" s="46" t="inlineStr">
        <is>
          <t xml:space="preserve">2,500 - 5,000</t>
        </is>
      </c>
      <c r="Q586" s="46" t="inlineStr">
        <is>
          <t xml:space="preserve">New Hampshire</t>
        </is>
      </c>
      <c r="R586" s="46" t="inlineStr">
        <is>
          <t xml:space="preserve">03301</t>
        </is>
      </c>
      <c r="S586" s="48" t="inlineStr">
        <is>
          <t xml:space="preserve">Tier 3 - Coastal wind (25-100 miles)</t>
        </is>
      </c>
      <c r="T586" s="36">
        <f>IF($A586="","",IF($S586="","",IFERROR(INDEX('[1]natural catastrophe'!$D$6:$D$17,MATCH($S586,'[1]natural catastrophe'!$B$6:$B$17,0)),"?")))</f>
      </c>
      <c r="U586" s="46" t="inlineStr">
        <is>
          <t xml:space="preserve">2% of agreed value, minimum $10,000</t>
        </is>
      </c>
      <c r="V586" s="48" t="inlineStr">
        <is>
          <t xml:space="preserve">Agreed Value</t>
        </is>
      </c>
      <c r="W586" s="46" t="inlineStr">
        <is>
          <t xml:space="preserve">$1,000</t>
        </is>
      </c>
      <c r="X586" s="48" t="inlineStr">
        <is>
          <t xml:space="preserve">$1,000,000 CSL</t>
        </is>
      </c>
      <c r="Y586" s="46"/>
      <c r="Z586" s="46"/>
      <c r="AA586" s="48" t="inlineStr">
        <is>
          <t xml:space="preserve">Surplus Lines</t>
        </is>
      </c>
      <c r="AB586" s="50">
        <v>5996.87</v>
      </c>
      <c r="AC586" s="51">
        <v>0</v>
      </c>
      <c r="AD586" s="38">
        <f>IF(ISNUMBER($AB586),$AB586*(1+N($AC586)),"")</f>
      </c>
      <c r="AE586" s="50">
        <v>350</v>
      </c>
      <c r="AF586" s="50">
        <v>0</v>
      </c>
      <c r="AG586" s="51"/>
      <c r="AH586" s="39">
        <f>IF(ISNUMBER($AD586),($AD586+$AE586+$AF586)*$AG586,"")</f>
      </c>
      <c r="AI586" s="50"/>
      <c r="AJ586" s="38">
        <f>IF(ISNUMBER($AD586),SUM($AD586:$AH586),"")</f>
      </c>
      <c r="AK586" s="40">
        <f>IF(AND(ISNUMBER($AB586),ISNUMBER($AD586)),IF($AB586&gt;0,$AD586/$AB586,""),"")</f>
      </c>
      <c r="AL586" s="48" t="inlineStr">
        <is>
          <t xml:space="preserve">At technical</t>
        </is>
      </c>
      <c r="AM586" s="41">
        <f>IF(ISNUMBER($AD586),Header!$I$3,"")</f>
      </c>
      <c r="AN586" s="39">
        <f>IF(ISNUMBER($AD586),$AO586+$AP586,"")</f>
      </c>
      <c r="AO586" s="39">
        <f>IF(ISNUMBER($AD586),ROUND($AD586*Header!$K$3,2),"")</f>
      </c>
      <c r="AP586" s="39">
        <f>IF(ISNUMBER($AD586),ROUND($AD586*Header!$M$3,2),"")</f>
      </c>
      <c r="AQ586" s="38">
        <f>IF(ISNUMBER($AD586),ROUND($AD586,2)-$AO586-$AP586,"")</f>
      </c>
      <c r="AR586" s="39">
        <f>IF(ISNUMBER($AD586),IF(Header!$D$34="","?",$AD586*Header!$D$34),"")</f>
      </c>
      <c r="AS586" s="39">
        <f>IF(ISNUMBER($AB586),IF(Header!$D$34="","?",$AB586*Header!$D$34),"")</f>
      </c>
      <c r="AT586" s="42">
        <f>IF(AND(ISNUMBER($AB586),$M586&gt;0),$AB586/$M586*100,"")</f>
      </c>
      <c r="AU586" s="42">
        <f>IF(AND(ISNUMBER($AD586),$M586&gt;0),$AD586/$M586*100,"")</f>
      </c>
      <c r="AV586" s="40">
        <f>IF(AND(ISNUMBER($AB586),ISNUMBER($AD586),ABS($AB586)&gt;0),$AD586/$AB586,"")</f>
      </c>
      <c r="AW586" s="39">
        <f>IF(ISNUMBER($AD586),MAX(0,(1-0.55-Header!$O$3)*Header!$Q$3*$AQ586),"")</f>
      </c>
      <c r="AX586" s="43">
        <f>IF($A586="","",IF(TRIM(IF($A586="","Missing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",""))="","PASS","FAIL: "&amp;TRIM(IF($A586="","Missing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f>
      </c>
      <c r="AY586" s="44">
        <f>IF($M586="","",IF(ISNUMBER($M586),IF($M586&gt;=Header!$C$18,"YES — refer","No"),""))</f>
      </c>
      <c r="AZ586" s="44">
        <f>IF($AD586="","",IF(ISNUMBER($AD586),IF($AD586&lt;Header!$C$20,"BELOW MIN PREMIUM","OK"),""))</f>
      </c>
      <c r="BA586" s="48" t="inlineStr">
        <is>
          <t xml:space="preserve">Yes</t>
        </is>
      </c>
      <c r="BB586" s="48" t="inlineStr">
        <is>
          <t xml:space="preserve">Yes</t>
        </is>
      </c>
      <c r="BC586" s="46" t="inlineStr">
        <is>
          <t xml:space="preserve">Synthetic demo data</t>
        </is>
      </c>
      <c r="BE586" s="45">
        <f>IF(OR($A586="",$L586="",$H586=""),"",IF(AND(LEFT($L586,2)="06",$H586&gt;1945),"FAIL - pre-war class, year "&amp;$H586,IF(AND(LEFT($L586,2)="07",OR($H586&lt;1946,$H586&gt;1972)),"FAIL - 1946-72 class, year "&amp;$H586,IF(AND(LEFT($L586,2)="08",OR($H586&lt;1973,$H586&gt;1999)),"FAIL - 1973-99 class, year "&amp;$H586,IF(AND(LEFT($L586,2)="09",OR($H586&lt;2000,$H586&gt;2010)),"FAIL - 2000-10 class, year "&amp;$H586,"OK")))))</f>
      </c>
      <c r="BF586" s="45">
        <f>IF($AD586="","",IF(ROUND($AO586+$AP586+$AQ586-$AD586,2)=0,"OK","FAIL - out by "&amp;TEXT($AO586+$AP586+$AQ586-$AD586,"$0.00")))</f>
      </c>
    </row>
    <row r="587" spans="1:58" ht="18.75" customHeight="1" x14ac:dyDescent="0.25">
      <c r="A587" s="30" t="inlineStr">
        <is>
          <t xml:space="preserve">CANON-202602-005458</t>
        </is>
      </c>
      <c r="B587" s="30" t="inlineStr">
        <is>
          <t xml:space="preserve">Thaddeus Pennington</t>
        </is>
      </c>
      <c r="C587" s="31">
        <v>46071</v>
      </c>
      <c r="D587" s="32" t="inlineStr">
        <is>
          <t xml:space="preserve">Bound - within authority</t>
        </is>
      </c>
      <c r="E587" s="32" t="inlineStr">
        <is>
          <t xml:space="preserve">New business</t>
        </is>
      </c>
      <c r="F587" s="30" t="inlineStr">
        <is>
          <t xml:space="preserve">B1234EXOTIC26</t>
        </is>
      </c>
      <c r="G587" s="33">
        <f>IF($A587="","",IF($C587="","",YEAR($C587)))</f>
      </c>
      <c r="H587" s="34">
        <v>2017</v>
      </c>
      <c r="I587" s="30" t="inlineStr">
        <is>
          <t xml:space="preserve">Mercedes-Benz</t>
        </is>
      </c>
      <c r="J587" s="30" t="inlineStr">
        <is>
          <t xml:space="preserve">AMG GT</t>
        </is>
      </c>
      <c r="K587" s="30" t="inlineStr">
        <is>
          <t xml:space="preserve">Z3FP4TKTHFF89Y2M6</t>
        </is>
      </c>
      <c r="L587" s="32" t="inlineStr">
        <is>
          <t xml:space="preserve">02 - Sports / GT</t>
        </is>
      </c>
      <c r="M587" s="35">
        <v>170000</v>
      </c>
      <c r="N587" s="32" t="inlineStr">
        <is>
          <t xml:space="preserve">Personal</t>
        </is>
      </c>
      <c r="O587" s="30" t="inlineStr">
        <is>
          <t xml:space="preserve">Personal - regular use</t>
        </is>
      </c>
      <c r="P587" s="30" t="inlineStr">
        <is>
          <t xml:space="preserve">Under 1,000</t>
        </is>
      </c>
      <c r="Q587" s="30" t="inlineStr">
        <is>
          <t xml:space="preserve">Florida</t>
        </is>
      </c>
      <c r="R587" s="30" t="inlineStr">
        <is>
          <t xml:space="preserve">33139</t>
        </is>
      </c>
      <c r="S587" s="32" t="inlineStr">
        <is>
          <t xml:space="preserve">Tier 2 - Coastal wind (1-25 miles)</t>
        </is>
      </c>
      <c r="T587" s="36">
        <f>IF($A587="","",IF($S587="","",IFERROR(INDEX('[1]natural catastrophe'!$D$6:$D$17,MATCH($S587,'[1]natural catastrophe'!$B$6:$B$17,0)),"?")))</f>
      </c>
      <c r="U587" s="30" t="inlineStr">
        <is>
          <t xml:space="preserve">2% of agreed value, minimum $10,000</t>
        </is>
      </c>
      <c r="V587" s="32" t="inlineStr">
        <is>
          <t xml:space="preserve">Agreed Value</t>
        </is>
      </c>
      <c r="W587" s="30" t="inlineStr">
        <is>
          <t xml:space="preserve">$1,000</t>
        </is>
      </c>
      <c r="X587" s="32" t="inlineStr">
        <is>
          <t xml:space="preserve">$1,000,000 CSL</t>
        </is>
      </c>
      <c r="Y587" s="30"/>
      <c r="Z587" s="30"/>
      <c r="AA587" s="32" t="inlineStr">
        <is>
          <t xml:space="preserve">Surplus Lines</t>
        </is>
      </c>
      <c r="AB587" s="35">
        <v>3684.15</v>
      </c>
      <c r="AC587" s="37">
        <v>0</v>
      </c>
      <c r="AD587" s="38">
        <f>IF(ISNUMBER($AB587),$AB587*(1+N($AC587)),"")</f>
      </c>
      <c r="AE587" s="35">
        <v>350</v>
      </c>
      <c r="AF587" s="35">
        <v>0</v>
      </c>
      <c r="AG587" s="37"/>
      <c r="AH587" s="39">
        <f>IF(ISNUMBER($AD587),($AD587+$AE587+$AF587)*$AG587,"")</f>
      </c>
      <c r="AI587" s="35"/>
      <c r="AJ587" s="38">
        <f>IF(ISNUMBER($AD587),SUM($AD587:$AH587),"")</f>
      </c>
      <c r="AK587" s="40">
        <f>IF(AND(ISNUMBER($AB587),ISNUMBER($AD587)),IF($AB587&gt;0,$AD587/$AB587,""),"")</f>
      </c>
      <c r="AL587" s="32" t="inlineStr">
        <is>
          <t xml:space="preserve">At technical</t>
        </is>
      </c>
      <c r="AM587" s="41">
        <f>IF(ISNUMBER($AD587),Header!$I$3,"")</f>
      </c>
      <c r="AN587" s="39">
        <f>IF(ISNUMBER($AD587),$AO587+$AP587,"")</f>
      </c>
      <c r="AO587" s="39">
        <f>IF(ISNUMBER($AD587),ROUND($AD587*Header!$K$3,2),"")</f>
      </c>
      <c r="AP587" s="39">
        <f>IF(ISNUMBER($AD587),ROUND($AD587*Header!$M$3,2),"")</f>
      </c>
      <c r="AQ587" s="38">
        <f>IF(ISNUMBER($AD587),ROUND($AD587,2)-$AO587-$AP587,"")</f>
      </c>
      <c r="AR587" s="39">
        <f>IF(ISNUMBER($AD587),IF(Header!$D$34="","?",$AD587*Header!$D$34),"")</f>
      </c>
      <c r="AS587" s="39">
        <f>IF(ISNUMBER($AB587),IF(Header!$D$34="","?",$AB587*Header!$D$34),"")</f>
      </c>
      <c r="AT587" s="42">
        <f>IF(AND(ISNUMBER($AB587),$M587&gt;0),$AB587/$M587*100,"")</f>
      </c>
      <c r="AU587" s="42">
        <f>IF(AND(ISNUMBER($AD587),$M587&gt;0),$AD587/$M587*100,"")</f>
      </c>
      <c r="AV587" s="40">
        <f>IF(AND(ISNUMBER($AB587),ISNUMBER($AD587),ABS($AB587)&gt;0),$AD587/$AB587,"")</f>
      </c>
      <c r="AW587" s="39">
        <f>IF(ISNUMBER($AD587),MAX(0,(1-0.55-Header!$O$3)*Header!$Q$3*$AQ587),"")</f>
      </c>
      <c r="AX587" s="43">
        <f>IF($A587="","",IF(TRIM(IF($A587="","Missing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",""))="","PASS","FAIL: "&amp;TRIM(IF($A587="","Missing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f>
      </c>
      <c r="AY587" s="44">
        <f>IF($M587="","",IF(ISNUMBER($M587),IF($M587&gt;=Header!$C$18,"YES — refer","No"),""))</f>
      </c>
      <c r="AZ587" s="44">
        <f>IF($AD587="","",IF(ISNUMBER($AD587),IF($AD587&lt;Header!$C$20,"BELOW MIN PREMIUM","OK"),""))</f>
      </c>
      <c r="BA587" s="32" t="inlineStr">
        <is>
          <t xml:space="preserve">Yes</t>
        </is>
      </c>
      <c r="BB587" s="32" t="inlineStr">
        <is>
          <t xml:space="preserve">Yes</t>
        </is>
      </c>
      <c r="BC587" s="30" t="inlineStr">
        <is>
          <t xml:space="preserve">Synthetic demo data</t>
        </is>
      </c>
      <c r="BE587" s="45">
        <f>IF(OR($A587="",$L587="",$H587=""),"",IF(AND(LEFT($L587,2)="06",$H587&gt;1945),"FAIL - pre-war class, year "&amp;$H587,IF(AND(LEFT($L587,2)="07",OR($H587&lt;1946,$H587&gt;1972)),"FAIL - 1946-72 class, year "&amp;$H587,IF(AND(LEFT($L587,2)="08",OR($H587&lt;1973,$H587&gt;1999)),"FAIL - 1973-99 class, year "&amp;$H587,IF(AND(LEFT($L587,2)="09",OR($H587&lt;2000,$H587&gt;2010)),"FAIL - 2000-10 class, year "&amp;$H587,"OK")))))</f>
      </c>
      <c r="BF587" s="45">
        <f>IF($AD587="","",IF(ROUND($AO587+$AP587+$AQ587-$AD587,2)=0,"OK","FAIL - out by "&amp;TEXT($AO587+$AP587+$AQ587-$AD587,"$0.00")))</f>
      </c>
    </row>
    <row r="588" spans="1:58" ht="18.75" customHeight="1" x14ac:dyDescent="0.25">
      <c r="A588" s="46" t="inlineStr">
        <is>
          <t xml:space="preserve">CANON-202602-005459</t>
        </is>
      </c>
      <c r="B588" s="46" t="inlineStr">
        <is>
          <t xml:space="preserve">Ramona Delacroix</t>
        </is>
      </c>
      <c r="C588" s="47">
        <v>46078</v>
      </c>
      <c r="D588" s="48" t="inlineStr">
        <is>
          <t xml:space="preserve">Bound - within authority</t>
        </is>
      </c>
      <c r="E588" s="48" t="inlineStr">
        <is>
          <t xml:space="preserve">New business</t>
        </is>
      </c>
      <c r="F588" s="46" t="inlineStr">
        <is>
          <t xml:space="preserve">B1234EXOTIC26</t>
        </is>
      </c>
      <c r="G588" s="33">
        <f>IF($A588="","",IF($C588="","",YEAR($C588)))</f>
      </c>
      <c r="H588" s="49">
        <v>2003</v>
      </c>
      <c r="I588" s="46" t="inlineStr">
        <is>
          <t xml:space="preserve">Ferrari</t>
        </is>
      </c>
      <c r="J588" s="46" t="inlineStr">
        <is>
          <t xml:space="preserve">296 GTB</t>
        </is>
      </c>
      <c r="K588" s="46" t="inlineStr">
        <is>
          <t xml:space="preserve">RLHDD36S2V8YMKU67</t>
        </is>
      </c>
      <c r="L588" s="48" t="inlineStr">
        <is>
          <t xml:space="preserve">03 - Supercar</t>
        </is>
      </c>
      <c r="M588" s="50">
        <v>430000</v>
      </c>
      <c r="N588" s="48" t="inlineStr">
        <is>
          <t xml:space="preserve">Personal</t>
        </is>
      </c>
      <c r="O588" s="46" t="inlineStr">
        <is>
          <t xml:space="preserve">Personal - regular use</t>
        </is>
      </c>
      <c r="P588" s="46" t="inlineStr">
        <is>
          <t xml:space="preserve">Under 1,000</t>
        </is>
      </c>
      <c r="Q588" s="46" t="inlineStr">
        <is>
          <t xml:space="preserve">Arkansas</t>
        </is>
      </c>
      <c r="R588" s="46" t="inlineStr">
        <is>
          <t xml:space="preserve">72201</t>
        </is>
      </c>
      <c r="S588" s="48" t="inlineStr">
        <is>
          <t xml:space="preserve">Severe convective - hail / tornado (moderate)</t>
        </is>
      </c>
      <c r="T588" s="36">
        <f>IF($A588="","",IF($S588="","",IFERROR(INDEX('[1]natural catastrophe'!$D$6:$D$17,MATCH($S588,'[1]natural catastrophe'!$B$6:$B$17,0)),"?")))</f>
      </c>
      <c r="U588" s="46" t="inlineStr">
        <is>
          <t xml:space="preserve">$5,000</t>
        </is>
      </c>
      <c r="V588" s="48" t="inlineStr">
        <is>
          <t xml:space="preserve">Agreed Value</t>
        </is>
      </c>
      <c r="W588" s="46" t="inlineStr">
        <is>
          <t xml:space="preserve">$1,000</t>
        </is>
      </c>
      <c r="X588" s="48" t="inlineStr">
        <is>
          <t xml:space="preserve">$1,000,000 CSL</t>
        </is>
      </c>
      <c r="Y588" s="46"/>
      <c r="Z588" s="46"/>
      <c r="AA588" s="48" t="inlineStr">
        <is>
          <t xml:space="preserve">Surplus Lines</t>
        </is>
      </c>
      <c r="AB588" s="50">
        <v>11320.28</v>
      </c>
      <c r="AC588" s="51">
        <v>0</v>
      </c>
      <c r="AD588" s="38">
        <f>IF(ISNUMBER($AB588),$AB588*(1+N($AC588)),"")</f>
      </c>
      <c r="AE588" s="50">
        <v>350</v>
      </c>
      <c r="AF588" s="50">
        <v>0</v>
      </c>
      <c r="AG588" s="51"/>
      <c r="AH588" s="39">
        <f>IF(ISNUMBER($AD588),($AD588+$AE588+$AF588)*$AG588,"")</f>
      </c>
      <c r="AI588" s="50"/>
      <c r="AJ588" s="38">
        <f>IF(ISNUMBER($AD588),SUM($AD588:$AH588),"")</f>
      </c>
      <c r="AK588" s="40">
        <f>IF(AND(ISNUMBER($AB588),ISNUMBER($AD588)),IF($AB588&gt;0,$AD588/$AB588,""),"")</f>
      </c>
      <c r="AL588" s="48" t="inlineStr">
        <is>
          <t xml:space="preserve">At technical</t>
        </is>
      </c>
      <c r="AM588" s="41">
        <f>IF(ISNUMBER($AD588),Header!$I$3,"")</f>
      </c>
      <c r="AN588" s="39">
        <f>IF(ISNUMBER($AD588),$AO588+$AP588,"")</f>
      </c>
      <c r="AO588" s="39">
        <f>IF(ISNUMBER($AD588),ROUND($AD588*Header!$K$3,2),"")</f>
      </c>
      <c r="AP588" s="39">
        <f>IF(ISNUMBER($AD588),ROUND($AD588*Header!$M$3,2),"")</f>
      </c>
      <c r="AQ588" s="38">
        <f>IF(ISNUMBER($AD588),ROUND($AD588,2)-$AO588-$AP588,"")</f>
      </c>
      <c r="AR588" s="39">
        <f>IF(ISNUMBER($AD588),IF(Header!$D$34="","?",$AD588*Header!$D$34),"")</f>
      </c>
      <c r="AS588" s="39">
        <f>IF(ISNUMBER($AB588),IF(Header!$D$34="","?",$AB588*Header!$D$34),"")</f>
      </c>
      <c r="AT588" s="42">
        <f>IF(AND(ISNUMBER($AB588),$M588&gt;0),$AB588/$M588*100,"")</f>
      </c>
      <c r="AU588" s="42">
        <f>IF(AND(ISNUMBER($AD588),$M588&gt;0),$AD588/$M588*100,"")</f>
      </c>
      <c r="AV588" s="40">
        <f>IF(AND(ISNUMBER($AB588),ISNUMBER($AD588),ABS($AB588)&gt;0),$AD588/$AB588,"")</f>
      </c>
      <c r="AW588" s="39">
        <f>IF(ISNUMBER($AD588),MAX(0,(1-0.55-Header!$O$3)*Header!$Q$3*$AQ588),"")</f>
      </c>
      <c r="AX588" s="43">
        <f>IF($A588="","",IF(TRIM(IF($A588="","Missing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",""))="","PASS","FAIL: "&amp;TRIM(IF($A588="","Missing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f>
      </c>
      <c r="AY588" s="44">
        <f>IF($M588="","",IF(ISNUMBER($M588),IF($M588&gt;=Header!$C$18,"YES — refer","No"),""))</f>
      </c>
      <c r="AZ588" s="44">
        <f>IF($AD588="","",IF(ISNUMBER($AD588),IF($AD588&lt;Header!$C$20,"BELOW MIN PREMIUM","OK"),""))</f>
      </c>
      <c r="BA588" s="48" t="inlineStr">
        <is>
          <t xml:space="preserve">Yes</t>
        </is>
      </c>
      <c r="BB588" s="48" t="inlineStr">
        <is>
          <t xml:space="preserve">Yes</t>
        </is>
      </c>
      <c r="BC588" s="46" t="inlineStr">
        <is>
          <t xml:space="preserve">Synthetic demo data</t>
        </is>
      </c>
      <c r="BE588" s="45">
        <f>IF(OR($A588="",$L588="",$H588=""),"",IF(AND(LEFT($L588,2)="06",$H588&gt;1945),"FAIL - pre-war class, year "&amp;$H588,IF(AND(LEFT($L588,2)="07",OR($H588&lt;1946,$H588&gt;1972)),"FAIL - 1946-72 class, year "&amp;$H588,IF(AND(LEFT($L588,2)="08",OR($H588&lt;1973,$H588&gt;1999)),"FAIL - 1973-99 class, year "&amp;$H588,IF(AND(LEFT($L588,2)="09",OR($H588&lt;2000,$H588&gt;2010)),"FAIL - 2000-10 class, year "&amp;$H588,"OK")))))</f>
      </c>
      <c r="BF588" s="45">
        <f>IF($AD588="","",IF(ROUND($AO588+$AP588+$AQ588-$AD588,2)=0,"OK","FAIL - out by "&amp;TEXT($AO588+$AP588+$AQ588-$AD588,"$0.00")))</f>
      </c>
    </row>
    <row r="589" spans="1:58" ht="18.75" customHeight="1" x14ac:dyDescent="0.25">
      <c r="A589" s="30" t="inlineStr">
        <is>
          <t xml:space="preserve">CANON-202602-005460</t>
        </is>
      </c>
      <c r="B589" s="30" t="inlineStr">
        <is>
          <t xml:space="preserve">Lorenzo Ashcombe</t>
        </is>
      </c>
      <c r="C589" s="31">
        <v>46060</v>
      </c>
      <c r="D589" s="32" t="inlineStr">
        <is>
          <t xml:space="preserve">Bound - within authority</t>
        </is>
      </c>
      <c r="E589" s="32" t="inlineStr">
        <is>
          <t xml:space="preserve">New business</t>
        </is>
      </c>
      <c r="F589" s="30" t="inlineStr">
        <is>
          <t xml:space="preserve">B1234EXOTIC26</t>
        </is>
      </c>
      <c r="G589" s="33">
        <f>IF($A589="","",IF($C589="","",YEAR($C589)))</f>
      </c>
      <c r="H589" s="34">
        <v>2008</v>
      </c>
      <c r="I589" s="30" t="inlineStr">
        <is>
          <t xml:space="preserve">McLaren</t>
        </is>
      </c>
      <c r="J589" s="30" t="inlineStr">
        <is>
          <t xml:space="preserve">750S</t>
        </is>
      </c>
      <c r="K589" s="30" t="inlineStr">
        <is>
          <t xml:space="preserve">FWMP326MG559L4JDM</t>
        </is>
      </c>
      <c r="L589" s="32" t="inlineStr">
        <is>
          <t xml:space="preserve">03 - Supercar</t>
        </is>
      </c>
      <c r="M589" s="35">
        <v>1115000</v>
      </c>
      <c r="N589" s="32" t="inlineStr">
        <is>
          <t xml:space="preserve">Personal</t>
        </is>
      </c>
      <c r="O589" s="30" t="inlineStr">
        <is>
          <t xml:space="preserve">Personal - regular use</t>
        </is>
      </c>
      <c r="P589" s="30" t="inlineStr">
        <is>
          <t xml:space="preserve">2,500 - 5,000</t>
        </is>
      </c>
      <c r="Q589" s="30" t="inlineStr">
        <is>
          <t xml:space="preserve">Texas</t>
        </is>
      </c>
      <c r="R589" s="30" t="inlineStr">
        <is>
          <t xml:space="preserve">75201</t>
        </is>
      </c>
      <c r="S589" s="32" t="inlineStr">
        <is>
          <t xml:space="preserve">Tier 2 - Coastal wind (1-25 miles)</t>
        </is>
      </c>
      <c r="T589" s="36">
        <f>IF($A589="","",IF($S589="","",IFERROR(INDEX('[1]natural catastrophe'!$D$6:$D$17,MATCH($S589,'[1]natural catastrophe'!$B$6:$B$17,0)),"?")))</f>
      </c>
      <c r="U589" s="30" t="inlineStr">
        <is>
          <t xml:space="preserve">2% of agreed value, minimum $10,000</t>
        </is>
      </c>
      <c r="V589" s="32" t="inlineStr">
        <is>
          <t xml:space="preserve">Agreed Value</t>
        </is>
      </c>
      <c r="W589" s="30" t="inlineStr">
        <is>
          <t xml:space="preserve">$1,000</t>
        </is>
      </c>
      <c r="X589" s="32" t="inlineStr">
        <is>
          <t xml:space="preserve">$1,000,000 CSL</t>
        </is>
      </c>
      <c r="Y589" s="30"/>
      <c r="Z589" s="30"/>
      <c r="AA589" s="32" t="inlineStr">
        <is>
          <t xml:space="preserve">Surplus Lines</t>
        </is>
      </c>
      <c r="AB589" s="35">
        <v>17016.67</v>
      </c>
      <c r="AC589" s="37">
        <v>0</v>
      </c>
      <c r="AD589" s="38">
        <f>IF(ISNUMBER($AB589),$AB589*(1+N($AC589)),"")</f>
      </c>
      <c r="AE589" s="35">
        <v>350</v>
      </c>
      <c r="AF589" s="35">
        <v>250</v>
      </c>
      <c r="AG589" s="37"/>
      <c r="AH589" s="39">
        <f>IF(ISNUMBER($AD589),($AD589+$AE589+$AF589)*$AG589,"")</f>
      </c>
      <c r="AI589" s="35"/>
      <c r="AJ589" s="38">
        <f>IF(ISNUMBER($AD589),SUM($AD589:$AH589),"")</f>
      </c>
      <c r="AK589" s="40">
        <f>IF(AND(ISNUMBER($AB589),ISNUMBER($AD589)),IF($AB589&gt;0,$AD589/$AB589,""),"")</f>
      </c>
      <c r="AL589" s="32" t="inlineStr">
        <is>
          <t xml:space="preserve">At technical</t>
        </is>
      </c>
      <c r="AM589" s="41">
        <f>IF(ISNUMBER($AD589),Header!$I$3,"")</f>
      </c>
      <c r="AN589" s="39">
        <f>IF(ISNUMBER($AD589),$AO589+$AP589,"")</f>
      </c>
      <c r="AO589" s="39">
        <f>IF(ISNUMBER($AD589),ROUND($AD589*Header!$K$3,2),"")</f>
      </c>
      <c r="AP589" s="39">
        <f>IF(ISNUMBER($AD589),ROUND($AD589*Header!$M$3,2),"")</f>
      </c>
      <c r="AQ589" s="38">
        <f>IF(ISNUMBER($AD589),ROUND($AD589,2)-$AO589-$AP589,"")</f>
      </c>
      <c r="AR589" s="39">
        <f>IF(ISNUMBER($AD589),IF(Header!$D$34="","?",$AD589*Header!$D$34),"")</f>
      </c>
      <c r="AS589" s="39">
        <f>IF(ISNUMBER($AB589),IF(Header!$D$34="","?",$AB589*Header!$D$34),"")</f>
      </c>
      <c r="AT589" s="42">
        <f>IF(AND(ISNUMBER($AB589),$M589&gt;0),$AB589/$M589*100,"")</f>
      </c>
      <c r="AU589" s="42">
        <f>IF(AND(ISNUMBER($AD589),$M589&gt;0),$AD589/$M589*100,"")</f>
      </c>
      <c r="AV589" s="40">
        <f>IF(AND(ISNUMBER($AB589),ISNUMBER($AD589),ABS($AB589)&gt;0),$AD589/$AB589,"")</f>
      </c>
      <c r="AW589" s="39">
        <f>IF(ISNUMBER($AD589),MAX(0,(1-0.55-Header!$O$3)*Header!$Q$3*$AQ589),"")</f>
      </c>
      <c r="AX589" s="43">
        <f>IF($A589="","",IF(TRIM(IF($A589="","Missing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",""))="","PASS","FAIL: "&amp;TRIM(IF($A589="","Missing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f>
      </c>
      <c r="AY589" s="44">
        <f>IF($M589="","",IF(ISNUMBER($M589),IF($M589&gt;=Header!$C$18,"YES — refer","No"),""))</f>
      </c>
      <c r="AZ589" s="44">
        <f>IF($AD589="","",IF(ISNUMBER($AD589),IF($AD589&lt;Header!$C$20,"BELOW MIN PREMIUM","OK"),""))</f>
      </c>
      <c r="BA589" s="32" t="inlineStr">
        <is>
          <t xml:space="preserve">Yes</t>
        </is>
      </c>
      <c r="BB589" s="32" t="inlineStr">
        <is>
          <t xml:space="preserve">Yes</t>
        </is>
      </c>
      <c r="BC589" s="30" t="inlineStr">
        <is>
          <t xml:space="preserve">Synthetic demo data</t>
        </is>
      </c>
      <c r="BE589" s="45">
        <f>IF(OR($A589="",$L589="",$H589=""),"",IF(AND(LEFT($L589,2)="06",$H589&gt;1945),"FAIL - pre-war class, year "&amp;$H589,IF(AND(LEFT($L589,2)="07",OR($H589&lt;1946,$H589&gt;1972)),"FAIL - 1946-72 class, year "&amp;$H589,IF(AND(LEFT($L589,2)="08",OR($H589&lt;1973,$H589&gt;1999)),"FAIL - 1973-99 class, year "&amp;$H589,IF(AND(LEFT($L589,2)="09",OR($H589&lt;2000,$H589&gt;2010)),"FAIL - 2000-10 class, year "&amp;$H589,"OK")))))</f>
      </c>
      <c r="BF589" s="45">
        <f>IF($AD589="","",IF(ROUND($AO589+$AP589+$AQ589-$AD589,2)=0,"OK","FAIL - out by "&amp;TEXT($AO589+$AP589+$AQ589-$AD589,"$0.00")))</f>
      </c>
    </row>
    <row r="590" spans="1:58" ht="18.75" customHeight="1" x14ac:dyDescent="0.25">
      <c r="A590" s="46" t="inlineStr">
        <is>
          <t xml:space="preserve">CANON-202602-005461</t>
        </is>
      </c>
      <c r="B590" s="46" t="inlineStr">
        <is>
          <t xml:space="preserve">Everett Vasquez</t>
        </is>
      </c>
      <c r="C590" s="47">
        <v>46059</v>
      </c>
      <c r="D590" s="48" t="inlineStr">
        <is>
          <t xml:space="preserve">Bound - within authority</t>
        </is>
      </c>
      <c r="E590" s="48" t="inlineStr">
        <is>
          <t xml:space="preserve">New business</t>
        </is>
      </c>
      <c r="F590" s="46" t="inlineStr">
        <is>
          <t xml:space="preserve">B1234EXOTIC26</t>
        </is>
      </c>
      <c r="G590" s="33">
        <f>IF($A590="","",IF($C590="","",YEAR($C590)))</f>
      </c>
      <c r="H590" s="49">
        <v>2020</v>
      </c>
      <c r="I590" s="46" t="inlineStr">
        <is>
          <t xml:space="preserve">Ferrari</t>
        </is>
      </c>
      <c r="J590" s="46" t="inlineStr">
        <is>
          <t xml:space="preserve">SF90 Stradale</t>
        </is>
      </c>
      <c r="K590" s="46" t="inlineStr">
        <is>
          <t xml:space="preserve">XSXR531PVSACERTB1</t>
        </is>
      </c>
      <c r="L590" s="48" t="inlineStr">
        <is>
          <t xml:space="preserve">03 - Supercar</t>
        </is>
      </c>
      <c r="M590" s="50">
        <v>500000</v>
      </c>
      <c r="N590" s="48" t="inlineStr">
        <is>
          <t xml:space="preserve">Personal</t>
        </is>
      </c>
      <c r="O590" s="46" t="inlineStr">
        <is>
          <t xml:space="preserve">Personal - regular use</t>
        </is>
      </c>
      <c r="P590" s="46" t="inlineStr">
        <is>
          <t xml:space="preserve">1,000 - 2,500</t>
        </is>
      </c>
      <c r="Q590" s="46" t="inlineStr">
        <is>
          <t xml:space="preserve">Pennsylvania</t>
        </is>
      </c>
      <c r="R590" s="46" t="inlineStr">
        <is>
          <t xml:space="preserve">19103</t>
        </is>
      </c>
      <c r="S590" s="48" t="inlineStr">
        <is>
          <t xml:space="preserve">Low hazard - inland benign</t>
        </is>
      </c>
      <c r="T590" s="36">
        <f>IF($A590="","",IF($S590="","",IFERROR(INDEX('[1]natural catastrophe'!$D$6:$D$17,MATCH($S590,'[1]natural catastrophe'!$B$6:$B$17,0)),"?")))</f>
      </c>
      <c r="U590" s="46" t="inlineStr">
        <is>
          <t xml:space="preserve">$5,000</t>
        </is>
      </c>
      <c r="V590" s="48" t="inlineStr">
        <is>
          <t xml:space="preserve">Agreed Value</t>
        </is>
      </c>
      <c r="W590" s="46" t="inlineStr">
        <is>
          <t xml:space="preserve">$1,000</t>
        </is>
      </c>
      <c r="X590" s="48" t="inlineStr">
        <is>
          <t xml:space="preserve">$1,000,000 CSL</t>
        </is>
      </c>
      <c r="Y590" s="46"/>
      <c r="Z590" s="46"/>
      <c r="AA590" s="48" t="inlineStr">
        <is>
          <t xml:space="preserve">Surplus Lines</t>
        </is>
      </c>
      <c r="AB590" s="50">
        <v>7879.62</v>
      </c>
      <c r="AC590" s="51">
        <v>0</v>
      </c>
      <c r="AD590" s="38">
        <f>IF(ISNUMBER($AB590),$AB590*(1+N($AC590)),"")</f>
      </c>
      <c r="AE590" s="50">
        <v>350</v>
      </c>
      <c r="AF590" s="50">
        <v>0</v>
      </c>
      <c r="AG590" s="51"/>
      <c r="AH590" s="39">
        <f>IF(ISNUMBER($AD590),($AD590+$AE590+$AF590)*$AG590,"")</f>
      </c>
      <c r="AI590" s="50"/>
      <c r="AJ590" s="38">
        <f>IF(ISNUMBER($AD590),SUM($AD590:$AH590),"")</f>
      </c>
      <c r="AK590" s="40">
        <f>IF(AND(ISNUMBER($AB590),ISNUMBER($AD590)),IF($AB590&gt;0,$AD590/$AB590,""),"")</f>
      </c>
      <c r="AL590" s="48" t="inlineStr">
        <is>
          <t xml:space="preserve">At technical</t>
        </is>
      </c>
      <c r="AM590" s="41">
        <f>IF(ISNUMBER($AD590),Header!$I$3,"")</f>
      </c>
      <c r="AN590" s="39">
        <f>IF(ISNUMBER($AD590),$AO590+$AP590,"")</f>
      </c>
      <c r="AO590" s="39">
        <f>IF(ISNUMBER($AD590),ROUND($AD590*Header!$K$3,2),"")</f>
      </c>
      <c r="AP590" s="39">
        <f>IF(ISNUMBER($AD590),ROUND($AD590*Header!$M$3,2),"")</f>
      </c>
      <c r="AQ590" s="38">
        <f>IF(ISNUMBER($AD590),ROUND($AD590,2)-$AO590-$AP590,"")</f>
      </c>
      <c r="AR590" s="39">
        <f>IF(ISNUMBER($AD590),IF(Header!$D$34="","?",$AD590*Header!$D$34),"")</f>
      </c>
      <c r="AS590" s="39">
        <f>IF(ISNUMBER($AB590),IF(Header!$D$34="","?",$AB590*Header!$D$34),"")</f>
      </c>
      <c r="AT590" s="42">
        <f>IF(AND(ISNUMBER($AB590),$M590&gt;0),$AB590/$M590*100,"")</f>
      </c>
      <c r="AU590" s="42">
        <f>IF(AND(ISNUMBER($AD590),$M590&gt;0),$AD590/$M590*100,"")</f>
      </c>
      <c r="AV590" s="40">
        <f>IF(AND(ISNUMBER($AB590),ISNUMBER($AD590),ABS($AB590)&gt;0),$AD590/$AB590,"")</f>
      </c>
      <c r="AW590" s="39">
        <f>IF(ISNUMBER($AD590),MAX(0,(1-0.55-Header!$O$3)*Header!$Q$3*$AQ590),"")</f>
      </c>
      <c r="AX590" s="43">
        <f>IF($A590="","",IF(TRIM(IF($A590="","Missing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",""))="","PASS","FAIL: "&amp;TRIM(IF($A590="","Missing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f>
      </c>
      <c r="AY590" s="44">
        <f>IF($M590="","",IF(ISNUMBER($M590),IF($M590&gt;=Header!$C$18,"YES — refer","No"),""))</f>
      </c>
      <c r="AZ590" s="44">
        <f>IF($AD590="","",IF(ISNUMBER($AD590),IF($AD590&lt;Header!$C$20,"BELOW MIN PREMIUM","OK"),""))</f>
      </c>
      <c r="BA590" s="48" t="inlineStr">
        <is>
          <t xml:space="preserve">Yes</t>
        </is>
      </c>
      <c r="BB590" s="48" t="inlineStr">
        <is>
          <t xml:space="preserve">Yes</t>
        </is>
      </c>
      <c r="BC590" s="46" t="inlineStr">
        <is>
          <t xml:space="preserve">Synthetic demo data</t>
        </is>
      </c>
      <c r="BE590" s="45">
        <f>IF(OR($A590="",$L590="",$H590=""),"",IF(AND(LEFT($L590,2)="06",$H590&gt;1945),"FAIL - pre-war class, year "&amp;$H590,IF(AND(LEFT($L590,2)="07",OR($H590&lt;1946,$H590&gt;1972)),"FAIL - 1946-72 class, year "&amp;$H590,IF(AND(LEFT($L590,2)="08",OR($H590&lt;1973,$H590&gt;1999)),"FAIL - 1973-99 class, year "&amp;$H590,IF(AND(LEFT($L590,2)="09",OR($H590&lt;2000,$H590&gt;2010)),"FAIL - 2000-10 class, year "&amp;$H590,"OK")))))</f>
      </c>
      <c r="BF590" s="45">
        <f>IF($AD590="","",IF(ROUND($AO590+$AP590+$AQ590-$AD590,2)=0,"OK","FAIL - out by "&amp;TEXT($AO590+$AP590+$AQ590-$AD590,"$0.00")))</f>
      </c>
    </row>
    <row r="591" spans="1:58" ht="18.75" customHeight="1" x14ac:dyDescent="0.25">
      <c r="A591" s="30" t="inlineStr">
        <is>
          <t xml:space="preserve">CANON-202602-005462</t>
        </is>
      </c>
      <c r="B591" s="30" t="inlineStr">
        <is>
          <t xml:space="preserve">Ingrid Okonkwo</t>
        </is>
      </c>
      <c r="C591" s="31">
        <v>46061</v>
      </c>
      <c r="D591" s="32" t="inlineStr">
        <is>
          <t xml:space="preserve">Bound - within authority</t>
        </is>
      </c>
      <c r="E591" s="32" t="inlineStr">
        <is>
          <t xml:space="preserve">New business</t>
        </is>
      </c>
      <c r="F591" s="30" t="inlineStr">
        <is>
          <t xml:space="preserve">B1234EXOTIC26</t>
        </is>
      </c>
      <c r="G591" s="33">
        <f>IF($A591="","",IF($C591="","",YEAR($C591)))</f>
      </c>
      <c r="H591" s="34">
        <v>1956</v>
      </c>
      <c r="I591" s="30" t="inlineStr">
        <is>
          <t xml:space="preserve">Mercedes-Benz</t>
        </is>
      </c>
      <c r="J591" s="30" t="inlineStr">
        <is>
          <t xml:space="preserve">AMG GT</t>
        </is>
      </c>
      <c r="K591" s="30" t="inlineStr">
        <is>
          <t xml:space="preserve">2CJ73VGHXVTTXDW03</t>
        </is>
      </c>
      <c r="L591" s="32" t="inlineStr">
        <is>
          <t xml:space="preserve">02 - Sports / GT</t>
        </is>
      </c>
      <c r="M591" s="35">
        <v>1490000</v>
      </c>
      <c r="N591" s="32" t="inlineStr">
        <is>
          <t xml:space="preserve">Personal</t>
        </is>
      </c>
      <c r="O591" s="30" t="inlineStr">
        <is>
          <t xml:space="preserve">Personal - regular use</t>
        </is>
      </c>
      <c r="P591" s="30" t="inlineStr">
        <is>
          <t xml:space="preserve">1,000 - 2,500</t>
        </is>
      </c>
      <c r="Q591" s="30" t="inlineStr">
        <is>
          <t xml:space="preserve">Illinois</t>
        </is>
      </c>
      <c r="R591" s="30" t="inlineStr">
        <is>
          <t xml:space="preserve">60601</t>
        </is>
      </c>
      <c r="S591" s="32" t="inlineStr">
        <is>
          <t xml:space="preserve">Severe convective - hail / tornado (moderate)</t>
        </is>
      </c>
      <c r="T591" s="36">
        <f>IF($A591="","",IF($S591="","",IFERROR(INDEX('[1]natural catastrophe'!$D$6:$D$17,MATCH($S591,'[1]natural catastrophe'!$B$6:$B$17,0)),"?")))</f>
      </c>
      <c r="U591" s="30" t="inlineStr">
        <is>
          <t xml:space="preserve">$5,000</t>
        </is>
      </c>
      <c r="V591" s="32" t="inlineStr">
        <is>
          <t xml:space="preserve">Agreed Value</t>
        </is>
      </c>
      <c r="W591" s="30" t="inlineStr">
        <is>
          <t xml:space="preserve">$1,000</t>
        </is>
      </c>
      <c r="X591" s="32" t="inlineStr">
        <is>
          <t xml:space="preserve">$1,000,000 CSL</t>
        </is>
      </c>
      <c r="Y591" s="30"/>
      <c r="Z591" s="30"/>
      <c r="AA591" s="32" t="inlineStr">
        <is>
          <t xml:space="preserve">Surplus Lines</t>
        </is>
      </c>
      <c r="AB591" s="35">
        <v>18488.42</v>
      </c>
      <c r="AC591" s="37">
        <v>0</v>
      </c>
      <c r="AD591" s="38">
        <f>IF(ISNUMBER($AB591),$AB591*(1+N($AC591)),"")</f>
      </c>
      <c r="AE591" s="35">
        <v>350</v>
      </c>
      <c r="AF591" s="35">
        <v>250</v>
      </c>
      <c r="AG591" s="37"/>
      <c r="AH591" s="39">
        <f>IF(ISNUMBER($AD591),($AD591+$AE591+$AF591)*$AG591,"")</f>
      </c>
      <c r="AI591" s="35"/>
      <c r="AJ591" s="38">
        <f>IF(ISNUMBER($AD591),SUM($AD591:$AH591),"")</f>
      </c>
      <c r="AK591" s="40">
        <f>IF(AND(ISNUMBER($AB591),ISNUMBER($AD591)),IF($AB591&gt;0,$AD591/$AB591,""),"")</f>
      </c>
      <c r="AL591" s="32" t="inlineStr">
        <is>
          <t xml:space="preserve">At technical</t>
        </is>
      </c>
      <c r="AM591" s="41">
        <f>IF(ISNUMBER($AD591),Header!$I$3,"")</f>
      </c>
      <c r="AN591" s="39">
        <f>IF(ISNUMBER($AD591),$AO591+$AP591,"")</f>
      </c>
      <c r="AO591" s="39">
        <f>IF(ISNUMBER($AD591),ROUND($AD591*Header!$K$3,2),"")</f>
      </c>
      <c r="AP591" s="39">
        <f>IF(ISNUMBER($AD591),ROUND($AD591*Header!$M$3,2),"")</f>
      </c>
      <c r="AQ591" s="38">
        <f>IF(ISNUMBER($AD591),ROUND($AD591,2)-$AO591-$AP591,"")</f>
      </c>
      <c r="AR591" s="39">
        <f>IF(ISNUMBER($AD591),IF(Header!$D$34="","?",$AD591*Header!$D$34),"")</f>
      </c>
      <c r="AS591" s="39">
        <f>IF(ISNUMBER($AB591),IF(Header!$D$34="","?",$AB591*Header!$D$34),"")</f>
      </c>
      <c r="AT591" s="42">
        <f>IF(AND(ISNUMBER($AB591),$M591&gt;0),$AB591/$M591*100,"")</f>
      </c>
      <c r="AU591" s="42">
        <f>IF(AND(ISNUMBER($AD591),$M591&gt;0),$AD591/$M591*100,"")</f>
      </c>
      <c r="AV591" s="40">
        <f>IF(AND(ISNUMBER($AB591),ISNUMBER($AD591),ABS($AB591)&gt;0),$AD591/$AB591,"")</f>
      </c>
      <c r="AW591" s="39">
        <f>IF(ISNUMBER($AD591),MAX(0,(1-0.55-Header!$O$3)*Header!$Q$3*$AQ591),"")</f>
      </c>
      <c r="AX591" s="43">
        <f>IF($A591="","",IF(TRIM(IF($A591="","Missing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",""))="","PASS","FAIL: "&amp;TRIM(IF($A591="","Missing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f>
      </c>
      <c r="AY591" s="44">
        <f>IF($M591="","",IF(ISNUMBER($M591),IF($M591&gt;=Header!$C$18,"YES — refer","No"),""))</f>
      </c>
      <c r="AZ591" s="44">
        <f>IF($AD591="","",IF(ISNUMBER($AD591),IF($AD591&lt;Header!$C$20,"BELOW MIN PREMIUM","OK"),""))</f>
      </c>
      <c r="BA591" s="32" t="inlineStr">
        <is>
          <t xml:space="preserve">Yes</t>
        </is>
      </c>
      <c r="BB591" s="32" t="inlineStr">
        <is>
          <t xml:space="preserve">Yes</t>
        </is>
      </c>
      <c r="BC591" s="30" t="inlineStr">
        <is>
          <t xml:space="preserve">Synthetic demo data</t>
        </is>
      </c>
      <c r="BE591" s="45">
        <f>IF(OR($A591="",$L591="",$H591=""),"",IF(AND(LEFT($L591,2)="06",$H591&gt;1945),"FAIL - pre-war class, year "&amp;$H591,IF(AND(LEFT($L591,2)="07",OR($H591&lt;1946,$H591&gt;1972)),"FAIL - 1946-72 class, year "&amp;$H591,IF(AND(LEFT($L591,2)="08",OR($H591&lt;1973,$H591&gt;1999)),"FAIL - 1973-99 class, year "&amp;$H591,IF(AND(LEFT($L591,2)="09",OR($H591&lt;2000,$H591&gt;2010)),"FAIL - 2000-10 class, year "&amp;$H591,"OK")))))</f>
      </c>
      <c r="BF591" s="45">
        <f>IF($AD591="","",IF(ROUND($AO591+$AP591+$AQ591-$AD591,2)=0,"OK","FAIL - out by "&amp;TEXT($AO591+$AP591+$AQ591-$AD591,"$0.00")))</f>
      </c>
    </row>
    <row r="592" spans="1:58" ht="18.75" customHeight="1" x14ac:dyDescent="0.25">
      <c r="A592" s="46" t="inlineStr">
        <is>
          <t xml:space="preserve">CANON-202602-005463</t>
        </is>
      </c>
      <c r="B592" s="46" t="inlineStr">
        <is>
          <t xml:space="preserve">Ramona Kingsford</t>
        </is>
      </c>
      <c r="C592" s="47">
        <v>46074</v>
      </c>
      <c r="D592" s="48" t="inlineStr">
        <is>
          <t xml:space="preserve">Bound - within authority</t>
        </is>
      </c>
      <c r="E592" s="48" t="inlineStr">
        <is>
          <t xml:space="preserve">New business</t>
        </is>
      </c>
      <c r="F592" s="46" t="inlineStr">
        <is>
          <t xml:space="preserve">B1234EXOTIC26</t>
        </is>
      </c>
      <c r="G592" s="33">
        <f>IF($A592="","",IF($C592="","",YEAR($C592)))</f>
      </c>
      <c r="H592" s="49">
        <v>2006</v>
      </c>
      <c r="I592" s="46" t="inlineStr">
        <is>
          <t xml:space="preserve">Ferrari</t>
        </is>
      </c>
      <c r="J592" s="46" t="inlineStr">
        <is>
          <t xml:space="preserve">296 GTB</t>
        </is>
      </c>
      <c r="K592" s="46" t="inlineStr">
        <is>
          <t xml:space="preserve">NK58ZPDRFB1VBU69Z</t>
        </is>
      </c>
      <c r="L592" s="48" t="inlineStr">
        <is>
          <t xml:space="preserve">03 - Supercar</t>
        </is>
      </c>
      <c r="M592" s="50">
        <v>455000</v>
      </c>
      <c r="N592" s="48" t="inlineStr">
        <is>
          <t xml:space="preserve">Personal</t>
        </is>
      </c>
      <c r="O592" s="46" t="inlineStr">
        <is>
          <t xml:space="preserve">Personal - regular use</t>
        </is>
      </c>
      <c r="P592" s="46" t="inlineStr">
        <is>
          <t xml:space="preserve">1,000 - 2,500</t>
        </is>
      </c>
      <c r="Q592" s="46" t="inlineStr">
        <is>
          <t xml:space="preserve">New Jersey</t>
        </is>
      </c>
      <c r="R592" s="46" t="inlineStr">
        <is>
          <t xml:space="preserve">07102</t>
        </is>
      </c>
      <c r="S592" s="48" t="inlineStr">
        <is>
          <t xml:space="preserve">Tier 3 - Coastal wind (25-100 miles)</t>
        </is>
      </c>
      <c r="T592" s="36">
        <f>IF($A592="","",IF($S592="","",IFERROR(INDEX('[1]natural catastrophe'!$D$6:$D$17,MATCH($S592,'[1]natural catastrophe'!$B$6:$B$17,0)),"?")))</f>
      </c>
      <c r="U592" s="46" t="inlineStr">
        <is>
          <t xml:space="preserve">2% of agreed value, minimum $10,000</t>
        </is>
      </c>
      <c r="V592" s="48" t="inlineStr">
        <is>
          <t xml:space="preserve">Agreed Value</t>
        </is>
      </c>
      <c r="W592" s="46" t="inlineStr">
        <is>
          <t xml:space="preserve">$1,000</t>
        </is>
      </c>
      <c r="X592" s="48" t="inlineStr">
        <is>
          <t xml:space="preserve">$1,000,000 CSL</t>
        </is>
      </c>
      <c r="Y592" s="46"/>
      <c r="Z592" s="46"/>
      <c r="AA592" s="48" t="inlineStr">
        <is>
          <t xml:space="preserve">Surplus Lines</t>
        </is>
      </c>
      <c r="AB592" s="50">
        <v>7898.82</v>
      </c>
      <c r="AC592" s="51">
        <v>0</v>
      </c>
      <c r="AD592" s="38">
        <f>IF(ISNUMBER($AB592),$AB592*(1+N($AC592)),"")</f>
      </c>
      <c r="AE592" s="50">
        <v>350</v>
      </c>
      <c r="AF592" s="50">
        <v>0</v>
      </c>
      <c r="AG592" s="51"/>
      <c r="AH592" s="39">
        <f>IF(ISNUMBER($AD592),($AD592+$AE592+$AF592)*$AG592,"")</f>
      </c>
      <c r="AI592" s="50"/>
      <c r="AJ592" s="38">
        <f>IF(ISNUMBER($AD592),SUM($AD592:$AH592),"")</f>
      </c>
      <c r="AK592" s="40">
        <f>IF(AND(ISNUMBER($AB592),ISNUMBER($AD592)),IF($AB592&gt;0,$AD592/$AB592,""),"")</f>
      </c>
      <c r="AL592" s="48" t="inlineStr">
        <is>
          <t xml:space="preserve">At technical</t>
        </is>
      </c>
      <c r="AM592" s="41">
        <f>IF(ISNUMBER($AD592),Header!$I$3,"")</f>
      </c>
      <c r="AN592" s="39">
        <f>IF(ISNUMBER($AD592),$AO592+$AP592,"")</f>
      </c>
      <c r="AO592" s="39">
        <f>IF(ISNUMBER($AD592),ROUND($AD592*Header!$K$3,2),"")</f>
      </c>
      <c r="AP592" s="39">
        <f>IF(ISNUMBER($AD592),ROUND($AD592*Header!$M$3,2),"")</f>
      </c>
      <c r="AQ592" s="38">
        <f>IF(ISNUMBER($AD592),ROUND($AD592,2)-$AO592-$AP592,"")</f>
      </c>
      <c r="AR592" s="39">
        <f>IF(ISNUMBER($AD592),IF(Header!$D$34="","?",$AD592*Header!$D$34),"")</f>
      </c>
      <c r="AS592" s="39">
        <f>IF(ISNUMBER($AB592),IF(Header!$D$34="","?",$AB592*Header!$D$34),"")</f>
      </c>
      <c r="AT592" s="42">
        <f>IF(AND(ISNUMBER($AB592),$M592&gt;0),$AB592/$M592*100,"")</f>
      </c>
      <c r="AU592" s="42">
        <f>IF(AND(ISNUMBER($AD592),$M592&gt;0),$AD592/$M592*100,"")</f>
      </c>
      <c r="AV592" s="40">
        <f>IF(AND(ISNUMBER($AB592),ISNUMBER($AD592),ABS($AB592)&gt;0),$AD592/$AB592,"")</f>
      </c>
      <c r="AW592" s="39">
        <f>IF(ISNUMBER($AD592),MAX(0,(1-0.55-Header!$O$3)*Header!$Q$3*$AQ592),"")</f>
      </c>
      <c r="AX592" s="43">
        <f>IF($A592="","",IF(TRIM(IF($A592="","Missing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",""))="","PASS","FAIL: "&amp;TRIM(IF($A592="","Missing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f>
      </c>
      <c r="AY592" s="44">
        <f>IF($M592="","",IF(ISNUMBER($M592),IF($M592&gt;=Header!$C$18,"YES — refer","No"),""))</f>
      </c>
      <c r="AZ592" s="44">
        <f>IF($AD592="","",IF(ISNUMBER($AD592),IF($AD592&lt;Header!$C$20,"BELOW MIN PREMIUM","OK"),""))</f>
      </c>
      <c r="BA592" s="48" t="inlineStr">
        <is>
          <t xml:space="preserve">Yes</t>
        </is>
      </c>
      <c r="BB592" s="48" t="inlineStr">
        <is>
          <t xml:space="preserve">Yes</t>
        </is>
      </c>
      <c r="BC592" s="46" t="inlineStr">
        <is>
          <t xml:space="preserve">Synthetic demo data</t>
        </is>
      </c>
      <c r="BE592" s="45">
        <f>IF(OR($A592="",$L592="",$H592=""),"",IF(AND(LEFT($L592,2)="06",$H592&gt;1945),"FAIL - pre-war class, year "&amp;$H592,IF(AND(LEFT($L592,2)="07",OR($H592&lt;1946,$H592&gt;1972)),"FAIL - 1946-72 class, year "&amp;$H592,IF(AND(LEFT($L592,2)="08",OR($H592&lt;1973,$H592&gt;1999)),"FAIL - 1973-99 class, year "&amp;$H592,IF(AND(LEFT($L592,2)="09",OR($H592&lt;2000,$H592&gt;2010)),"FAIL - 2000-10 class, year "&amp;$H592,"OK")))))</f>
      </c>
      <c r="BF592" s="45">
        <f>IF($AD592="","",IF(ROUND($AO592+$AP592+$AQ592-$AD592,2)=0,"OK","FAIL - out by "&amp;TEXT($AO592+$AP592+$AQ592-$AD592,"$0.00")))</f>
      </c>
    </row>
    <row r="593" spans="1:58" ht="18.75" customHeight="1" x14ac:dyDescent="0.25">
      <c r="A593" s="30" t="inlineStr">
        <is>
          <t xml:space="preserve">CANON-202602-005464</t>
        </is>
      </c>
      <c r="B593" s="30" t="inlineStr">
        <is>
          <t xml:space="preserve">Mireille Pennington</t>
        </is>
      </c>
      <c r="C593" s="31">
        <v>46078</v>
      </c>
      <c r="D593" s="32" t="inlineStr">
        <is>
          <t xml:space="preserve">Bound - within authority</t>
        </is>
      </c>
      <c r="E593" s="32" t="inlineStr">
        <is>
          <t xml:space="preserve">New business</t>
        </is>
      </c>
      <c r="F593" s="30" t="inlineStr">
        <is>
          <t xml:space="preserve">B1234EXOTIC26</t>
        </is>
      </c>
      <c r="G593" s="33">
        <f>IF($A593="","",IF($C593="","",YEAR($C593)))</f>
      </c>
      <c r="H593" s="34">
        <v>1963</v>
      </c>
      <c r="I593" s="30" t="inlineStr">
        <is>
          <t xml:space="preserve">Maserati</t>
        </is>
      </c>
      <c r="J593" s="30" t="inlineStr">
        <is>
          <t xml:space="preserve">GranTurismo</t>
        </is>
      </c>
      <c r="K593" s="30" t="inlineStr">
        <is>
          <t xml:space="preserve">9TGX9A0KG4GLD8RD5</t>
        </is>
      </c>
      <c r="L593" s="32" t="inlineStr">
        <is>
          <t xml:space="preserve">02 - Sports / GT</t>
        </is>
      </c>
      <c r="M593" s="35">
        <v>275000</v>
      </c>
      <c r="N593" s="32" t="inlineStr">
        <is>
          <t xml:space="preserve">Personal</t>
        </is>
      </c>
      <c r="O593" s="30" t="inlineStr">
        <is>
          <t xml:space="preserve">Personal - regular use</t>
        </is>
      </c>
      <c r="P593" s="30" t="inlineStr">
        <is>
          <t xml:space="preserve">1,000 - 2,500</t>
        </is>
      </c>
      <c r="Q593" s="30" t="inlineStr">
        <is>
          <t xml:space="preserve">Hawaii</t>
        </is>
      </c>
      <c r="R593" s="30" t="inlineStr">
        <is>
          <t xml:space="preserve">96813</t>
        </is>
      </c>
      <c r="S593" s="32" t="inlineStr">
        <is>
          <t xml:space="preserve">Earthquake - high (CA, Cascadia, New Madrid)</t>
        </is>
      </c>
      <c r="T593" s="36">
        <f>IF($A593="","",IF($S593="","",IFERROR(INDEX('[1]natural catastrophe'!$D$6:$D$17,MATCH($S593,'[1]natural catastrophe'!$B$6:$B$17,0)),"?")))</f>
      </c>
      <c r="U593" s="30" t="inlineStr">
        <is>
          <t xml:space="preserve">$5,000</t>
        </is>
      </c>
      <c r="V593" s="32" t="inlineStr">
        <is>
          <t xml:space="preserve">Agreed Value</t>
        </is>
      </c>
      <c r="W593" s="30" t="inlineStr">
        <is>
          <t xml:space="preserve">$1,000</t>
        </is>
      </c>
      <c r="X593" s="32" t="inlineStr">
        <is>
          <t xml:space="preserve">$1,000,000 CSL</t>
        </is>
      </c>
      <c r="Y593" s="30"/>
      <c r="Z593" s="30"/>
      <c r="AA593" s="32" t="inlineStr">
        <is>
          <t xml:space="preserve">Surplus Lines</t>
        </is>
      </c>
      <c r="AB593" s="35">
        <v>4447.84</v>
      </c>
      <c r="AC593" s="37">
        <v>0</v>
      </c>
      <c r="AD593" s="38">
        <f>IF(ISNUMBER($AB593),$AB593*(1+N($AC593)),"")</f>
      </c>
      <c r="AE593" s="35">
        <v>350</v>
      </c>
      <c r="AF593" s="35">
        <v>0</v>
      </c>
      <c r="AG593" s="37"/>
      <c r="AH593" s="39">
        <f>IF(ISNUMBER($AD593),($AD593+$AE593+$AF593)*$AG593,"")</f>
      </c>
      <c r="AI593" s="35"/>
      <c r="AJ593" s="38">
        <f>IF(ISNUMBER($AD593),SUM($AD593:$AH593),"")</f>
      </c>
      <c r="AK593" s="40">
        <f>IF(AND(ISNUMBER($AB593),ISNUMBER($AD593)),IF($AB593&gt;0,$AD593/$AB593,""),"")</f>
      </c>
      <c r="AL593" s="32" t="inlineStr">
        <is>
          <t xml:space="preserve">At technical</t>
        </is>
      </c>
      <c r="AM593" s="41">
        <f>IF(ISNUMBER($AD593),Header!$I$3,"")</f>
      </c>
      <c r="AN593" s="39">
        <f>IF(ISNUMBER($AD593),$AO593+$AP593,"")</f>
      </c>
      <c r="AO593" s="39">
        <f>IF(ISNUMBER($AD593),ROUND($AD593*Header!$K$3,2),"")</f>
      </c>
      <c r="AP593" s="39">
        <f>IF(ISNUMBER($AD593),ROUND($AD593*Header!$M$3,2),"")</f>
      </c>
      <c r="AQ593" s="38">
        <f>IF(ISNUMBER($AD593),ROUND($AD593,2)-$AO593-$AP593,"")</f>
      </c>
      <c r="AR593" s="39">
        <f>IF(ISNUMBER($AD593),IF(Header!$D$34="","?",$AD593*Header!$D$34),"")</f>
      </c>
      <c r="AS593" s="39">
        <f>IF(ISNUMBER($AB593),IF(Header!$D$34="","?",$AB593*Header!$D$34),"")</f>
      </c>
      <c r="AT593" s="42">
        <f>IF(AND(ISNUMBER($AB593),$M593&gt;0),$AB593/$M593*100,"")</f>
      </c>
      <c r="AU593" s="42">
        <f>IF(AND(ISNUMBER($AD593),$M593&gt;0),$AD593/$M593*100,"")</f>
      </c>
      <c r="AV593" s="40">
        <f>IF(AND(ISNUMBER($AB593),ISNUMBER($AD593),ABS($AB593)&gt;0),$AD593/$AB593,"")</f>
      </c>
      <c r="AW593" s="39">
        <f>IF(ISNUMBER($AD593),MAX(0,(1-0.55-Header!$O$3)*Header!$Q$3*$AQ593),"")</f>
      </c>
      <c r="AX593" s="43">
        <f>IF($A593="","",IF(TRIM(IF($A593="","Missing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",""))="","PASS","FAIL: "&amp;TRIM(IF($A593="","Missing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f>
      </c>
      <c r="AY593" s="44">
        <f>IF($M593="","",IF(ISNUMBER($M593),IF($M593&gt;=Header!$C$18,"YES — refer","No"),""))</f>
      </c>
      <c r="AZ593" s="44">
        <f>IF($AD593="","",IF(ISNUMBER($AD593),IF($AD593&lt;Header!$C$20,"BELOW MIN PREMIUM","OK"),""))</f>
      </c>
      <c r="BA593" s="32" t="inlineStr">
        <is>
          <t xml:space="preserve">Yes</t>
        </is>
      </c>
      <c r="BB593" s="32" t="inlineStr">
        <is>
          <t xml:space="preserve">Yes</t>
        </is>
      </c>
      <c r="BC593" s="30" t="inlineStr">
        <is>
          <t xml:space="preserve">Synthetic demo data</t>
        </is>
      </c>
      <c r="BE593" s="45">
        <f>IF(OR($A593="",$L593="",$H593=""),"",IF(AND(LEFT($L593,2)="06",$H593&gt;1945),"FAIL - pre-war class, year "&amp;$H593,IF(AND(LEFT($L593,2)="07",OR($H593&lt;1946,$H593&gt;1972)),"FAIL - 1946-72 class, year "&amp;$H593,IF(AND(LEFT($L593,2)="08",OR($H593&lt;1973,$H593&gt;1999)),"FAIL - 1973-99 class, year "&amp;$H593,IF(AND(LEFT($L593,2)="09",OR($H593&lt;2000,$H593&gt;2010)),"FAIL - 2000-10 class, year "&amp;$H593,"OK")))))</f>
      </c>
      <c r="BF593" s="45">
        <f>IF($AD593="","",IF(ROUND($AO593+$AP593+$AQ593-$AD593,2)=0,"OK","FAIL - out by "&amp;TEXT($AO593+$AP593+$AQ593-$AD593,"$0.00")))</f>
      </c>
    </row>
    <row r="594" spans="1:58" ht="18.75" customHeight="1" x14ac:dyDescent="0.25">
      <c r="A594" s="46" t="inlineStr">
        <is>
          <t xml:space="preserve">CANON-202602-005466</t>
        </is>
      </c>
      <c r="B594" s="46" t="inlineStr">
        <is>
          <t xml:space="preserve">Everett Underwood</t>
        </is>
      </c>
      <c r="C594" s="47">
        <v>46078</v>
      </c>
      <c r="D594" s="48" t="inlineStr">
        <is>
          <t xml:space="preserve">Bound - within authority</t>
        </is>
      </c>
      <c r="E594" s="48" t="inlineStr">
        <is>
          <t xml:space="preserve">New business</t>
        </is>
      </c>
      <c r="F594" s="46" t="inlineStr">
        <is>
          <t xml:space="preserve">B1234EXOTIC26</t>
        </is>
      </c>
      <c r="G594" s="33">
        <f>IF($A594="","",IF($C594="","",YEAR($C594)))</f>
      </c>
      <c r="H594" s="49">
        <v>2002</v>
      </c>
      <c r="I594" s="46" t="inlineStr">
        <is>
          <t xml:space="preserve">Icon</t>
        </is>
      </c>
      <c r="J594" s="46" t="inlineStr">
        <is>
          <t xml:space="preserve">Derelict</t>
        </is>
      </c>
      <c r="K594" s="46" t="inlineStr">
        <is>
          <t xml:space="preserve">VJUVJWAGWY85F24MP</t>
        </is>
      </c>
      <c r="L594" s="48" t="inlineStr">
        <is>
          <t xml:space="preserve">11 - Restomod / Coachbuilt / Bespoke</t>
        </is>
      </c>
      <c r="M594" s="50">
        <v>670000</v>
      </c>
      <c r="N594" s="48" t="inlineStr">
        <is>
          <t xml:space="preserve">Personal</t>
        </is>
      </c>
      <c r="O594" s="46" t="inlineStr">
        <is>
          <t xml:space="preserve">Personal - regular use</t>
        </is>
      </c>
      <c r="P594" s="46" t="inlineStr">
        <is>
          <t xml:space="preserve">2,500 - 5,000</t>
        </is>
      </c>
      <c r="Q594" s="46" t="inlineStr">
        <is>
          <t xml:space="preserve">Tennessee</t>
        </is>
      </c>
      <c r="R594" s="46" t="inlineStr">
        <is>
          <t xml:space="preserve">37203</t>
        </is>
      </c>
      <c r="S594" s="48" t="inlineStr">
        <is>
          <t xml:space="preserve">Severe convective - hail / tornado (moderate)</t>
        </is>
      </c>
      <c r="T594" s="36">
        <f>IF($A594="","",IF($S594="","",IFERROR(INDEX('[1]natural catastrophe'!$D$6:$D$17,MATCH($S594,'[1]natural catastrophe'!$B$6:$B$17,0)),"?")))</f>
      </c>
      <c r="U594" s="46" t="inlineStr">
        <is>
          <t xml:space="preserve">$5,000</t>
        </is>
      </c>
      <c r="V594" s="48" t="inlineStr">
        <is>
          <t xml:space="preserve">Agreed Value</t>
        </is>
      </c>
      <c r="W594" s="46" t="inlineStr">
        <is>
          <t xml:space="preserve">$1,000</t>
        </is>
      </c>
      <c r="X594" s="48" t="inlineStr">
        <is>
          <t xml:space="preserve">$1,000,000 CSL</t>
        </is>
      </c>
      <c r="Y594" s="46"/>
      <c r="Z594" s="46"/>
      <c r="AA594" s="48" t="inlineStr">
        <is>
          <t xml:space="preserve">Surplus Lines</t>
        </is>
      </c>
      <c r="AB594" s="50">
        <v>8495.86</v>
      </c>
      <c r="AC594" s="51">
        <v>0</v>
      </c>
      <c r="AD594" s="38">
        <f>IF(ISNUMBER($AB594),$AB594*(1+N($AC594)),"")</f>
      </c>
      <c r="AE594" s="50">
        <v>350</v>
      </c>
      <c r="AF594" s="50">
        <v>0</v>
      </c>
      <c r="AG594" s="51"/>
      <c r="AH594" s="39">
        <f>IF(ISNUMBER($AD594),($AD594+$AE594+$AF594)*$AG594,"")</f>
      </c>
      <c r="AI594" s="50"/>
      <c r="AJ594" s="38">
        <f>IF(ISNUMBER($AD594),SUM($AD594:$AH594),"")</f>
      </c>
      <c r="AK594" s="40">
        <f>IF(AND(ISNUMBER($AB594),ISNUMBER($AD594)),IF($AB594&gt;0,$AD594/$AB594,""),"")</f>
      </c>
      <c r="AL594" s="48" t="inlineStr">
        <is>
          <t xml:space="preserve">At technical</t>
        </is>
      </c>
      <c r="AM594" s="41">
        <f>IF(ISNUMBER($AD594),Header!$I$3,"")</f>
      </c>
      <c r="AN594" s="39">
        <f>IF(ISNUMBER($AD594),$AO594+$AP594,"")</f>
      </c>
      <c r="AO594" s="39">
        <f>IF(ISNUMBER($AD594),ROUND($AD594*Header!$K$3,2),"")</f>
      </c>
      <c r="AP594" s="39">
        <f>IF(ISNUMBER($AD594),ROUND($AD594*Header!$M$3,2),"")</f>
      </c>
      <c r="AQ594" s="38">
        <f>IF(ISNUMBER($AD594),ROUND($AD594,2)-$AO594-$AP594,"")</f>
      </c>
      <c r="AR594" s="39">
        <f>IF(ISNUMBER($AD594),IF(Header!$D$34="","?",$AD594*Header!$D$34),"")</f>
      </c>
      <c r="AS594" s="39">
        <f>IF(ISNUMBER($AB594),IF(Header!$D$34="","?",$AB594*Header!$D$34),"")</f>
      </c>
      <c r="AT594" s="42">
        <f>IF(AND(ISNUMBER($AB594),$M594&gt;0),$AB594/$M594*100,"")</f>
      </c>
      <c r="AU594" s="42">
        <f>IF(AND(ISNUMBER($AD594),$M594&gt;0),$AD594/$M594*100,"")</f>
      </c>
      <c r="AV594" s="40">
        <f>IF(AND(ISNUMBER($AB594),ISNUMBER($AD594),ABS($AB594)&gt;0),$AD594/$AB594,"")</f>
      </c>
      <c r="AW594" s="39">
        <f>IF(ISNUMBER($AD594),MAX(0,(1-0.55-Header!$O$3)*Header!$Q$3*$AQ594),"")</f>
      </c>
      <c r="AX594" s="43">
        <f>IF($A594="","",IF(TRIM(IF($A594="","Missing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",""))="","PASS","FAIL: "&amp;TRIM(IF($A594="","Missing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f>
      </c>
      <c r="AY594" s="44">
        <f>IF($M594="","",IF(ISNUMBER($M594),IF($M594&gt;=Header!$C$18,"YES — refer","No"),""))</f>
      </c>
      <c r="AZ594" s="44">
        <f>IF($AD594="","",IF(ISNUMBER($AD594),IF($AD594&lt;Header!$C$20,"BELOW MIN PREMIUM","OK"),""))</f>
      </c>
      <c r="BA594" s="48" t="inlineStr">
        <is>
          <t xml:space="preserve">Yes</t>
        </is>
      </c>
      <c r="BB594" s="48" t="inlineStr">
        <is>
          <t xml:space="preserve">Yes</t>
        </is>
      </c>
      <c r="BC594" s="46" t="inlineStr">
        <is>
          <t xml:space="preserve">Synthetic demo data</t>
        </is>
      </c>
      <c r="BE594" s="45">
        <f>IF(OR($A594="",$L594="",$H594=""),"",IF(AND(LEFT($L594,2)="06",$H594&gt;1945),"FAIL - pre-war class, year "&amp;$H594,IF(AND(LEFT($L594,2)="07",OR($H594&lt;1946,$H594&gt;1972)),"FAIL - 1946-72 class, year "&amp;$H594,IF(AND(LEFT($L594,2)="08",OR($H594&lt;1973,$H594&gt;1999)),"FAIL - 1973-99 class, year "&amp;$H594,IF(AND(LEFT($L594,2)="09",OR($H594&lt;2000,$H594&gt;2010)),"FAIL - 2000-10 class, year "&amp;$H594,"OK")))))</f>
      </c>
      <c r="BF594" s="45">
        <f>IF($AD594="","",IF(ROUND($AO594+$AP594+$AQ594-$AD594,2)=0,"OK","FAIL - out by "&amp;TEXT($AO594+$AP594+$AQ594-$AD594,"$0.00")))</f>
      </c>
    </row>
    <row r="595" spans="1:58" ht="18.75" customHeight="1" x14ac:dyDescent="0.25">
      <c r="A595" s="30" t="inlineStr">
        <is>
          <t xml:space="preserve">CANON-202602-005468</t>
        </is>
      </c>
      <c r="B595" s="30" t="inlineStr">
        <is>
          <t xml:space="preserve">Beatrix Castellanos</t>
        </is>
      </c>
      <c r="C595" s="31">
        <v>46056</v>
      </c>
      <c r="D595" s="32" t="inlineStr">
        <is>
          <t xml:space="preserve">Bound - within authority</t>
        </is>
      </c>
      <c r="E595" s="32" t="inlineStr">
        <is>
          <t xml:space="preserve">New business</t>
        </is>
      </c>
      <c r="F595" s="30" t="inlineStr">
        <is>
          <t xml:space="preserve">B1234EXOTIC26</t>
        </is>
      </c>
      <c r="G595" s="33">
        <f>IF($A595="","",IF($C595="","",YEAR($C595)))</f>
      </c>
      <c r="H595" s="34">
        <v>1995</v>
      </c>
      <c r="I595" s="30" t="inlineStr">
        <is>
          <t xml:space="preserve">Lamborghini</t>
        </is>
      </c>
      <c r="J595" s="30" t="inlineStr">
        <is>
          <t xml:space="preserve">Huracan EVO</t>
        </is>
      </c>
      <c r="K595" s="30" t="inlineStr">
        <is>
          <t xml:space="preserve">RKKVCY1NNTFRS5YTX</t>
        </is>
      </c>
      <c r="L595" s="32" t="inlineStr">
        <is>
          <t xml:space="preserve">03 - Supercar</t>
        </is>
      </c>
      <c r="M595" s="35">
        <v>1035000</v>
      </c>
      <c r="N595" s="32" t="inlineStr">
        <is>
          <t xml:space="preserve">Personal</t>
        </is>
      </c>
      <c r="O595" s="30" t="inlineStr">
        <is>
          <t xml:space="preserve">Personal - regular use</t>
        </is>
      </c>
      <c r="P595" s="30" t="inlineStr">
        <is>
          <t xml:space="preserve">2,500 - 5,000</t>
        </is>
      </c>
      <c r="Q595" s="30" t="inlineStr">
        <is>
          <t xml:space="preserve">Nevada</t>
        </is>
      </c>
      <c r="R595" s="30" t="inlineStr">
        <is>
          <t xml:space="preserve">89101</t>
        </is>
      </c>
      <c r="S595" s="32" t="inlineStr">
        <is>
          <t xml:space="preserve">Wildfire - WUI high hazard</t>
        </is>
      </c>
      <c r="T595" s="36">
        <f>IF($A595="","",IF($S595="","",IFERROR(INDEX('[1]natural catastrophe'!$D$6:$D$17,MATCH($S595,'[1]natural catastrophe'!$B$6:$B$17,0)),"?")))</f>
      </c>
      <c r="U595" s="30" t="inlineStr">
        <is>
          <t xml:space="preserve">$5,000</t>
        </is>
      </c>
      <c r="V595" s="32" t="inlineStr">
        <is>
          <t xml:space="preserve">Agreed Value</t>
        </is>
      </c>
      <c r="W595" s="30" t="inlineStr">
        <is>
          <t xml:space="preserve">$1,000</t>
        </is>
      </c>
      <c r="X595" s="32" t="inlineStr">
        <is>
          <t xml:space="preserve">$1,000,000 CSL</t>
        </is>
      </c>
      <c r="Y595" s="30"/>
      <c r="Z595" s="30"/>
      <c r="AA595" s="32" t="inlineStr">
        <is>
          <t xml:space="preserve">Surplus Lines</t>
        </is>
      </c>
      <c r="AB595" s="35">
        <v>16070.45</v>
      </c>
      <c r="AC595" s="37">
        <v>0</v>
      </c>
      <c r="AD595" s="38">
        <f>IF(ISNUMBER($AB595),$AB595*(1+N($AC595)),"")</f>
      </c>
      <c r="AE595" s="35">
        <v>350</v>
      </c>
      <c r="AF595" s="35">
        <v>250</v>
      </c>
      <c r="AG595" s="37"/>
      <c r="AH595" s="39">
        <f>IF(ISNUMBER($AD595),($AD595+$AE595+$AF595)*$AG595,"")</f>
      </c>
      <c r="AI595" s="35"/>
      <c r="AJ595" s="38">
        <f>IF(ISNUMBER($AD595),SUM($AD595:$AH595),"")</f>
      </c>
      <c r="AK595" s="40">
        <f>IF(AND(ISNUMBER($AB595),ISNUMBER($AD595)),IF($AB595&gt;0,$AD595/$AB595,""),"")</f>
      </c>
      <c r="AL595" s="32" t="inlineStr">
        <is>
          <t xml:space="preserve">At technical</t>
        </is>
      </c>
      <c r="AM595" s="41">
        <f>IF(ISNUMBER($AD595),Header!$I$3,"")</f>
      </c>
      <c r="AN595" s="39">
        <f>IF(ISNUMBER($AD595),$AO595+$AP595,"")</f>
      </c>
      <c r="AO595" s="39">
        <f>IF(ISNUMBER($AD595),ROUND($AD595*Header!$K$3,2),"")</f>
      </c>
      <c r="AP595" s="39">
        <f>IF(ISNUMBER($AD595),ROUND($AD595*Header!$M$3,2),"")</f>
      </c>
      <c r="AQ595" s="38">
        <f>IF(ISNUMBER($AD595),ROUND($AD595,2)-$AO595-$AP595,"")</f>
      </c>
      <c r="AR595" s="39">
        <f>IF(ISNUMBER($AD595),IF(Header!$D$34="","?",$AD595*Header!$D$34),"")</f>
      </c>
      <c r="AS595" s="39">
        <f>IF(ISNUMBER($AB595),IF(Header!$D$34="","?",$AB595*Header!$D$34),"")</f>
      </c>
      <c r="AT595" s="42">
        <f>IF(AND(ISNUMBER($AB595),$M595&gt;0),$AB595/$M595*100,"")</f>
      </c>
      <c r="AU595" s="42">
        <f>IF(AND(ISNUMBER($AD595),$M595&gt;0),$AD595/$M595*100,"")</f>
      </c>
      <c r="AV595" s="40">
        <f>IF(AND(ISNUMBER($AB595),ISNUMBER($AD595),ABS($AB595)&gt;0),$AD595/$AB595,"")</f>
      </c>
      <c r="AW595" s="39">
        <f>IF(ISNUMBER($AD595),MAX(0,(1-0.55-Header!$O$3)*Header!$Q$3*$AQ595),"")</f>
      </c>
      <c r="AX595" s="43">
        <f>IF($A595="","",IF(TRIM(IF($A595="","Missing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",""))="","PASS","FAIL: "&amp;TRIM(IF($A595="","Missing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f>
      </c>
      <c r="AY595" s="44">
        <f>IF($M595="","",IF(ISNUMBER($M595),IF($M595&gt;=Header!$C$18,"YES — refer","No"),""))</f>
      </c>
      <c r="AZ595" s="44">
        <f>IF($AD595="","",IF(ISNUMBER($AD595),IF($AD595&lt;Header!$C$20,"BELOW MIN PREMIUM","OK"),""))</f>
      </c>
      <c r="BA595" s="32" t="inlineStr">
        <is>
          <t xml:space="preserve">Yes</t>
        </is>
      </c>
      <c r="BB595" s="32" t="inlineStr">
        <is>
          <t xml:space="preserve">Yes</t>
        </is>
      </c>
      <c r="BC595" s="30" t="inlineStr">
        <is>
          <t xml:space="preserve">Synthetic demo data</t>
        </is>
      </c>
      <c r="BE595" s="45">
        <f>IF(OR($A595="",$L595="",$H595=""),"",IF(AND(LEFT($L595,2)="06",$H595&gt;1945),"FAIL - pre-war class, year "&amp;$H595,IF(AND(LEFT($L595,2)="07",OR($H595&lt;1946,$H595&gt;1972)),"FAIL - 1946-72 class, year "&amp;$H595,IF(AND(LEFT($L595,2)="08",OR($H595&lt;1973,$H595&gt;1999)),"FAIL - 1973-99 class, year "&amp;$H595,IF(AND(LEFT($L595,2)="09",OR($H595&lt;2000,$H595&gt;2010)),"FAIL - 2000-10 class, year "&amp;$H595,"OK")))))</f>
      </c>
      <c r="BF595" s="45">
        <f>IF($AD595="","",IF(ROUND($AO595+$AP595+$AQ595-$AD595,2)=0,"OK","FAIL - out by "&amp;TEXT($AO595+$AP595+$AQ595-$AD595,"$0.00")))</f>
      </c>
    </row>
    <row r="596" spans="1:58" ht="18.75" customHeight="1" x14ac:dyDescent="0.25">
      <c r="A596" s="46" t="inlineStr">
        <is>
          <t xml:space="preserve">CANON-202602-005469</t>
        </is>
      </c>
      <c r="B596" s="46" t="inlineStr">
        <is>
          <t xml:space="preserve">Wilhelmina Okonkwo</t>
        </is>
      </c>
      <c r="C596" s="47">
        <v>46061</v>
      </c>
      <c r="D596" s="48" t="inlineStr">
        <is>
          <t xml:space="preserve">Bound - within authority</t>
        </is>
      </c>
      <c r="E596" s="48" t="inlineStr">
        <is>
          <t xml:space="preserve">New business</t>
        </is>
      </c>
      <c r="F596" s="46" t="inlineStr">
        <is>
          <t xml:space="preserve">B1234EXOTIC26</t>
        </is>
      </c>
      <c r="G596" s="33">
        <f>IF($A596="","",IF($C596="","",YEAR($C596)))</f>
      </c>
      <c r="H596" s="49">
        <v>1963</v>
      </c>
      <c r="I596" s="46" t="inlineStr">
        <is>
          <t xml:space="preserve">Bentley</t>
        </is>
      </c>
      <c r="J596" s="46" t="inlineStr">
        <is>
          <t xml:space="preserve">Continental GT</t>
        </is>
      </c>
      <c r="K596" s="46" t="inlineStr">
        <is>
          <t xml:space="preserve">9Z49AHYT5EJFF277N</t>
        </is>
      </c>
      <c r="L596" s="48" t="inlineStr">
        <is>
          <t xml:space="preserve">02 - Sports / GT</t>
        </is>
      </c>
      <c r="M596" s="50">
        <v>1945000</v>
      </c>
      <c r="N596" s="48" t="inlineStr">
        <is>
          <t xml:space="preserve">Personal</t>
        </is>
      </c>
      <c r="O596" s="46" t="inlineStr">
        <is>
          <t xml:space="preserve">Personal - regular use</t>
        </is>
      </c>
      <c r="P596" s="46" t="inlineStr">
        <is>
          <t xml:space="preserve">2,500 - 5,000</t>
        </is>
      </c>
      <c r="Q596" s="46" t="inlineStr">
        <is>
          <t xml:space="preserve">Pennsylvania</t>
        </is>
      </c>
      <c r="R596" s="46" t="inlineStr">
        <is>
          <t xml:space="preserve">19103</t>
        </is>
      </c>
      <c r="S596" s="48" t="inlineStr">
        <is>
          <t xml:space="preserve">Low hazard - inland benign</t>
        </is>
      </c>
      <c r="T596" s="36">
        <f>IF($A596="","",IF($S596="","",IFERROR(INDEX('[1]natural catastrophe'!$D$6:$D$17,MATCH($S596,'[1]natural catastrophe'!$B$6:$B$17,0)),"?")))</f>
      </c>
      <c r="U596" s="46" t="inlineStr">
        <is>
          <t xml:space="preserve">$5,000</t>
        </is>
      </c>
      <c r="V596" s="48" t="inlineStr">
        <is>
          <t xml:space="preserve">Agreed Value</t>
        </is>
      </c>
      <c r="W596" s="46" t="inlineStr">
        <is>
          <t xml:space="preserve">$1,000</t>
        </is>
      </c>
      <c r="X596" s="48" t="inlineStr">
        <is>
          <t xml:space="preserve">$1,000,000 CSL</t>
        </is>
      </c>
      <c r="Y596" s="46"/>
      <c r="Z596" s="46"/>
      <c r="AA596" s="48" t="inlineStr">
        <is>
          <t xml:space="preserve">Surplus Lines</t>
        </is>
      </c>
      <c r="AB596" s="50">
        <v>17745.74</v>
      </c>
      <c r="AC596" s="51">
        <v>0</v>
      </c>
      <c r="AD596" s="38">
        <f>IF(ISNUMBER($AB596),$AB596*(1+N($AC596)),"")</f>
      </c>
      <c r="AE596" s="50">
        <v>350</v>
      </c>
      <c r="AF596" s="50">
        <v>250</v>
      </c>
      <c r="AG596" s="51"/>
      <c r="AH596" s="39">
        <f>IF(ISNUMBER($AD596),($AD596+$AE596+$AF596)*$AG596,"")</f>
      </c>
      <c r="AI596" s="50"/>
      <c r="AJ596" s="38">
        <f>IF(ISNUMBER($AD596),SUM($AD596:$AH596),"")</f>
      </c>
      <c r="AK596" s="40">
        <f>IF(AND(ISNUMBER($AB596),ISNUMBER($AD596)),IF($AB596&gt;0,$AD596/$AB596,""),"")</f>
      </c>
      <c r="AL596" s="48" t="inlineStr">
        <is>
          <t xml:space="preserve">At technical</t>
        </is>
      </c>
      <c r="AM596" s="41">
        <f>IF(ISNUMBER($AD596),Header!$I$3,"")</f>
      </c>
      <c r="AN596" s="39">
        <f>IF(ISNUMBER($AD596),$AO596+$AP596,"")</f>
      </c>
      <c r="AO596" s="39">
        <f>IF(ISNUMBER($AD596),ROUND($AD596*Header!$K$3,2),"")</f>
      </c>
      <c r="AP596" s="39">
        <f>IF(ISNUMBER($AD596),ROUND($AD596*Header!$M$3,2),"")</f>
      </c>
      <c r="AQ596" s="38">
        <f>IF(ISNUMBER($AD596),ROUND($AD596,2)-$AO596-$AP596,"")</f>
      </c>
      <c r="AR596" s="39">
        <f>IF(ISNUMBER($AD596),IF(Header!$D$34="","?",$AD596*Header!$D$34),"")</f>
      </c>
      <c r="AS596" s="39">
        <f>IF(ISNUMBER($AB596),IF(Header!$D$34="","?",$AB596*Header!$D$34),"")</f>
      </c>
      <c r="AT596" s="42">
        <f>IF(AND(ISNUMBER($AB596),$M596&gt;0),$AB596/$M596*100,"")</f>
      </c>
      <c r="AU596" s="42">
        <f>IF(AND(ISNUMBER($AD596),$M596&gt;0),$AD596/$M596*100,"")</f>
      </c>
      <c r="AV596" s="40">
        <f>IF(AND(ISNUMBER($AB596),ISNUMBER($AD596),ABS($AB596)&gt;0),$AD596/$AB596,"")</f>
      </c>
      <c r="AW596" s="39">
        <f>IF(ISNUMBER($AD596),MAX(0,(1-0.55-Header!$O$3)*Header!$Q$3*$AQ596),"")</f>
      </c>
      <c r="AX596" s="43">
        <f>IF($A596="","",IF(TRIM(IF($A596="","Missing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",""))="","PASS","FAIL: "&amp;TRIM(IF($A596="","Missing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f>
      </c>
      <c r="AY596" s="44">
        <f>IF($M596="","",IF(ISNUMBER($M596),IF($M596&gt;=Header!$C$18,"YES — refer","No"),""))</f>
      </c>
      <c r="AZ596" s="44">
        <f>IF($AD596="","",IF(ISNUMBER($AD596),IF($AD596&lt;Header!$C$20,"BELOW MIN PREMIUM","OK"),""))</f>
      </c>
      <c r="BA596" s="48" t="inlineStr">
        <is>
          <t xml:space="preserve">Yes</t>
        </is>
      </c>
      <c r="BB596" s="48" t="inlineStr">
        <is>
          <t xml:space="preserve">Yes</t>
        </is>
      </c>
      <c r="BC596" s="46" t="inlineStr">
        <is>
          <t xml:space="preserve">Synthetic demo data</t>
        </is>
      </c>
      <c r="BE596" s="45">
        <f>IF(OR($A596="",$L596="",$H596=""),"",IF(AND(LEFT($L596,2)="06",$H596&gt;1945),"FAIL - pre-war class, year "&amp;$H596,IF(AND(LEFT($L596,2)="07",OR($H596&lt;1946,$H596&gt;1972)),"FAIL - 1946-72 class, year "&amp;$H596,IF(AND(LEFT($L596,2)="08",OR($H596&lt;1973,$H596&gt;1999)),"FAIL - 1973-99 class, year "&amp;$H596,IF(AND(LEFT($L596,2)="09",OR($H596&lt;2000,$H596&gt;2010)),"FAIL - 2000-10 class, year "&amp;$H596,"OK")))))</f>
      </c>
      <c r="BF596" s="45">
        <f>IF($AD596="","",IF(ROUND($AO596+$AP596+$AQ596-$AD596,2)=0,"OK","FAIL - out by "&amp;TEXT($AO596+$AP596+$AQ596-$AD596,"$0.00")))</f>
      </c>
    </row>
    <row r="597" spans="1:58" ht="18.75" customHeight="1" x14ac:dyDescent="0.25">
      <c r="A597" s="30" t="inlineStr">
        <is>
          <t xml:space="preserve">CANON-202602-005471</t>
        </is>
      </c>
      <c r="B597" s="30" t="inlineStr">
        <is>
          <t xml:space="preserve">Beatrix Rourke</t>
        </is>
      </c>
      <c r="C597" s="31">
        <v>46057</v>
      </c>
      <c r="D597" s="32" t="inlineStr">
        <is>
          <t xml:space="preserve">Bound - within authority</t>
        </is>
      </c>
      <c r="E597" s="32" t="inlineStr">
        <is>
          <t xml:space="preserve">New business</t>
        </is>
      </c>
      <c r="F597" s="30" t="inlineStr">
        <is>
          <t xml:space="preserve">B1234EXOTIC26</t>
        </is>
      </c>
      <c r="G597" s="33">
        <f>IF($A597="","",IF($C597="","",YEAR($C597)))</f>
      </c>
      <c r="H597" s="34">
        <v>1963</v>
      </c>
      <c r="I597" s="30" t="inlineStr">
        <is>
          <t xml:space="preserve">Ferrari</t>
        </is>
      </c>
      <c r="J597" s="30" t="inlineStr">
        <is>
          <t xml:space="preserve">296 GTB</t>
        </is>
      </c>
      <c r="K597" s="30" t="inlineStr">
        <is>
          <t xml:space="preserve">H001KBH0XRWVLZ9K3</t>
        </is>
      </c>
      <c r="L597" s="32" t="inlineStr">
        <is>
          <t xml:space="preserve">03 - Supercar</t>
        </is>
      </c>
      <c r="M597" s="35">
        <v>535000</v>
      </c>
      <c r="N597" s="32" t="inlineStr">
        <is>
          <t xml:space="preserve">Personal</t>
        </is>
      </c>
      <c r="O597" s="30" t="inlineStr">
        <is>
          <t xml:space="preserve">Personal - regular use</t>
        </is>
      </c>
      <c r="P597" s="30" t="inlineStr">
        <is>
          <t xml:space="preserve">2,500 - 5,000</t>
        </is>
      </c>
      <c r="Q597" s="30" t="inlineStr">
        <is>
          <t xml:space="preserve">Iowa</t>
        </is>
      </c>
      <c r="R597" s="30" t="inlineStr">
        <is>
          <t xml:space="preserve">50309</t>
        </is>
      </c>
      <c r="S597" s="32" t="inlineStr">
        <is>
          <t xml:space="preserve">Severe convective - hail alley (high)</t>
        </is>
      </c>
      <c r="T597" s="36">
        <f>IF($A597="","",IF($S597="","",IFERROR(INDEX('[1]natural catastrophe'!$D$6:$D$17,MATCH($S597,'[1]natural catastrophe'!$B$6:$B$17,0)),"?")))</f>
      </c>
      <c r="U597" s="30" t="inlineStr">
        <is>
          <t xml:space="preserve">$5,000</t>
        </is>
      </c>
      <c r="V597" s="32" t="inlineStr">
        <is>
          <t xml:space="preserve">Agreed Value</t>
        </is>
      </c>
      <c r="W597" s="30" t="inlineStr">
        <is>
          <t xml:space="preserve">$1,000</t>
        </is>
      </c>
      <c r="X597" s="32" t="inlineStr">
        <is>
          <t xml:space="preserve">$1,000,000 CSL</t>
        </is>
      </c>
      <c r="Y597" s="30"/>
      <c r="Z597" s="30"/>
      <c r="AA597" s="32" t="inlineStr">
        <is>
          <t xml:space="preserve">Surplus Lines</t>
        </is>
      </c>
      <c r="AB597" s="35">
        <v>9274.31</v>
      </c>
      <c r="AC597" s="37">
        <v>0</v>
      </c>
      <c r="AD597" s="38">
        <f>IF(ISNUMBER($AB597),$AB597*(1+N($AC597)),"")</f>
      </c>
      <c r="AE597" s="35">
        <v>350</v>
      </c>
      <c r="AF597" s="35">
        <v>0</v>
      </c>
      <c r="AG597" s="37"/>
      <c r="AH597" s="39">
        <f>IF(ISNUMBER($AD597),($AD597+$AE597+$AF597)*$AG597,"")</f>
      </c>
      <c r="AI597" s="35"/>
      <c r="AJ597" s="38">
        <f>IF(ISNUMBER($AD597),SUM($AD597:$AH597),"")</f>
      </c>
      <c r="AK597" s="40">
        <f>IF(AND(ISNUMBER($AB597),ISNUMBER($AD597)),IF($AB597&gt;0,$AD597/$AB597,""),"")</f>
      </c>
      <c r="AL597" s="32" t="inlineStr">
        <is>
          <t xml:space="preserve">At technical</t>
        </is>
      </c>
      <c r="AM597" s="41">
        <f>IF(ISNUMBER($AD597),Header!$I$3,"")</f>
      </c>
      <c r="AN597" s="39">
        <f>IF(ISNUMBER($AD597),$AO597+$AP597,"")</f>
      </c>
      <c r="AO597" s="39">
        <f>IF(ISNUMBER($AD597),ROUND($AD597*Header!$K$3,2),"")</f>
      </c>
      <c r="AP597" s="39">
        <f>IF(ISNUMBER($AD597),ROUND($AD597*Header!$M$3,2),"")</f>
      </c>
      <c r="AQ597" s="38">
        <f>IF(ISNUMBER($AD597),ROUND($AD597,2)-$AO597-$AP597,"")</f>
      </c>
      <c r="AR597" s="39">
        <f>IF(ISNUMBER($AD597),IF(Header!$D$34="","?",$AD597*Header!$D$34),"")</f>
      </c>
      <c r="AS597" s="39">
        <f>IF(ISNUMBER($AB597),IF(Header!$D$34="","?",$AB597*Header!$D$34),"")</f>
      </c>
      <c r="AT597" s="42">
        <f>IF(AND(ISNUMBER($AB597),$M597&gt;0),$AB597/$M597*100,"")</f>
      </c>
      <c r="AU597" s="42">
        <f>IF(AND(ISNUMBER($AD597),$M597&gt;0),$AD597/$M597*100,"")</f>
      </c>
      <c r="AV597" s="40">
        <f>IF(AND(ISNUMBER($AB597),ISNUMBER($AD597),ABS($AB597)&gt;0),$AD597/$AB597,"")</f>
      </c>
      <c r="AW597" s="39">
        <f>IF(ISNUMBER($AD597),MAX(0,(1-0.55-Header!$O$3)*Header!$Q$3*$AQ597),"")</f>
      </c>
      <c r="AX597" s="43">
        <f>IF($A597="","",IF(TRIM(IF($A597="","Missing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",""))="","PASS","FAIL: "&amp;TRIM(IF($A597="","Missing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f>
      </c>
      <c r="AY597" s="44">
        <f>IF($M597="","",IF(ISNUMBER($M597),IF($M597&gt;=Header!$C$18,"YES — refer","No"),""))</f>
      </c>
      <c r="AZ597" s="44">
        <f>IF($AD597="","",IF(ISNUMBER($AD597),IF($AD597&lt;Header!$C$20,"BELOW MIN PREMIUM","OK"),""))</f>
      </c>
      <c r="BA597" s="32" t="inlineStr">
        <is>
          <t xml:space="preserve">Yes</t>
        </is>
      </c>
      <c r="BB597" s="32" t="inlineStr">
        <is>
          <t xml:space="preserve">Yes</t>
        </is>
      </c>
      <c r="BC597" s="30" t="inlineStr">
        <is>
          <t xml:space="preserve">Synthetic demo data</t>
        </is>
      </c>
      <c r="BE597" s="45">
        <f>IF(OR($A597="",$L597="",$H597=""),"",IF(AND(LEFT($L597,2)="06",$H597&gt;1945),"FAIL - pre-war class, year "&amp;$H597,IF(AND(LEFT($L597,2)="07",OR($H597&lt;1946,$H597&gt;1972)),"FAIL - 1946-72 class, year "&amp;$H597,IF(AND(LEFT($L597,2)="08",OR($H597&lt;1973,$H597&gt;1999)),"FAIL - 1973-99 class, year "&amp;$H597,IF(AND(LEFT($L597,2)="09",OR($H597&lt;2000,$H597&gt;2010)),"FAIL - 2000-10 class, year "&amp;$H597,"OK")))))</f>
      </c>
      <c r="BF597" s="45">
        <f>IF($AD597="","",IF(ROUND($AO597+$AP597+$AQ597-$AD597,2)=0,"OK","FAIL - out by "&amp;TEXT($AO597+$AP597+$AQ597-$AD597,"$0.00")))</f>
      </c>
    </row>
    <row r="598" spans="1:58" ht="18.75" customHeight="1" x14ac:dyDescent="0.25">
      <c r="A598" s="46" t="inlineStr">
        <is>
          <t xml:space="preserve">CANON-202602-005472</t>
        </is>
      </c>
      <c r="B598" s="46" t="inlineStr">
        <is>
          <t xml:space="preserve">Anouk Ashcombe</t>
        </is>
      </c>
      <c r="C598" s="47">
        <v>46062</v>
      </c>
      <c r="D598" s="48" t="inlineStr">
        <is>
          <t xml:space="preserve">Bound - within authority</t>
        </is>
      </c>
      <c r="E598" s="48" t="inlineStr">
        <is>
          <t xml:space="preserve">New business</t>
        </is>
      </c>
      <c r="F598" s="46" t="inlineStr">
        <is>
          <t xml:space="preserve">B1234EXOTIC26</t>
        </is>
      </c>
      <c r="G598" s="33">
        <f>IF($A598="","",IF($C598="","",YEAR($C598)))</f>
      </c>
      <c r="H598" s="49">
        <v>1994</v>
      </c>
      <c r="I598" s="46" t="inlineStr">
        <is>
          <t xml:space="preserve">Lamborghini</t>
        </is>
      </c>
      <c r="J598" s="46" t="inlineStr">
        <is>
          <t xml:space="preserve">Huracan EVO</t>
        </is>
      </c>
      <c r="K598" s="46" t="inlineStr">
        <is>
          <t xml:space="preserve">SA24LXPS35LE1LYSJ</t>
        </is>
      </c>
      <c r="L598" s="48" t="inlineStr">
        <is>
          <t xml:space="preserve">03 - Supercar</t>
        </is>
      </c>
      <c r="M598" s="50">
        <v>1230000</v>
      </c>
      <c r="N598" s="48" t="inlineStr">
        <is>
          <t xml:space="preserve">Personal</t>
        </is>
      </c>
      <c r="O598" s="46" t="inlineStr">
        <is>
          <t xml:space="preserve">Personal - regular use</t>
        </is>
      </c>
      <c r="P598" s="46" t="inlineStr">
        <is>
          <t xml:space="preserve">2,500 - 5,000</t>
        </is>
      </c>
      <c r="Q598" s="46" t="inlineStr">
        <is>
          <t xml:space="preserve">Pennsylvania</t>
        </is>
      </c>
      <c r="R598" s="46" t="inlineStr">
        <is>
          <t xml:space="preserve">19103</t>
        </is>
      </c>
      <c r="S598" s="48" t="inlineStr">
        <is>
          <t xml:space="preserve">Low hazard - inland benign</t>
        </is>
      </c>
      <c r="T598" s="36">
        <f>IF($A598="","",IF($S598="","",IFERROR(INDEX('[1]natural catastrophe'!$D$6:$D$17,MATCH($S598,'[1]natural catastrophe'!$B$6:$B$17,0)),"?")))</f>
      </c>
      <c r="U598" s="46" t="inlineStr">
        <is>
          <t xml:space="preserve">$5,000</t>
        </is>
      </c>
      <c r="V598" s="48" t="inlineStr">
        <is>
          <t xml:space="preserve">Agreed Value</t>
        </is>
      </c>
      <c r="W598" s="46" t="inlineStr">
        <is>
          <t xml:space="preserve">$1,000</t>
        </is>
      </c>
      <c r="X598" s="48" t="inlineStr">
        <is>
          <t xml:space="preserve">$1,000,000 CSL</t>
        </is>
      </c>
      <c r="Y598" s="46"/>
      <c r="Z598" s="46"/>
      <c r="AA598" s="48" t="inlineStr">
        <is>
          <t xml:space="preserve">Surplus Lines</t>
        </is>
      </c>
      <c r="AB598" s="50">
        <v>16323.26</v>
      </c>
      <c r="AC598" s="51">
        <v>0</v>
      </c>
      <c r="AD598" s="38">
        <f>IF(ISNUMBER($AB598),$AB598*(1+N($AC598)),"")</f>
      </c>
      <c r="AE598" s="50">
        <v>350</v>
      </c>
      <c r="AF598" s="50">
        <v>250</v>
      </c>
      <c r="AG598" s="51"/>
      <c r="AH598" s="39">
        <f>IF(ISNUMBER($AD598),($AD598+$AE598+$AF598)*$AG598,"")</f>
      </c>
      <c r="AI598" s="50"/>
      <c r="AJ598" s="38">
        <f>IF(ISNUMBER($AD598),SUM($AD598:$AH598),"")</f>
      </c>
      <c r="AK598" s="40">
        <f>IF(AND(ISNUMBER($AB598),ISNUMBER($AD598)),IF($AB598&gt;0,$AD598/$AB598,""),"")</f>
      </c>
      <c r="AL598" s="48" t="inlineStr">
        <is>
          <t xml:space="preserve">At technical</t>
        </is>
      </c>
      <c r="AM598" s="41">
        <f>IF(ISNUMBER($AD598),Header!$I$3,"")</f>
      </c>
      <c r="AN598" s="39">
        <f>IF(ISNUMBER($AD598),$AO598+$AP598,"")</f>
      </c>
      <c r="AO598" s="39">
        <f>IF(ISNUMBER($AD598),ROUND($AD598*Header!$K$3,2),"")</f>
      </c>
      <c r="AP598" s="39">
        <f>IF(ISNUMBER($AD598),ROUND($AD598*Header!$M$3,2),"")</f>
      </c>
      <c r="AQ598" s="38">
        <f>IF(ISNUMBER($AD598),ROUND($AD598,2)-$AO598-$AP598,"")</f>
      </c>
      <c r="AR598" s="39">
        <f>IF(ISNUMBER($AD598),IF(Header!$D$34="","?",$AD598*Header!$D$34),"")</f>
      </c>
      <c r="AS598" s="39">
        <f>IF(ISNUMBER($AB598),IF(Header!$D$34="","?",$AB598*Header!$D$34),"")</f>
      </c>
      <c r="AT598" s="42">
        <f>IF(AND(ISNUMBER($AB598),$M598&gt;0),$AB598/$M598*100,"")</f>
      </c>
      <c r="AU598" s="42">
        <f>IF(AND(ISNUMBER($AD598),$M598&gt;0),$AD598/$M598*100,"")</f>
      </c>
      <c r="AV598" s="40">
        <f>IF(AND(ISNUMBER($AB598),ISNUMBER($AD598),ABS($AB598)&gt;0),$AD598/$AB598,"")</f>
      </c>
      <c r="AW598" s="39">
        <f>IF(ISNUMBER($AD598),MAX(0,(1-0.55-Header!$O$3)*Header!$Q$3*$AQ598),"")</f>
      </c>
      <c r="AX598" s="43">
        <f>IF($A598="","",IF(TRIM(IF($A598="","Missing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",""))="","PASS","FAIL: "&amp;TRIM(IF($A598="","Missing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f>
      </c>
      <c r="AY598" s="44">
        <f>IF($M598="","",IF(ISNUMBER($M598),IF($M598&gt;=Header!$C$18,"YES — refer","No"),""))</f>
      </c>
      <c r="AZ598" s="44">
        <f>IF($AD598="","",IF(ISNUMBER($AD598),IF($AD598&lt;Header!$C$20,"BELOW MIN PREMIUM","OK"),""))</f>
      </c>
      <c r="BA598" s="48" t="inlineStr">
        <is>
          <t xml:space="preserve">Yes</t>
        </is>
      </c>
      <c r="BB598" s="48" t="inlineStr">
        <is>
          <t xml:space="preserve">Yes</t>
        </is>
      </c>
      <c r="BC598" s="46" t="inlineStr">
        <is>
          <t xml:space="preserve">Synthetic demo data</t>
        </is>
      </c>
      <c r="BE598" s="45">
        <f>IF(OR($A598="",$L598="",$H598=""),"",IF(AND(LEFT($L598,2)="06",$H598&gt;1945),"FAIL - pre-war class, year "&amp;$H598,IF(AND(LEFT($L598,2)="07",OR($H598&lt;1946,$H598&gt;1972)),"FAIL - 1946-72 class, year "&amp;$H598,IF(AND(LEFT($L598,2)="08",OR($H598&lt;1973,$H598&gt;1999)),"FAIL - 1973-99 class, year "&amp;$H598,IF(AND(LEFT($L598,2)="09",OR($H598&lt;2000,$H598&gt;2010)),"FAIL - 2000-10 class, year "&amp;$H598,"OK")))))</f>
      </c>
      <c r="BF598" s="45">
        <f>IF($AD598="","",IF(ROUND($AO598+$AP598+$AQ598-$AD598,2)=0,"OK","FAIL - out by "&amp;TEXT($AO598+$AP598+$AQ598-$AD598,"$0.00")))</f>
      </c>
    </row>
    <row r="599" spans="1:58" ht="18.75" customHeight="1" x14ac:dyDescent="0.25">
      <c r="A599" s="30" t="inlineStr">
        <is>
          <t xml:space="preserve">CANON-202602-005475</t>
        </is>
      </c>
      <c r="B599" s="30" t="inlineStr">
        <is>
          <t xml:space="preserve">Cassius Okonkwo</t>
        </is>
      </c>
      <c r="C599" s="31">
        <v>46080</v>
      </c>
      <c r="D599" s="32" t="inlineStr">
        <is>
          <t xml:space="preserve">Bound - within authority</t>
        </is>
      </c>
      <c r="E599" s="32" t="inlineStr">
        <is>
          <t xml:space="preserve">New business</t>
        </is>
      </c>
      <c r="F599" s="30" t="inlineStr">
        <is>
          <t xml:space="preserve">B1234EXOTIC26</t>
        </is>
      </c>
      <c r="G599" s="33">
        <f>IF($A599="","",IF($C599="","",YEAR($C599)))</f>
      </c>
      <c r="H599" s="34">
        <v>2002</v>
      </c>
      <c r="I599" s="30" t="inlineStr">
        <is>
          <t xml:space="preserve">Porsche</t>
        </is>
      </c>
      <c r="J599" s="30" t="inlineStr">
        <is>
          <t xml:space="preserve">911 Turbo S</t>
        </is>
      </c>
      <c r="K599" s="30" t="inlineStr">
        <is>
          <t xml:space="preserve">3H35V01K8FDHA0DF2</t>
        </is>
      </c>
      <c r="L599" s="32" t="inlineStr">
        <is>
          <t xml:space="preserve">02 - Sports / GT</t>
        </is>
      </c>
      <c r="M599" s="35">
        <v>490000</v>
      </c>
      <c r="N599" s="32" t="inlineStr">
        <is>
          <t xml:space="preserve">Personal</t>
        </is>
      </c>
      <c r="O599" s="30" t="inlineStr">
        <is>
          <t xml:space="preserve">Personal - regular use</t>
        </is>
      </c>
      <c r="P599" s="30" t="inlineStr">
        <is>
          <t xml:space="preserve">1,000 - 2,500</t>
        </is>
      </c>
      <c r="Q599" s="30" t="inlineStr">
        <is>
          <t xml:space="preserve">Massachusetts</t>
        </is>
      </c>
      <c r="R599" s="30" t="inlineStr">
        <is>
          <t xml:space="preserve">02108</t>
        </is>
      </c>
      <c r="S599" s="32" t="inlineStr">
        <is>
          <t xml:space="preserve">Tier 3 - Coastal wind (25-100 miles)</t>
        </is>
      </c>
      <c r="T599" s="36">
        <f>IF($A599="","",IF($S599="","",IFERROR(INDEX('[1]natural catastrophe'!$D$6:$D$17,MATCH($S599,'[1]natural catastrophe'!$B$6:$B$17,0)),"?")))</f>
      </c>
      <c r="U599" s="30" t="inlineStr">
        <is>
          <t xml:space="preserve">2% of agreed value, minimum $10,000</t>
        </is>
      </c>
      <c r="V599" s="32" t="inlineStr">
        <is>
          <t xml:space="preserve">Agreed Value</t>
        </is>
      </c>
      <c r="W599" s="30" t="inlineStr">
        <is>
          <t xml:space="preserve">$1,000</t>
        </is>
      </c>
      <c r="X599" s="32" t="inlineStr">
        <is>
          <t xml:space="preserve">$1,000,000 CSL</t>
        </is>
      </c>
      <c r="Y599" s="30"/>
      <c r="Z599" s="30"/>
      <c r="AA599" s="32" t="inlineStr">
        <is>
          <t xml:space="preserve">Surplus Lines</t>
        </is>
      </c>
      <c r="AB599" s="35">
        <v>7620.42</v>
      </c>
      <c r="AC599" s="37">
        <v>0</v>
      </c>
      <c r="AD599" s="38">
        <f>IF(ISNUMBER($AB599),$AB599*(1+N($AC599)),"")</f>
      </c>
      <c r="AE599" s="35">
        <v>350</v>
      </c>
      <c r="AF599" s="35">
        <v>0</v>
      </c>
      <c r="AG599" s="37"/>
      <c r="AH599" s="39">
        <f>IF(ISNUMBER($AD599),($AD599+$AE599+$AF599)*$AG599,"")</f>
      </c>
      <c r="AI599" s="35"/>
      <c r="AJ599" s="38">
        <f>IF(ISNUMBER($AD599),SUM($AD599:$AH599),"")</f>
      </c>
      <c r="AK599" s="40">
        <f>IF(AND(ISNUMBER($AB599),ISNUMBER($AD599)),IF($AB599&gt;0,$AD599/$AB599,""),"")</f>
      </c>
      <c r="AL599" s="32" t="inlineStr">
        <is>
          <t xml:space="preserve">At technical</t>
        </is>
      </c>
      <c r="AM599" s="41">
        <f>IF(ISNUMBER($AD599),Header!$I$3,"")</f>
      </c>
      <c r="AN599" s="39">
        <f>IF(ISNUMBER($AD599),$AO599+$AP599,"")</f>
      </c>
      <c r="AO599" s="39">
        <f>IF(ISNUMBER($AD599),ROUND($AD599*Header!$K$3,2),"")</f>
      </c>
      <c r="AP599" s="39">
        <f>IF(ISNUMBER($AD599),ROUND($AD599*Header!$M$3,2),"")</f>
      </c>
      <c r="AQ599" s="38">
        <f>IF(ISNUMBER($AD599),ROUND($AD599,2)-$AO599-$AP599,"")</f>
      </c>
      <c r="AR599" s="39">
        <f>IF(ISNUMBER($AD599),IF(Header!$D$34="","?",$AD599*Header!$D$34),"")</f>
      </c>
      <c r="AS599" s="39">
        <f>IF(ISNUMBER($AB599),IF(Header!$D$34="","?",$AB599*Header!$D$34),"")</f>
      </c>
      <c r="AT599" s="42">
        <f>IF(AND(ISNUMBER($AB599),$M599&gt;0),$AB599/$M599*100,"")</f>
      </c>
      <c r="AU599" s="42">
        <f>IF(AND(ISNUMBER($AD599),$M599&gt;0),$AD599/$M599*100,"")</f>
      </c>
      <c r="AV599" s="40">
        <f>IF(AND(ISNUMBER($AB599),ISNUMBER($AD599),ABS($AB599)&gt;0),$AD599/$AB599,"")</f>
      </c>
      <c r="AW599" s="39">
        <f>IF(ISNUMBER($AD599),MAX(0,(1-0.55-Header!$O$3)*Header!$Q$3*$AQ599),"")</f>
      </c>
      <c r="AX599" s="43">
        <f>IF($A599="","",IF(TRIM(IF($A599="","Missing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",""))="","PASS","FAIL: "&amp;TRIM(IF($A599="","Missing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f>
      </c>
      <c r="AY599" s="44">
        <f>IF($M599="","",IF(ISNUMBER($M599),IF($M599&gt;=Header!$C$18,"YES — refer","No"),""))</f>
      </c>
      <c r="AZ599" s="44">
        <f>IF($AD599="","",IF(ISNUMBER($AD599),IF($AD599&lt;Header!$C$20,"BELOW MIN PREMIUM","OK"),""))</f>
      </c>
      <c r="BA599" s="32" t="inlineStr">
        <is>
          <t xml:space="preserve">Yes</t>
        </is>
      </c>
      <c r="BB599" s="32" t="inlineStr">
        <is>
          <t xml:space="preserve">Yes</t>
        </is>
      </c>
      <c r="BC599" s="30" t="inlineStr">
        <is>
          <t xml:space="preserve">Synthetic demo data</t>
        </is>
      </c>
      <c r="BE599" s="45">
        <f>IF(OR($A599="",$L599="",$H599=""),"",IF(AND(LEFT($L599,2)="06",$H599&gt;1945),"FAIL - pre-war class, year "&amp;$H599,IF(AND(LEFT($L599,2)="07",OR($H599&lt;1946,$H599&gt;1972)),"FAIL - 1946-72 class, year "&amp;$H599,IF(AND(LEFT($L599,2)="08",OR($H599&lt;1973,$H599&gt;1999)),"FAIL - 1973-99 class, year "&amp;$H599,IF(AND(LEFT($L599,2)="09",OR($H599&lt;2000,$H599&gt;2010)),"FAIL - 2000-10 class, year "&amp;$H599,"OK")))))</f>
      </c>
      <c r="BF599" s="45">
        <f>IF($AD599="","",IF(ROUND($AO599+$AP599+$AQ599-$AD599,2)=0,"OK","FAIL - out by "&amp;TEXT($AO599+$AP599+$AQ599-$AD599,"$0.00")))</f>
      </c>
    </row>
    <row r="600" spans="1:58" ht="18.75" customHeight="1" x14ac:dyDescent="0.25">
      <c r="A600" s="46" t="inlineStr">
        <is>
          <t xml:space="preserve">CANON-202602-005476</t>
        </is>
      </c>
      <c r="B600" s="46" t="inlineStr">
        <is>
          <t xml:space="preserve">Ingrid Delacroix</t>
        </is>
      </c>
      <c r="C600" s="47">
        <v>46062</v>
      </c>
      <c r="D600" s="48" t="inlineStr">
        <is>
          <t xml:space="preserve">Bound - within authority</t>
        </is>
      </c>
      <c r="E600" s="48" t="inlineStr">
        <is>
          <t xml:space="preserve">New business</t>
        </is>
      </c>
      <c r="F600" s="46" t="inlineStr">
        <is>
          <t xml:space="preserve">B1234EXOTIC26</t>
        </is>
      </c>
      <c r="G600" s="33">
        <f>IF($A600="","",IF($C600="","",YEAR($C600)))</f>
      </c>
      <c r="H600" s="49">
        <v>1967</v>
      </c>
      <c r="I600" s="46" t="inlineStr">
        <is>
          <t xml:space="preserve">Ferrari</t>
        </is>
      </c>
      <c r="J600" s="46" t="inlineStr">
        <is>
          <t xml:space="preserve">296 GTB</t>
        </is>
      </c>
      <c r="K600" s="46" t="inlineStr">
        <is>
          <t xml:space="preserve">0XX7AULBRB8UV8EK1</t>
        </is>
      </c>
      <c r="L600" s="48" t="inlineStr">
        <is>
          <t xml:space="preserve">03 - Supercar</t>
        </is>
      </c>
      <c r="M600" s="50">
        <v>765000</v>
      </c>
      <c r="N600" s="48" t="inlineStr">
        <is>
          <t xml:space="preserve">Personal</t>
        </is>
      </c>
      <c r="O600" s="46" t="inlineStr">
        <is>
          <t xml:space="preserve">Personal - regular use</t>
        </is>
      </c>
      <c r="P600" s="46" t="inlineStr">
        <is>
          <t xml:space="preserve">1,000 - 2,500</t>
        </is>
      </c>
      <c r="Q600" s="46" t="inlineStr">
        <is>
          <t xml:space="preserve">Colorado</t>
        </is>
      </c>
      <c r="R600" s="46" t="inlineStr">
        <is>
          <t xml:space="preserve">80202</t>
        </is>
      </c>
      <c r="S600" s="48" t="inlineStr">
        <is>
          <t xml:space="preserve">Severe convective - hail alley (high)</t>
        </is>
      </c>
      <c r="T600" s="36">
        <f>IF($A600="","",IF($S600="","",IFERROR(INDEX('[1]natural catastrophe'!$D$6:$D$17,MATCH($S600,'[1]natural catastrophe'!$B$6:$B$17,0)),"?")))</f>
      </c>
      <c r="U600" s="46" t="inlineStr">
        <is>
          <t xml:space="preserve">$5,000</t>
        </is>
      </c>
      <c r="V600" s="48" t="inlineStr">
        <is>
          <t xml:space="preserve">Agreed Value</t>
        </is>
      </c>
      <c r="W600" s="46" t="inlineStr">
        <is>
          <t xml:space="preserve">$1,000</t>
        </is>
      </c>
      <c r="X600" s="48" t="inlineStr">
        <is>
          <t xml:space="preserve">$1,000,000 CSL</t>
        </is>
      </c>
      <c r="Y600" s="46"/>
      <c r="Z600" s="46"/>
      <c r="AA600" s="48" t="inlineStr">
        <is>
          <t xml:space="preserve">Surplus Lines</t>
        </is>
      </c>
      <c r="AB600" s="50">
        <v>13261.4</v>
      </c>
      <c r="AC600" s="51">
        <v>0</v>
      </c>
      <c r="AD600" s="38">
        <f>IF(ISNUMBER($AB600),$AB600*(1+N($AC600)),"")</f>
      </c>
      <c r="AE600" s="50">
        <v>350</v>
      </c>
      <c r="AF600" s="50">
        <v>0</v>
      </c>
      <c r="AG600" s="51"/>
      <c r="AH600" s="39">
        <f>IF(ISNUMBER($AD600),($AD600+$AE600+$AF600)*$AG600,"")</f>
      </c>
      <c r="AI600" s="50"/>
      <c r="AJ600" s="38">
        <f>IF(ISNUMBER($AD600),SUM($AD600:$AH600),"")</f>
      </c>
      <c r="AK600" s="40">
        <f>IF(AND(ISNUMBER($AB600),ISNUMBER($AD600)),IF($AB600&gt;0,$AD600/$AB600,""),"")</f>
      </c>
      <c r="AL600" s="48" t="inlineStr">
        <is>
          <t xml:space="preserve">At technical</t>
        </is>
      </c>
      <c r="AM600" s="41">
        <f>IF(ISNUMBER($AD600),Header!$I$3,"")</f>
      </c>
      <c r="AN600" s="39">
        <f>IF(ISNUMBER($AD600),$AO600+$AP600,"")</f>
      </c>
      <c r="AO600" s="39">
        <f>IF(ISNUMBER($AD600),ROUND($AD600*Header!$K$3,2),"")</f>
      </c>
      <c r="AP600" s="39">
        <f>IF(ISNUMBER($AD600),ROUND($AD600*Header!$M$3,2),"")</f>
      </c>
      <c r="AQ600" s="38">
        <f>IF(ISNUMBER($AD600),ROUND($AD600,2)-$AO600-$AP600,"")</f>
      </c>
      <c r="AR600" s="39">
        <f>IF(ISNUMBER($AD600),IF(Header!$D$34="","?",$AD600*Header!$D$34),"")</f>
      </c>
      <c r="AS600" s="39">
        <f>IF(ISNUMBER($AB600),IF(Header!$D$34="","?",$AB600*Header!$D$34),"")</f>
      </c>
      <c r="AT600" s="42">
        <f>IF(AND(ISNUMBER($AB600),$M600&gt;0),$AB600/$M600*100,"")</f>
      </c>
      <c r="AU600" s="42">
        <f>IF(AND(ISNUMBER($AD600),$M600&gt;0),$AD600/$M600*100,"")</f>
      </c>
      <c r="AV600" s="40">
        <f>IF(AND(ISNUMBER($AB600),ISNUMBER($AD600),ABS($AB600)&gt;0),$AD600/$AB600,"")</f>
      </c>
      <c r="AW600" s="39">
        <f>IF(ISNUMBER($AD600),MAX(0,(1-0.55-Header!$O$3)*Header!$Q$3*$AQ600),"")</f>
      </c>
      <c r="AX600" s="43">
        <f>IF($A600="","",IF(TRIM(IF($A600="","Missing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",""))="","PASS","FAIL: "&amp;TRIM(IF($A600="","Missing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f>
      </c>
      <c r="AY600" s="44">
        <f>IF($M600="","",IF(ISNUMBER($M600),IF($M600&gt;=Header!$C$18,"YES — refer","No"),""))</f>
      </c>
      <c r="AZ600" s="44">
        <f>IF($AD600="","",IF(ISNUMBER($AD600),IF($AD600&lt;Header!$C$20,"BELOW MIN PREMIUM","OK"),""))</f>
      </c>
      <c r="BA600" s="48" t="inlineStr">
        <is>
          <t xml:space="preserve">Yes</t>
        </is>
      </c>
      <c r="BB600" s="48" t="inlineStr">
        <is>
          <t xml:space="preserve">Yes</t>
        </is>
      </c>
      <c r="BC600" s="46" t="inlineStr">
        <is>
          <t xml:space="preserve">Synthetic demo data</t>
        </is>
      </c>
      <c r="BE600" s="45">
        <f>IF(OR($A600="",$L600="",$H600=""),"",IF(AND(LEFT($L600,2)="06",$H600&gt;1945),"FAIL - pre-war class, year "&amp;$H600,IF(AND(LEFT($L600,2)="07",OR($H600&lt;1946,$H600&gt;1972)),"FAIL - 1946-72 class, year "&amp;$H600,IF(AND(LEFT($L600,2)="08",OR($H600&lt;1973,$H600&gt;1999)),"FAIL - 1973-99 class, year "&amp;$H600,IF(AND(LEFT($L600,2)="09",OR($H600&lt;2000,$H600&gt;2010)),"FAIL - 2000-10 class, year "&amp;$H600,"OK")))))</f>
      </c>
      <c r="BF600" s="45">
        <f>IF($AD600="","",IF(ROUND($AO600+$AP600+$AQ600-$AD600,2)=0,"OK","FAIL - out by "&amp;TEXT($AO600+$AP600+$AQ600-$AD600,"$0.00")))</f>
      </c>
    </row>
    <row r="601" spans="1:58" ht="18.75" customHeight="1" x14ac:dyDescent="0.25">
      <c r="A601" s="30" t="inlineStr">
        <is>
          <t xml:space="preserve">CANON-202602-005477</t>
        </is>
      </c>
      <c r="B601" s="30" t="inlineStr">
        <is>
          <t xml:space="preserve">Wilhelmina Kingsford</t>
        </is>
      </c>
      <c r="C601" s="31">
        <v>46067</v>
      </c>
      <c r="D601" s="32" t="inlineStr">
        <is>
          <t xml:space="preserve">Bound - within authority</t>
        </is>
      </c>
      <c r="E601" s="32" t="inlineStr">
        <is>
          <t xml:space="preserve">New business</t>
        </is>
      </c>
      <c r="F601" s="30" t="inlineStr">
        <is>
          <t xml:space="preserve">B1234EXOTIC26</t>
        </is>
      </c>
      <c r="G601" s="33">
        <f>IF($A601="","",IF($C601="","",YEAR($C601)))</f>
      </c>
      <c r="H601" s="34">
        <v>1957</v>
      </c>
      <c r="I601" s="30" t="inlineStr">
        <is>
          <t xml:space="preserve">Porsche</t>
        </is>
      </c>
      <c r="J601" s="30" t="inlineStr">
        <is>
          <t xml:space="preserve">911 Turbo S</t>
        </is>
      </c>
      <c r="K601" s="30" t="inlineStr">
        <is>
          <t xml:space="preserve">UB7FNNMGU5YHFUXDD</t>
        </is>
      </c>
      <c r="L601" s="32" t="inlineStr">
        <is>
          <t xml:space="preserve">02 - Sports / GT</t>
        </is>
      </c>
      <c r="M601" s="35">
        <v>1650000</v>
      </c>
      <c r="N601" s="32" t="inlineStr">
        <is>
          <t xml:space="preserve">Personal</t>
        </is>
      </c>
      <c r="O601" s="30" t="inlineStr">
        <is>
          <t xml:space="preserve">Personal - regular use</t>
        </is>
      </c>
      <c r="P601" s="30" t="inlineStr">
        <is>
          <t xml:space="preserve">1,000 - 2,500</t>
        </is>
      </c>
      <c r="Q601" s="30" t="inlineStr">
        <is>
          <t xml:space="preserve">West Virginia</t>
        </is>
      </c>
      <c r="R601" s="30" t="inlineStr">
        <is>
          <t xml:space="preserve">25301</t>
        </is>
      </c>
      <c r="S601" s="32" t="inlineStr">
        <is>
          <t xml:space="preserve">Low hazard - inland benign</t>
        </is>
      </c>
      <c r="T601" s="36">
        <f>IF($A601="","",IF($S601="","",IFERROR(INDEX('[1]natural catastrophe'!$D$6:$D$17,MATCH($S601,'[1]natural catastrophe'!$B$6:$B$17,0)),"?")))</f>
      </c>
      <c r="U601" s="30" t="inlineStr">
        <is>
          <t xml:space="preserve">$5,000</t>
        </is>
      </c>
      <c r="V601" s="32" t="inlineStr">
        <is>
          <t xml:space="preserve">Agreed Value</t>
        </is>
      </c>
      <c r="W601" s="30" t="inlineStr">
        <is>
          <t xml:space="preserve">$1,000</t>
        </is>
      </c>
      <c r="X601" s="32" t="inlineStr">
        <is>
          <t xml:space="preserve">$1,000,000 CSL</t>
        </is>
      </c>
      <c r="Y601" s="30"/>
      <c r="Z601" s="30"/>
      <c r="AA601" s="32" t="inlineStr">
        <is>
          <t xml:space="preserve">Surplus Lines</t>
        </is>
      </c>
      <c r="AB601" s="35">
        <v>20022.12</v>
      </c>
      <c r="AC601" s="37">
        <v>0</v>
      </c>
      <c r="AD601" s="38">
        <f>IF(ISNUMBER($AB601),$AB601*(1+N($AC601)),"")</f>
      </c>
      <c r="AE601" s="35">
        <v>350</v>
      </c>
      <c r="AF601" s="35">
        <v>250</v>
      </c>
      <c r="AG601" s="37"/>
      <c r="AH601" s="39">
        <f>IF(ISNUMBER($AD601),($AD601+$AE601+$AF601)*$AG601,"")</f>
      </c>
      <c r="AI601" s="35"/>
      <c r="AJ601" s="38">
        <f>IF(ISNUMBER($AD601),SUM($AD601:$AH601),"")</f>
      </c>
      <c r="AK601" s="40">
        <f>IF(AND(ISNUMBER($AB601),ISNUMBER($AD601)),IF($AB601&gt;0,$AD601/$AB601,""),"")</f>
      </c>
      <c r="AL601" s="32" t="inlineStr">
        <is>
          <t xml:space="preserve">At technical</t>
        </is>
      </c>
      <c r="AM601" s="41">
        <f>IF(ISNUMBER($AD601),Header!$I$3,"")</f>
      </c>
      <c r="AN601" s="39">
        <f>IF(ISNUMBER($AD601),$AO601+$AP601,"")</f>
      </c>
      <c r="AO601" s="39">
        <f>IF(ISNUMBER($AD601),ROUND($AD601*Header!$K$3,2),"")</f>
      </c>
      <c r="AP601" s="39">
        <f>IF(ISNUMBER($AD601),ROUND($AD601*Header!$M$3,2),"")</f>
      </c>
      <c r="AQ601" s="38">
        <f>IF(ISNUMBER($AD601),ROUND($AD601,2)-$AO601-$AP601,"")</f>
      </c>
      <c r="AR601" s="39">
        <f>IF(ISNUMBER($AD601),IF(Header!$D$34="","?",$AD601*Header!$D$34),"")</f>
      </c>
      <c r="AS601" s="39">
        <f>IF(ISNUMBER($AB601),IF(Header!$D$34="","?",$AB601*Header!$D$34),"")</f>
      </c>
      <c r="AT601" s="42">
        <f>IF(AND(ISNUMBER($AB601),$M601&gt;0),$AB601/$M601*100,"")</f>
      </c>
      <c r="AU601" s="42">
        <f>IF(AND(ISNUMBER($AD601),$M601&gt;0),$AD601/$M601*100,"")</f>
      </c>
      <c r="AV601" s="40">
        <f>IF(AND(ISNUMBER($AB601),ISNUMBER($AD601),ABS($AB601)&gt;0),$AD601/$AB601,"")</f>
      </c>
      <c r="AW601" s="39">
        <f>IF(ISNUMBER($AD601),MAX(0,(1-0.55-Header!$O$3)*Header!$Q$3*$AQ601),"")</f>
      </c>
      <c r="AX601" s="43">
        <f>IF($A601="","",IF(TRIM(IF($A601="","Missing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",""))="","PASS","FAIL: "&amp;TRIM(IF($A601="","Missing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f>
      </c>
      <c r="AY601" s="44">
        <f>IF($M601="","",IF(ISNUMBER($M601),IF($M601&gt;=Header!$C$18,"YES — refer","No"),""))</f>
      </c>
      <c r="AZ601" s="44">
        <f>IF($AD601="","",IF(ISNUMBER($AD601),IF($AD601&lt;Header!$C$20,"BELOW MIN PREMIUM","OK"),""))</f>
      </c>
      <c r="BA601" s="32" t="inlineStr">
        <is>
          <t xml:space="preserve">Yes</t>
        </is>
      </c>
      <c r="BB601" s="32" t="inlineStr">
        <is>
          <t xml:space="preserve">Yes</t>
        </is>
      </c>
      <c r="BC601" s="30" t="inlineStr">
        <is>
          <t xml:space="preserve">Synthetic demo data</t>
        </is>
      </c>
      <c r="BE601" s="45">
        <f>IF(OR($A601="",$L601="",$H601=""),"",IF(AND(LEFT($L601,2)="06",$H601&gt;1945),"FAIL - pre-war class, year "&amp;$H601,IF(AND(LEFT($L601,2)="07",OR($H601&lt;1946,$H601&gt;1972)),"FAIL - 1946-72 class, year "&amp;$H601,IF(AND(LEFT($L601,2)="08",OR($H601&lt;1973,$H601&gt;1999)),"FAIL - 1973-99 class, year "&amp;$H601,IF(AND(LEFT($L601,2)="09",OR($H601&lt;2000,$H601&gt;2010)),"FAIL - 2000-10 class, year "&amp;$H601,"OK")))))</f>
      </c>
      <c r="BF601" s="45">
        <f>IF($AD601="","",IF(ROUND($AO601+$AP601+$AQ601-$AD601,2)=0,"OK","FAIL - out by "&amp;TEXT($AO601+$AP601+$AQ601-$AD601,"$0.00")))</f>
      </c>
    </row>
    <row r="602" spans="1:58" ht="18.75" customHeight="1" x14ac:dyDescent="0.25">
      <c r="A602" s="46" t="inlineStr">
        <is>
          <t xml:space="preserve">CANON-202602-005478</t>
        </is>
      </c>
      <c r="B602" s="46" t="inlineStr">
        <is>
          <t xml:space="preserve">Desmond Merriweather</t>
        </is>
      </c>
      <c r="C602" s="47">
        <v>46073</v>
      </c>
      <c r="D602" s="48" t="inlineStr">
        <is>
          <t xml:space="preserve">Bound - within authority</t>
        </is>
      </c>
      <c r="E602" s="48" t="inlineStr">
        <is>
          <t xml:space="preserve">New business</t>
        </is>
      </c>
      <c r="F602" s="46" t="inlineStr">
        <is>
          <t xml:space="preserve">B1234EXOTIC26</t>
        </is>
      </c>
      <c r="G602" s="33">
        <f>IF($A602="","",IF($C602="","",YEAR($C602)))</f>
      </c>
      <c r="H602" s="49">
        <v>2023</v>
      </c>
      <c r="I602" s="46" t="inlineStr">
        <is>
          <t xml:space="preserve">Bentley</t>
        </is>
      </c>
      <c r="J602" s="46" t="inlineStr">
        <is>
          <t xml:space="preserve">Continental GT</t>
        </is>
      </c>
      <c r="K602" s="46" t="inlineStr">
        <is>
          <t xml:space="preserve">7472XULNKK9R9LALP</t>
        </is>
      </c>
      <c r="L602" s="48" t="inlineStr">
        <is>
          <t xml:space="preserve">02 - Sports / GT</t>
        </is>
      </c>
      <c r="M602" s="50">
        <v>275000</v>
      </c>
      <c r="N602" s="48" t="inlineStr">
        <is>
          <t xml:space="preserve">Personal</t>
        </is>
      </c>
      <c r="O602" s="46" t="inlineStr">
        <is>
          <t xml:space="preserve">Personal - regular use</t>
        </is>
      </c>
      <c r="P602" s="46" t="inlineStr">
        <is>
          <t xml:space="preserve">2,500 - 5,000</t>
        </is>
      </c>
      <c r="Q602" s="46" t="inlineStr">
        <is>
          <t xml:space="preserve">Wyoming</t>
        </is>
      </c>
      <c r="R602" s="46" t="inlineStr">
        <is>
          <t xml:space="preserve">82001</t>
        </is>
      </c>
      <c r="S602" s="48" t="inlineStr">
        <is>
          <t xml:space="preserve">Severe convective - hail alley (high)</t>
        </is>
      </c>
      <c r="T602" s="36">
        <f>IF($A602="","",IF($S602="","",IFERROR(INDEX('[1]natural catastrophe'!$D$6:$D$17,MATCH($S602,'[1]natural catastrophe'!$B$6:$B$17,0)),"?")))</f>
      </c>
      <c r="U602" s="46" t="inlineStr">
        <is>
          <t xml:space="preserve">$5,000</t>
        </is>
      </c>
      <c r="V602" s="48" t="inlineStr">
        <is>
          <t xml:space="preserve">Agreed Value</t>
        </is>
      </c>
      <c r="W602" s="46" t="inlineStr">
        <is>
          <t xml:space="preserve">$1,000</t>
        </is>
      </c>
      <c r="X602" s="48" t="inlineStr">
        <is>
          <t xml:space="preserve">$1,000,000 CSL</t>
        </is>
      </c>
      <c r="Y602" s="46"/>
      <c r="Z602" s="46"/>
      <c r="AA602" s="48" t="inlineStr">
        <is>
          <t xml:space="preserve">Surplus Lines</t>
        </is>
      </c>
      <c r="AB602" s="50">
        <v>3660.92</v>
      </c>
      <c r="AC602" s="51">
        <v>0</v>
      </c>
      <c r="AD602" s="38">
        <f>IF(ISNUMBER($AB602),$AB602*(1+N($AC602)),"")</f>
      </c>
      <c r="AE602" s="50">
        <v>350</v>
      </c>
      <c r="AF602" s="50">
        <v>0</v>
      </c>
      <c r="AG602" s="51"/>
      <c r="AH602" s="39">
        <f>IF(ISNUMBER($AD602),($AD602+$AE602+$AF602)*$AG602,"")</f>
      </c>
      <c r="AI602" s="50"/>
      <c r="AJ602" s="38">
        <f>IF(ISNUMBER($AD602),SUM($AD602:$AH602),"")</f>
      </c>
      <c r="AK602" s="40">
        <f>IF(AND(ISNUMBER($AB602),ISNUMBER($AD602)),IF($AB602&gt;0,$AD602/$AB602,""),"")</f>
      </c>
      <c r="AL602" s="48" t="inlineStr">
        <is>
          <t xml:space="preserve">At technical</t>
        </is>
      </c>
      <c r="AM602" s="41">
        <f>IF(ISNUMBER($AD602),Header!$I$3,"")</f>
      </c>
      <c r="AN602" s="39">
        <f>IF(ISNUMBER($AD602),$AO602+$AP602,"")</f>
      </c>
      <c r="AO602" s="39">
        <f>IF(ISNUMBER($AD602),ROUND($AD602*Header!$K$3,2),"")</f>
      </c>
      <c r="AP602" s="39">
        <f>IF(ISNUMBER($AD602),ROUND($AD602*Header!$M$3,2),"")</f>
      </c>
      <c r="AQ602" s="38">
        <f>IF(ISNUMBER($AD602),ROUND($AD602,2)-$AO602-$AP602,"")</f>
      </c>
      <c r="AR602" s="39">
        <f>IF(ISNUMBER($AD602),IF(Header!$D$34="","?",$AD602*Header!$D$34),"")</f>
      </c>
      <c r="AS602" s="39">
        <f>IF(ISNUMBER($AB602),IF(Header!$D$34="","?",$AB602*Header!$D$34),"")</f>
      </c>
      <c r="AT602" s="42">
        <f>IF(AND(ISNUMBER($AB602),$M602&gt;0),$AB602/$M602*100,"")</f>
      </c>
      <c r="AU602" s="42">
        <f>IF(AND(ISNUMBER($AD602),$M602&gt;0),$AD602/$M602*100,"")</f>
      </c>
      <c r="AV602" s="40">
        <f>IF(AND(ISNUMBER($AB602),ISNUMBER($AD602),ABS($AB602)&gt;0),$AD602/$AB602,"")</f>
      </c>
      <c r="AW602" s="39">
        <f>IF(ISNUMBER($AD602),MAX(0,(1-0.55-Header!$O$3)*Header!$Q$3*$AQ602),"")</f>
      </c>
      <c r="AX602" s="43">
        <f>IF($A602="","",IF(TRIM(IF($A602="","Missing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",""))="","PASS","FAIL: "&amp;TRIM(IF($A602="","Missing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f>
      </c>
      <c r="AY602" s="44">
        <f>IF($M602="","",IF(ISNUMBER($M602),IF($M602&gt;=Header!$C$18,"YES — refer","No"),""))</f>
      </c>
      <c r="AZ602" s="44">
        <f>IF($AD602="","",IF(ISNUMBER($AD602),IF($AD602&lt;Header!$C$20,"BELOW MIN PREMIUM","OK"),""))</f>
      </c>
      <c r="BA602" s="48" t="inlineStr">
        <is>
          <t xml:space="preserve">Yes</t>
        </is>
      </c>
      <c r="BB602" s="48" t="inlineStr">
        <is>
          <t xml:space="preserve">Yes</t>
        </is>
      </c>
      <c r="BC602" s="46" t="inlineStr">
        <is>
          <t xml:space="preserve">Synthetic demo data</t>
        </is>
      </c>
      <c r="BE602" s="45">
        <f>IF(OR($A602="",$L602="",$H602=""),"",IF(AND(LEFT($L602,2)="06",$H602&gt;1945),"FAIL - pre-war class, year "&amp;$H602,IF(AND(LEFT($L602,2)="07",OR($H602&lt;1946,$H602&gt;1972)),"FAIL - 1946-72 class, year "&amp;$H602,IF(AND(LEFT($L602,2)="08",OR($H602&lt;1973,$H602&gt;1999)),"FAIL - 1973-99 class, year "&amp;$H602,IF(AND(LEFT($L602,2)="09",OR($H602&lt;2000,$H602&gt;2010)),"FAIL - 2000-10 class, year "&amp;$H602,"OK")))))</f>
      </c>
      <c r="BF602" s="45">
        <f>IF($AD602="","",IF(ROUND($AO602+$AP602+$AQ602-$AD602,2)=0,"OK","FAIL - out by "&amp;TEXT($AO602+$AP602+$AQ602-$AD602,"$0.00")))</f>
      </c>
    </row>
    <row r="603" spans="1:58" ht="18.75" customHeight="1" x14ac:dyDescent="0.25">
      <c r="A603" s="30" t="inlineStr">
        <is>
          <t xml:space="preserve">CANON-202602-005479</t>
        </is>
      </c>
      <c r="B603" s="30" t="inlineStr">
        <is>
          <t xml:space="preserve">Ottilie Fairweather</t>
        </is>
      </c>
      <c r="C603" s="31">
        <v>46072</v>
      </c>
      <c r="D603" s="32" t="inlineStr">
        <is>
          <t xml:space="preserve">Bound - within authority</t>
        </is>
      </c>
      <c r="E603" s="32" t="inlineStr">
        <is>
          <t xml:space="preserve">New business</t>
        </is>
      </c>
      <c r="F603" s="30" t="inlineStr">
        <is>
          <t xml:space="preserve">B1234EXOTIC26</t>
        </is>
      </c>
      <c r="G603" s="33">
        <f>IF($A603="","",IF($C603="","",YEAR($C603)))</f>
      </c>
      <c r="H603" s="34">
        <v>2008</v>
      </c>
      <c r="I603" s="30" t="inlineStr">
        <is>
          <t xml:space="preserve">Ferrari</t>
        </is>
      </c>
      <c r="J603" s="30" t="inlineStr">
        <is>
          <t xml:space="preserve">SF90 Stradale</t>
        </is>
      </c>
      <c r="K603" s="30" t="inlineStr">
        <is>
          <t xml:space="preserve">NXGJ5T5MC1MR3HNMC</t>
        </is>
      </c>
      <c r="L603" s="32" t="inlineStr">
        <is>
          <t xml:space="preserve">03 - Supercar</t>
        </is>
      </c>
      <c r="M603" s="35">
        <v>635000</v>
      </c>
      <c r="N603" s="32" t="inlineStr">
        <is>
          <t xml:space="preserve">Personal</t>
        </is>
      </c>
      <c r="O603" s="30" t="inlineStr">
        <is>
          <t xml:space="preserve">Personal - regular use</t>
        </is>
      </c>
      <c r="P603" s="30" t="inlineStr">
        <is>
          <t xml:space="preserve">Under 1,000</t>
        </is>
      </c>
      <c r="Q603" s="30" t="inlineStr">
        <is>
          <t xml:space="preserve">Florida</t>
        </is>
      </c>
      <c r="R603" s="30" t="inlineStr">
        <is>
          <t xml:space="preserve">33139</t>
        </is>
      </c>
      <c r="S603" s="32" t="inlineStr">
        <is>
          <t xml:space="preserve">Tier 2 - Coastal wind (1-25 miles)</t>
        </is>
      </c>
      <c r="T603" s="36">
        <f>IF($A603="","",IF($S603="","",IFERROR(INDEX('[1]natural catastrophe'!$D$6:$D$17,MATCH($S603,'[1]natural catastrophe'!$B$6:$B$17,0)),"?")))</f>
      </c>
      <c r="U603" s="30" t="inlineStr">
        <is>
          <t xml:space="preserve">2% of agreed value, minimum $10,000</t>
        </is>
      </c>
      <c r="V603" s="32" t="inlineStr">
        <is>
          <t xml:space="preserve">Agreed Value</t>
        </is>
      </c>
      <c r="W603" s="30" t="inlineStr">
        <is>
          <t xml:space="preserve">$1,000</t>
        </is>
      </c>
      <c r="X603" s="32" t="inlineStr">
        <is>
          <t xml:space="preserve">$1,000,000 CSL</t>
        </is>
      </c>
      <c r="Y603" s="30"/>
      <c r="Z603" s="30"/>
      <c r="AA603" s="32" t="inlineStr">
        <is>
          <t xml:space="preserve">Surplus Lines</t>
        </is>
      </c>
      <c r="AB603" s="35">
        <v>14210.11</v>
      </c>
      <c r="AC603" s="37">
        <v>0</v>
      </c>
      <c r="AD603" s="38">
        <f>IF(ISNUMBER($AB603),$AB603*(1+N($AC603)),"")</f>
      </c>
      <c r="AE603" s="35">
        <v>350</v>
      </c>
      <c r="AF603" s="35">
        <v>0</v>
      </c>
      <c r="AG603" s="37"/>
      <c r="AH603" s="39">
        <f>IF(ISNUMBER($AD603),($AD603+$AE603+$AF603)*$AG603,"")</f>
      </c>
      <c r="AI603" s="35"/>
      <c r="AJ603" s="38">
        <f>IF(ISNUMBER($AD603),SUM($AD603:$AH603),"")</f>
      </c>
      <c r="AK603" s="40">
        <f>IF(AND(ISNUMBER($AB603),ISNUMBER($AD603)),IF($AB603&gt;0,$AD603/$AB603,""),"")</f>
      </c>
      <c r="AL603" s="32" t="inlineStr">
        <is>
          <t xml:space="preserve">At technical</t>
        </is>
      </c>
      <c r="AM603" s="41">
        <f>IF(ISNUMBER($AD603),Header!$I$3,"")</f>
      </c>
      <c r="AN603" s="39">
        <f>IF(ISNUMBER($AD603),$AO603+$AP603,"")</f>
      </c>
      <c r="AO603" s="39">
        <f>IF(ISNUMBER($AD603),ROUND($AD603*Header!$K$3,2),"")</f>
      </c>
      <c r="AP603" s="39">
        <f>IF(ISNUMBER($AD603),ROUND($AD603*Header!$M$3,2),"")</f>
      </c>
      <c r="AQ603" s="38">
        <f>IF(ISNUMBER($AD603),ROUND($AD603,2)-$AO603-$AP603,"")</f>
      </c>
      <c r="AR603" s="39">
        <f>IF(ISNUMBER($AD603),IF(Header!$D$34="","?",$AD603*Header!$D$34),"")</f>
      </c>
      <c r="AS603" s="39">
        <f>IF(ISNUMBER($AB603),IF(Header!$D$34="","?",$AB603*Header!$D$34),"")</f>
      </c>
      <c r="AT603" s="42">
        <f>IF(AND(ISNUMBER($AB603),$M603&gt;0),$AB603/$M603*100,"")</f>
      </c>
      <c r="AU603" s="42">
        <f>IF(AND(ISNUMBER($AD603),$M603&gt;0),$AD603/$M603*100,"")</f>
      </c>
      <c r="AV603" s="40">
        <f>IF(AND(ISNUMBER($AB603),ISNUMBER($AD603),ABS($AB603)&gt;0),$AD603/$AB603,"")</f>
      </c>
      <c r="AW603" s="39">
        <f>IF(ISNUMBER($AD603),MAX(0,(1-0.55-Header!$O$3)*Header!$Q$3*$AQ603),"")</f>
      </c>
      <c r="AX603" s="43">
        <f>IF($A603="","",IF(TRIM(IF($A603="","Missing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",""))="","PASS","FAIL: "&amp;TRIM(IF($A603="","Missing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f>
      </c>
      <c r="AY603" s="44">
        <f>IF($M603="","",IF(ISNUMBER($M603),IF($M603&gt;=Header!$C$18,"YES — refer","No"),""))</f>
      </c>
      <c r="AZ603" s="44">
        <f>IF($AD603="","",IF(ISNUMBER($AD603),IF($AD603&lt;Header!$C$20,"BELOW MIN PREMIUM","OK"),""))</f>
      </c>
      <c r="BA603" s="32" t="inlineStr">
        <is>
          <t xml:space="preserve">Yes</t>
        </is>
      </c>
      <c r="BB603" s="32" t="inlineStr">
        <is>
          <t xml:space="preserve">Yes</t>
        </is>
      </c>
      <c r="BC603" s="30" t="inlineStr">
        <is>
          <t xml:space="preserve">Synthetic demo data</t>
        </is>
      </c>
      <c r="BE603" s="45">
        <f>IF(OR($A603="",$L603="",$H603=""),"",IF(AND(LEFT($L603,2)="06",$H603&gt;1945),"FAIL - pre-war class, year "&amp;$H603,IF(AND(LEFT($L603,2)="07",OR($H603&lt;1946,$H603&gt;1972)),"FAIL - 1946-72 class, year "&amp;$H603,IF(AND(LEFT($L603,2)="08",OR($H603&lt;1973,$H603&gt;1999)),"FAIL - 1973-99 class, year "&amp;$H603,IF(AND(LEFT($L603,2)="09",OR($H603&lt;2000,$H603&gt;2010)),"FAIL - 2000-10 class, year "&amp;$H603,"OK")))))</f>
      </c>
      <c r="BF603" s="45">
        <f>IF($AD603="","",IF(ROUND($AO603+$AP603+$AQ603-$AD603,2)=0,"OK","FAIL - out by "&amp;TEXT($AO603+$AP603+$AQ603-$AD603,"$0.00")))</f>
      </c>
    </row>
    <row r="604" spans="1:58" ht="18.75" customHeight="1" x14ac:dyDescent="0.25">
      <c r="A604" s="46" t="inlineStr">
        <is>
          <t xml:space="preserve">CANON-202602-005480</t>
        </is>
      </c>
      <c r="B604" s="46" t="inlineStr">
        <is>
          <t xml:space="preserve">Lorenzo Blackwood</t>
        </is>
      </c>
      <c r="C604" s="47">
        <v>46066</v>
      </c>
      <c r="D604" s="48" t="inlineStr">
        <is>
          <t xml:space="preserve">Bound - within authority</t>
        </is>
      </c>
      <c r="E604" s="48" t="inlineStr">
        <is>
          <t xml:space="preserve">New business</t>
        </is>
      </c>
      <c r="F604" s="46" t="inlineStr">
        <is>
          <t xml:space="preserve">B1234EXOTIC26</t>
        </is>
      </c>
      <c r="G604" s="33">
        <f>IF($A604="","",IF($C604="","",YEAR($C604)))</f>
      </c>
      <c r="H604" s="49">
        <v>2013</v>
      </c>
      <c r="I604" s="46" t="inlineStr">
        <is>
          <t xml:space="preserve">Ringbrothers</t>
        </is>
      </c>
      <c r="J604" s="46" t="inlineStr">
        <is>
          <t xml:space="preserve">Mustang</t>
        </is>
      </c>
      <c r="K604" s="46" t="inlineStr">
        <is>
          <t xml:space="preserve">AW9YTKUM40KKEGEM4</t>
        </is>
      </c>
      <c r="L604" s="48" t="inlineStr">
        <is>
          <t xml:space="preserve">11 - Restomod / Coachbuilt / Bespoke</t>
        </is>
      </c>
      <c r="M604" s="50">
        <v>840000</v>
      </c>
      <c r="N604" s="48" t="inlineStr">
        <is>
          <t xml:space="preserve">Personal</t>
        </is>
      </c>
      <c r="O604" s="46" t="inlineStr">
        <is>
          <t xml:space="preserve">Personal - regular use</t>
        </is>
      </c>
      <c r="P604" s="46" t="inlineStr">
        <is>
          <t xml:space="preserve">Under 1,000</t>
        </is>
      </c>
      <c r="Q604" s="46" t="inlineStr">
        <is>
          <t xml:space="preserve">North Dakota</t>
        </is>
      </c>
      <c r="R604" s="46" t="inlineStr">
        <is>
          <t xml:space="preserve">58501</t>
        </is>
      </c>
      <c r="S604" s="48" t="inlineStr">
        <is>
          <t xml:space="preserve">Severe convective - hail alley (high)</t>
        </is>
      </c>
      <c r="T604" s="36">
        <f>IF($A604="","",IF($S604="","",IFERROR(INDEX('[1]natural catastrophe'!$D$6:$D$17,MATCH($S604,'[1]natural catastrophe'!$B$6:$B$17,0)),"?")))</f>
      </c>
      <c r="U604" s="46" t="inlineStr">
        <is>
          <t xml:space="preserve">$5,000</t>
        </is>
      </c>
      <c r="V604" s="48" t="inlineStr">
        <is>
          <t xml:space="preserve">Agreed Value</t>
        </is>
      </c>
      <c r="W604" s="46" t="inlineStr">
        <is>
          <t xml:space="preserve">$1,000</t>
        </is>
      </c>
      <c r="X604" s="48" t="inlineStr">
        <is>
          <t xml:space="preserve">$1,000,000 CSL</t>
        </is>
      </c>
      <c r="Y604" s="46"/>
      <c r="Z604" s="46"/>
      <c r="AA604" s="48" t="inlineStr">
        <is>
          <t xml:space="preserve">Surplus Lines</t>
        </is>
      </c>
      <c r="AB604" s="50">
        <v>11086.28</v>
      </c>
      <c r="AC604" s="51">
        <v>0</v>
      </c>
      <c r="AD604" s="38">
        <f>IF(ISNUMBER($AB604),$AB604*(1+N($AC604)),"")</f>
      </c>
      <c r="AE604" s="50">
        <v>350</v>
      </c>
      <c r="AF604" s="50">
        <v>0</v>
      </c>
      <c r="AG604" s="51"/>
      <c r="AH604" s="39">
        <f>IF(ISNUMBER($AD604),($AD604+$AE604+$AF604)*$AG604,"")</f>
      </c>
      <c r="AI604" s="50"/>
      <c r="AJ604" s="38">
        <f>IF(ISNUMBER($AD604),SUM($AD604:$AH604),"")</f>
      </c>
      <c r="AK604" s="40">
        <f>IF(AND(ISNUMBER($AB604),ISNUMBER($AD604)),IF($AB604&gt;0,$AD604/$AB604,""),"")</f>
      </c>
      <c r="AL604" s="48" t="inlineStr">
        <is>
          <t xml:space="preserve">At technical</t>
        </is>
      </c>
      <c r="AM604" s="41">
        <f>IF(ISNUMBER($AD604),Header!$I$3,"")</f>
      </c>
      <c r="AN604" s="39">
        <f>IF(ISNUMBER($AD604),$AO604+$AP604,"")</f>
      </c>
      <c r="AO604" s="39">
        <f>IF(ISNUMBER($AD604),ROUND($AD604*Header!$K$3,2),"")</f>
      </c>
      <c r="AP604" s="39">
        <f>IF(ISNUMBER($AD604),ROUND($AD604*Header!$M$3,2),"")</f>
      </c>
      <c r="AQ604" s="38">
        <f>IF(ISNUMBER($AD604),ROUND($AD604,2)-$AO604-$AP604,"")</f>
      </c>
      <c r="AR604" s="39">
        <f>IF(ISNUMBER($AD604),IF(Header!$D$34="","?",$AD604*Header!$D$34),"")</f>
      </c>
      <c r="AS604" s="39">
        <f>IF(ISNUMBER($AB604),IF(Header!$D$34="","?",$AB604*Header!$D$34),"")</f>
      </c>
      <c r="AT604" s="42">
        <f>IF(AND(ISNUMBER($AB604),$M604&gt;0),$AB604/$M604*100,"")</f>
      </c>
      <c r="AU604" s="42">
        <f>IF(AND(ISNUMBER($AD604),$M604&gt;0),$AD604/$M604*100,"")</f>
      </c>
      <c r="AV604" s="40">
        <f>IF(AND(ISNUMBER($AB604),ISNUMBER($AD604),ABS($AB604)&gt;0),$AD604/$AB604,"")</f>
      </c>
      <c r="AW604" s="39">
        <f>IF(ISNUMBER($AD604),MAX(0,(1-0.55-Header!$O$3)*Header!$Q$3*$AQ604),"")</f>
      </c>
      <c r="AX604" s="43">
        <f>IF($A604="","",IF(TRIM(IF($A604="","Missing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",""))="","PASS","FAIL: "&amp;TRIM(IF($A604="","Missing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f>
      </c>
      <c r="AY604" s="44">
        <f>IF($M604="","",IF(ISNUMBER($M604),IF($M604&gt;=Header!$C$18,"YES — refer","No"),""))</f>
      </c>
      <c r="AZ604" s="44">
        <f>IF($AD604="","",IF(ISNUMBER($AD604),IF($AD604&lt;Header!$C$20,"BELOW MIN PREMIUM","OK"),""))</f>
      </c>
      <c r="BA604" s="48" t="inlineStr">
        <is>
          <t xml:space="preserve">Yes</t>
        </is>
      </c>
      <c r="BB604" s="48" t="inlineStr">
        <is>
          <t xml:space="preserve">Yes</t>
        </is>
      </c>
      <c r="BC604" s="46" t="inlineStr">
        <is>
          <t xml:space="preserve">Synthetic demo data</t>
        </is>
      </c>
      <c r="BE604" s="45">
        <f>IF(OR($A604="",$L604="",$H604=""),"",IF(AND(LEFT($L604,2)="06",$H604&gt;1945),"FAIL - pre-war class, year "&amp;$H604,IF(AND(LEFT($L604,2)="07",OR($H604&lt;1946,$H604&gt;1972)),"FAIL - 1946-72 class, year "&amp;$H604,IF(AND(LEFT($L604,2)="08",OR($H604&lt;1973,$H604&gt;1999)),"FAIL - 1973-99 class, year "&amp;$H604,IF(AND(LEFT($L604,2)="09",OR($H604&lt;2000,$H604&gt;2010)),"FAIL - 2000-10 class, year "&amp;$H604,"OK")))))</f>
      </c>
      <c r="BF604" s="45">
        <f>IF($AD604="","",IF(ROUND($AO604+$AP604+$AQ604-$AD604,2)=0,"OK","FAIL - out by "&amp;TEXT($AO604+$AP604+$AQ604-$AD604,"$0.00")))</f>
      </c>
    </row>
    <row r="605" spans="1:58" ht="18.75" customHeight="1" x14ac:dyDescent="0.25">
      <c r="A605" s="30" t="inlineStr">
        <is>
          <t xml:space="preserve">CANON-202602-005481</t>
        </is>
      </c>
      <c r="B605" s="30" t="inlineStr">
        <is>
          <t xml:space="preserve">Wilhelmina Larsson</t>
        </is>
      </c>
      <c r="C605" s="31">
        <v>46081</v>
      </c>
      <c r="D605" s="32" t="inlineStr">
        <is>
          <t xml:space="preserve">Bound - within authority</t>
        </is>
      </c>
      <c r="E605" s="32" t="inlineStr">
        <is>
          <t xml:space="preserve">New business</t>
        </is>
      </c>
      <c r="F605" s="30" t="inlineStr">
        <is>
          <t xml:space="preserve">B1234EXOTIC26</t>
        </is>
      </c>
      <c r="G605" s="33">
        <f>IF($A605="","",IF($C605="","",YEAR($C605)))</f>
      </c>
      <c r="H605" s="34">
        <v>2005</v>
      </c>
      <c r="I605" s="30" t="inlineStr">
        <is>
          <t xml:space="preserve">Maserati</t>
        </is>
      </c>
      <c r="J605" s="30" t="inlineStr">
        <is>
          <t xml:space="preserve">GranTurismo</t>
        </is>
      </c>
      <c r="K605" s="30" t="inlineStr">
        <is>
          <t xml:space="preserve">PVCYYS1SWGF18LT6B</t>
        </is>
      </c>
      <c r="L605" s="32" t="inlineStr">
        <is>
          <t xml:space="preserve">02 - Sports / GT</t>
        </is>
      </c>
      <c r="M605" s="35">
        <v>655000</v>
      </c>
      <c r="N605" s="32" t="inlineStr">
        <is>
          <t xml:space="preserve">Personal</t>
        </is>
      </c>
      <c r="O605" s="30" t="inlineStr">
        <is>
          <t xml:space="preserve">Personal - regular use</t>
        </is>
      </c>
      <c r="P605" s="30" t="inlineStr">
        <is>
          <t xml:space="preserve">Under 1,000</t>
        </is>
      </c>
      <c r="Q605" s="30" t="inlineStr">
        <is>
          <t xml:space="preserve">Utah</t>
        </is>
      </c>
      <c r="R605" s="30" t="inlineStr">
        <is>
          <t xml:space="preserve">84101</t>
        </is>
      </c>
      <c r="S605" s="32" t="inlineStr">
        <is>
          <t xml:space="preserve">Wildfire - WUI high hazard</t>
        </is>
      </c>
      <c r="T605" s="36">
        <f>IF($A605="","",IF($S605="","",IFERROR(INDEX('[1]natural catastrophe'!$D$6:$D$17,MATCH($S605,'[1]natural catastrophe'!$B$6:$B$17,0)),"?")))</f>
      </c>
      <c r="U605" s="30" t="inlineStr">
        <is>
          <t xml:space="preserve">$5,000</t>
        </is>
      </c>
      <c r="V605" s="32" t="inlineStr">
        <is>
          <t xml:space="preserve">Agreed Value</t>
        </is>
      </c>
      <c r="W605" s="30" t="inlineStr">
        <is>
          <t xml:space="preserve">$1,000</t>
        </is>
      </c>
      <c r="X605" s="32" t="inlineStr">
        <is>
          <t xml:space="preserve">$1,000,000 CSL</t>
        </is>
      </c>
      <c r="Y605" s="30"/>
      <c r="Z605" s="30"/>
      <c r="AA605" s="32" t="inlineStr">
        <is>
          <t xml:space="preserve">Surplus Lines</t>
        </is>
      </c>
      <c r="AB605" s="35">
        <v>9534.55</v>
      </c>
      <c r="AC605" s="37">
        <v>0</v>
      </c>
      <c r="AD605" s="38">
        <f>IF(ISNUMBER($AB605),$AB605*(1+N($AC605)),"")</f>
      </c>
      <c r="AE605" s="35">
        <v>350</v>
      </c>
      <c r="AF605" s="35">
        <v>0</v>
      </c>
      <c r="AG605" s="37"/>
      <c r="AH605" s="39">
        <f>IF(ISNUMBER($AD605),($AD605+$AE605+$AF605)*$AG605,"")</f>
      </c>
      <c r="AI605" s="35"/>
      <c r="AJ605" s="38">
        <f>IF(ISNUMBER($AD605),SUM($AD605:$AH605),"")</f>
      </c>
      <c r="AK605" s="40">
        <f>IF(AND(ISNUMBER($AB605),ISNUMBER($AD605)),IF($AB605&gt;0,$AD605/$AB605,""),"")</f>
      </c>
      <c r="AL605" s="32" t="inlineStr">
        <is>
          <t xml:space="preserve">At technical</t>
        </is>
      </c>
      <c r="AM605" s="41">
        <f>IF(ISNUMBER($AD605),Header!$I$3,"")</f>
      </c>
      <c r="AN605" s="39">
        <f>IF(ISNUMBER($AD605),$AO605+$AP605,"")</f>
      </c>
      <c r="AO605" s="39">
        <f>IF(ISNUMBER($AD605),ROUND($AD605*Header!$K$3,2),"")</f>
      </c>
      <c r="AP605" s="39">
        <f>IF(ISNUMBER($AD605),ROUND($AD605*Header!$M$3,2),"")</f>
      </c>
      <c r="AQ605" s="38">
        <f>IF(ISNUMBER($AD605),ROUND($AD605,2)-$AO605-$AP605,"")</f>
      </c>
      <c r="AR605" s="39">
        <f>IF(ISNUMBER($AD605),IF(Header!$D$34="","?",$AD605*Header!$D$34),"")</f>
      </c>
      <c r="AS605" s="39">
        <f>IF(ISNUMBER($AB605),IF(Header!$D$34="","?",$AB605*Header!$D$34),"")</f>
      </c>
      <c r="AT605" s="42">
        <f>IF(AND(ISNUMBER($AB605),$M605&gt;0),$AB605/$M605*100,"")</f>
      </c>
      <c r="AU605" s="42">
        <f>IF(AND(ISNUMBER($AD605),$M605&gt;0),$AD605/$M605*100,"")</f>
      </c>
      <c r="AV605" s="40">
        <f>IF(AND(ISNUMBER($AB605),ISNUMBER($AD605),ABS($AB605)&gt;0),$AD605/$AB605,"")</f>
      </c>
      <c r="AW605" s="39">
        <f>IF(ISNUMBER($AD605),MAX(0,(1-0.55-Header!$O$3)*Header!$Q$3*$AQ605),"")</f>
      </c>
      <c r="AX605" s="43">
        <f>IF($A605="","",IF(TRIM(IF($A605="","Missing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",""))="","PASS","FAIL: "&amp;TRIM(IF($A605="","Missing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f>
      </c>
      <c r="AY605" s="44">
        <f>IF($M605="","",IF(ISNUMBER($M605),IF($M605&gt;=Header!$C$18,"YES — refer","No"),""))</f>
      </c>
      <c r="AZ605" s="44">
        <f>IF($AD605="","",IF(ISNUMBER($AD605),IF($AD605&lt;Header!$C$20,"BELOW MIN PREMIUM","OK"),""))</f>
      </c>
      <c r="BA605" s="32" t="inlineStr">
        <is>
          <t xml:space="preserve">Yes</t>
        </is>
      </c>
      <c r="BB605" s="32" t="inlineStr">
        <is>
          <t xml:space="preserve">Yes</t>
        </is>
      </c>
      <c r="BC605" s="30" t="inlineStr">
        <is>
          <t xml:space="preserve">Synthetic demo data</t>
        </is>
      </c>
      <c r="BE605" s="45">
        <f>IF(OR($A605="",$L605="",$H605=""),"",IF(AND(LEFT($L605,2)="06",$H605&gt;1945),"FAIL - pre-war class, year "&amp;$H605,IF(AND(LEFT($L605,2)="07",OR($H605&lt;1946,$H605&gt;1972)),"FAIL - 1946-72 class, year "&amp;$H605,IF(AND(LEFT($L605,2)="08",OR($H605&lt;1973,$H605&gt;1999)),"FAIL - 1973-99 class, year "&amp;$H605,IF(AND(LEFT($L605,2)="09",OR($H605&lt;2000,$H605&gt;2010)),"FAIL - 2000-10 class, year "&amp;$H605,"OK")))))</f>
      </c>
      <c r="BF605" s="45">
        <f>IF($AD605="","",IF(ROUND($AO605+$AP605+$AQ605-$AD605,2)=0,"OK","FAIL - out by "&amp;TEXT($AO605+$AP605+$AQ605-$AD605,"$0.00")))</f>
      </c>
    </row>
    <row r="606" spans="1:58" ht="18.75" customHeight="1" x14ac:dyDescent="0.25">
      <c r="A606" s="46" t="inlineStr">
        <is>
          <t xml:space="preserve">CANON-202602-005482</t>
        </is>
      </c>
      <c r="B606" s="46" t="inlineStr">
        <is>
          <t xml:space="preserve">Wilhelmina Merriweather</t>
        </is>
      </c>
      <c r="C606" s="47">
        <v>46065</v>
      </c>
      <c r="D606" s="48" t="inlineStr">
        <is>
          <t xml:space="preserve">Bound - within authority</t>
        </is>
      </c>
      <c r="E606" s="48" t="inlineStr">
        <is>
          <t xml:space="preserve">New business</t>
        </is>
      </c>
      <c r="F606" s="46" t="inlineStr">
        <is>
          <t xml:space="preserve">B1234EXOTIC26</t>
        </is>
      </c>
      <c r="G606" s="33">
        <f>IF($A606="","",IF($C606="","",YEAR($C606)))</f>
      </c>
      <c r="H606" s="49">
        <v>1970</v>
      </c>
      <c r="I606" s="46" t="inlineStr">
        <is>
          <t xml:space="preserve">Bentley</t>
        </is>
      </c>
      <c r="J606" s="46" t="inlineStr">
        <is>
          <t xml:space="preserve">Continental GT</t>
        </is>
      </c>
      <c r="K606" s="46" t="inlineStr">
        <is>
          <t xml:space="preserve">PDU4331WMW0PHKY5K</t>
        </is>
      </c>
      <c r="L606" s="48" t="inlineStr">
        <is>
          <t xml:space="preserve">02 - Sports / GT</t>
        </is>
      </c>
      <c r="M606" s="50">
        <v>280000</v>
      </c>
      <c r="N606" s="48" t="inlineStr">
        <is>
          <t xml:space="preserve">Personal</t>
        </is>
      </c>
      <c r="O606" s="46" t="inlineStr">
        <is>
          <t xml:space="preserve">Personal - regular use</t>
        </is>
      </c>
      <c r="P606" s="46" t="inlineStr">
        <is>
          <t xml:space="preserve">2,500 - 5,000</t>
        </is>
      </c>
      <c r="Q606" s="46" t="inlineStr">
        <is>
          <t xml:space="preserve">New Jersey</t>
        </is>
      </c>
      <c r="R606" s="46" t="inlineStr">
        <is>
          <t xml:space="preserve">07102</t>
        </is>
      </c>
      <c r="S606" s="48" t="inlineStr">
        <is>
          <t xml:space="preserve">Tier 3 - Coastal wind (25-100 miles)</t>
        </is>
      </c>
      <c r="T606" s="36">
        <f>IF($A606="","",IF($S606="","",IFERROR(INDEX('[1]natural catastrophe'!$D$6:$D$17,MATCH($S606,'[1]natural catastrophe'!$B$6:$B$17,0)),"?")))</f>
      </c>
      <c r="U606" s="46" t="inlineStr">
        <is>
          <t xml:space="preserve">2% of agreed value, minimum $10,000</t>
        </is>
      </c>
      <c r="V606" s="48" t="inlineStr">
        <is>
          <t xml:space="preserve">Agreed Value</t>
        </is>
      </c>
      <c r="W606" s="46" t="inlineStr">
        <is>
          <t xml:space="preserve">$1,000</t>
        </is>
      </c>
      <c r="X606" s="48" t="inlineStr">
        <is>
          <t xml:space="preserve">$1,000,000 CSL</t>
        </is>
      </c>
      <c r="Y606" s="46"/>
      <c r="Z606" s="46"/>
      <c r="AA606" s="48" t="inlineStr">
        <is>
          <t xml:space="preserve">Surplus Lines</t>
        </is>
      </c>
      <c r="AB606" s="50">
        <v>3170.1</v>
      </c>
      <c r="AC606" s="51">
        <v>0</v>
      </c>
      <c r="AD606" s="38">
        <f>IF(ISNUMBER($AB606),$AB606*(1+N($AC606)),"")</f>
      </c>
      <c r="AE606" s="50">
        <v>350</v>
      </c>
      <c r="AF606" s="50">
        <v>0</v>
      </c>
      <c r="AG606" s="51"/>
      <c r="AH606" s="39">
        <f>IF(ISNUMBER($AD606),($AD606+$AE606+$AF606)*$AG606,"")</f>
      </c>
      <c r="AI606" s="50"/>
      <c r="AJ606" s="38">
        <f>IF(ISNUMBER($AD606),SUM($AD606:$AH606),"")</f>
      </c>
      <c r="AK606" s="40">
        <f>IF(AND(ISNUMBER($AB606),ISNUMBER($AD606)),IF($AB606&gt;0,$AD606/$AB606,""),"")</f>
      </c>
      <c r="AL606" s="48" t="inlineStr">
        <is>
          <t xml:space="preserve">At technical</t>
        </is>
      </c>
      <c r="AM606" s="41">
        <f>IF(ISNUMBER($AD606),Header!$I$3,"")</f>
      </c>
      <c r="AN606" s="39">
        <f>IF(ISNUMBER($AD606),$AO606+$AP606,"")</f>
      </c>
      <c r="AO606" s="39">
        <f>IF(ISNUMBER($AD606),ROUND($AD606*Header!$K$3,2),"")</f>
      </c>
      <c r="AP606" s="39">
        <f>IF(ISNUMBER($AD606),ROUND($AD606*Header!$M$3,2),"")</f>
      </c>
      <c r="AQ606" s="38">
        <f>IF(ISNUMBER($AD606),ROUND($AD606,2)-$AO606-$AP606,"")</f>
      </c>
      <c r="AR606" s="39">
        <f>IF(ISNUMBER($AD606),IF(Header!$D$34="","?",$AD606*Header!$D$34),"")</f>
      </c>
      <c r="AS606" s="39">
        <f>IF(ISNUMBER($AB606),IF(Header!$D$34="","?",$AB606*Header!$D$34),"")</f>
      </c>
      <c r="AT606" s="42">
        <f>IF(AND(ISNUMBER($AB606),$M606&gt;0),$AB606/$M606*100,"")</f>
      </c>
      <c r="AU606" s="42">
        <f>IF(AND(ISNUMBER($AD606),$M606&gt;0),$AD606/$M606*100,"")</f>
      </c>
      <c r="AV606" s="40">
        <f>IF(AND(ISNUMBER($AB606),ISNUMBER($AD606),ABS($AB606)&gt;0),$AD606/$AB606,"")</f>
      </c>
      <c r="AW606" s="39">
        <f>IF(ISNUMBER($AD606),MAX(0,(1-0.55-Header!$O$3)*Header!$Q$3*$AQ606),"")</f>
      </c>
      <c r="AX606" s="43">
        <f>IF($A606="","",IF(TRIM(IF($A606="","Missing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",""))="","PASS","FAIL: "&amp;TRIM(IF($A606="","Missing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f>
      </c>
      <c r="AY606" s="44">
        <f>IF($M606="","",IF(ISNUMBER($M606),IF($M606&gt;=Header!$C$18,"YES — refer","No"),""))</f>
      </c>
      <c r="AZ606" s="44">
        <f>IF($AD606="","",IF(ISNUMBER($AD606),IF($AD606&lt;Header!$C$20,"BELOW MIN PREMIUM","OK"),""))</f>
      </c>
      <c r="BA606" s="48" t="inlineStr">
        <is>
          <t xml:space="preserve">Yes</t>
        </is>
      </c>
      <c r="BB606" s="48" t="inlineStr">
        <is>
          <t xml:space="preserve">Yes</t>
        </is>
      </c>
      <c r="BC606" s="46" t="inlineStr">
        <is>
          <t xml:space="preserve">Synthetic demo data</t>
        </is>
      </c>
      <c r="BE606" s="45">
        <f>IF(OR($A606="",$L606="",$H606=""),"",IF(AND(LEFT($L606,2)="06",$H606&gt;1945),"FAIL - pre-war class, year "&amp;$H606,IF(AND(LEFT($L606,2)="07",OR($H606&lt;1946,$H606&gt;1972)),"FAIL - 1946-72 class, year "&amp;$H606,IF(AND(LEFT($L606,2)="08",OR($H606&lt;1973,$H606&gt;1999)),"FAIL - 1973-99 class, year "&amp;$H606,IF(AND(LEFT($L606,2)="09",OR($H606&lt;2000,$H606&gt;2010)),"FAIL - 2000-10 class, year "&amp;$H606,"OK")))))</f>
      </c>
      <c r="BF606" s="45">
        <f>IF($AD606="","",IF(ROUND($AO606+$AP606+$AQ606-$AD606,2)=0,"OK","FAIL - out by "&amp;TEXT($AO606+$AP606+$AQ606-$AD606,"$0.00")))</f>
      </c>
    </row>
    <row r="607" spans="1:58" ht="18.75" customHeight="1" x14ac:dyDescent="0.25">
      <c r="A607" s="30" t="inlineStr">
        <is>
          <t xml:space="preserve">CANON-202602-005483</t>
        </is>
      </c>
      <c r="B607" s="30" t="inlineStr">
        <is>
          <t xml:space="preserve">Lorenzo Ashcombe</t>
        </is>
      </c>
      <c r="C607" s="31">
        <v>46081</v>
      </c>
      <c r="D607" s="32" t="inlineStr">
        <is>
          <t xml:space="preserve">Bound - within authority</t>
        </is>
      </c>
      <c r="E607" s="32" t="inlineStr">
        <is>
          <t xml:space="preserve">New business</t>
        </is>
      </c>
      <c r="F607" s="30" t="inlineStr">
        <is>
          <t xml:space="preserve">B1234EXOTIC26</t>
        </is>
      </c>
      <c r="G607" s="33">
        <f>IF($A607="","",IF($C607="","",YEAR($C607)))</f>
      </c>
      <c r="H607" s="34">
        <v>1981</v>
      </c>
      <c r="I607" s="30" t="inlineStr">
        <is>
          <t xml:space="preserve">Lamborghini</t>
        </is>
      </c>
      <c r="J607" s="30" t="inlineStr">
        <is>
          <t xml:space="preserve">Huracan EVO</t>
        </is>
      </c>
      <c r="K607" s="30" t="inlineStr">
        <is>
          <t xml:space="preserve">AMWW5WJRM6B9NPKGP</t>
        </is>
      </c>
      <c r="L607" s="32" t="inlineStr">
        <is>
          <t xml:space="preserve">03 - Supercar</t>
        </is>
      </c>
      <c r="M607" s="35">
        <v>325000</v>
      </c>
      <c r="N607" s="32" t="inlineStr">
        <is>
          <t xml:space="preserve">Personal</t>
        </is>
      </c>
      <c r="O607" s="30" t="inlineStr">
        <is>
          <t xml:space="preserve">Personal - regular use</t>
        </is>
      </c>
      <c r="P607" s="30" t="inlineStr">
        <is>
          <t xml:space="preserve">1,000 - 2,500</t>
        </is>
      </c>
      <c r="Q607" s="30" t="inlineStr">
        <is>
          <t xml:space="preserve">California</t>
        </is>
      </c>
      <c r="R607" s="30" t="inlineStr">
        <is>
          <t xml:space="preserve">90012</t>
        </is>
      </c>
      <c r="S607" s="32" t="inlineStr">
        <is>
          <t xml:space="preserve">Earthquake - high (CA, Cascadia, New Madrid)</t>
        </is>
      </c>
      <c r="T607" s="36">
        <f>IF($A607="","",IF($S607="","",IFERROR(INDEX('[1]natural catastrophe'!$D$6:$D$17,MATCH($S607,'[1]natural catastrophe'!$B$6:$B$17,0)),"?")))</f>
      </c>
      <c r="U607" s="30" t="inlineStr">
        <is>
          <t xml:space="preserve">$5,000</t>
        </is>
      </c>
      <c r="V607" s="32" t="inlineStr">
        <is>
          <t xml:space="preserve">Agreed Value</t>
        </is>
      </c>
      <c r="W607" s="30" t="inlineStr">
        <is>
          <t xml:space="preserve">$1,000</t>
        </is>
      </c>
      <c r="X607" s="32" t="inlineStr">
        <is>
          <t xml:space="preserve">$1,000,000 CSL</t>
        </is>
      </c>
      <c r="Y607" s="30"/>
      <c r="Z607" s="30"/>
      <c r="AA607" s="32" t="inlineStr">
        <is>
          <t xml:space="preserve">Surplus Lines</t>
        </is>
      </c>
      <c r="AB607" s="35">
        <v>8370.03</v>
      </c>
      <c r="AC607" s="37">
        <v>0</v>
      </c>
      <c r="AD607" s="38">
        <f>IF(ISNUMBER($AB607),$AB607*(1+N($AC607)),"")</f>
      </c>
      <c r="AE607" s="35">
        <v>350</v>
      </c>
      <c r="AF607" s="35">
        <v>0</v>
      </c>
      <c r="AG607" s="37"/>
      <c r="AH607" s="39">
        <f>IF(ISNUMBER($AD607),($AD607+$AE607+$AF607)*$AG607,"")</f>
      </c>
      <c r="AI607" s="35"/>
      <c r="AJ607" s="38">
        <f>IF(ISNUMBER($AD607),SUM($AD607:$AH607),"")</f>
      </c>
      <c r="AK607" s="40">
        <f>IF(AND(ISNUMBER($AB607),ISNUMBER($AD607)),IF($AB607&gt;0,$AD607/$AB607,""),"")</f>
      </c>
      <c r="AL607" s="32" t="inlineStr">
        <is>
          <t xml:space="preserve">At technical</t>
        </is>
      </c>
      <c r="AM607" s="41">
        <f>IF(ISNUMBER($AD607),Header!$I$3,"")</f>
      </c>
      <c r="AN607" s="39">
        <f>IF(ISNUMBER($AD607),$AO607+$AP607,"")</f>
      </c>
      <c r="AO607" s="39">
        <f>IF(ISNUMBER($AD607),ROUND($AD607*Header!$K$3,2),"")</f>
      </c>
      <c r="AP607" s="39">
        <f>IF(ISNUMBER($AD607),ROUND($AD607*Header!$M$3,2),"")</f>
      </c>
      <c r="AQ607" s="38">
        <f>IF(ISNUMBER($AD607),ROUND($AD607,2)-$AO607-$AP607,"")</f>
      </c>
      <c r="AR607" s="39">
        <f>IF(ISNUMBER($AD607),IF(Header!$D$34="","?",$AD607*Header!$D$34),"")</f>
      </c>
      <c r="AS607" s="39">
        <f>IF(ISNUMBER($AB607),IF(Header!$D$34="","?",$AB607*Header!$D$34),"")</f>
      </c>
      <c r="AT607" s="42">
        <f>IF(AND(ISNUMBER($AB607),$M607&gt;0),$AB607/$M607*100,"")</f>
      </c>
      <c r="AU607" s="42">
        <f>IF(AND(ISNUMBER($AD607),$M607&gt;0),$AD607/$M607*100,"")</f>
      </c>
      <c r="AV607" s="40">
        <f>IF(AND(ISNUMBER($AB607),ISNUMBER($AD607),ABS($AB607)&gt;0),$AD607/$AB607,"")</f>
      </c>
      <c r="AW607" s="39">
        <f>IF(ISNUMBER($AD607),MAX(0,(1-0.55-Header!$O$3)*Header!$Q$3*$AQ607),"")</f>
      </c>
      <c r="AX607" s="43">
        <f>IF($A607="","",IF(TRIM(IF($A607="","Missing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",""))="","PASS","FAIL: "&amp;TRIM(IF($A607="","Missing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f>
      </c>
      <c r="AY607" s="44">
        <f>IF($M607="","",IF(ISNUMBER($M607),IF($M607&gt;=Header!$C$18,"YES — refer","No"),""))</f>
      </c>
      <c r="AZ607" s="44">
        <f>IF($AD607="","",IF(ISNUMBER($AD607),IF($AD607&lt;Header!$C$20,"BELOW MIN PREMIUM","OK"),""))</f>
      </c>
      <c r="BA607" s="32" t="inlineStr">
        <is>
          <t xml:space="preserve">Yes</t>
        </is>
      </c>
      <c r="BB607" s="32" t="inlineStr">
        <is>
          <t xml:space="preserve">Yes</t>
        </is>
      </c>
      <c r="BC607" s="30" t="inlineStr">
        <is>
          <t xml:space="preserve">Synthetic demo data</t>
        </is>
      </c>
      <c r="BE607" s="45">
        <f>IF(OR($A607="",$L607="",$H607=""),"",IF(AND(LEFT($L607,2)="06",$H607&gt;1945),"FAIL - pre-war class, year "&amp;$H607,IF(AND(LEFT($L607,2)="07",OR($H607&lt;1946,$H607&gt;1972)),"FAIL - 1946-72 class, year "&amp;$H607,IF(AND(LEFT($L607,2)="08",OR($H607&lt;1973,$H607&gt;1999)),"FAIL - 1973-99 class, year "&amp;$H607,IF(AND(LEFT($L607,2)="09",OR($H607&lt;2000,$H607&gt;2010)),"FAIL - 2000-10 class, year "&amp;$H607,"OK")))))</f>
      </c>
      <c r="BF607" s="45">
        <f>IF($AD607="","",IF(ROUND($AO607+$AP607+$AQ607-$AD607,2)=0,"OK","FAIL - out by "&amp;TEXT($AO607+$AP607+$AQ607-$AD607,"$0.00")))</f>
      </c>
    </row>
    <row r="608" spans="1:58" ht="18.75" customHeight="1" x14ac:dyDescent="0.25">
      <c r="A608" s="46" t="inlineStr">
        <is>
          <t xml:space="preserve">CANON-202602-005485</t>
        </is>
      </c>
      <c r="B608" s="46" t="inlineStr">
        <is>
          <t xml:space="preserve">Ottilie Bellandi</t>
        </is>
      </c>
      <c r="C608" s="47">
        <v>46071</v>
      </c>
      <c r="D608" s="48" t="inlineStr">
        <is>
          <t xml:space="preserve">Bound - within authority</t>
        </is>
      </c>
      <c r="E608" s="48" t="inlineStr">
        <is>
          <t xml:space="preserve">New business</t>
        </is>
      </c>
      <c r="F608" s="46" t="inlineStr">
        <is>
          <t xml:space="preserve">B1234EXOTIC26</t>
        </is>
      </c>
      <c r="G608" s="33">
        <f>IF($A608="","",IF($C608="","",YEAR($C608)))</f>
      </c>
      <c r="H608" s="49">
        <v>2024</v>
      </c>
      <c r="I608" s="46" t="inlineStr">
        <is>
          <t xml:space="preserve">Bentley</t>
        </is>
      </c>
      <c r="J608" s="46" t="inlineStr">
        <is>
          <t xml:space="preserve">Continental GT</t>
        </is>
      </c>
      <c r="K608" s="46" t="inlineStr">
        <is>
          <t xml:space="preserve">GW2TEDNCSTBRAETYA</t>
        </is>
      </c>
      <c r="L608" s="48" t="inlineStr">
        <is>
          <t xml:space="preserve">02 - Sports / GT</t>
        </is>
      </c>
      <c r="M608" s="50">
        <v>765000</v>
      </c>
      <c r="N608" s="48" t="inlineStr">
        <is>
          <t xml:space="preserve">Personal</t>
        </is>
      </c>
      <c r="O608" s="46" t="inlineStr">
        <is>
          <t xml:space="preserve">Personal - regular use</t>
        </is>
      </c>
      <c r="P608" s="46" t="inlineStr">
        <is>
          <t xml:space="preserve">2,500 - 5,000</t>
        </is>
      </c>
      <c r="Q608" s="46" t="inlineStr">
        <is>
          <t xml:space="preserve">New Mexico</t>
        </is>
      </c>
      <c r="R608" s="46" t="inlineStr">
        <is>
          <t xml:space="preserve">87501</t>
        </is>
      </c>
      <c r="S608" s="48" t="inlineStr">
        <is>
          <t xml:space="preserve">Wildfire - WUI high hazard</t>
        </is>
      </c>
      <c r="T608" s="36">
        <f>IF($A608="","",IF($S608="","",IFERROR(INDEX('[1]natural catastrophe'!$D$6:$D$17,MATCH($S608,'[1]natural catastrophe'!$B$6:$B$17,0)),"?")))</f>
      </c>
      <c r="U608" s="46" t="inlineStr">
        <is>
          <t xml:space="preserve">$5,000</t>
        </is>
      </c>
      <c r="V608" s="48" t="inlineStr">
        <is>
          <t xml:space="preserve">Agreed Value</t>
        </is>
      </c>
      <c r="W608" s="46" t="inlineStr">
        <is>
          <t xml:space="preserve">$1,000</t>
        </is>
      </c>
      <c r="X608" s="48" t="inlineStr">
        <is>
          <t xml:space="preserve">$1,000,000 CSL</t>
        </is>
      </c>
      <c r="Y608" s="46"/>
      <c r="Z608" s="46"/>
      <c r="AA608" s="48" t="inlineStr">
        <is>
          <t xml:space="preserve">Surplus Lines</t>
        </is>
      </c>
      <c r="AB608" s="50">
        <v>10558.37</v>
      </c>
      <c r="AC608" s="51">
        <v>0</v>
      </c>
      <c r="AD608" s="38">
        <f>IF(ISNUMBER($AB608),$AB608*(1+N($AC608)),"")</f>
      </c>
      <c r="AE608" s="50">
        <v>350</v>
      </c>
      <c r="AF608" s="50">
        <v>0</v>
      </c>
      <c r="AG608" s="51"/>
      <c r="AH608" s="39">
        <f>IF(ISNUMBER($AD608),($AD608+$AE608+$AF608)*$AG608,"")</f>
      </c>
      <c r="AI608" s="50"/>
      <c r="AJ608" s="38">
        <f>IF(ISNUMBER($AD608),SUM($AD608:$AH608),"")</f>
      </c>
      <c r="AK608" s="40">
        <f>IF(AND(ISNUMBER($AB608),ISNUMBER($AD608)),IF($AB608&gt;0,$AD608/$AB608,""),"")</f>
      </c>
      <c r="AL608" s="48" t="inlineStr">
        <is>
          <t xml:space="preserve">At technical</t>
        </is>
      </c>
      <c r="AM608" s="41">
        <f>IF(ISNUMBER($AD608),Header!$I$3,"")</f>
      </c>
      <c r="AN608" s="39">
        <f>IF(ISNUMBER($AD608),$AO608+$AP608,"")</f>
      </c>
      <c r="AO608" s="39">
        <f>IF(ISNUMBER($AD608),ROUND($AD608*Header!$K$3,2),"")</f>
      </c>
      <c r="AP608" s="39">
        <f>IF(ISNUMBER($AD608),ROUND($AD608*Header!$M$3,2),"")</f>
      </c>
      <c r="AQ608" s="38">
        <f>IF(ISNUMBER($AD608),ROUND($AD608,2)-$AO608-$AP608,"")</f>
      </c>
      <c r="AR608" s="39">
        <f>IF(ISNUMBER($AD608),IF(Header!$D$34="","?",$AD608*Header!$D$34),"")</f>
      </c>
      <c r="AS608" s="39">
        <f>IF(ISNUMBER($AB608),IF(Header!$D$34="","?",$AB608*Header!$D$34),"")</f>
      </c>
      <c r="AT608" s="42">
        <f>IF(AND(ISNUMBER($AB608),$M608&gt;0),$AB608/$M608*100,"")</f>
      </c>
      <c r="AU608" s="42">
        <f>IF(AND(ISNUMBER($AD608),$M608&gt;0),$AD608/$M608*100,"")</f>
      </c>
      <c r="AV608" s="40">
        <f>IF(AND(ISNUMBER($AB608),ISNUMBER($AD608),ABS($AB608)&gt;0),$AD608/$AB608,"")</f>
      </c>
      <c r="AW608" s="39">
        <f>IF(ISNUMBER($AD608),MAX(0,(1-0.55-Header!$O$3)*Header!$Q$3*$AQ608),"")</f>
      </c>
      <c r="AX608" s="43">
        <f>IF($A608="","",IF(TRIM(IF($A608="","Missing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",""))="","PASS","FAIL: "&amp;TRIM(IF($A608="","Missing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f>
      </c>
      <c r="AY608" s="44">
        <f>IF($M608="","",IF(ISNUMBER($M608),IF($M608&gt;=Header!$C$18,"YES — refer","No"),""))</f>
      </c>
      <c r="AZ608" s="44">
        <f>IF($AD608="","",IF(ISNUMBER($AD608),IF($AD608&lt;Header!$C$20,"BELOW MIN PREMIUM","OK"),""))</f>
      </c>
      <c r="BA608" s="48" t="inlineStr">
        <is>
          <t xml:space="preserve">Yes</t>
        </is>
      </c>
      <c r="BB608" s="48" t="inlineStr">
        <is>
          <t xml:space="preserve">Yes</t>
        </is>
      </c>
      <c r="BC608" s="46" t="inlineStr">
        <is>
          <t xml:space="preserve">Synthetic demo data</t>
        </is>
      </c>
      <c r="BE608" s="45">
        <f>IF(OR($A608="",$L608="",$H608=""),"",IF(AND(LEFT($L608,2)="06",$H608&gt;1945),"FAIL - pre-war class, year "&amp;$H608,IF(AND(LEFT($L608,2)="07",OR($H608&lt;1946,$H608&gt;1972)),"FAIL - 1946-72 class, year "&amp;$H608,IF(AND(LEFT($L608,2)="08",OR($H608&lt;1973,$H608&gt;1999)),"FAIL - 1973-99 class, year "&amp;$H608,IF(AND(LEFT($L608,2)="09",OR($H608&lt;2000,$H608&gt;2010)),"FAIL - 2000-10 class, year "&amp;$H608,"OK")))))</f>
      </c>
      <c r="BF608" s="45">
        <f>IF($AD608="","",IF(ROUND($AO608+$AP608+$AQ608-$AD608,2)=0,"OK","FAIL - out by "&amp;TEXT($AO608+$AP608+$AQ608-$AD608,"$0.00")))</f>
      </c>
    </row>
    <row r="609" spans="1:58" ht="18.75" customHeight="1" x14ac:dyDescent="0.25">
      <c r="A609" s="30" t="inlineStr">
        <is>
          <t xml:space="preserve">CANON-202602-005486</t>
        </is>
      </c>
      <c r="B609" s="30" t="inlineStr">
        <is>
          <t xml:space="preserve">Everett Harrington</t>
        </is>
      </c>
      <c r="C609" s="31">
        <v>46070</v>
      </c>
      <c r="D609" s="32" t="inlineStr">
        <is>
          <t xml:space="preserve">Bound - within authority</t>
        </is>
      </c>
      <c r="E609" s="32" t="inlineStr">
        <is>
          <t xml:space="preserve">New business</t>
        </is>
      </c>
      <c r="F609" s="30" t="inlineStr">
        <is>
          <t xml:space="preserve">B1234EXOTIC26</t>
        </is>
      </c>
      <c r="G609" s="33">
        <f>IF($A609="","",IF($C609="","",YEAR($C609)))</f>
      </c>
      <c r="H609" s="34">
        <v>2009</v>
      </c>
      <c r="I609" s="30" t="inlineStr">
        <is>
          <t xml:space="preserve">Maserati</t>
        </is>
      </c>
      <c r="J609" s="30" t="inlineStr">
        <is>
          <t xml:space="preserve">GranTurismo</t>
        </is>
      </c>
      <c r="K609" s="30" t="inlineStr">
        <is>
          <t xml:space="preserve">LDADGCF3DF8ZYJL3D</t>
        </is>
      </c>
      <c r="L609" s="32" t="inlineStr">
        <is>
          <t xml:space="preserve">02 - Sports / GT</t>
        </is>
      </c>
      <c r="M609" s="35">
        <v>975000</v>
      </c>
      <c r="N609" s="32" t="inlineStr">
        <is>
          <t xml:space="preserve">Personal</t>
        </is>
      </c>
      <c r="O609" s="30" t="inlineStr">
        <is>
          <t xml:space="preserve">Personal - regular use</t>
        </is>
      </c>
      <c r="P609" s="30" t="inlineStr">
        <is>
          <t xml:space="preserve">Under 1,000</t>
        </is>
      </c>
      <c r="Q609" s="30" t="inlineStr">
        <is>
          <t xml:space="preserve">Tennessee</t>
        </is>
      </c>
      <c r="R609" s="30" t="inlineStr">
        <is>
          <t xml:space="preserve">37203</t>
        </is>
      </c>
      <c r="S609" s="32" t="inlineStr">
        <is>
          <t xml:space="preserve">Severe convective - hail / tornado (moderate)</t>
        </is>
      </c>
      <c r="T609" s="36">
        <f>IF($A609="","",IF($S609="","",IFERROR(INDEX('[1]natural catastrophe'!$D$6:$D$17,MATCH($S609,'[1]natural catastrophe'!$B$6:$B$17,0)),"?")))</f>
      </c>
      <c r="U609" s="30" t="inlineStr">
        <is>
          <t xml:space="preserve">$5,000</t>
        </is>
      </c>
      <c r="V609" s="32" t="inlineStr">
        <is>
          <t xml:space="preserve">Agreed Value</t>
        </is>
      </c>
      <c r="W609" s="30" t="inlineStr">
        <is>
          <t xml:space="preserve">$1,000</t>
        </is>
      </c>
      <c r="X609" s="32" t="inlineStr">
        <is>
          <t xml:space="preserve">$1,000,000 CSL</t>
        </is>
      </c>
      <c r="Y609" s="30"/>
      <c r="Z609" s="30"/>
      <c r="AA609" s="32" t="inlineStr">
        <is>
          <t xml:space="preserve">Surplus Lines</t>
        </is>
      </c>
      <c r="AB609" s="35">
        <v>10302.82</v>
      </c>
      <c r="AC609" s="37">
        <v>0</v>
      </c>
      <c r="AD609" s="38">
        <f>IF(ISNUMBER($AB609),$AB609*(1+N($AC609)),"")</f>
      </c>
      <c r="AE609" s="35">
        <v>350</v>
      </c>
      <c r="AF609" s="35">
        <v>0</v>
      </c>
      <c r="AG609" s="37"/>
      <c r="AH609" s="39">
        <f>IF(ISNUMBER($AD609),($AD609+$AE609+$AF609)*$AG609,"")</f>
      </c>
      <c r="AI609" s="35"/>
      <c r="AJ609" s="38">
        <f>IF(ISNUMBER($AD609),SUM($AD609:$AH609),"")</f>
      </c>
      <c r="AK609" s="40">
        <f>IF(AND(ISNUMBER($AB609),ISNUMBER($AD609)),IF($AB609&gt;0,$AD609/$AB609,""),"")</f>
      </c>
      <c r="AL609" s="32" t="inlineStr">
        <is>
          <t xml:space="preserve">At technical</t>
        </is>
      </c>
      <c r="AM609" s="41">
        <f>IF(ISNUMBER($AD609),Header!$I$3,"")</f>
      </c>
      <c r="AN609" s="39">
        <f>IF(ISNUMBER($AD609),$AO609+$AP609,"")</f>
      </c>
      <c r="AO609" s="39">
        <f>IF(ISNUMBER($AD609),ROUND($AD609*Header!$K$3,2),"")</f>
      </c>
      <c r="AP609" s="39">
        <f>IF(ISNUMBER($AD609),ROUND($AD609*Header!$M$3,2),"")</f>
      </c>
      <c r="AQ609" s="38">
        <f>IF(ISNUMBER($AD609),ROUND($AD609,2)-$AO609-$AP609,"")</f>
      </c>
      <c r="AR609" s="39">
        <f>IF(ISNUMBER($AD609),IF(Header!$D$34="","?",$AD609*Header!$D$34),"")</f>
      </c>
      <c r="AS609" s="39">
        <f>IF(ISNUMBER($AB609),IF(Header!$D$34="","?",$AB609*Header!$D$34),"")</f>
      </c>
      <c r="AT609" s="42">
        <f>IF(AND(ISNUMBER($AB609),$M609&gt;0),$AB609/$M609*100,"")</f>
      </c>
      <c r="AU609" s="42">
        <f>IF(AND(ISNUMBER($AD609),$M609&gt;0),$AD609/$M609*100,"")</f>
      </c>
      <c r="AV609" s="40">
        <f>IF(AND(ISNUMBER($AB609),ISNUMBER($AD609),ABS($AB609)&gt;0),$AD609/$AB609,"")</f>
      </c>
      <c r="AW609" s="39">
        <f>IF(ISNUMBER($AD609),MAX(0,(1-0.55-Header!$O$3)*Header!$Q$3*$AQ609),"")</f>
      </c>
      <c r="AX609" s="43">
        <f>IF($A609="","",IF(TRIM(IF($A609="","Missing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",""))="","PASS","FAIL: "&amp;TRIM(IF($A609="","Missing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f>
      </c>
      <c r="AY609" s="44">
        <f>IF($M609="","",IF(ISNUMBER($M609),IF($M609&gt;=Header!$C$18,"YES — refer","No"),""))</f>
      </c>
      <c r="AZ609" s="44">
        <f>IF($AD609="","",IF(ISNUMBER($AD609),IF($AD609&lt;Header!$C$20,"BELOW MIN PREMIUM","OK"),""))</f>
      </c>
      <c r="BA609" s="32" t="inlineStr">
        <is>
          <t xml:space="preserve">Yes</t>
        </is>
      </c>
      <c r="BB609" s="32" t="inlineStr">
        <is>
          <t xml:space="preserve">Yes</t>
        </is>
      </c>
      <c r="BC609" s="30" t="inlineStr">
        <is>
          <t xml:space="preserve">Synthetic demo data</t>
        </is>
      </c>
      <c r="BE609" s="45">
        <f>IF(OR($A609="",$L609="",$H609=""),"",IF(AND(LEFT($L609,2)="06",$H609&gt;1945),"FAIL - pre-war class, year "&amp;$H609,IF(AND(LEFT($L609,2)="07",OR($H609&lt;1946,$H609&gt;1972)),"FAIL - 1946-72 class, year "&amp;$H609,IF(AND(LEFT($L609,2)="08",OR($H609&lt;1973,$H609&gt;1999)),"FAIL - 1973-99 class, year "&amp;$H609,IF(AND(LEFT($L609,2)="09",OR($H609&lt;2000,$H609&gt;2010)),"FAIL - 2000-10 class, year "&amp;$H609,"OK")))))</f>
      </c>
      <c r="BF609" s="45">
        <f>IF($AD609="","",IF(ROUND($AO609+$AP609+$AQ609-$AD609,2)=0,"OK","FAIL - out by "&amp;TEXT($AO609+$AP609+$AQ609-$AD609,"$0.00")))</f>
      </c>
    </row>
    <row r="610" spans="1:58" ht="18.75" customHeight="1" x14ac:dyDescent="0.25">
      <c r="A610" s="46" t="inlineStr">
        <is>
          <t xml:space="preserve">CANON-202602-005487</t>
        </is>
      </c>
      <c r="B610" s="46" t="inlineStr">
        <is>
          <t xml:space="preserve">Desmond Okonkwo</t>
        </is>
      </c>
      <c r="C610" s="47">
        <v>46081</v>
      </c>
      <c r="D610" s="48" t="inlineStr">
        <is>
          <t xml:space="preserve">Bound - within authority</t>
        </is>
      </c>
      <c r="E610" s="48" t="inlineStr">
        <is>
          <t xml:space="preserve">New business</t>
        </is>
      </c>
      <c r="F610" s="46" t="inlineStr">
        <is>
          <t xml:space="preserve">B1234EXOTIC26</t>
        </is>
      </c>
      <c r="G610" s="33">
        <f>IF($A610="","",IF($C610="","",YEAR($C610)))</f>
      </c>
      <c r="H610" s="49">
        <v>1991</v>
      </c>
      <c r="I610" s="46" t="inlineStr">
        <is>
          <t xml:space="preserve">Ferrari</t>
        </is>
      </c>
      <c r="J610" s="46" t="inlineStr">
        <is>
          <t xml:space="preserve">296 GTB</t>
        </is>
      </c>
      <c r="K610" s="46" t="inlineStr">
        <is>
          <t xml:space="preserve">Z1V5ZJA3K7EY2UZZP</t>
        </is>
      </c>
      <c r="L610" s="48" t="inlineStr">
        <is>
          <t xml:space="preserve">03 - Supercar</t>
        </is>
      </c>
      <c r="M610" s="50">
        <v>1950000</v>
      </c>
      <c r="N610" s="48" t="inlineStr">
        <is>
          <t xml:space="preserve">Personal</t>
        </is>
      </c>
      <c r="O610" s="46" t="inlineStr">
        <is>
          <t xml:space="preserve">Personal - regular use</t>
        </is>
      </c>
      <c r="P610" s="46" t="inlineStr">
        <is>
          <t xml:space="preserve">1,000 - 2,500</t>
        </is>
      </c>
      <c r="Q610" s="46" t="inlineStr">
        <is>
          <t xml:space="preserve">Georgia</t>
        </is>
      </c>
      <c r="R610" s="46" t="inlineStr">
        <is>
          <t xml:space="preserve">30303</t>
        </is>
      </c>
      <c r="S610" s="48" t="inlineStr">
        <is>
          <t xml:space="preserve">Tier 2 - Coastal wind (1-25 miles)</t>
        </is>
      </c>
      <c r="T610" s="36">
        <f>IF($A610="","",IF($S610="","",IFERROR(INDEX('[1]natural catastrophe'!$D$6:$D$17,MATCH($S610,'[1]natural catastrophe'!$B$6:$B$17,0)),"?")))</f>
      </c>
      <c r="U610" s="46" t="inlineStr">
        <is>
          <t xml:space="preserve">2% of agreed value, minimum $10,000</t>
        </is>
      </c>
      <c r="V610" s="48" t="inlineStr">
        <is>
          <t xml:space="preserve">Agreed Value</t>
        </is>
      </c>
      <c r="W610" s="46" t="inlineStr">
        <is>
          <t xml:space="preserve">$1,000</t>
        </is>
      </c>
      <c r="X610" s="48" t="inlineStr">
        <is>
          <t xml:space="preserve">$1,000,000 CSL</t>
        </is>
      </c>
      <c r="Y610" s="46"/>
      <c r="Z610" s="46"/>
      <c r="AA610" s="48" t="inlineStr">
        <is>
          <t xml:space="preserve">Surplus Lines</t>
        </is>
      </c>
      <c r="AB610" s="50">
        <v>28983.74</v>
      </c>
      <c r="AC610" s="51">
        <v>0</v>
      </c>
      <c r="AD610" s="38">
        <f>IF(ISNUMBER($AB610),$AB610*(1+N($AC610)),"")</f>
      </c>
      <c r="AE610" s="50">
        <v>350</v>
      </c>
      <c r="AF610" s="50">
        <v>250</v>
      </c>
      <c r="AG610" s="51"/>
      <c r="AH610" s="39">
        <f>IF(ISNUMBER($AD610),($AD610+$AE610+$AF610)*$AG610,"")</f>
      </c>
      <c r="AI610" s="50"/>
      <c r="AJ610" s="38">
        <f>IF(ISNUMBER($AD610),SUM($AD610:$AH610),"")</f>
      </c>
      <c r="AK610" s="40">
        <f>IF(AND(ISNUMBER($AB610),ISNUMBER($AD610)),IF($AB610&gt;0,$AD610/$AB610,""),"")</f>
      </c>
      <c r="AL610" s="48" t="inlineStr">
        <is>
          <t xml:space="preserve">At technical</t>
        </is>
      </c>
      <c r="AM610" s="41">
        <f>IF(ISNUMBER($AD610),Header!$I$3,"")</f>
      </c>
      <c r="AN610" s="39">
        <f>IF(ISNUMBER($AD610),$AO610+$AP610,"")</f>
      </c>
      <c r="AO610" s="39">
        <f>IF(ISNUMBER($AD610),ROUND($AD610*Header!$K$3,2),"")</f>
      </c>
      <c r="AP610" s="39">
        <f>IF(ISNUMBER($AD610),ROUND($AD610*Header!$M$3,2),"")</f>
      </c>
      <c r="AQ610" s="38">
        <f>IF(ISNUMBER($AD610),ROUND($AD610,2)-$AO610-$AP610,"")</f>
      </c>
      <c r="AR610" s="39">
        <f>IF(ISNUMBER($AD610),IF(Header!$D$34="","?",$AD610*Header!$D$34),"")</f>
      </c>
      <c r="AS610" s="39">
        <f>IF(ISNUMBER($AB610),IF(Header!$D$34="","?",$AB610*Header!$D$34),"")</f>
      </c>
      <c r="AT610" s="42">
        <f>IF(AND(ISNUMBER($AB610),$M610&gt;0),$AB610/$M610*100,"")</f>
      </c>
      <c r="AU610" s="42">
        <f>IF(AND(ISNUMBER($AD610),$M610&gt;0),$AD610/$M610*100,"")</f>
      </c>
      <c r="AV610" s="40">
        <f>IF(AND(ISNUMBER($AB610),ISNUMBER($AD610),ABS($AB610)&gt;0),$AD610/$AB610,"")</f>
      </c>
      <c r="AW610" s="39">
        <f>IF(ISNUMBER($AD610),MAX(0,(1-0.55-Header!$O$3)*Header!$Q$3*$AQ610),"")</f>
      </c>
      <c r="AX610" s="43">
        <f>IF($A610="","",IF(TRIM(IF($A610="","Missing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",""))="","PASS","FAIL: "&amp;TRIM(IF($A610="","Missing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f>
      </c>
      <c r="AY610" s="44">
        <f>IF($M610="","",IF(ISNUMBER($M610),IF($M610&gt;=Header!$C$18,"YES — refer","No"),""))</f>
      </c>
      <c r="AZ610" s="44">
        <f>IF($AD610="","",IF(ISNUMBER($AD610),IF($AD610&lt;Header!$C$20,"BELOW MIN PREMIUM","OK"),""))</f>
      </c>
      <c r="BA610" s="48" t="inlineStr">
        <is>
          <t xml:space="preserve">Yes</t>
        </is>
      </c>
      <c r="BB610" s="48" t="inlineStr">
        <is>
          <t xml:space="preserve">Yes</t>
        </is>
      </c>
      <c r="BC610" s="46" t="inlineStr">
        <is>
          <t xml:space="preserve">Synthetic demo data</t>
        </is>
      </c>
      <c r="BE610" s="45">
        <f>IF(OR($A610="",$L610="",$H610=""),"",IF(AND(LEFT($L610,2)="06",$H610&gt;1945),"FAIL - pre-war class, year "&amp;$H610,IF(AND(LEFT($L610,2)="07",OR($H610&lt;1946,$H610&gt;1972)),"FAIL - 1946-72 class, year "&amp;$H610,IF(AND(LEFT($L610,2)="08",OR($H610&lt;1973,$H610&gt;1999)),"FAIL - 1973-99 class, year "&amp;$H610,IF(AND(LEFT($L610,2)="09",OR($H610&lt;2000,$H610&gt;2010)),"FAIL - 2000-10 class, year "&amp;$H610,"OK")))))</f>
      </c>
      <c r="BF610" s="45">
        <f>IF($AD610="","",IF(ROUND($AO610+$AP610+$AQ610-$AD610,2)=0,"OK","FAIL - out by "&amp;TEXT($AO610+$AP610+$AQ610-$AD610,"$0.00")))</f>
      </c>
    </row>
    <row r="611" spans="1:58" ht="18.75" customHeight="1" x14ac:dyDescent="0.25">
      <c r="A611" s="30" t="inlineStr">
        <is>
          <t xml:space="preserve">CANON-202602-005488</t>
        </is>
      </c>
      <c r="B611" s="30" t="inlineStr">
        <is>
          <t xml:space="preserve">Fitzgerald Bellandi</t>
        </is>
      </c>
      <c r="C611" s="31">
        <v>46065</v>
      </c>
      <c r="D611" s="32" t="inlineStr">
        <is>
          <t xml:space="preserve">Bound - within authority</t>
        </is>
      </c>
      <c r="E611" s="32" t="inlineStr">
        <is>
          <t xml:space="preserve">New business</t>
        </is>
      </c>
      <c r="F611" s="30" t="inlineStr">
        <is>
          <t xml:space="preserve">B1234EXOTIC26</t>
        </is>
      </c>
      <c r="G611" s="33">
        <f>IF($A611="","",IF($C611="","",YEAR($C611)))</f>
      </c>
      <c r="H611" s="34">
        <v>1988</v>
      </c>
      <c r="I611" s="30" t="inlineStr">
        <is>
          <t xml:space="preserve">Maserati</t>
        </is>
      </c>
      <c r="J611" s="30" t="inlineStr">
        <is>
          <t xml:space="preserve">GranTurismo</t>
        </is>
      </c>
      <c r="K611" s="30" t="inlineStr">
        <is>
          <t xml:space="preserve">P16CLBTSD1LLR15CT</t>
        </is>
      </c>
      <c r="L611" s="32" t="inlineStr">
        <is>
          <t xml:space="preserve">02 - Sports / GT</t>
        </is>
      </c>
      <c r="M611" s="35">
        <v>1565000</v>
      </c>
      <c r="N611" s="32" t="inlineStr">
        <is>
          <t xml:space="preserve">Personal</t>
        </is>
      </c>
      <c r="O611" s="30" t="inlineStr">
        <is>
          <t xml:space="preserve">Personal - regular use</t>
        </is>
      </c>
      <c r="P611" s="30" t="inlineStr">
        <is>
          <t xml:space="preserve">Under 1,000</t>
        </is>
      </c>
      <c r="Q611" s="30" t="inlineStr">
        <is>
          <t xml:space="preserve">Maine</t>
        </is>
      </c>
      <c r="R611" s="30" t="inlineStr">
        <is>
          <t xml:space="preserve">04101</t>
        </is>
      </c>
      <c r="S611" s="32" t="inlineStr">
        <is>
          <t xml:space="preserve">Tier 3 - Coastal wind (25-100 miles)</t>
        </is>
      </c>
      <c r="T611" s="36">
        <f>IF($A611="","",IF($S611="","",IFERROR(INDEX('[1]natural catastrophe'!$D$6:$D$17,MATCH($S611,'[1]natural catastrophe'!$B$6:$B$17,0)),"?")))</f>
      </c>
      <c r="U611" s="30" t="inlineStr">
        <is>
          <t xml:space="preserve">2% of agreed value, minimum $10,000</t>
        </is>
      </c>
      <c r="V611" s="32" t="inlineStr">
        <is>
          <t xml:space="preserve">Agreed Value</t>
        </is>
      </c>
      <c r="W611" s="30" t="inlineStr">
        <is>
          <t xml:space="preserve">$1,000</t>
        </is>
      </c>
      <c r="X611" s="32" t="inlineStr">
        <is>
          <t xml:space="preserve">$1,000,000 CSL</t>
        </is>
      </c>
      <c r="Y611" s="30"/>
      <c r="Z611" s="30"/>
      <c r="AA611" s="32" t="inlineStr">
        <is>
          <t xml:space="preserve">Surplus Lines</t>
        </is>
      </c>
      <c r="AB611" s="35">
        <v>15421</v>
      </c>
      <c r="AC611" s="37">
        <v>0</v>
      </c>
      <c r="AD611" s="38">
        <f>IF(ISNUMBER($AB611),$AB611*(1+N($AC611)),"")</f>
      </c>
      <c r="AE611" s="35">
        <v>350</v>
      </c>
      <c r="AF611" s="35">
        <v>250</v>
      </c>
      <c r="AG611" s="37"/>
      <c r="AH611" s="39">
        <f>IF(ISNUMBER($AD611),($AD611+$AE611+$AF611)*$AG611,"")</f>
      </c>
      <c r="AI611" s="35"/>
      <c r="AJ611" s="38">
        <f>IF(ISNUMBER($AD611),SUM($AD611:$AH611),"")</f>
      </c>
      <c r="AK611" s="40">
        <f>IF(AND(ISNUMBER($AB611),ISNUMBER($AD611)),IF($AB611&gt;0,$AD611/$AB611,""),"")</f>
      </c>
      <c r="AL611" s="32" t="inlineStr">
        <is>
          <t xml:space="preserve">At technical</t>
        </is>
      </c>
      <c r="AM611" s="41">
        <f>IF(ISNUMBER($AD611),Header!$I$3,"")</f>
      </c>
      <c r="AN611" s="39">
        <f>IF(ISNUMBER($AD611),$AO611+$AP611,"")</f>
      </c>
      <c r="AO611" s="39">
        <f>IF(ISNUMBER($AD611),ROUND($AD611*Header!$K$3,2),"")</f>
      </c>
      <c r="AP611" s="39">
        <f>IF(ISNUMBER($AD611),ROUND($AD611*Header!$M$3,2),"")</f>
      </c>
      <c r="AQ611" s="38">
        <f>IF(ISNUMBER($AD611),ROUND($AD611,2)-$AO611-$AP611,"")</f>
      </c>
      <c r="AR611" s="39">
        <f>IF(ISNUMBER($AD611),IF(Header!$D$34="","?",$AD611*Header!$D$34),"")</f>
      </c>
      <c r="AS611" s="39">
        <f>IF(ISNUMBER($AB611),IF(Header!$D$34="","?",$AB611*Header!$D$34),"")</f>
      </c>
      <c r="AT611" s="42">
        <f>IF(AND(ISNUMBER($AB611),$M611&gt;0),$AB611/$M611*100,"")</f>
      </c>
      <c r="AU611" s="42">
        <f>IF(AND(ISNUMBER($AD611),$M611&gt;0),$AD611/$M611*100,"")</f>
      </c>
      <c r="AV611" s="40">
        <f>IF(AND(ISNUMBER($AB611),ISNUMBER($AD611),ABS($AB611)&gt;0),$AD611/$AB611,"")</f>
      </c>
      <c r="AW611" s="39">
        <f>IF(ISNUMBER($AD611),MAX(0,(1-0.55-Header!$O$3)*Header!$Q$3*$AQ611),"")</f>
      </c>
      <c r="AX611" s="43">
        <f>IF($A611="","",IF(TRIM(IF($A611="","Missing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",""))="","PASS","FAIL: "&amp;TRIM(IF($A611="","Missing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f>
      </c>
      <c r="AY611" s="44">
        <f>IF($M611="","",IF(ISNUMBER($M611),IF($M611&gt;=Header!$C$18,"YES — refer","No"),""))</f>
      </c>
      <c r="AZ611" s="44">
        <f>IF($AD611="","",IF(ISNUMBER($AD611),IF($AD611&lt;Header!$C$20,"BELOW MIN PREMIUM","OK"),""))</f>
      </c>
      <c r="BA611" s="32" t="inlineStr">
        <is>
          <t xml:space="preserve">Yes</t>
        </is>
      </c>
      <c r="BB611" s="32" t="inlineStr">
        <is>
          <t xml:space="preserve">Yes</t>
        </is>
      </c>
      <c r="BC611" s="30" t="inlineStr">
        <is>
          <t xml:space="preserve">Synthetic demo data</t>
        </is>
      </c>
      <c r="BE611" s="45">
        <f>IF(OR($A611="",$L611="",$H611=""),"",IF(AND(LEFT($L611,2)="06",$H611&gt;1945),"FAIL - pre-war class, year "&amp;$H611,IF(AND(LEFT($L611,2)="07",OR($H611&lt;1946,$H611&gt;1972)),"FAIL - 1946-72 class, year "&amp;$H611,IF(AND(LEFT($L611,2)="08",OR($H611&lt;1973,$H611&gt;1999)),"FAIL - 1973-99 class, year "&amp;$H611,IF(AND(LEFT($L611,2)="09",OR($H611&lt;2000,$H611&gt;2010)),"FAIL - 2000-10 class, year "&amp;$H611,"OK")))))</f>
      </c>
      <c r="BF611" s="45">
        <f>IF($AD611="","",IF(ROUND($AO611+$AP611+$AQ611-$AD611,2)=0,"OK","FAIL - out by "&amp;TEXT($AO611+$AP611+$AQ611-$AD611,"$0.00")))</f>
      </c>
    </row>
    <row r="612" spans="1:58" ht="18.75" customHeight="1" x14ac:dyDescent="0.25">
      <c r="A612" s="46" t="inlineStr">
        <is>
          <t xml:space="preserve">CANON-202602-005490</t>
        </is>
      </c>
      <c r="B612" s="46" t="inlineStr">
        <is>
          <t xml:space="preserve">Fitzgerald Whitlock</t>
        </is>
      </c>
      <c r="C612" s="47">
        <v>46058</v>
      </c>
      <c r="D612" s="48" t="inlineStr">
        <is>
          <t xml:space="preserve">Bound - within authority</t>
        </is>
      </c>
      <c r="E612" s="48" t="inlineStr">
        <is>
          <t xml:space="preserve">New business</t>
        </is>
      </c>
      <c r="F612" s="46" t="inlineStr">
        <is>
          <t xml:space="preserve">B1234EXOTIC26</t>
        </is>
      </c>
      <c r="G612" s="33">
        <f>IF($A612="","",IF($C612="","",YEAR($C612)))</f>
      </c>
      <c r="H612" s="49">
        <v>1980</v>
      </c>
      <c r="I612" s="46" t="inlineStr">
        <is>
          <t xml:space="preserve">Singer</t>
        </is>
      </c>
      <c r="J612" s="46" t="inlineStr">
        <is>
          <t xml:space="preserve">911 Reimagined</t>
        </is>
      </c>
      <c r="K612" s="46" t="inlineStr">
        <is>
          <t xml:space="preserve">J5EDYXFLK17BKKDSH</t>
        </is>
      </c>
      <c r="L612" s="48" t="inlineStr">
        <is>
          <t xml:space="preserve">11 - Restomod / Coachbuilt / Bespoke</t>
        </is>
      </c>
      <c r="M612" s="50">
        <v>250000</v>
      </c>
      <c r="N612" s="48" t="inlineStr">
        <is>
          <t xml:space="preserve">Personal</t>
        </is>
      </c>
      <c r="O612" s="46" t="inlineStr">
        <is>
          <t xml:space="preserve">Personal - regular use</t>
        </is>
      </c>
      <c r="P612" s="46" t="inlineStr">
        <is>
          <t xml:space="preserve">Under 1,000</t>
        </is>
      </c>
      <c r="Q612" s="46" t="inlineStr">
        <is>
          <t xml:space="preserve">Illinois</t>
        </is>
      </c>
      <c r="R612" s="46" t="inlineStr">
        <is>
          <t xml:space="preserve">60601</t>
        </is>
      </c>
      <c r="S612" s="48" t="inlineStr">
        <is>
          <t xml:space="preserve">Severe convective - hail / tornado (moderate)</t>
        </is>
      </c>
      <c r="T612" s="36">
        <f>IF($A612="","",IF($S612="","",IFERROR(INDEX('[1]natural catastrophe'!$D$6:$D$17,MATCH($S612,'[1]natural catastrophe'!$B$6:$B$17,0)),"?")))</f>
      </c>
      <c r="U612" s="46" t="inlineStr">
        <is>
          <t xml:space="preserve">$5,000</t>
        </is>
      </c>
      <c r="V612" s="48" t="inlineStr">
        <is>
          <t xml:space="preserve">Agreed Value</t>
        </is>
      </c>
      <c r="W612" s="46" t="inlineStr">
        <is>
          <t xml:space="preserve">$1,000</t>
        </is>
      </c>
      <c r="X612" s="48" t="inlineStr">
        <is>
          <t xml:space="preserve">$1,000,000 CSL</t>
        </is>
      </c>
      <c r="Y612" s="46"/>
      <c r="Z612" s="46"/>
      <c r="AA612" s="48" t="inlineStr">
        <is>
          <t xml:space="preserve">Surplus Lines</t>
        </is>
      </c>
      <c r="AB612" s="50">
        <v>4963.33</v>
      </c>
      <c r="AC612" s="51">
        <v>0</v>
      </c>
      <c r="AD612" s="38">
        <f>IF(ISNUMBER($AB612),$AB612*(1+N($AC612)),"")</f>
      </c>
      <c r="AE612" s="50">
        <v>350</v>
      </c>
      <c r="AF612" s="50">
        <v>0</v>
      </c>
      <c r="AG612" s="51"/>
      <c r="AH612" s="39">
        <f>IF(ISNUMBER($AD612),($AD612+$AE612+$AF612)*$AG612,"")</f>
      </c>
      <c r="AI612" s="50"/>
      <c r="AJ612" s="38">
        <f>IF(ISNUMBER($AD612),SUM($AD612:$AH612),"")</f>
      </c>
      <c r="AK612" s="40">
        <f>IF(AND(ISNUMBER($AB612),ISNUMBER($AD612)),IF($AB612&gt;0,$AD612/$AB612,""),"")</f>
      </c>
      <c r="AL612" s="48" t="inlineStr">
        <is>
          <t xml:space="preserve">At technical</t>
        </is>
      </c>
      <c r="AM612" s="41">
        <f>IF(ISNUMBER($AD612),Header!$I$3,"")</f>
      </c>
      <c r="AN612" s="39">
        <f>IF(ISNUMBER($AD612),$AO612+$AP612,"")</f>
      </c>
      <c r="AO612" s="39">
        <f>IF(ISNUMBER($AD612),ROUND($AD612*Header!$K$3,2),"")</f>
      </c>
      <c r="AP612" s="39">
        <f>IF(ISNUMBER($AD612),ROUND($AD612*Header!$M$3,2),"")</f>
      </c>
      <c r="AQ612" s="38">
        <f>IF(ISNUMBER($AD612),ROUND($AD612,2)-$AO612-$AP612,"")</f>
      </c>
      <c r="AR612" s="39">
        <f>IF(ISNUMBER($AD612),IF(Header!$D$34="","?",$AD612*Header!$D$34),"")</f>
      </c>
      <c r="AS612" s="39">
        <f>IF(ISNUMBER($AB612),IF(Header!$D$34="","?",$AB612*Header!$D$34),"")</f>
      </c>
      <c r="AT612" s="42">
        <f>IF(AND(ISNUMBER($AB612),$M612&gt;0),$AB612/$M612*100,"")</f>
      </c>
      <c r="AU612" s="42">
        <f>IF(AND(ISNUMBER($AD612),$M612&gt;0),$AD612/$M612*100,"")</f>
      </c>
      <c r="AV612" s="40">
        <f>IF(AND(ISNUMBER($AB612),ISNUMBER($AD612),ABS($AB612)&gt;0),$AD612/$AB612,"")</f>
      </c>
      <c r="AW612" s="39">
        <f>IF(ISNUMBER($AD612),MAX(0,(1-0.55-Header!$O$3)*Header!$Q$3*$AQ612),"")</f>
      </c>
      <c r="AX612" s="43">
        <f>IF($A612="","",IF(TRIM(IF($A612="","Missing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",""))="","PASS","FAIL: "&amp;TRIM(IF($A612="","Missing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f>
      </c>
      <c r="AY612" s="44">
        <f>IF($M612="","",IF(ISNUMBER($M612),IF($M612&gt;=Header!$C$18,"YES — refer","No"),""))</f>
      </c>
      <c r="AZ612" s="44">
        <f>IF($AD612="","",IF(ISNUMBER($AD612),IF($AD612&lt;Header!$C$20,"BELOW MIN PREMIUM","OK"),""))</f>
      </c>
      <c r="BA612" s="48" t="inlineStr">
        <is>
          <t xml:space="preserve">Yes</t>
        </is>
      </c>
      <c r="BB612" s="48" t="inlineStr">
        <is>
          <t xml:space="preserve">Yes</t>
        </is>
      </c>
      <c r="BC612" s="46" t="inlineStr">
        <is>
          <t xml:space="preserve">Synthetic demo data</t>
        </is>
      </c>
      <c r="BE612" s="45">
        <f>IF(OR($A612="",$L612="",$H612=""),"",IF(AND(LEFT($L612,2)="06",$H612&gt;1945),"FAIL - pre-war class, year "&amp;$H612,IF(AND(LEFT($L612,2)="07",OR($H612&lt;1946,$H612&gt;1972)),"FAIL - 1946-72 class, year "&amp;$H612,IF(AND(LEFT($L612,2)="08",OR($H612&lt;1973,$H612&gt;1999)),"FAIL - 1973-99 class, year "&amp;$H612,IF(AND(LEFT($L612,2)="09",OR($H612&lt;2000,$H612&gt;2010)),"FAIL - 2000-10 class, year "&amp;$H612,"OK")))))</f>
      </c>
      <c r="BF612" s="45">
        <f>IF($AD612="","",IF(ROUND($AO612+$AP612+$AQ612-$AD612,2)=0,"OK","FAIL - out by "&amp;TEXT($AO612+$AP612+$AQ612-$AD612,"$0.00")))</f>
      </c>
    </row>
    <row r="613" spans="1:58" ht="18.75" customHeight="1" x14ac:dyDescent="0.25">
      <c r="A613" s="30" t="inlineStr">
        <is>
          <t xml:space="preserve">CANON-202602-005491</t>
        </is>
      </c>
      <c r="B613" s="30" t="inlineStr">
        <is>
          <t xml:space="preserve">Emiliano Pennington</t>
        </is>
      </c>
      <c r="C613" s="31">
        <v>46057</v>
      </c>
      <c r="D613" s="32" t="inlineStr">
        <is>
          <t xml:space="preserve">Bound - within authority</t>
        </is>
      </c>
      <c r="E613" s="32" t="inlineStr">
        <is>
          <t xml:space="preserve">New business</t>
        </is>
      </c>
      <c r="F613" s="30" t="inlineStr">
        <is>
          <t xml:space="preserve">B1234EXOTIC26</t>
        </is>
      </c>
      <c r="G613" s="33">
        <f>IF($A613="","",IF($C613="","",YEAR($C613)))</f>
      </c>
      <c r="H613" s="34">
        <v>2017</v>
      </c>
      <c r="I613" s="30" t="inlineStr">
        <is>
          <t xml:space="preserve">BMW</t>
        </is>
      </c>
      <c r="J613" s="30" t="inlineStr">
        <is>
          <t xml:space="preserve">M8 Competition</t>
        </is>
      </c>
      <c r="K613" s="30" t="inlineStr">
        <is>
          <t xml:space="preserve">RCST5M99B0GBS3CX2</t>
        </is>
      </c>
      <c r="L613" s="32" t="inlineStr">
        <is>
          <t xml:space="preserve">02 - Sports / GT</t>
        </is>
      </c>
      <c r="M613" s="35">
        <v>730000</v>
      </c>
      <c r="N613" s="32" t="inlineStr">
        <is>
          <t xml:space="preserve">Personal</t>
        </is>
      </c>
      <c r="O613" s="30" t="inlineStr">
        <is>
          <t xml:space="preserve">Personal - regular use</t>
        </is>
      </c>
      <c r="P613" s="30" t="inlineStr">
        <is>
          <t xml:space="preserve">1,000 - 2,500</t>
        </is>
      </c>
      <c r="Q613" s="30" t="inlineStr">
        <is>
          <t xml:space="preserve">Nevada</t>
        </is>
      </c>
      <c r="R613" s="30" t="inlineStr">
        <is>
          <t xml:space="preserve">89101</t>
        </is>
      </c>
      <c r="S613" s="32" t="inlineStr">
        <is>
          <t xml:space="preserve">Wildfire - WUI high hazard</t>
        </is>
      </c>
      <c r="T613" s="36">
        <f>IF($A613="","",IF($S613="","",IFERROR(INDEX('[1]natural catastrophe'!$D$6:$D$17,MATCH($S613,'[1]natural catastrophe'!$B$6:$B$17,0)),"?")))</f>
      </c>
      <c r="U613" s="30" t="inlineStr">
        <is>
          <t xml:space="preserve">$5,000</t>
        </is>
      </c>
      <c r="V613" s="32" t="inlineStr">
        <is>
          <t xml:space="preserve">Agreed Value</t>
        </is>
      </c>
      <c r="W613" s="30" t="inlineStr">
        <is>
          <t xml:space="preserve">$1,000</t>
        </is>
      </c>
      <c r="X613" s="32" t="inlineStr">
        <is>
          <t xml:space="preserve">$1,000,000 CSL</t>
        </is>
      </c>
      <c r="Y613" s="30"/>
      <c r="Z613" s="30"/>
      <c r="AA613" s="32" t="inlineStr">
        <is>
          <t xml:space="preserve">Surplus Lines</t>
        </is>
      </c>
      <c r="AB613" s="35">
        <v>9209.45</v>
      </c>
      <c r="AC613" s="37">
        <v>0</v>
      </c>
      <c r="AD613" s="38">
        <f>IF(ISNUMBER($AB613),$AB613*(1+N($AC613)),"")</f>
      </c>
      <c r="AE613" s="35">
        <v>350</v>
      </c>
      <c r="AF613" s="35">
        <v>0</v>
      </c>
      <c r="AG613" s="37"/>
      <c r="AH613" s="39">
        <f>IF(ISNUMBER($AD613),($AD613+$AE613+$AF613)*$AG613,"")</f>
      </c>
      <c r="AI613" s="35"/>
      <c r="AJ613" s="38">
        <f>IF(ISNUMBER($AD613),SUM($AD613:$AH613),"")</f>
      </c>
      <c r="AK613" s="40">
        <f>IF(AND(ISNUMBER($AB613),ISNUMBER($AD613)),IF($AB613&gt;0,$AD613/$AB613,""),"")</f>
      </c>
      <c r="AL613" s="32" t="inlineStr">
        <is>
          <t xml:space="preserve">At technical</t>
        </is>
      </c>
      <c r="AM613" s="41">
        <f>IF(ISNUMBER($AD613),Header!$I$3,"")</f>
      </c>
      <c r="AN613" s="39">
        <f>IF(ISNUMBER($AD613),$AO613+$AP613,"")</f>
      </c>
      <c r="AO613" s="39">
        <f>IF(ISNUMBER($AD613),ROUND($AD613*Header!$K$3,2),"")</f>
      </c>
      <c r="AP613" s="39">
        <f>IF(ISNUMBER($AD613),ROUND($AD613*Header!$M$3,2),"")</f>
      </c>
      <c r="AQ613" s="38">
        <f>IF(ISNUMBER($AD613),ROUND($AD613,2)-$AO613-$AP613,"")</f>
      </c>
      <c r="AR613" s="39">
        <f>IF(ISNUMBER($AD613),IF(Header!$D$34="","?",$AD613*Header!$D$34),"")</f>
      </c>
      <c r="AS613" s="39">
        <f>IF(ISNUMBER($AB613),IF(Header!$D$34="","?",$AB613*Header!$D$34),"")</f>
      </c>
      <c r="AT613" s="42">
        <f>IF(AND(ISNUMBER($AB613),$M613&gt;0),$AB613/$M613*100,"")</f>
      </c>
      <c r="AU613" s="42">
        <f>IF(AND(ISNUMBER($AD613),$M613&gt;0),$AD613/$M613*100,"")</f>
      </c>
      <c r="AV613" s="40">
        <f>IF(AND(ISNUMBER($AB613),ISNUMBER($AD613),ABS($AB613)&gt;0),$AD613/$AB613,"")</f>
      </c>
      <c r="AW613" s="39">
        <f>IF(ISNUMBER($AD613),MAX(0,(1-0.55-Header!$O$3)*Header!$Q$3*$AQ613),"")</f>
      </c>
      <c r="AX613" s="43">
        <f>IF($A613="","",IF(TRIM(IF($A613="","Missing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",""))="","PASS","FAIL: "&amp;TRIM(IF($A613="","Missing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f>
      </c>
      <c r="AY613" s="44">
        <f>IF($M613="","",IF(ISNUMBER($M613),IF($M613&gt;=Header!$C$18,"YES — refer","No"),""))</f>
      </c>
      <c r="AZ613" s="44">
        <f>IF($AD613="","",IF(ISNUMBER($AD613),IF($AD613&lt;Header!$C$20,"BELOW MIN PREMIUM","OK"),""))</f>
      </c>
      <c r="BA613" s="32" t="inlineStr">
        <is>
          <t xml:space="preserve">Yes</t>
        </is>
      </c>
      <c r="BB613" s="32" t="inlineStr">
        <is>
          <t xml:space="preserve">Yes</t>
        </is>
      </c>
      <c r="BC613" s="30" t="inlineStr">
        <is>
          <t xml:space="preserve">Synthetic demo data</t>
        </is>
      </c>
      <c r="BE613" s="45">
        <f>IF(OR($A613="",$L613="",$H613=""),"",IF(AND(LEFT($L613,2)="06",$H613&gt;1945),"FAIL - pre-war class, year "&amp;$H613,IF(AND(LEFT($L613,2)="07",OR($H613&lt;1946,$H613&gt;1972)),"FAIL - 1946-72 class, year "&amp;$H613,IF(AND(LEFT($L613,2)="08",OR($H613&lt;1973,$H613&gt;1999)),"FAIL - 1973-99 class, year "&amp;$H613,IF(AND(LEFT($L613,2)="09",OR($H613&lt;2000,$H613&gt;2010)),"FAIL - 2000-10 class, year "&amp;$H613,"OK")))))</f>
      </c>
      <c r="BF613" s="45">
        <f>IF($AD613="","",IF(ROUND($AO613+$AP613+$AQ613-$AD613,2)=0,"OK","FAIL - out by "&amp;TEXT($AO613+$AP613+$AQ613-$AD613,"$0.00")))</f>
      </c>
    </row>
    <row r="614" spans="1:58" ht="18.75" customHeight="1" x14ac:dyDescent="0.25">
      <c r="A614" s="46" t="inlineStr">
        <is>
          <t xml:space="preserve">CANON-202602-005492</t>
        </is>
      </c>
      <c r="B614" s="46" t="inlineStr">
        <is>
          <t xml:space="preserve">Fitzgerald Blackwood</t>
        </is>
      </c>
      <c r="C614" s="47">
        <v>46062</v>
      </c>
      <c r="D614" s="48" t="inlineStr">
        <is>
          <t xml:space="preserve">Bound - within authority</t>
        </is>
      </c>
      <c r="E614" s="48" t="inlineStr">
        <is>
          <t xml:space="preserve">New business</t>
        </is>
      </c>
      <c r="F614" s="46" t="inlineStr">
        <is>
          <t xml:space="preserve">B1234EXOTIC26</t>
        </is>
      </c>
      <c r="G614" s="33">
        <f>IF($A614="","",IF($C614="","",YEAR($C614)))</f>
      </c>
      <c r="H614" s="49">
        <v>1995</v>
      </c>
      <c r="I614" s="46" t="inlineStr">
        <is>
          <t xml:space="preserve">Maserati</t>
        </is>
      </c>
      <c r="J614" s="46" t="inlineStr">
        <is>
          <t xml:space="preserve">GranTurismo</t>
        </is>
      </c>
      <c r="K614" s="46" t="inlineStr">
        <is>
          <t xml:space="preserve">XLLSS28BYZJE9BXL5</t>
        </is>
      </c>
      <c r="L614" s="48" t="inlineStr">
        <is>
          <t xml:space="preserve">02 - Sports / GT</t>
        </is>
      </c>
      <c r="M614" s="50">
        <v>345000</v>
      </c>
      <c r="N614" s="48" t="inlineStr">
        <is>
          <t xml:space="preserve">Personal</t>
        </is>
      </c>
      <c r="O614" s="46" t="inlineStr">
        <is>
          <t xml:space="preserve">Personal - regular use</t>
        </is>
      </c>
      <c r="P614" s="46" t="inlineStr">
        <is>
          <t xml:space="preserve">2,500 - 5,000</t>
        </is>
      </c>
      <c r="Q614" s="46" t="inlineStr">
        <is>
          <t xml:space="preserve">Wyoming</t>
        </is>
      </c>
      <c r="R614" s="46" t="inlineStr">
        <is>
          <t xml:space="preserve">82001</t>
        </is>
      </c>
      <c r="S614" s="48" t="inlineStr">
        <is>
          <t xml:space="preserve">Severe convective - hail alley (high)</t>
        </is>
      </c>
      <c r="T614" s="36">
        <f>IF($A614="","",IF($S614="","",IFERROR(INDEX('[1]natural catastrophe'!$D$6:$D$17,MATCH($S614,'[1]natural catastrophe'!$B$6:$B$17,0)),"?")))</f>
      </c>
      <c r="U614" s="46" t="inlineStr">
        <is>
          <t xml:space="preserve">$5,000</t>
        </is>
      </c>
      <c r="V614" s="48" t="inlineStr">
        <is>
          <t xml:space="preserve">Agreed Value</t>
        </is>
      </c>
      <c r="W614" s="46" t="inlineStr">
        <is>
          <t xml:space="preserve">$1,000</t>
        </is>
      </c>
      <c r="X614" s="48" t="inlineStr">
        <is>
          <t xml:space="preserve">$1,000,000 CSL</t>
        </is>
      </c>
      <c r="Y614" s="46"/>
      <c r="Z614" s="46"/>
      <c r="AA614" s="48" t="inlineStr">
        <is>
          <t xml:space="preserve">Surplus Lines</t>
        </is>
      </c>
      <c r="AB614" s="50">
        <v>4592.78</v>
      </c>
      <c r="AC614" s="51">
        <v>0</v>
      </c>
      <c r="AD614" s="38">
        <f>IF(ISNUMBER($AB614),$AB614*(1+N($AC614)),"")</f>
      </c>
      <c r="AE614" s="50">
        <v>350</v>
      </c>
      <c r="AF614" s="50">
        <v>0</v>
      </c>
      <c r="AG614" s="51"/>
      <c r="AH614" s="39">
        <f>IF(ISNUMBER($AD614),($AD614+$AE614+$AF614)*$AG614,"")</f>
      </c>
      <c r="AI614" s="50"/>
      <c r="AJ614" s="38">
        <f>IF(ISNUMBER($AD614),SUM($AD614:$AH614),"")</f>
      </c>
      <c r="AK614" s="40">
        <f>IF(AND(ISNUMBER($AB614),ISNUMBER($AD614)),IF($AB614&gt;0,$AD614/$AB614,""),"")</f>
      </c>
      <c r="AL614" s="48" t="inlineStr">
        <is>
          <t xml:space="preserve">At technical</t>
        </is>
      </c>
      <c r="AM614" s="41">
        <f>IF(ISNUMBER($AD614),Header!$I$3,"")</f>
      </c>
      <c r="AN614" s="39">
        <f>IF(ISNUMBER($AD614),$AO614+$AP614,"")</f>
      </c>
      <c r="AO614" s="39">
        <f>IF(ISNUMBER($AD614),ROUND($AD614*Header!$K$3,2),"")</f>
      </c>
      <c r="AP614" s="39">
        <f>IF(ISNUMBER($AD614),ROUND($AD614*Header!$M$3,2),"")</f>
      </c>
      <c r="AQ614" s="38">
        <f>IF(ISNUMBER($AD614),ROUND($AD614,2)-$AO614-$AP614,"")</f>
      </c>
      <c r="AR614" s="39">
        <f>IF(ISNUMBER($AD614),IF(Header!$D$34="","?",$AD614*Header!$D$34),"")</f>
      </c>
      <c r="AS614" s="39">
        <f>IF(ISNUMBER($AB614),IF(Header!$D$34="","?",$AB614*Header!$D$34),"")</f>
      </c>
      <c r="AT614" s="42">
        <f>IF(AND(ISNUMBER($AB614),$M614&gt;0),$AB614/$M614*100,"")</f>
      </c>
      <c r="AU614" s="42">
        <f>IF(AND(ISNUMBER($AD614),$M614&gt;0),$AD614/$M614*100,"")</f>
      </c>
      <c r="AV614" s="40">
        <f>IF(AND(ISNUMBER($AB614),ISNUMBER($AD614),ABS($AB614)&gt;0),$AD614/$AB614,"")</f>
      </c>
      <c r="AW614" s="39">
        <f>IF(ISNUMBER($AD614),MAX(0,(1-0.55-Header!$O$3)*Header!$Q$3*$AQ614),"")</f>
      </c>
      <c r="AX614" s="43">
        <f>IF($A614="","",IF(TRIM(IF($A614="","Missing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",""))="","PASS","FAIL: "&amp;TRIM(IF($A614="","Missing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f>
      </c>
      <c r="AY614" s="44">
        <f>IF($M614="","",IF(ISNUMBER($M614),IF($M614&gt;=Header!$C$18,"YES — refer","No"),""))</f>
      </c>
      <c r="AZ614" s="44">
        <f>IF($AD614="","",IF(ISNUMBER($AD614),IF($AD614&lt;Header!$C$20,"BELOW MIN PREMIUM","OK"),""))</f>
      </c>
      <c r="BA614" s="48" t="inlineStr">
        <is>
          <t xml:space="preserve">Yes</t>
        </is>
      </c>
      <c r="BB614" s="48" t="inlineStr">
        <is>
          <t xml:space="preserve">Yes</t>
        </is>
      </c>
      <c r="BC614" s="46" t="inlineStr">
        <is>
          <t xml:space="preserve">Synthetic demo data</t>
        </is>
      </c>
      <c r="BE614" s="45">
        <f>IF(OR($A614="",$L614="",$H614=""),"",IF(AND(LEFT($L614,2)="06",$H614&gt;1945),"FAIL - pre-war class, year "&amp;$H614,IF(AND(LEFT($L614,2)="07",OR($H614&lt;1946,$H614&gt;1972)),"FAIL - 1946-72 class, year "&amp;$H614,IF(AND(LEFT($L614,2)="08",OR($H614&lt;1973,$H614&gt;1999)),"FAIL - 1973-99 class, year "&amp;$H614,IF(AND(LEFT($L614,2)="09",OR($H614&lt;2000,$H614&gt;2010)),"FAIL - 2000-10 class, year "&amp;$H614,"OK")))))</f>
      </c>
      <c r="BF614" s="45">
        <f>IF($AD614="","",IF(ROUND($AO614+$AP614+$AQ614-$AD614,2)=0,"OK","FAIL - out by "&amp;TEXT($AO614+$AP614+$AQ614-$AD614,"$0.00")))</f>
      </c>
    </row>
    <row r="615" spans="1:58" ht="18.75" customHeight="1" x14ac:dyDescent="0.25">
      <c r="A615" s="30" t="inlineStr">
        <is>
          <t xml:space="preserve">CANON-202602-005493</t>
        </is>
      </c>
      <c r="B615" s="30" t="inlineStr">
        <is>
          <t xml:space="preserve">Emiliano Okonkwo</t>
        </is>
      </c>
      <c r="C615" s="31">
        <v>46076</v>
      </c>
      <c r="D615" s="32" t="inlineStr">
        <is>
          <t xml:space="preserve">Bound - within authority</t>
        </is>
      </c>
      <c r="E615" s="32" t="inlineStr">
        <is>
          <t xml:space="preserve">New business</t>
        </is>
      </c>
      <c r="F615" s="30" t="inlineStr">
        <is>
          <t xml:space="preserve">B1234EXOTIC26</t>
        </is>
      </c>
      <c r="G615" s="33">
        <f>IF($A615="","",IF($C615="","",YEAR($C615)))</f>
      </c>
      <c r="H615" s="34">
        <v>1998</v>
      </c>
      <c r="I615" s="30" t="inlineStr">
        <is>
          <t xml:space="preserve">Mercedes-Benz</t>
        </is>
      </c>
      <c r="J615" s="30" t="inlineStr">
        <is>
          <t xml:space="preserve">280SL Pagoda</t>
        </is>
      </c>
      <c r="K615" s="30" t="inlineStr">
        <is>
          <t xml:space="preserve">MS940U1DBY431S0P2</t>
        </is>
      </c>
      <c r="L615" s="32" t="inlineStr">
        <is>
          <t xml:space="preserve">08 - Modern Classic (1973-1999)</t>
        </is>
      </c>
      <c r="M615" s="35">
        <v>815000</v>
      </c>
      <c r="N615" s="32" t="inlineStr">
        <is>
          <t xml:space="preserve">Personal</t>
        </is>
      </c>
      <c r="O615" s="30" t="inlineStr">
        <is>
          <t xml:space="preserve">Personal - regular use</t>
        </is>
      </c>
      <c r="P615" s="30" t="inlineStr">
        <is>
          <t xml:space="preserve">2,500 - 5,000</t>
        </is>
      </c>
      <c r="Q615" s="30" t="inlineStr">
        <is>
          <t xml:space="preserve">New Jersey</t>
        </is>
      </c>
      <c r="R615" s="30" t="inlineStr">
        <is>
          <t xml:space="preserve">07102</t>
        </is>
      </c>
      <c r="S615" s="32" t="inlineStr">
        <is>
          <t xml:space="preserve">Tier 3 - Coastal wind (25-100 miles)</t>
        </is>
      </c>
      <c r="T615" s="36">
        <f>IF($A615="","",IF($S615="","",IFERROR(INDEX('[1]natural catastrophe'!$D$6:$D$17,MATCH($S615,'[1]natural catastrophe'!$B$6:$B$17,0)),"?")))</f>
      </c>
      <c r="U615" s="30" t="inlineStr">
        <is>
          <t xml:space="preserve">2% of agreed value, minimum $10,000</t>
        </is>
      </c>
      <c r="V615" s="32" t="inlineStr">
        <is>
          <t xml:space="preserve">Agreed Value</t>
        </is>
      </c>
      <c r="W615" s="30" t="inlineStr">
        <is>
          <t xml:space="preserve">$1,000</t>
        </is>
      </c>
      <c r="X615" s="32" t="inlineStr">
        <is>
          <t xml:space="preserve">$1,000,000 CSL</t>
        </is>
      </c>
      <c r="Y615" s="30"/>
      <c r="Z615" s="30"/>
      <c r="AA615" s="32" t="inlineStr">
        <is>
          <t xml:space="preserve">Surplus Lines</t>
        </is>
      </c>
      <c r="AB615" s="35">
        <v>5290.29</v>
      </c>
      <c r="AC615" s="37">
        <v>0</v>
      </c>
      <c r="AD615" s="38">
        <f>IF(ISNUMBER($AB615),$AB615*(1+N($AC615)),"")</f>
      </c>
      <c r="AE615" s="35">
        <v>350</v>
      </c>
      <c r="AF615" s="35">
        <v>0</v>
      </c>
      <c r="AG615" s="37"/>
      <c r="AH615" s="39">
        <f>IF(ISNUMBER($AD615),($AD615+$AE615+$AF615)*$AG615,"")</f>
      </c>
      <c r="AI615" s="35"/>
      <c r="AJ615" s="38">
        <f>IF(ISNUMBER($AD615),SUM($AD615:$AH615),"")</f>
      </c>
      <c r="AK615" s="40">
        <f>IF(AND(ISNUMBER($AB615),ISNUMBER($AD615)),IF($AB615&gt;0,$AD615/$AB615,""),"")</f>
      </c>
      <c r="AL615" s="32" t="inlineStr">
        <is>
          <t xml:space="preserve">At technical</t>
        </is>
      </c>
      <c r="AM615" s="41">
        <f>IF(ISNUMBER($AD615),Header!$I$3,"")</f>
      </c>
      <c r="AN615" s="39">
        <f>IF(ISNUMBER($AD615),$AO615+$AP615,"")</f>
      </c>
      <c r="AO615" s="39">
        <f>IF(ISNUMBER($AD615),ROUND($AD615*Header!$K$3,2),"")</f>
      </c>
      <c r="AP615" s="39">
        <f>IF(ISNUMBER($AD615),ROUND($AD615*Header!$M$3,2),"")</f>
      </c>
      <c r="AQ615" s="38">
        <f>IF(ISNUMBER($AD615),ROUND($AD615,2)-$AO615-$AP615,"")</f>
      </c>
      <c r="AR615" s="39">
        <f>IF(ISNUMBER($AD615),IF(Header!$D$34="","?",$AD615*Header!$D$34),"")</f>
      </c>
      <c r="AS615" s="39">
        <f>IF(ISNUMBER($AB615),IF(Header!$D$34="","?",$AB615*Header!$D$34),"")</f>
      </c>
      <c r="AT615" s="42">
        <f>IF(AND(ISNUMBER($AB615),$M615&gt;0),$AB615/$M615*100,"")</f>
      </c>
      <c r="AU615" s="42">
        <f>IF(AND(ISNUMBER($AD615),$M615&gt;0),$AD615/$M615*100,"")</f>
      </c>
      <c r="AV615" s="40">
        <f>IF(AND(ISNUMBER($AB615),ISNUMBER($AD615),ABS($AB615)&gt;0),$AD615/$AB615,"")</f>
      </c>
      <c r="AW615" s="39">
        <f>IF(ISNUMBER($AD615),MAX(0,(1-0.55-Header!$O$3)*Header!$Q$3*$AQ615),"")</f>
      </c>
      <c r="AX615" s="43">
        <f>IF($A615="","",IF(TRIM(IF($A615="","Missing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",""))="","PASS","FAIL: "&amp;TRIM(IF($A615="","Missing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f>
      </c>
      <c r="AY615" s="44">
        <f>IF($M615="","",IF(ISNUMBER($M615),IF($M615&gt;=Header!$C$18,"YES — refer","No"),""))</f>
      </c>
      <c r="AZ615" s="44">
        <f>IF($AD615="","",IF(ISNUMBER($AD615),IF($AD615&lt;Header!$C$20,"BELOW MIN PREMIUM","OK"),""))</f>
      </c>
      <c r="BA615" s="32" t="inlineStr">
        <is>
          <t xml:space="preserve">Yes</t>
        </is>
      </c>
      <c r="BB615" s="32" t="inlineStr">
        <is>
          <t xml:space="preserve">Yes</t>
        </is>
      </c>
      <c r="BC615" s="30" t="inlineStr">
        <is>
          <t xml:space="preserve">Synthetic demo data</t>
        </is>
      </c>
      <c r="BE615" s="45">
        <f>IF(OR($A615="",$L615="",$H615=""),"",IF(AND(LEFT($L615,2)="06",$H615&gt;1945),"FAIL - pre-war class, year "&amp;$H615,IF(AND(LEFT($L615,2)="07",OR($H615&lt;1946,$H615&gt;1972)),"FAIL - 1946-72 class, year "&amp;$H615,IF(AND(LEFT($L615,2)="08",OR($H615&lt;1973,$H615&gt;1999)),"FAIL - 1973-99 class, year "&amp;$H615,IF(AND(LEFT($L615,2)="09",OR($H615&lt;2000,$H615&gt;2010)),"FAIL - 2000-10 class, year "&amp;$H615,"OK")))))</f>
      </c>
      <c r="BF615" s="45">
        <f>IF($AD615="","",IF(ROUND($AO615+$AP615+$AQ615-$AD615,2)=0,"OK","FAIL - out by "&amp;TEXT($AO615+$AP615+$AQ615-$AD615,"$0.00")))</f>
      </c>
    </row>
    <row r="616" spans="1:58" ht="18.75" customHeight="1" x14ac:dyDescent="0.25">
      <c r="A616" s="46" t="inlineStr">
        <is>
          <t xml:space="preserve">CANON-202602-005494</t>
        </is>
      </c>
      <c r="B616" s="46" t="inlineStr">
        <is>
          <t xml:space="preserve">Ingrid Larsson</t>
        </is>
      </c>
      <c r="C616" s="47">
        <v>46069</v>
      </c>
      <c r="D616" s="48" t="inlineStr">
        <is>
          <t xml:space="preserve">Bound - within authority</t>
        </is>
      </c>
      <c r="E616" s="48" t="inlineStr">
        <is>
          <t xml:space="preserve">New business</t>
        </is>
      </c>
      <c r="F616" s="46" t="inlineStr">
        <is>
          <t xml:space="preserve">B1234EXOTIC26</t>
        </is>
      </c>
      <c r="G616" s="33">
        <f>IF($A616="","",IF($C616="","",YEAR($C616)))</f>
      </c>
      <c r="H616" s="49">
        <v>1973</v>
      </c>
      <c r="I616" s="46" t="inlineStr">
        <is>
          <t xml:space="preserve">BMW</t>
        </is>
      </c>
      <c r="J616" s="46" t="inlineStr">
        <is>
          <t xml:space="preserve">M8 Competition</t>
        </is>
      </c>
      <c r="K616" s="46" t="inlineStr">
        <is>
          <t xml:space="preserve">JTFNCAUTPM51N9FRE</t>
        </is>
      </c>
      <c r="L616" s="48" t="inlineStr">
        <is>
          <t xml:space="preserve">02 - Sports / GT</t>
        </is>
      </c>
      <c r="M616" s="50">
        <v>865000</v>
      </c>
      <c r="N616" s="48" t="inlineStr">
        <is>
          <t xml:space="preserve">Personal</t>
        </is>
      </c>
      <c r="O616" s="46" t="inlineStr">
        <is>
          <t xml:space="preserve">Personal - regular use</t>
        </is>
      </c>
      <c r="P616" s="46" t="inlineStr">
        <is>
          <t xml:space="preserve">Under 1,000</t>
        </is>
      </c>
      <c r="Q616" s="46" t="inlineStr">
        <is>
          <t xml:space="preserve">Tennessee</t>
        </is>
      </c>
      <c r="R616" s="46" t="inlineStr">
        <is>
          <t xml:space="preserve">37203</t>
        </is>
      </c>
      <c r="S616" s="48" t="inlineStr">
        <is>
          <t xml:space="preserve">Severe convective - hail / tornado (moderate)</t>
        </is>
      </c>
      <c r="T616" s="36">
        <f>IF($A616="","",IF($S616="","",IFERROR(INDEX('[1]natural catastrophe'!$D$6:$D$17,MATCH($S616,'[1]natural catastrophe'!$B$6:$B$17,0)),"?")))</f>
      </c>
      <c r="U616" s="46" t="inlineStr">
        <is>
          <t xml:space="preserve">$5,000</t>
        </is>
      </c>
      <c r="V616" s="48" t="inlineStr">
        <is>
          <t xml:space="preserve">Agreed Value</t>
        </is>
      </c>
      <c r="W616" s="46" t="inlineStr">
        <is>
          <t xml:space="preserve">$1,000</t>
        </is>
      </c>
      <c r="X616" s="48" t="inlineStr">
        <is>
          <t xml:space="preserve">$1,000,000 CSL</t>
        </is>
      </c>
      <c r="Y616" s="46"/>
      <c r="Z616" s="46"/>
      <c r="AA616" s="48" t="inlineStr">
        <is>
          <t xml:space="preserve">Surplus Lines</t>
        </is>
      </c>
      <c r="AB616" s="50">
        <v>9140.44</v>
      </c>
      <c r="AC616" s="51">
        <v>0</v>
      </c>
      <c r="AD616" s="38">
        <f>IF(ISNUMBER($AB616),$AB616*(1+N($AC616)),"")</f>
      </c>
      <c r="AE616" s="50">
        <v>350</v>
      </c>
      <c r="AF616" s="50">
        <v>0</v>
      </c>
      <c r="AG616" s="51"/>
      <c r="AH616" s="39">
        <f>IF(ISNUMBER($AD616),($AD616+$AE616+$AF616)*$AG616,"")</f>
      </c>
      <c r="AI616" s="50"/>
      <c r="AJ616" s="38">
        <f>IF(ISNUMBER($AD616),SUM($AD616:$AH616),"")</f>
      </c>
      <c r="AK616" s="40">
        <f>IF(AND(ISNUMBER($AB616),ISNUMBER($AD616)),IF($AB616&gt;0,$AD616/$AB616,""),"")</f>
      </c>
      <c r="AL616" s="48" t="inlineStr">
        <is>
          <t xml:space="preserve">At technical</t>
        </is>
      </c>
      <c r="AM616" s="41">
        <f>IF(ISNUMBER($AD616),Header!$I$3,"")</f>
      </c>
      <c r="AN616" s="39">
        <f>IF(ISNUMBER($AD616),$AO616+$AP616,"")</f>
      </c>
      <c r="AO616" s="39">
        <f>IF(ISNUMBER($AD616),ROUND($AD616*Header!$K$3,2),"")</f>
      </c>
      <c r="AP616" s="39">
        <f>IF(ISNUMBER($AD616),ROUND($AD616*Header!$M$3,2),"")</f>
      </c>
      <c r="AQ616" s="38">
        <f>IF(ISNUMBER($AD616),ROUND($AD616,2)-$AO616-$AP616,"")</f>
      </c>
      <c r="AR616" s="39">
        <f>IF(ISNUMBER($AD616),IF(Header!$D$34="","?",$AD616*Header!$D$34),"")</f>
      </c>
      <c r="AS616" s="39">
        <f>IF(ISNUMBER($AB616),IF(Header!$D$34="","?",$AB616*Header!$D$34),"")</f>
      </c>
      <c r="AT616" s="42">
        <f>IF(AND(ISNUMBER($AB616),$M616&gt;0),$AB616/$M616*100,"")</f>
      </c>
      <c r="AU616" s="42">
        <f>IF(AND(ISNUMBER($AD616),$M616&gt;0),$AD616/$M616*100,"")</f>
      </c>
      <c r="AV616" s="40">
        <f>IF(AND(ISNUMBER($AB616),ISNUMBER($AD616),ABS($AB616)&gt;0),$AD616/$AB616,"")</f>
      </c>
      <c r="AW616" s="39">
        <f>IF(ISNUMBER($AD616),MAX(0,(1-0.55-Header!$O$3)*Header!$Q$3*$AQ616),"")</f>
      </c>
      <c r="AX616" s="43">
        <f>IF($A616="","",IF(TRIM(IF($A616="","Missing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",""))="","PASS","FAIL: "&amp;TRIM(IF($A616="","Missing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f>
      </c>
      <c r="AY616" s="44">
        <f>IF($M616="","",IF(ISNUMBER($M616),IF($M616&gt;=Header!$C$18,"YES — refer","No"),""))</f>
      </c>
      <c r="AZ616" s="44">
        <f>IF($AD616="","",IF(ISNUMBER($AD616),IF($AD616&lt;Header!$C$20,"BELOW MIN PREMIUM","OK"),""))</f>
      </c>
      <c r="BA616" s="48" t="inlineStr">
        <is>
          <t xml:space="preserve">Yes</t>
        </is>
      </c>
      <c r="BB616" s="48" t="inlineStr">
        <is>
          <t xml:space="preserve">Yes</t>
        </is>
      </c>
      <c r="BC616" s="46" t="inlineStr">
        <is>
          <t xml:space="preserve">Synthetic demo data</t>
        </is>
      </c>
      <c r="BE616" s="45">
        <f>IF(OR($A616="",$L616="",$H616=""),"",IF(AND(LEFT($L616,2)="06",$H616&gt;1945),"FAIL - pre-war class, year "&amp;$H616,IF(AND(LEFT($L616,2)="07",OR($H616&lt;1946,$H616&gt;1972)),"FAIL - 1946-72 class, year "&amp;$H616,IF(AND(LEFT($L616,2)="08",OR($H616&lt;1973,$H616&gt;1999)),"FAIL - 1973-99 class, year "&amp;$H616,IF(AND(LEFT($L616,2)="09",OR($H616&lt;2000,$H616&gt;2010)),"FAIL - 2000-10 class, year "&amp;$H616,"OK")))))</f>
      </c>
      <c r="BF616" s="45">
        <f>IF($AD616="","",IF(ROUND($AO616+$AP616+$AQ616-$AD616,2)=0,"OK","FAIL - out by "&amp;TEXT($AO616+$AP616+$AQ616-$AD616,"$0.00")))</f>
      </c>
    </row>
    <row r="617" spans="1:58" ht="18.75" customHeight="1" x14ac:dyDescent="0.25">
      <c r="A617" s="30" t="inlineStr">
        <is>
          <t xml:space="preserve">CANON-202602-005495</t>
        </is>
      </c>
      <c r="B617" s="30" t="inlineStr">
        <is>
          <t xml:space="preserve">Aurelio Bellandi</t>
        </is>
      </c>
      <c r="C617" s="31">
        <v>46061</v>
      </c>
      <c r="D617" s="32" t="inlineStr">
        <is>
          <t xml:space="preserve">Bound - within authority</t>
        </is>
      </c>
      <c r="E617" s="32" t="inlineStr">
        <is>
          <t xml:space="preserve">New business</t>
        </is>
      </c>
      <c r="F617" s="30" t="inlineStr">
        <is>
          <t xml:space="preserve">B1234EXOTIC26</t>
        </is>
      </c>
      <c r="G617" s="33">
        <f>IF($A617="","",IF($C617="","",YEAR($C617)))</f>
      </c>
      <c r="H617" s="34">
        <v>2009</v>
      </c>
      <c r="I617" s="30" t="inlineStr">
        <is>
          <t xml:space="preserve">Mercedes-Benz</t>
        </is>
      </c>
      <c r="J617" s="30" t="inlineStr">
        <is>
          <t xml:space="preserve">280SL Pagoda</t>
        </is>
      </c>
      <c r="K617" s="30" t="inlineStr">
        <is>
          <t xml:space="preserve">4D718LV5J2VBK8VDW</t>
        </is>
      </c>
      <c r="L617" s="32" t="inlineStr">
        <is>
          <t xml:space="preserve">09 - Youngtimer / Collectible (2000-2010)</t>
        </is>
      </c>
      <c r="M617" s="35">
        <v>820000</v>
      </c>
      <c r="N617" s="32" t="inlineStr">
        <is>
          <t xml:space="preserve">Personal</t>
        </is>
      </c>
      <c r="O617" s="30" t="inlineStr">
        <is>
          <t xml:space="preserve">Personal - regular use</t>
        </is>
      </c>
      <c r="P617" s="30" t="inlineStr">
        <is>
          <t xml:space="preserve">Under 1,000</t>
        </is>
      </c>
      <c r="Q617" s="30" t="inlineStr">
        <is>
          <t xml:space="preserve">California</t>
        </is>
      </c>
      <c r="R617" s="30" t="inlineStr">
        <is>
          <t xml:space="preserve">90012</t>
        </is>
      </c>
      <c r="S617" s="32" t="inlineStr">
        <is>
          <t xml:space="preserve">Earthquake - high (CA, Cascadia, New Madrid)</t>
        </is>
      </c>
      <c r="T617" s="36">
        <f>IF($A617="","",IF($S617="","",IFERROR(INDEX('[1]natural catastrophe'!$D$6:$D$17,MATCH($S617,'[1]natural catastrophe'!$B$6:$B$17,0)),"?")))</f>
      </c>
      <c r="U617" s="30" t="inlineStr">
        <is>
          <t xml:space="preserve">$5,000</t>
        </is>
      </c>
      <c r="V617" s="32" t="inlineStr">
        <is>
          <t xml:space="preserve">Agreed Value</t>
        </is>
      </c>
      <c r="W617" s="30" t="inlineStr">
        <is>
          <t xml:space="preserve">$1,000</t>
        </is>
      </c>
      <c r="X617" s="32" t="inlineStr">
        <is>
          <t xml:space="preserve">$1,000,000 CSL</t>
        </is>
      </c>
      <c r="Y617" s="30"/>
      <c r="Z617" s="30"/>
      <c r="AA617" s="32" t="inlineStr">
        <is>
          <t xml:space="preserve">Surplus Lines</t>
        </is>
      </c>
      <c r="AB617" s="35">
        <v>7896.38</v>
      </c>
      <c r="AC617" s="37">
        <v>0</v>
      </c>
      <c r="AD617" s="38">
        <f>IF(ISNUMBER($AB617),$AB617*(1+N($AC617)),"")</f>
      </c>
      <c r="AE617" s="35">
        <v>350</v>
      </c>
      <c r="AF617" s="35">
        <v>0</v>
      </c>
      <c r="AG617" s="37"/>
      <c r="AH617" s="39">
        <f>IF(ISNUMBER($AD617),($AD617+$AE617+$AF617)*$AG617,"")</f>
      </c>
      <c r="AI617" s="35"/>
      <c r="AJ617" s="38">
        <f>IF(ISNUMBER($AD617),SUM($AD617:$AH617),"")</f>
      </c>
      <c r="AK617" s="40">
        <f>IF(AND(ISNUMBER($AB617),ISNUMBER($AD617)),IF($AB617&gt;0,$AD617/$AB617,""),"")</f>
      </c>
      <c r="AL617" s="32" t="inlineStr">
        <is>
          <t xml:space="preserve">At technical</t>
        </is>
      </c>
      <c r="AM617" s="41">
        <f>IF(ISNUMBER($AD617),Header!$I$3,"")</f>
      </c>
      <c r="AN617" s="39">
        <f>IF(ISNUMBER($AD617),$AO617+$AP617,"")</f>
      </c>
      <c r="AO617" s="39">
        <f>IF(ISNUMBER($AD617),ROUND($AD617*Header!$K$3,2),"")</f>
      </c>
      <c r="AP617" s="39">
        <f>IF(ISNUMBER($AD617),ROUND($AD617*Header!$M$3,2),"")</f>
      </c>
      <c r="AQ617" s="38">
        <f>IF(ISNUMBER($AD617),ROUND($AD617,2)-$AO617-$AP617,"")</f>
      </c>
      <c r="AR617" s="39">
        <f>IF(ISNUMBER($AD617),IF(Header!$D$34="","?",$AD617*Header!$D$34),"")</f>
      </c>
      <c r="AS617" s="39">
        <f>IF(ISNUMBER($AB617),IF(Header!$D$34="","?",$AB617*Header!$D$34),"")</f>
      </c>
      <c r="AT617" s="42">
        <f>IF(AND(ISNUMBER($AB617),$M617&gt;0),$AB617/$M617*100,"")</f>
      </c>
      <c r="AU617" s="42">
        <f>IF(AND(ISNUMBER($AD617),$M617&gt;0),$AD617/$M617*100,"")</f>
      </c>
      <c r="AV617" s="40">
        <f>IF(AND(ISNUMBER($AB617),ISNUMBER($AD617),ABS($AB617)&gt;0),$AD617/$AB617,"")</f>
      </c>
      <c r="AW617" s="39">
        <f>IF(ISNUMBER($AD617),MAX(0,(1-0.55-Header!$O$3)*Header!$Q$3*$AQ617),"")</f>
      </c>
      <c r="AX617" s="43">
        <f>IF($A617="","",IF(TRIM(IF($A617="","Missing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",""))="","PASS","FAIL: "&amp;TRIM(IF($A617="","Missing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f>
      </c>
      <c r="AY617" s="44">
        <f>IF($M617="","",IF(ISNUMBER($M617),IF($M617&gt;=Header!$C$18,"YES — refer","No"),""))</f>
      </c>
      <c r="AZ617" s="44">
        <f>IF($AD617="","",IF(ISNUMBER($AD617),IF($AD617&lt;Header!$C$20,"BELOW MIN PREMIUM","OK"),""))</f>
      </c>
      <c r="BA617" s="32" t="inlineStr">
        <is>
          <t xml:space="preserve">Yes</t>
        </is>
      </c>
      <c r="BB617" s="32" t="inlineStr">
        <is>
          <t xml:space="preserve">Yes</t>
        </is>
      </c>
      <c r="BC617" s="30" t="inlineStr">
        <is>
          <t xml:space="preserve">Synthetic demo data</t>
        </is>
      </c>
      <c r="BE617" s="45">
        <f>IF(OR($A617="",$L617="",$H617=""),"",IF(AND(LEFT($L617,2)="06",$H617&gt;1945),"FAIL - pre-war class, year "&amp;$H617,IF(AND(LEFT($L617,2)="07",OR($H617&lt;1946,$H617&gt;1972)),"FAIL - 1946-72 class, year "&amp;$H617,IF(AND(LEFT($L617,2)="08",OR($H617&lt;1973,$H617&gt;1999)),"FAIL - 1973-99 class, year "&amp;$H617,IF(AND(LEFT($L617,2)="09",OR($H617&lt;2000,$H617&gt;2010)),"FAIL - 2000-10 class, year "&amp;$H617,"OK")))))</f>
      </c>
      <c r="BF617" s="45">
        <f>IF($AD617="","",IF(ROUND($AO617+$AP617+$AQ617-$AD617,2)=0,"OK","FAIL - out by "&amp;TEXT($AO617+$AP617+$AQ617-$AD617,"$0.00")))</f>
      </c>
    </row>
    <row r="618" spans="1:58" ht="18.75" customHeight="1" x14ac:dyDescent="0.25">
      <c r="A618" s="46" t="inlineStr">
        <is>
          <t xml:space="preserve">CANON-202602-005496</t>
        </is>
      </c>
      <c r="B618" s="46" t="inlineStr">
        <is>
          <t xml:space="preserve">Saoirse Underwood</t>
        </is>
      </c>
      <c r="C618" s="47">
        <v>46054</v>
      </c>
      <c r="D618" s="48" t="inlineStr">
        <is>
          <t xml:space="preserve">Bound - within authority</t>
        </is>
      </c>
      <c r="E618" s="48" t="inlineStr">
        <is>
          <t xml:space="preserve">New business</t>
        </is>
      </c>
      <c r="F618" s="46" t="inlineStr">
        <is>
          <t xml:space="preserve">B1234EXOTIC26</t>
        </is>
      </c>
      <c r="G618" s="33">
        <f>IF($A618="","",IF($C618="","",YEAR($C618)))</f>
      </c>
      <c r="H618" s="49">
        <v>1986</v>
      </c>
      <c r="I618" s="46" t="inlineStr">
        <is>
          <t xml:space="preserve">Mercedes-Benz</t>
        </is>
      </c>
      <c r="J618" s="46" t="inlineStr">
        <is>
          <t xml:space="preserve">280SL Pagoda</t>
        </is>
      </c>
      <c r="K618" s="46" t="inlineStr">
        <is>
          <t xml:space="preserve">4NUS603MFTUWJ10RP</t>
        </is>
      </c>
      <c r="L618" s="48" t="inlineStr">
        <is>
          <t xml:space="preserve">08 - Modern Classic (1973-1999)</t>
        </is>
      </c>
      <c r="M618" s="50">
        <v>1450000</v>
      </c>
      <c r="N618" s="48" t="inlineStr">
        <is>
          <t xml:space="preserve">Personal</t>
        </is>
      </c>
      <c r="O618" s="46" t="inlineStr">
        <is>
          <t xml:space="preserve">Personal - regular use</t>
        </is>
      </c>
      <c r="P618" s="46" t="inlineStr">
        <is>
          <t xml:space="preserve">Under 1,000</t>
        </is>
      </c>
      <c r="Q618" s="46" t="inlineStr">
        <is>
          <t xml:space="preserve">Connecticut</t>
        </is>
      </c>
      <c r="R618" s="46" t="inlineStr">
        <is>
          <t xml:space="preserve">06103</t>
        </is>
      </c>
      <c r="S618" s="48" t="inlineStr">
        <is>
          <t xml:space="preserve">Tier 3 - Coastal wind (25-100 miles)</t>
        </is>
      </c>
      <c r="T618" s="36">
        <f>IF($A618="","",IF($S618="","",IFERROR(INDEX('[1]natural catastrophe'!$D$6:$D$17,MATCH($S618,'[1]natural catastrophe'!$B$6:$B$17,0)),"?")))</f>
      </c>
      <c r="U618" s="46" t="inlineStr">
        <is>
          <t xml:space="preserve">2% of agreed value, minimum $10,000</t>
        </is>
      </c>
      <c r="V618" s="48" t="inlineStr">
        <is>
          <t xml:space="preserve">Agreed Value</t>
        </is>
      </c>
      <c r="W618" s="46" t="inlineStr">
        <is>
          <t xml:space="preserve">$1,000</t>
        </is>
      </c>
      <c r="X618" s="48" t="inlineStr">
        <is>
          <t xml:space="preserve">$1,000,000 CSL</t>
        </is>
      </c>
      <c r="Y618" s="46"/>
      <c r="Z618" s="46"/>
      <c r="AA618" s="48" t="inlineStr">
        <is>
          <t xml:space="preserve">Surplus Lines</t>
        </is>
      </c>
      <c r="AB618" s="50">
        <v>10237.2</v>
      </c>
      <c r="AC618" s="51">
        <v>0</v>
      </c>
      <c r="AD618" s="38">
        <f>IF(ISNUMBER($AB618),$AB618*(1+N($AC618)),"")</f>
      </c>
      <c r="AE618" s="50">
        <v>350</v>
      </c>
      <c r="AF618" s="50">
        <v>250</v>
      </c>
      <c r="AG618" s="51"/>
      <c r="AH618" s="39">
        <f>IF(ISNUMBER($AD618),($AD618+$AE618+$AF618)*$AG618,"")</f>
      </c>
      <c r="AI618" s="50"/>
      <c r="AJ618" s="38">
        <f>IF(ISNUMBER($AD618),SUM($AD618:$AH618),"")</f>
      </c>
      <c r="AK618" s="40">
        <f>IF(AND(ISNUMBER($AB618),ISNUMBER($AD618)),IF($AB618&gt;0,$AD618/$AB618,""),"")</f>
      </c>
      <c r="AL618" s="48" t="inlineStr">
        <is>
          <t xml:space="preserve">At technical</t>
        </is>
      </c>
      <c r="AM618" s="41">
        <f>IF(ISNUMBER($AD618),Header!$I$3,"")</f>
      </c>
      <c r="AN618" s="39">
        <f>IF(ISNUMBER($AD618),$AO618+$AP618,"")</f>
      </c>
      <c r="AO618" s="39">
        <f>IF(ISNUMBER($AD618),ROUND($AD618*Header!$K$3,2),"")</f>
      </c>
      <c r="AP618" s="39">
        <f>IF(ISNUMBER($AD618),ROUND($AD618*Header!$M$3,2),"")</f>
      </c>
      <c r="AQ618" s="38">
        <f>IF(ISNUMBER($AD618),ROUND($AD618,2)-$AO618-$AP618,"")</f>
      </c>
      <c r="AR618" s="39">
        <f>IF(ISNUMBER($AD618),IF(Header!$D$34="","?",$AD618*Header!$D$34),"")</f>
      </c>
      <c r="AS618" s="39">
        <f>IF(ISNUMBER($AB618),IF(Header!$D$34="","?",$AB618*Header!$D$34),"")</f>
      </c>
      <c r="AT618" s="42">
        <f>IF(AND(ISNUMBER($AB618),$M618&gt;0),$AB618/$M618*100,"")</f>
      </c>
      <c r="AU618" s="42">
        <f>IF(AND(ISNUMBER($AD618),$M618&gt;0),$AD618/$M618*100,"")</f>
      </c>
      <c r="AV618" s="40">
        <f>IF(AND(ISNUMBER($AB618),ISNUMBER($AD618),ABS($AB618)&gt;0),$AD618/$AB618,"")</f>
      </c>
      <c r="AW618" s="39">
        <f>IF(ISNUMBER($AD618),MAX(0,(1-0.55-Header!$O$3)*Header!$Q$3*$AQ618),"")</f>
      </c>
      <c r="AX618" s="43">
        <f>IF($A618="","",IF(TRIM(IF($A618="","Missing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",""))="","PASS","FAIL: "&amp;TRIM(IF($A618="","Missing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f>
      </c>
      <c r="AY618" s="44">
        <f>IF($M618="","",IF(ISNUMBER($M618),IF($M618&gt;=Header!$C$18,"YES — refer","No"),""))</f>
      </c>
      <c r="AZ618" s="44">
        <f>IF($AD618="","",IF(ISNUMBER($AD618),IF($AD618&lt;Header!$C$20,"BELOW MIN PREMIUM","OK"),""))</f>
      </c>
      <c r="BA618" s="48" t="inlineStr">
        <is>
          <t xml:space="preserve">Yes</t>
        </is>
      </c>
      <c r="BB618" s="48" t="inlineStr">
        <is>
          <t xml:space="preserve">Yes</t>
        </is>
      </c>
      <c r="BC618" s="46" t="inlineStr">
        <is>
          <t xml:space="preserve">Synthetic demo data</t>
        </is>
      </c>
      <c r="BE618" s="45">
        <f>IF(OR($A618="",$L618="",$H618=""),"",IF(AND(LEFT($L618,2)="06",$H618&gt;1945),"FAIL - pre-war class, year "&amp;$H618,IF(AND(LEFT($L618,2)="07",OR($H618&lt;1946,$H618&gt;1972)),"FAIL - 1946-72 class, year "&amp;$H618,IF(AND(LEFT($L618,2)="08",OR($H618&lt;1973,$H618&gt;1999)),"FAIL - 1973-99 class, year "&amp;$H618,IF(AND(LEFT($L618,2)="09",OR($H618&lt;2000,$H618&gt;2010)),"FAIL - 2000-10 class, year "&amp;$H618,"OK")))))</f>
      </c>
      <c r="BF618" s="45">
        <f>IF($AD618="","",IF(ROUND($AO618+$AP618+$AQ618-$AD618,2)=0,"OK","FAIL - out by "&amp;TEXT($AO618+$AP618+$AQ618-$AD618,"$0.00")))</f>
      </c>
    </row>
    <row r="619" spans="1:58" ht="18.75" customHeight="1" x14ac:dyDescent="0.25">
      <c r="A619" s="30" t="inlineStr">
        <is>
          <t xml:space="preserve">CANON-202602-005497</t>
        </is>
      </c>
      <c r="B619" s="30" t="inlineStr">
        <is>
          <t xml:space="preserve">Priya Underwood</t>
        </is>
      </c>
      <c r="C619" s="31">
        <v>46073</v>
      </c>
      <c r="D619" s="32" t="inlineStr">
        <is>
          <t xml:space="preserve">Bound - within authority</t>
        </is>
      </c>
      <c r="E619" s="32" t="inlineStr">
        <is>
          <t xml:space="preserve">New business</t>
        </is>
      </c>
      <c r="F619" s="30" t="inlineStr">
        <is>
          <t xml:space="preserve">B1234EXOTIC26</t>
        </is>
      </c>
      <c r="G619" s="33">
        <f>IF($A619="","",IF($C619="","",YEAR($C619)))</f>
      </c>
      <c r="H619" s="34">
        <v>1970</v>
      </c>
      <c r="I619" s="30" t="inlineStr">
        <is>
          <t xml:space="preserve">BMW</t>
        </is>
      </c>
      <c r="J619" s="30" t="inlineStr">
        <is>
          <t xml:space="preserve">M8 Competition</t>
        </is>
      </c>
      <c r="K619" s="30" t="inlineStr">
        <is>
          <t xml:space="preserve">BSRS7MCXPZTCJ57SV</t>
        </is>
      </c>
      <c r="L619" s="32" t="inlineStr">
        <is>
          <t xml:space="preserve">02 - Sports / GT</t>
        </is>
      </c>
      <c r="M619" s="35">
        <v>810000</v>
      </c>
      <c r="N619" s="32" t="inlineStr">
        <is>
          <t xml:space="preserve">Personal</t>
        </is>
      </c>
      <c r="O619" s="30" t="inlineStr">
        <is>
          <t xml:space="preserve">Personal - regular use</t>
        </is>
      </c>
      <c r="P619" s="30" t="inlineStr">
        <is>
          <t xml:space="preserve">2,500 - 5,000</t>
        </is>
      </c>
      <c r="Q619" s="30" t="inlineStr">
        <is>
          <t xml:space="preserve">Illinois</t>
        </is>
      </c>
      <c r="R619" s="30" t="inlineStr">
        <is>
          <t xml:space="preserve">60601</t>
        </is>
      </c>
      <c r="S619" s="32" t="inlineStr">
        <is>
          <t xml:space="preserve">Severe convective - hail / tornado (moderate)</t>
        </is>
      </c>
      <c r="T619" s="36">
        <f>IF($A619="","",IF($S619="","",IFERROR(INDEX('[1]natural catastrophe'!$D$6:$D$17,MATCH($S619,'[1]natural catastrophe'!$B$6:$B$17,0)),"?")))</f>
      </c>
      <c r="U619" s="30" t="inlineStr">
        <is>
          <t xml:space="preserve">$5,000</t>
        </is>
      </c>
      <c r="V619" s="32" t="inlineStr">
        <is>
          <t xml:space="preserve">Agreed Value</t>
        </is>
      </c>
      <c r="W619" s="30" t="inlineStr">
        <is>
          <t xml:space="preserve">$1,000</t>
        </is>
      </c>
      <c r="X619" s="32" t="inlineStr">
        <is>
          <t xml:space="preserve">$1,000,000 CSL</t>
        </is>
      </c>
      <c r="Y619" s="30"/>
      <c r="Z619" s="30"/>
      <c r="AA619" s="32" t="inlineStr">
        <is>
          <t xml:space="preserve">Surplus Lines</t>
        </is>
      </c>
      <c r="AB619" s="35">
        <v>11878.16</v>
      </c>
      <c r="AC619" s="37">
        <v>0</v>
      </c>
      <c r="AD619" s="38">
        <f>IF(ISNUMBER($AB619),$AB619*(1+N($AC619)),"")</f>
      </c>
      <c r="AE619" s="35">
        <v>350</v>
      </c>
      <c r="AF619" s="35">
        <v>0</v>
      </c>
      <c r="AG619" s="37"/>
      <c r="AH619" s="39">
        <f>IF(ISNUMBER($AD619),($AD619+$AE619+$AF619)*$AG619,"")</f>
      </c>
      <c r="AI619" s="35"/>
      <c r="AJ619" s="38">
        <f>IF(ISNUMBER($AD619),SUM($AD619:$AH619),"")</f>
      </c>
      <c r="AK619" s="40">
        <f>IF(AND(ISNUMBER($AB619),ISNUMBER($AD619)),IF($AB619&gt;0,$AD619/$AB619,""),"")</f>
      </c>
      <c r="AL619" s="32" t="inlineStr">
        <is>
          <t xml:space="preserve">At technical</t>
        </is>
      </c>
      <c r="AM619" s="41">
        <f>IF(ISNUMBER($AD619),Header!$I$3,"")</f>
      </c>
      <c r="AN619" s="39">
        <f>IF(ISNUMBER($AD619),$AO619+$AP619,"")</f>
      </c>
      <c r="AO619" s="39">
        <f>IF(ISNUMBER($AD619),ROUND($AD619*Header!$K$3,2),"")</f>
      </c>
      <c r="AP619" s="39">
        <f>IF(ISNUMBER($AD619),ROUND($AD619*Header!$M$3,2),"")</f>
      </c>
      <c r="AQ619" s="38">
        <f>IF(ISNUMBER($AD619),ROUND($AD619,2)-$AO619-$AP619,"")</f>
      </c>
      <c r="AR619" s="39">
        <f>IF(ISNUMBER($AD619),IF(Header!$D$34="","?",$AD619*Header!$D$34),"")</f>
      </c>
      <c r="AS619" s="39">
        <f>IF(ISNUMBER($AB619),IF(Header!$D$34="","?",$AB619*Header!$D$34),"")</f>
      </c>
      <c r="AT619" s="42">
        <f>IF(AND(ISNUMBER($AB619),$M619&gt;0),$AB619/$M619*100,"")</f>
      </c>
      <c r="AU619" s="42">
        <f>IF(AND(ISNUMBER($AD619),$M619&gt;0),$AD619/$M619*100,"")</f>
      </c>
      <c r="AV619" s="40">
        <f>IF(AND(ISNUMBER($AB619),ISNUMBER($AD619),ABS($AB619)&gt;0),$AD619/$AB619,"")</f>
      </c>
      <c r="AW619" s="39">
        <f>IF(ISNUMBER($AD619),MAX(0,(1-0.55-Header!$O$3)*Header!$Q$3*$AQ619),"")</f>
      </c>
      <c r="AX619" s="43">
        <f>IF($A619="","",IF(TRIM(IF($A619="","Missing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",""))="","PASS","FAIL: "&amp;TRIM(IF($A619="","Missing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f>
      </c>
      <c r="AY619" s="44">
        <f>IF($M619="","",IF(ISNUMBER($M619),IF($M619&gt;=Header!$C$18,"YES — refer","No"),""))</f>
      </c>
      <c r="AZ619" s="44">
        <f>IF($AD619="","",IF(ISNUMBER($AD619),IF($AD619&lt;Header!$C$20,"BELOW MIN PREMIUM","OK"),""))</f>
      </c>
      <c r="BA619" s="32" t="inlineStr">
        <is>
          <t xml:space="preserve">Yes</t>
        </is>
      </c>
      <c r="BB619" s="32" t="inlineStr">
        <is>
          <t xml:space="preserve">Yes</t>
        </is>
      </c>
      <c r="BC619" s="30" t="inlineStr">
        <is>
          <t xml:space="preserve">Synthetic demo data</t>
        </is>
      </c>
      <c r="BE619" s="45">
        <f>IF(OR($A619="",$L619="",$H619=""),"",IF(AND(LEFT($L619,2)="06",$H619&gt;1945),"FAIL - pre-war class, year "&amp;$H619,IF(AND(LEFT($L619,2)="07",OR($H619&lt;1946,$H619&gt;1972)),"FAIL - 1946-72 class, year "&amp;$H619,IF(AND(LEFT($L619,2)="08",OR($H619&lt;1973,$H619&gt;1999)),"FAIL - 1973-99 class, year "&amp;$H619,IF(AND(LEFT($L619,2)="09",OR($H619&lt;2000,$H619&gt;2010)),"FAIL - 2000-10 class, year "&amp;$H619,"OK")))))</f>
      </c>
      <c r="BF619" s="45">
        <f>IF($AD619="","",IF(ROUND($AO619+$AP619+$AQ619-$AD619,2)=0,"OK","FAIL - out by "&amp;TEXT($AO619+$AP619+$AQ619-$AD619,"$0.00")))</f>
      </c>
    </row>
    <row r="620" spans="1:58" ht="18.75" customHeight="1" x14ac:dyDescent="0.25">
      <c r="A620" s="46" t="inlineStr">
        <is>
          <t xml:space="preserve">CANON-202602-005500</t>
        </is>
      </c>
      <c r="B620" s="46" t="inlineStr">
        <is>
          <t xml:space="preserve">Desmond Merriweather</t>
        </is>
      </c>
      <c r="C620" s="47">
        <v>46056</v>
      </c>
      <c r="D620" s="48" t="inlineStr">
        <is>
          <t xml:space="preserve">Bound - within authority</t>
        </is>
      </c>
      <c r="E620" s="48" t="inlineStr">
        <is>
          <t xml:space="preserve">New business</t>
        </is>
      </c>
      <c r="F620" s="46" t="inlineStr">
        <is>
          <t xml:space="preserve">B1234EXOTIC26</t>
        </is>
      </c>
      <c r="G620" s="33">
        <f>IF($A620="","",IF($C620="","",YEAR($C620)))</f>
      </c>
      <c r="H620" s="49">
        <v>1982</v>
      </c>
      <c r="I620" s="46" t="inlineStr">
        <is>
          <t xml:space="preserve">Ferrari</t>
        </is>
      </c>
      <c r="J620" s="46" t="inlineStr">
        <is>
          <t xml:space="preserve">SF90 Stradale</t>
        </is>
      </c>
      <c r="K620" s="46" t="inlineStr">
        <is>
          <t xml:space="preserve">P8TXHZRBFDXR68F7N</t>
        </is>
      </c>
      <c r="L620" s="48" t="inlineStr">
        <is>
          <t xml:space="preserve">03 - Supercar</t>
        </is>
      </c>
      <c r="M620" s="50">
        <v>1260000</v>
      </c>
      <c r="N620" s="48" t="inlineStr">
        <is>
          <t xml:space="preserve">Personal</t>
        </is>
      </c>
      <c r="O620" s="46" t="inlineStr">
        <is>
          <t xml:space="preserve">Personal - regular use</t>
        </is>
      </c>
      <c r="P620" s="46" t="inlineStr">
        <is>
          <t xml:space="preserve">1,000 - 2,500</t>
        </is>
      </c>
      <c r="Q620" s="46" t="inlineStr">
        <is>
          <t xml:space="preserve">Utah</t>
        </is>
      </c>
      <c r="R620" s="46" t="inlineStr">
        <is>
          <t xml:space="preserve">84101</t>
        </is>
      </c>
      <c r="S620" s="48" t="inlineStr">
        <is>
          <t xml:space="preserve">Wildfire - WUI high hazard</t>
        </is>
      </c>
      <c r="T620" s="36">
        <f>IF($A620="","",IF($S620="","",IFERROR(INDEX('[1]natural catastrophe'!$D$6:$D$17,MATCH($S620,'[1]natural catastrophe'!$B$6:$B$17,0)),"?")))</f>
      </c>
      <c r="U620" s="46" t="inlineStr">
        <is>
          <t xml:space="preserve">$5,000</t>
        </is>
      </c>
      <c r="V620" s="48" t="inlineStr">
        <is>
          <t xml:space="preserve">Agreed Value</t>
        </is>
      </c>
      <c r="W620" s="46" t="inlineStr">
        <is>
          <t xml:space="preserve">$1,000</t>
        </is>
      </c>
      <c r="X620" s="48" t="inlineStr">
        <is>
          <t xml:space="preserve">$1,000,000 CSL</t>
        </is>
      </c>
      <c r="Y620" s="46"/>
      <c r="Z620" s="46"/>
      <c r="AA620" s="48" t="inlineStr">
        <is>
          <t xml:space="preserve">Surplus Lines</t>
        </is>
      </c>
      <c r="AB620" s="50">
        <v>22573.87</v>
      </c>
      <c r="AC620" s="51">
        <v>0</v>
      </c>
      <c r="AD620" s="38">
        <f>IF(ISNUMBER($AB620),$AB620*(1+N($AC620)),"")</f>
      </c>
      <c r="AE620" s="50">
        <v>350</v>
      </c>
      <c r="AF620" s="50">
        <v>250</v>
      </c>
      <c r="AG620" s="51"/>
      <c r="AH620" s="39">
        <f>IF(ISNUMBER($AD620),($AD620+$AE620+$AF620)*$AG620,"")</f>
      </c>
      <c r="AI620" s="50"/>
      <c r="AJ620" s="38">
        <f>IF(ISNUMBER($AD620),SUM($AD620:$AH620),"")</f>
      </c>
      <c r="AK620" s="40">
        <f>IF(AND(ISNUMBER($AB620),ISNUMBER($AD620)),IF($AB620&gt;0,$AD620/$AB620,""),"")</f>
      </c>
      <c r="AL620" s="48" t="inlineStr">
        <is>
          <t xml:space="preserve">At technical</t>
        </is>
      </c>
      <c r="AM620" s="41">
        <f>IF(ISNUMBER($AD620),Header!$I$3,"")</f>
      </c>
      <c r="AN620" s="39">
        <f>IF(ISNUMBER($AD620),$AO620+$AP620,"")</f>
      </c>
      <c r="AO620" s="39">
        <f>IF(ISNUMBER($AD620),ROUND($AD620*Header!$K$3,2),"")</f>
      </c>
      <c r="AP620" s="39">
        <f>IF(ISNUMBER($AD620),ROUND($AD620*Header!$M$3,2),"")</f>
      </c>
      <c r="AQ620" s="38">
        <f>IF(ISNUMBER($AD620),ROUND($AD620,2)-$AO620-$AP620,"")</f>
      </c>
      <c r="AR620" s="39">
        <f>IF(ISNUMBER($AD620),IF(Header!$D$34="","?",$AD620*Header!$D$34),"")</f>
      </c>
      <c r="AS620" s="39">
        <f>IF(ISNUMBER($AB620),IF(Header!$D$34="","?",$AB620*Header!$D$34),"")</f>
      </c>
      <c r="AT620" s="42">
        <f>IF(AND(ISNUMBER($AB620),$M620&gt;0),$AB620/$M620*100,"")</f>
      </c>
      <c r="AU620" s="42">
        <f>IF(AND(ISNUMBER($AD620),$M620&gt;0),$AD620/$M620*100,"")</f>
      </c>
      <c r="AV620" s="40">
        <f>IF(AND(ISNUMBER($AB620),ISNUMBER($AD620),ABS($AB620)&gt;0),$AD620/$AB620,"")</f>
      </c>
      <c r="AW620" s="39">
        <f>IF(ISNUMBER($AD620),MAX(0,(1-0.55-Header!$O$3)*Header!$Q$3*$AQ620),"")</f>
      </c>
      <c r="AX620" s="43">
        <f>IF($A620="","",IF(TRIM(IF($A620="","Missing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",""))="","PASS","FAIL: "&amp;TRIM(IF($A620="","Missing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f>
      </c>
      <c r="AY620" s="44">
        <f>IF($M620="","",IF(ISNUMBER($M620),IF($M620&gt;=Header!$C$18,"YES — refer","No"),""))</f>
      </c>
      <c r="AZ620" s="44">
        <f>IF($AD620="","",IF(ISNUMBER($AD620),IF($AD620&lt;Header!$C$20,"BELOW MIN PREMIUM","OK"),""))</f>
      </c>
      <c r="BA620" s="48" t="inlineStr">
        <is>
          <t xml:space="preserve">Yes</t>
        </is>
      </c>
      <c r="BB620" s="48" t="inlineStr">
        <is>
          <t xml:space="preserve">Yes</t>
        </is>
      </c>
      <c r="BC620" s="46" t="inlineStr">
        <is>
          <t xml:space="preserve">Synthetic demo data</t>
        </is>
      </c>
      <c r="BE620" s="45">
        <f>IF(OR($A620="",$L620="",$H620=""),"",IF(AND(LEFT($L620,2)="06",$H620&gt;1945),"FAIL - pre-war class, year "&amp;$H620,IF(AND(LEFT($L620,2)="07",OR($H620&lt;1946,$H620&gt;1972)),"FAIL - 1946-72 class, year "&amp;$H620,IF(AND(LEFT($L620,2)="08",OR($H620&lt;1973,$H620&gt;1999)),"FAIL - 1973-99 class, year "&amp;$H620,IF(AND(LEFT($L620,2)="09",OR($H620&lt;2000,$H620&gt;2010)),"FAIL - 2000-10 class, year "&amp;$H620,"OK")))))</f>
      </c>
      <c r="BF620" s="45">
        <f>IF($AD620="","",IF(ROUND($AO620+$AP620+$AQ620-$AD620,2)=0,"OK","FAIL - out by "&amp;TEXT($AO620+$AP620+$AQ620-$AD620,"$0.00")))</f>
      </c>
    </row>
    <row r="621" spans="1:58" ht="18.75" customHeight="1" x14ac:dyDescent="0.25">
      <c r="A621" s="30" t="inlineStr">
        <is>
          <t xml:space="preserve">CANON-202602-005501</t>
        </is>
      </c>
      <c r="B621" s="30" t="inlineStr">
        <is>
          <t xml:space="preserve">Emiliano Okonkwo</t>
        </is>
      </c>
      <c r="C621" s="31">
        <v>46063</v>
      </c>
      <c r="D621" s="32" t="inlineStr">
        <is>
          <t xml:space="preserve">Bound - within authority</t>
        </is>
      </c>
      <c r="E621" s="32" t="inlineStr">
        <is>
          <t xml:space="preserve">New business</t>
        </is>
      </c>
      <c r="F621" s="30" t="inlineStr">
        <is>
          <t xml:space="preserve">B1234EXOTIC26</t>
        </is>
      </c>
      <c r="G621" s="33">
        <f>IF($A621="","",IF($C621="","",YEAR($C621)))</f>
      </c>
      <c r="H621" s="34">
        <v>1972</v>
      </c>
      <c r="I621" s="30" t="inlineStr">
        <is>
          <t xml:space="preserve">McLaren</t>
        </is>
      </c>
      <c r="J621" s="30" t="inlineStr">
        <is>
          <t xml:space="preserve">750S</t>
        </is>
      </c>
      <c r="K621" s="30" t="inlineStr">
        <is>
          <t xml:space="preserve">GHL2BDH07FE905C0W</t>
        </is>
      </c>
      <c r="L621" s="32" t="inlineStr">
        <is>
          <t xml:space="preserve">03 - Supercar</t>
        </is>
      </c>
      <c r="M621" s="35">
        <v>900000</v>
      </c>
      <c r="N621" s="32" t="inlineStr">
        <is>
          <t xml:space="preserve">Personal</t>
        </is>
      </c>
      <c r="O621" s="30" t="inlineStr">
        <is>
          <t xml:space="preserve">Personal - regular use</t>
        </is>
      </c>
      <c r="P621" s="30" t="inlineStr">
        <is>
          <t xml:space="preserve">2,500 - 5,000</t>
        </is>
      </c>
      <c r="Q621" s="30" t="inlineStr">
        <is>
          <t xml:space="preserve">Texas</t>
        </is>
      </c>
      <c r="R621" s="30" t="inlineStr">
        <is>
          <t xml:space="preserve">75201</t>
        </is>
      </c>
      <c r="S621" s="32" t="inlineStr">
        <is>
          <t xml:space="preserve">Tier 2 - Coastal wind (1-25 miles)</t>
        </is>
      </c>
      <c r="T621" s="36">
        <f>IF($A621="","",IF($S621="","",IFERROR(INDEX('[1]natural catastrophe'!$D$6:$D$17,MATCH($S621,'[1]natural catastrophe'!$B$6:$B$17,0)),"?")))</f>
      </c>
      <c r="U621" s="30" t="inlineStr">
        <is>
          <t xml:space="preserve">2% of agreed value, minimum $10,000</t>
        </is>
      </c>
      <c r="V621" s="32" t="inlineStr">
        <is>
          <t xml:space="preserve">Agreed Value</t>
        </is>
      </c>
      <c r="W621" s="30" t="inlineStr">
        <is>
          <t xml:space="preserve">$1,000</t>
        </is>
      </c>
      <c r="X621" s="32" t="inlineStr">
        <is>
          <t xml:space="preserve">$1,000,000 CSL</t>
        </is>
      </c>
      <c r="Y621" s="30"/>
      <c r="Z621" s="30"/>
      <c r="AA621" s="32" t="inlineStr">
        <is>
          <t xml:space="preserve">Surplus Lines</t>
        </is>
      </c>
      <c r="AB621" s="35">
        <v>16310.82</v>
      </c>
      <c r="AC621" s="37">
        <v>0</v>
      </c>
      <c r="AD621" s="38">
        <f>IF(ISNUMBER($AB621),$AB621*(1+N($AC621)),"")</f>
      </c>
      <c r="AE621" s="35">
        <v>350</v>
      </c>
      <c r="AF621" s="35">
        <v>0</v>
      </c>
      <c r="AG621" s="37"/>
      <c r="AH621" s="39">
        <f>IF(ISNUMBER($AD621),($AD621+$AE621+$AF621)*$AG621,"")</f>
      </c>
      <c r="AI621" s="35"/>
      <c r="AJ621" s="38">
        <f>IF(ISNUMBER($AD621),SUM($AD621:$AH621),"")</f>
      </c>
      <c r="AK621" s="40">
        <f>IF(AND(ISNUMBER($AB621),ISNUMBER($AD621)),IF($AB621&gt;0,$AD621/$AB621,""),"")</f>
      </c>
      <c r="AL621" s="32" t="inlineStr">
        <is>
          <t xml:space="preserve">At technical</t>
        </is>
      </c>
      <c r="AM621" s="41">
        <f>IF(ISNUMBER($AD621),Header!$I$3,"")</f>
      </c>
      <c r="AN621" s="39">
        <f>IF(ISNUMBER($AD621),$AO621+$AP621,"")</f>
      </c>
      <c r="AO621" s="39">
        <f>IF(ISNUMBER($AD621),ROUND($AD621*Header!$K$3,2),"")</f>
      </c>
      <c r="AP621" s="39">
        <f>IF(ISNUMBER($AD621),ROUND($AD621*Header!$M$3,2),"")</f>
      </c>
      <c r="AQ621" s="38">
        <f>IF(ISNUMBER($AD621),ROUND($AD621,2)-$AO621-$AP621,"")</f>
      </c>
      <c r="AR621" s="39">
        <f>IF(ISNUMBER($AD621),IF(Header!$D$34="","?",$AD621*Header!$D$34),"")</f>
      </c>
      <c r="AS621" s="39">
        <f>IF(ISNUMBER($AB621),IF(Header!$D$34="","?",$AB621*Header!$D$34),"")</f>
      </c>
      <c r="AT621" s="42">
        <f>IF(AND(ISNUMBER($AB621),$M621&gt;0),$AB621/$M621*100,"")</f>
      </c>
      <c r="AU621" s="42">
        <f>IF(AND(ISNUMBER($AD621),$M621&gt;0),$AD621/$M621*100,"")</f>
      </c>
      <c r="AV621" s="40">
        <f>IF(AND(ISNUMBER($AB621),ISNUMBER($AD621),ABS($AB621)&gt;0),$AD621/$AB621,"")</f>
      </c>
      <c r="AW621" s="39">
        <f>IF(ISNUMBER($AD621),MAX(0,(1-0.55-Header!$O$3)*Header!$Q$3*$AQ621),"")</f>
      </c>
      <c r="AX621" s="43">
        <f>IF($A621="","",IF(TRIM(IF($A621="","Missing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",""))="","PASS","FAIL: "&amp;TRIM(IF($A621="","Missing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f>
      </c>
      <c r="AY621" s="44">
        <f>IF($M621="","",IF(ISNUMBER($M621),IF($M621&gt;=Header!$C$18,"YES — refer","No"),""))</f>
      </c>
      <c r="AZ621" s="44">
        <f>IF($AD621="","",IF(ISNUMBER($AD621),IF($AD621&lt;Header!$C$20,"BELOW MIN PREMIUM","OK"),""))</f>
      </c>
      <c r="BA621" s="32" t="inlineStr">
        <is>
          <t xml:space="preserve">Yes</t>
        </is>
      </c>
      <c r="BB621" s="32" t="inlineStr">
        <is>
          <t xml:space="preserve">Yes</t>
        </is>
      </c>
      <c r="BC621" s="30" t="inlineStr">
        <is>
          <t xml:space="preserve">Synthetic demo data</t>
        </is>
      </c>
      <c r="BE621" s="45">
        <f>IF(OR($A621="",$L621="",$H621=""),"",IF(AND(LEFT($L621,2)="06",$H621&gt;1945),"FAIL - pre-war class, year "&amp;$H621,IF(AND(LEFT($L621,2)="07",OR($H621&lt;1946,$H621&gt;1972)),"FAIL - 1946-72 class, year "&amp;$H621,IF(AND(LEFT($L621,2)="08",OR($H621&lt;1973,$H621&gt;1999)),"FAIL - 1973-99 class, year "&amp;$H621,IF(AND(LEFT($L621,2)="09",OR($H621&lt;2000,$H621&gt;2010)),"FAIL - 2000-10 class, year "&amp;$H621,"OK")))))</f>
      </c>
      <c r="BF621" s="45">
        <f>IF($AD621="","",IF(ROUND($AO621+$AP621+$AQ621-$AD621,2)=0,"OK","FAIL - out by "&amp;TEXT($AO621+$AP621+$AQ621-$AD621,"$0.00")))</f>
      </c>
    </row>
    <row r="622" spans="1:58" ht="18.75" customHeight="1" x14ac:dyDescent="0.25">
      <c r="A622" s="46" t="inlineStr">
        <is>
          <t xml:space="preserve">CANON-202602-005502</t>
        </is>
      </c>
      <c r="B622" s="46" t="inlineStr">
        <is>
          <t xml:space="preserve">Lorenzo Harrington</t>
        </is>
      </c>
      <c r="C622" s="47">
        <v>46060</v>
      </c>
      <c r="D622" s="48" t="inlineStr">
        <is>
          <t xml:space="preserve">Bound - within authority</t>
        </is>
      </c>
      <c r="E622" s="48" t="inlineStr">
        <is>
          <t xml:space="preserve">New business</t>
        </is>
      </c>
      <c r="F622" s="46" t="inlineStr">
        <is>
          <t xml:space="preserve">B1234EXOTIC26</t>
        </is>
      </c>
      <c r="G622" s="33">
        <f>IF($A622="","",IF($C622="","",YEAR($C622)))</f>
      </c>
      <c r="H622" s="49">
        <v>1960</v>
      </c>
      <c r="I622" s="46" t="inlineStr">
        <is>
          <t xml:space="preserve">Mercedes-Benz</t>
        </is>
      </c>
      <c r="J622" s="46" t="inlineStr">
        <is>
          <t xml:space="preserve">AMG GT</t>
        </is>
      </c>
      <c r="K622" s="46" t="inlineStr">
        <is>
          <t xml:space="preserve">MYR34U72VNWYFPR40</t>
        </is>
      </c>
      <c r="L622" s="48" t="inlineStr">
        <is>
          <t xml:space="preserve">02 - Sports / GT</t>
        </is>
      </c>
      <c r="M622" s="50">
        <v>200000</v>
      </c>
      <c r="N622" s="48" t="inlineStr">
        <is>
          <t xml:space="preserve">Personal</t>
        </is>
      </c>
      <c r="O622" s="46" t="inlineStr">
        <is>
          <t xml:space="preserve">Personal - regular use</t>
        </is>
      </c>
      <c r="P622" s="46" t="inlineStr">
        <is>
          <t xml:space="preserve">1,000 - 2,500</t>
        </is>
      </c>
      <c r="Q622" s="46" t="inlineStr">
        <is>
          <t xml:space="preserve">Georgia</t>
        </is>
      </c>
      <c r="R622" s="46" t="inlineStr">
        <is>
          <t xml:space="preserve">30303</t>
        </is>
      </c>
      <c r="S622" s="48" t="inlineStr">
        <is>
          <t xml:space="preserve">Tier 2 - Coastal wind (1-25 miles)</t>
        </is>
      </c>
      <c r="T622" s="36">
        <f>IF($A622="","",IF($S622="","",IFERROR(INDEX('[1]natural catastrophe'!$D$6:$D$17,MATCH($S622,'[1]natural catastrophe'!$B$6:$B$17,0)),"?")))</f>
      </c>
      <c r="U622" s="46" t="inlineStr">
        <is>
          <t xml:space="preserve">2% of agreed value, minimum $10,000</t>
        </is>
      </c>
      <c r="V622" s="48" t="inlineStr">
        <is>
          <t xml:space="preserve">Agreed Value</t>
        </is>
      </c>
      <c r="W622" s="46" t="inlineStr">
        <is>
          <t xml:space="preserve">$1,000</t>
        </is>
      </c>
      <c r="X622" s="48" t="inlineStr">
        <is>
          <t xml:space="preserve">$1,000,000 CSL</t>
        </is>
      </c>
      <c r="Y622" s="46"/>
      <c r="Z622" s="46"/>
      <c r="AA622" s="48" t="inlineStr">
        <is>
          <t xml:space="preserve">Surplus Lines</t>
        </is>
      </c>
      <c r="AB622" s="50">
        <v>3418.59</v>
      </c>
      <c r="AC622" s="51">
        <v>0</v>
      </c>
      <c r="AD622" s="38">
        <f>IF(ISNUMBER($AB622),$AB622*(1+N($AC622)),"")</f>
      </c>
      <c r="AE622" s="50">
        <v>350</v>
      </c>
      <c r="AF622" s="50">
        <v>0</v>
      </c>
      <c r="AG622" s="51"/>
      <c r="AH622" s="39">
        <f>IF(ISNUMBER($AD622),($AD622+$AE622+$AF622)*$AG622,"")</f>
      </c>
      <c r="AI622" s="50"/>
      <c r="AJ622" s="38">
        <f>IF(ISNUMBER($AD622),SUM($AD622:$AH622),"")</f>
      </c>
      <c r="AK622" s="40">
        <f>IF(AND(ISNUMBER($AB622),ISNUMBER($AD622)),IF($AB622&gt;0,$AD622/$AB622,""),"")</f>
      </c>
      <c r="AL622" s="48" t="inlineStr">
        <is>
          <t xml:space="preserve">At technical</t>
        </is>
      </c>
      <c r="AM622" s="41">
        <f>IF(ISNUMBER($AD622),Header!$I$3,"")</f>
      </c>
      <c r="AN622" s="39">
        <f>IF(ISNUMBER($AD622),$AO622+$AP622,"")</f>
      </c>
      <c r="AO622" s="39">
        <f>IF(ISNUMBER($AD622),ROUND($AD622*Header!$K$3,2),"")</f>
      </c>
      <c r="AP622" s="39">
        <f>IF(ISNUMBER($AD622),ROUND($AD622*Header!$M$3,2),"")</f>
      </c>
      <c r="AQ622" s="38">
        <f>IF(ISNUMBER($AD622),ROUND($AD622,2)-$AO622-$AP622,"")</f>
      </c>
      <c r="AR622" s="39">
        <f>IF(ISNUMBER($AD622),IF(Header!$D$34="","?",$AD622*Header!$D$34),"")</f>
      </c>
      <c r="AS622" s="39">
        <f>IF(ISNUMBER($AB622),IF(Header!$D$34="","?",$AB622*Header!$D$34),"")</f>
      </c>
      <c r="AT622" s="42">
        <f>IF(AND(ISNUMBER($AB622),$M622&gt;0),$AB622/$M622*100,"")</f>
      </c>
      <c r="AU622" s="42">
        <f>IF(AND(ISNUMBER($AD622),$M622&gt;0),$AD622/$M622*100,"")</f>
      </c>
      <c r="AV622" s="40">
        <f>IF(AND(ISNUMBER($AB622),ISNUMBER($AD622),ABS($AB622)&gt;0),$AD622/$AB622,"")</f>
      </c>
      <c r="AW622" s="39">
        <f>IF(ISNUMBER($AD622),MAX(0,(1-0.55-Header!$O$3)*Header!$Q$3*$AQ622),"")</f>
      </c>
      <c r="AX622" s="43">
        <f>IF($A622="","",IF(TRIM(IF($A622="","Missing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",""))="","PASS","FAIL: "&amp;TRIM(IF($A622="","Missing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f>
      </c>
      <c r="AY622" s="44">
        <f>IF($M622="","",IF(ISNUMBER($M622),IF($M622&gt;=Header!$C$18,"YES — refer","No"),""))</f>
      </c>
      <c r="AZ622" s="44">
        <f>IF($AD622="","",IF(ISNUMBER($AD622),IF($AD622&lt;Header!$C$20,"BELOW MIN PREMIUM","OK"),""))</f>
      </c>
      <c r="BA622" s="48" t="inlineStr">
        <is>
          <t xml:space="preserve">Yes</t>
        </is>
      </c>
      <c r="BB622" s="48" t="inlineStr">
        <is>
          <t xml:space="preserve">Yes</t>
        </is>
      </c>
      <c r="BC622" s="46" t="inlineStr">
        <is>
          <t xml:space="preserve">Synthetic demo data</t>
        </is>
      </c>
      <c r="BE622" s="45">
        <f>IF(OR($A622="",$L622="",$H622=""),"",IF(AND(LEFT($L622,2)="06",$H622&gt;1945),"FAIL - pre-war class, year "&amp;$H622,IF(AND(LEFT($L622,2)="07",OR($H622&lt;1946,$H622&gt;1972)),"FAIL - 1946-72 class, year "&amp;$H622,IF(AND(LEFT($L622,2)="08",OR($H622&lt;1973,$H622&gt;1999)),"FAIL - 1973-99 class, year "&amp;$H622,IF(AND(LEFT($L622,2)="09",OR($H622&lt;2000,$H622&gt;2010)),"FAIL - 2000-10 class, year "&amp;$H622,"OK")))))</f>
      </c>
      <c r="BF622" s="45">
        <f>IF($AD622="","",IF(ROUND($AO622+$AP622+$AQ622-$AD622,2)=0,"OK","FAIL - out by "&amp;TEXT($AO622+$AP622+$AQ622-$AD622,"$0.00")))</f>
      </c>
    </row>
    <row r="623" spans="1:58" ht="18.75" customHeight="1" x14ac:dyDescent="0.25">
      <c r="A623" s="30" t="inlineStr">
        <is>
          <t xml:space="preserve">CANON-202602-005503</t>
        </is>
      </c>
      <c r="B623" s="30" t="inlineStr">
        <is>
          <t xml:space="preserve">Lorenzo Vasquez</t>
        </is>
      </c>
      <c r="C623" s="31">
        <v>46074</v>
      </c>
      <c r="D623" s="32" t="inlineStr">
        <is>
          <t xml:space="preserve">Bound - within authority</t>
        </is>
      </c>
      <c r="E623" s="32" t="inlineStr">
        <is>
          <t xml:space="preserve">New business</t>
        </is>
      </c>
      <c r="F623" s="30" t="inlineStr">
        <is>
          <t xml:space="preserve">B1234EXOTIC26</t>
        </is>
      </c>
      <c r="G623" s="33">
        <f>IF($A623="","",IF($C623="","",YEAR($C623)))</f>
      </c>
      <c r="H623" s="34">
        <v>2023</v>
      </c>
      <c r="I623" s="30" t="inlineStr">
        <is>
          <t xml:space="preserve">Ferrari</t>
        </is>
      </c>
      <c r="J623" s="30" t="inlineStr">
        <is>
          <t xml:space="preserve">296 GTB</t>
        </is>
      </c>
      <c r="K623" s="30" t="inlineStr">
        <is>
          <t xml:space="preserve">V2TKBF9EJ4AXS9LY0</t>
        </is>
      </c>
      <c r="L623" s="32" t="inlineStr">
        <is>
          <t xml:space="preserve">03 - Supercar</t>
        </is>
      </c>
      <c r="M623" s="35">
        <v>1080000</v>
      </c>
      <c r="N623" s="32" t="inlineStr">
        <is>
          <t xml:space="preserve">Personal</t>
        </is>
      </c>
      <c r="O623" s="30" t="inlineStr">
        <is>
          <t xml:space="preserve">Personal - regular use</t>
        </is>
      </c>
      <c r="P623" s="30" t="inlineStr">
        <is>
          <t xml:space="preserve">2,500 - 5,000</t>
        </is>
      </c>
      <c r="Q623" s="30" t="inlineStr">
        <is>
          <t xml:space="preserve">Colorado</t>
        </is>
      </c>
      <c r="R623" s="30" t="inlineStr">
        <is>
          <t xml:space="preserve">80202</t>
        </is>
      </c>
      <c r="S623" s="32" t="inlineStr">
        <is>
          <t xml:space="preserve">Severe convective - hail alley (high)</t>
        </is>
      </c>
      <c r="T623" s="36">
        <f>IF($A623="","",IF($S623="","",IFERROR(INDEX('[1]natural catastrophe'!$D$6:$D$17,MATCH($S623,'[1]natural catastrophe'!$B$6:$B$17,0)),"?")))</f>
      </c>
      <c r="U623" s="30" t="inlineStr">
        <is>
          <t xml:space="preserve">$5,000</t>
        </is>
      </c>
      <c r="V623" s="32" t="inlineStr">
        <is>
          <t xml:space="preserve">Agreed Value</t>
        </is>
      </c>
      <c r="W623" s="30" t="inlineStr">
        <is>
          <t xml:space="preserve">$1,000</t>
        </is>
      </c>
      <c r="X623" s="32" t="inlineStr">
        <is>
          <t xml:space="preserve">$1,000,000 CSL</t>
        </is>
      </c>
      <c r="Y623" s="30"/>
      <c r="Z623" s="30"/>
      <c r="AA623" s="32" t="inlineStr">
        <is>
          <t xml:space="preserve">Surplus Lines</t>
        </is>
      </c>
      <c r="AB623" s="35">
        <v>15765.88</v>
      </c>
      <c r="AC623" s="37">
        <v>0</v>
      </c>
      <c r="AD623" s="38">
        <f>IF(ISNUMBER($AB623),$AB623*(1+N($AC623)),"")</f>
      </c>
      <c r="AE623" s="35">
        <v>350</v>
      </c>
      <c r="AF623" s="35">
        <v>250</v>
      </c>
      <c r="AG623" s="37"/>
      <c r="AH623" s="39">
        <f>IF(ISNUMBER($AD623),($AD623+$AE623+$AF623)*$AG623,"")</f>
      </c>
      <c r="AI623" s="35"/>
      <c r="AJ623" s="38">
        <f>IF(ISNUMBER($AD623),SUM($AD623:$AH623),"")</f>
      </c>
      <c r="AK623" s="40">
        <f>IF(AND(ISNUMBER($AB623),ISNUMBER($AD623)),IF($AB623&gt;0,$AD623/$AB623,""),"")</f>
      </c>
      <c r="AL623" s="32" t="inlineStr">
        <is>
          <t xml:space="preserve">At technical</t>
        </is>
      </c>
      <c r="AM623" s="41">
        <f>IF(ISNUMBER($AD623),Header!$I$3,"")</f>
      </c>
      <c r="AN623" s="39">
        <f>IF(ISNUMBER($AD623),$AO623+$AP623,"")</f>
      </c>
      <c r="AO623" s="39">
        <f>IF(ISNUMBER($AD623),ROUND($AD623*Header!$K$3,2),"")</f>
      </c>
      <c r="AP623" s="39">
        <f>IF(ISNUMBER($AD623),ROUND($AD623*Header!$M$3,2),"")</f>
      </c>
      <c r="AQ623" s="38">
        <f>IF(ISNUMBER($AD623),ROUND($AD623,2)-$AO623-$AP623,"")</f>
      </c>
      <c r="AR623" s="39">
        <f>IF(ISNUMBER($AD623),IF(Header!$D$34="","?",$AD623*Header!$D$34),"")</f>
      </c>
      <c r="AS623" s="39">
        <f>IF(ISNUMBER($AB623),IF(Header!$D$34="","?",$AB623*Header!$D$34),"")</f>
      </c>
      <c r="AT623" s="42">
        <f>IF(AND(ISNUMBER($AB623),$M623&gt;0),$AB623/$M623*100,"")</f>
      </c>
      <c r="AU623" s="42">
        <f>IF(AND(ISNUMBER($AD623),$M623&gt;0),$AD623/$M623*100,"")</f>
      </c>
      <c r="AV623" s="40">
        <f>IF(AND(ISNUMBER($AB623),ISNUMBER($AD623),ABS($AB623)&gt;0),$AD623/$AB623,"")</f>
      </c>
      <c r="AW623" s="39">
        <f>IF(ISNUMBER($AD623),MAX(0,(1-0.55-Header!$O$3)*Header!$Q$3*$AQ623),"")</f>
      </c>
      <c r="AX623" s="43">
        <f>IF($A623="","",IF(TRIM(IF($A623="","Missing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",""))="","PASS","FAIL: "&amp;TRIM(IF($A623="","Missing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f>
      </c>
      <c r="AY623" s="44">
        <f>IF($M623="","",IF(ISNUMBER($M623),IF($M623&gt;=Header!$C$18,"YES — refer","No"),""))</f>
      </c>
      <c r="AZ623" s="44">
        <f>IF($AD623="","",IF(ISNUMBER($AD623),IF($AD623&lt;Header!$C$20,"BELOW MIN PREMIUM","OK"),""))</f>
      </c>
      <c r="BA623" s="32" t="inlineStr">
        <is>
          <t xml:space="preserve">Yes</t>
        </is>
      </c>
      <c r="BB623" s="32" t="inlineStr">
        <is>
          <t xml:space="preserve">Yes</t>
        </is>
      </c>
      <c r="BC623" s="30" t="inlineStr">
        <is>
          <t xml:space="preserve">Synthetic demo data</t>
        </is>
      </c>
      <c r="BE623" s="45">
        <f>IF(OR($A623="",$L623="",$H623=""),"",IF(AND(LEFT($L623,2)="06",$H623&gt;1945),"FAIL - pre-war class, year "&amp;$H623,IF(AND(LEFT($L623,2)="07",OR($H623&lt;1946,$H623&gt;1972)),"FAIL - 1946-72 class, year "&amp;$H623,IF(AND(LEFT($L623,2)="08",OR($H623&lt;1973,$H623&gt;1999)),"FAIL - 1973-99 class, year "&amp;$H623,IF(AND(LEFT($L623,2)="09",OR($H623&lt;2000,$H623&gt;2010)),"FAIL - 2000-10 class, year "&amp;$H623,"OK")))))</f>
      </c>
      <c r="BF623" s="45">
        <f>IF($AD623="","",IF(ROUND($AO623+$AP623+$AQ623-$AD623,2)=0,"OK","FAIL - out by "&amp;TEXT($AO623+$AP623+$AQ623-$AD623,"$0.00")))</f>
      </c>
    </row>
    <row r="624" spans="1:58" ht="18.75" customHeight="1" x14ac:dyDescent="0.25">
      <c r="A624" s="46" t="inlineStr">
        <is>
          <t xml:space="preserve">CANON-202602-005504</t>
        </is>
      </c>
      <c r="B624" s="46" t="inlineStr">
        <is>
          <t xml:space="preserve">Fenwick Castellanos</t>
        </is>
      </c>
      <c r="C624" s="47">
        <v>46062</v>
      </c>
      <c r="D624" s="48" t="inlineStr">
        <is>
          <t xml:space="preserve">Bound - within authority</t>
        </is>
      </c>
      <c r="E624" s="48" t="inlineStr">
        <is>
          <t xml:space="preserve">New business</t>
        </is>
      </c>
      <c r="F624" s="46" t="inlineStr">
        <is>
          <t xml:space="preserve">B1234EXOTIC26</t>
        </is>
      </c>
      <c r="G624" s="33">
        <f>IF($A624="","",IF($C624="","",YEAR($C624)))</f>
      </c>
      <c r="H624" s="49">
        <v>1970</v>
      </c>
      <c r="I624" s="46" t="inlineStr">
        <is>
          <t xml:space="preserve">Mercedes-Benz</t>
        </is>
      </c>
      <c r="J624" s="46" t="inlineStr">
        <is>
          <t xml:space="preserve">AMG GT</t>
        </is>
      </c>
      <c r="K624" s="46" t="inlineStr">
        <is>
          <t xml:space="preserve">6DCNKSBN22W1BFWCY</t>
        </is>
      </c>
      <c r="L624" s="48" t="inlineStr">
        <is>
          <t xml:space="preserve">02 - Sports / GT</t>
        </is>
      </c>
      <c r="M624" s="50">
        <v>595000</v>
      </c>
      <c r="N624" s="48" t="inlineStr">
        <is>
          <t xml:space="preserve">Personal</t>
        </is>
      </c>
      <c r="O624" s="46" t="inlineStr">
        <is>
          <t xml:space="preserve">Personal - regular use</t>
        </is>
      </c>
      <c r="P624" s="46" t="inlineStr">
        <is>
          <t xml:space="preserve">2,500 - 5,000</t>
        </is>
      </c>
      <c r="Q624" s="46" t="inlineStr">
        <is>
          <t xml:space="preserve">Wisconsin</t>
        </is>
      </c>
      <c r="R624" s="46" t="inlineStr">
        <is>
          <t xml:space="preserve">53202</t>
        </is>
      </c>
      <c r="S624" s="48" t="inlineStr">
        <is>
          <t xml:space="preserve">Severe convective - hail / tornado (moderate)</t>
        </is>
      </c>
      <c r="T624" s="36">
        <f>IF($A624="","",IF($S624="","",IFERROR(INDEX('[1]natural catastrophe'!$D$6:$D$17,MATCH($S624,'[1]natural catastrophe'!$B$6:$B$17,0)),"?")))</f>
      </c>
      <c r="U624" s="46" t="inlineStr">
        <is>
          <t xml:space="preserve">$5,000</t>
        </is>
      </c>
      <c r="V624" s="48" t="inlineStr">
        <is>
          <t xml:space="preserve">Agreed Value</t>
        </is>
      </c>
      <c r="W624" s="46" t="inlineStr">
        <is>
          <t xml:space="preserve">$1,000</t>
        </is>
      </c>
      <c r="X624" s="48" t="inlineStr">
        <is>
          <t xml:space="preserve">$1,000,000 CSL</t>
        </is>
      </c>
      <c r="Y624" s="46"/>
      <c r="Z624" s="46"/>
      <c r="AA624" s="48" t="inlineStr">
        <is>
          <t xml:space="preserve">Surplus Lines</t>
        </is>
      </c>
      <c r="AB624" s="50">
        <v>7698.8</v>
      </c>
      <c r="AC624" s="51">
        <v>0</v>
      </c>
      <c r="AD624" s="38">
        <f>IF(ISNUMBER($AB624),$AB624*(1+N($AC624)),"")</f>
      </c>
      <c r="AE624" s="50">
        <v>350</v>
      </c>
      <c r="AF624" s="50">
        <v>0</v>
      </c>
      <c r="AG624" s="51"/>
      <c r="AH624" s="39">
        <f>IF(ISNUMBER($AD624),($AD624+$AE624+$AF624)*$AG624,"")</f>
      </c>
      <c r="AI624" s="50"/>
      <c r="AJ624" s="38">
        <f>IF(ISNUMBER($AD624),SUM($AD624:$AH624),"")</f>
      </c>
      <c r="AK624" s="40">
        <f>IF(AND(ISNUMBER($AB624),ISNUMBER($AD624)),IF($AB624&gt;0,$AD624/$AB624,""),"")</f>
      </c>
      <c r="AL624" s="48" t="inlineStr">
        <is>
          <t xml:space="preserve">At technical</t>
        </is>
      </c>
      <c r="AM624" s="41">
        <f>IF(ISNUMBER($AD624),Header!$I$3,"")</f>
      </c>
      <c r="AN624" s="39">
        <f>IF(ISNUMBER($AD624),$AO624+$AP624,"")</f>
      </c>
      <c r="AO624" s="39">
        <f>IF(ISNUMBER($AD624),ROUND($AD624*Header!$K$3,2),"")</f>
      </c>
      <c r="AP624" s="39">
        <f>IF(ISNUMBER($AD624),ROUND($AD624*Header!$M$3,2),"")</f>
      </c>
      <c r="AQ624" s="38">
        <f>IF(ISNUMBER($AD624),ROUND($AD624,2)-$AO624-$AP624,"")</f>
      </c>
      <c r="AR624" s="39">
        <f>IF(ISNUMBER($AD624),IF(Header!$D$34="","?",$AD624*Header!$D$34),"")</f>
      </c>
      <c r="AS624" s="39">
        <f>IF(ISNUMBER($AB624),IF(Header!$D$34="","?",$AB624*Header!$D$34),"")</f>
      </c>
      <c r="AT624" s="42">
        <f>IF(AND(ISNUMBER($AB624),$M624&gt;0),$AB624/$M624*100,"")</f>
      </c>
      <c r="AU624" s="42">
        <f>IF(AND(ISNUMBER($AD624),$M624&gt;0),$AD624/$M624*100,"")</f>
      </c>
      <c r="AV624" s="40">
        <f>IF(AND(ISNUMBER($AB624),ISNUMBER($AD624),ABS($AB624)&gt;0),$AD624/$AB624,"")</f>
      </c>
      <c r="AW624" s="39">
        <f>IF(ISNUMBER($AD624),MAX(0,(1-0.55-Header!$O$3)*Header!$Q$3*$AQ624),"")</f>
      </c>
      <c r="AX624" s="43">
        <f>IF($A624="","",IF(TRIM(IF($A624="","Missing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",""))="","PASS","FAIL: "&amp;TRIM(IF($A624="","Missing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f>
      </c>
      <c r="AY624" s="44">
        <f>IF($M624="","",IF(ISNUMBER($M624),IF($M624&gt;=Header!$C$18,"YES — refer","No"),""))</f>
      </c>
      <c r="AZ624" s="44">
        <f>IF($AD624="","",IF(ISNUMBER($AD624),IF($AD624&lt;Header!$C$20,"BELOW MIN PREMIUM","OK"),""))</f>
      </c>
      <c r="BA624" s="48" t="inlineStr">
        <is>
          <t xml:space="preserve">Yes</t>
        </is>
      </c>
      <c r="BB624" s="48" t="inlineStr">
        <is>
          <t xml:space="preserve">Yes</t>
        </is>
      </c>
      <c r="BC624" s="46" t="inlineStr">
        <is>
          <t xml:space="preserve">Synthetic demo data</t>
        </is>
      </c>
      <c r="BE624" s="45">
        <f>IF(OR($A624="",$L624="",$H624=""),"",IF(AND(LEFT($L624,2)="06",$H624&gt;1945),"FAIL - pre-war class, year "&amp;$H624,IF(AND(LEFT($L624,2)="07",OR($H624&lt;1946,$H624&gt;1972)),"FAIL - 1946-72 class, year "&amp;$H624,IF(AND(LEFT($L624,2)="08",OR($H624&lt;1973,$H624&gt;1999)),"FAIL - 1973-99 class, year "&amp;$H624,IF(AND(LEFT($L624,2)="09",OR($H624&lt;2000,$H624&gt;2010)),"FAIL - 2000-10 class, year "&amp;$H624,"OK")))))</f>
      </c>
      <c r="BF624" s="45">
        <f>IF($AD624="","",IF(ROUND($AO624+$AP624+$AQ624-$AD624,2)=0,"OK","FAIL - out by "&amp;TEXT($AO624+$AP624+$AQ624-$AD624,"$0.00")))</f>
      </c>
    </row>
    <row r="625" spans="1:58" ht="18.75" customHeight="1" x14ac:dyDescent="0.25">
      <c r="A625" s="30" t="inlineStr">
        <is>
          <t xml:space="preserve">CANON-202602-005505</t>
        </is>
      </c>
      <c r="B625" s="30" t="inlineStr">
        <is>
          <t xml:space="preserve">Everett Merriweather</t>
        </is>
      </c>
      <c r="C625" s="31">
        <v>46060</v>
      </c>
      <c r="D625" s="32" t="inlineStr">
        <is>
          <t xml:space="preserve">Bound - within authority</t>
        </is>
      </c>
      <c r="E625" s="32" t="inlineStr">
        <is>
          <t xml:space="preserve">New business</t>
        </is>
      </c>
      <c r="F625" s="30" t="inlineStr">
        <is>
          <t xml:space="preserve">B1234EXOTIC26</t>
        </is>
      </c>
      <c r="G625" s="33">
        <f>IF($A625="","",IF($C625="","",YEAR($C625)))</f>
      </c>
      <c r="H625" s="34">
        <v>1993</v>
      </c>
      <c r="I625" s="30" t="inlineStr">
        <is>
          <t xml:space="preserve">Lamborghini</t>
        </is>
      </c>
      <c r="J625" s="30" t="inlineStr">
        <is>
          <t xml:space="preserve">Huracan EVO</t>
        </is>
      </c>
      <c r="K625" s="30" t="inlineStr">
        <is>
          <t xml:space="preserve">5RPRFGV00M5D99SSJ</t>
        </is>
      </c>
      <c r="L625" s="32" t="inlineStr">
        <is>
          <t xml:space="preserve">03 - Supercar</t>
        </is>
      </c>
      <c r="M625" s="35">
        <v>915000</v>
      </c>
      <c r="N625" s="32" t="inlineStr">
        <is>
          <t xml:space="preserve">Personal</t>
        </is>
      </c>
      <c r="O625" s="30" t="inlineStr">
        <is>
          <t xml:space="preserve">Personal - regular use</t>
        </is>
      </c>
      <c r="P625" s="30" t="inlineStr">
        <is>
          <t xml:space="preserve">2,500 - 5,000</t>
        </is>
      </c>
      <c r="Q625" s="30" t="inlineStr">
        <is>
          <t xml:space="preserve">Florida</t>
        </is>
      </c>
      <c r="R625" s="30" t="inlineStr">
        <is>
          <t xml:space="preserve">33139</t>
        </is>
      </c>
      <c r="S625" s="32" t="inlineStr">
        <is>
          <t xml:space="preserve">Tier 2 - Coastal wind (1-25 miles)</t>
        </is>
      </c>
      <c r="T625" s="36">
        <f>IF($A625="","",IF($S625="","",IFERROR(INDEX('[1]natural catastrophe'!$D$6:$D$17,MATCH($S625,'[1]natural catastrophe'!$B$6:$B$17,0)),"?")))</f>
      </c>
      <c r="U625" s="30" t="inlineStr">
        <is>
          <t xml:space="preserve">2% of agreed value, minimum $10,000</t>
        </is>
      </c>
      <c r="V625" s="32" t="inlineStr">
        <is>
          <t xml:space="preserve">Agreed Value</t>
        </is>
      </c>
      <c r="W625" s="30" t="inlineStr">
        <is>
          <t xml:space="preserve">$1,000</t>
        </is>
      </c>
      <c r="X625" s="32" t="inlineStr">
        <is>
          <t xml:space="preserve">$1,000,000 CSL</t>
        </is>
      </c>
      <c r="Y625" s="30"/>
      <c r="Z625" s="30"/>
      <c r="AA625" s="32" t="inlineStr">
        <is>
          <t xml:space="preserve">Surplus Lines</t>
        </is>
      </c>
      <c r="AB625" s="35">
        <v>20475.99</v>
      </c>
      <c r="AC625" s="37">
        <v>0</v>
      </c>
      <c r="AD625" s="38">
        <f>IF(ISNUMBER($AB625),$AB625*(1+N($AC625)),"")</f>
      </c>
      <c r="AE625" s="35">
        <v>350</v>
      </c>
      <c r="AF625" s="35">
        <v>0</v>
      </c>
      <c r="AG625" s="37"/>
      <c r="AH625" s="39">
        <f>IF(ISNUMBER($AD625),($AD625+$AE625+$AF625)*$AG625,"")</f>
      </c>
      <c r="AI625" s="35"/>
      <c r="AJ625" s="38">
        <f>IF(ISNUMBER($AD625),SUM($AD625:$AH625),"")</f>
      </c>
      <c r="AK625" s="40">
        <f>IF(AND(ISNUMBER($AB625),ISNUMBER($AD625)),IF($AB625&gt;0,$AD625/$AB625,""),"")</f>
      </c>
      <c r="AL625" s="32" t="inlineStr">
        <is>
          <t xml:space="preserve">At technical</t>
        </is>
      </c>
      <c r="AM625" s="41">
        <f>IF(ISNUMBER($AD625),Header!$I$3,"")</f>
      </c>
      <c r="AN625" s="39">
        <f>IF(ISNUMBER($AD625),$AO625+$AP625,"")</f>
      </c>
      <c r="AO625" s="39">
        <f>IF(ISNUMBER($AD625),ROUND($AD625*Header!$K$3,2),"")</f>
      </c>
      <c r="AP625" s="39">
        <f>IF(ISNUMBER($AD625),ROUND($AD625*Header!$M$3,2),"")</f>
      </c>
      <c r="AQ625" s="38">
        <f>IF(ISNUMBER($AD625),ROUND($AD625,2)-$AO625-$AP625,"")</f>
      </c>
      <c r="AR625" s="39">
        <f>IF(ISNUMBER($AD625),IF(Header!$D$34="","?",$AD625*Header!$D$34),"")</f>
      </c>
      <c r="AS625" s="39">
        <f>IF(ISNUMBER($AB625),IF(Header!$D$34="","?",$AB625*Header!$D$34),"")</f>
      </c>
      <c r="AT625" s="42">
        <f>IF(AND(ISNUMBER($AB625),$M625&gt;0),$AB625/$M625*100,"")</f>
      </c>
      <c r="AU625" s="42">
        <f>IF(AND(ISNUMBER($AD625),$M625&gt;0),$AD625/$M625*100,"")</f>
      </c>
      <c r="AV625" s="40">
        <f>IF(AND(ISNUMBER($AB625),ISNUMBER($AD625),ABS($AB625)&gt;0),$AD625/$AB625,"")</f>
      </c>
      <c r="AW625" s="39">
        <f>IF(ISNUMBER($AD625),MAX(0,(1-0.55-Header!$O$3)*Header!$Q$3*$AQ625),"")</f>
      </c>
      <c r="AX625" s="43">
        <f>IF($A625="","",IF(TRIM(IF($A625="","Missing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",""))="","PASS","FAIL: "&amp;TRIM(IF($A625="","Missing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f>
      </c>
      <c r="AY625" s="44">
        <f>IF($M625="","",IF(ISNUMBER($M625),IF($M625&gt;=Header!$C$18,"YES — refer","No"),""))</f>
      </c>
      <c r="AZ625" s="44">
        <f>IF($AD625="","",IF(ISNUMBER($AD625),IF($AD625&lt;Header!$C$20,"BELOW MIN PREMIUM","OK"),""))</f>
      </c>
      <c r="BA625" s="32" t="inlineStr">
        <is>
          <t xml:space="preserve">Yes</t>
        </is>
      </c>
      <c r="BB625" s="32" t="inlineStr">
        <is>
          <t xml:space="preserve">Yes</t>
        </is>
      </c>
      <c r="BC625" s="30" t="inlineStr">
        <is>
          <t xml:space="preserve">Synthetic demo data</t>
        </is>
      </c>
      <c r="BE625" s="45">
        <f>IF(OR($A625="",$L625="",$H625=""),"",IF(AND(LEFT($L625,2)="06",$H625&gt;1945),"FAIL - pre-war class, year "&amp;$H625,IF(AND(LEFT($L625,2)="07",OR($H625&lt;1946,$H625&gt;1972)),"FAIL - 1946-72 class, year "&amp;$H625,IF(AND(LEFT($L625,2)="08",OR($H625&lt;1973,$H625&gt;1999)),"FAIL - 1973-99 class, year "&amp;$H625,IF(AND(LEFT($L625,2)="09",OR($H625&lt;2000,$H625&gt;2010)),"FAIL - 2000-10 class, year "&amp;$H625,"OK")))))</f>
      </c>
      <c r="BF625" s="45">
        <f>IF($AD625="","",IF(ROUND($AO625+$AP625+$AQ625-$AD625,2)=0,"OK","FAIL - out by "&amp;TEXT($AO625+$AP625+$AQ625-$AD625,"$0.00")))</f>
      </c>
    </row>
    <row r="626" spans="1:58" ht="18.75" customHeight="1" x14ac:dyDescent="0.25">
      <c r="A626" s="46" t="inlineStr">
        <is>
          <t xml:space="preserve">CANON-202602-005506</t>
        </is>
      </c>
      <c r="B626" s="46" t="inlineStr">
        <is>
          <t xml:space="preserve">Fenwick Rourke</t>
        </is>
      </c>
      <c r="C626" s="47">
        <v>46055</v>
      </c>
      <c r="D626" s="48" t="inlineStr">
        <is>
          <t xml:space="preserve">Bound - within authority</t>
        </is>
      </c>
      <c r="E626" s="48" t="inlineStr">
        <is>
          <t xml:space="preserve">New business</t>
        </is>
      </c>
      <c r="F626" s="46" t="inlineStr">
        <is>
          <t xml:space="preserve">B1234EXOTIC26</t>
        </is>
      </c>
      <c r="G626" s="33">
        <f>IF($A626="","",IF($C626="","",YEAR($C626)))</f>
      </c>
      <c r="H626" s="49">
        <v>1981</v>
      </c>
      <c r="I626" s="46" t="inlineStr">
        <is>
          <t xml:space="preserve">Porsche</t>
        </is>
      </c>
      <c r="J626" s="46" t="inlineStr">
        <is>
          <t xml:space="preserve">911 Turbo S</t>
        </is>
      </c>
      <c r="K626" s="46" t="inlineStr">
        <is>
          <t xml:space="preserve">XTKF2AV81N0DF8J0L</t>
        </is>
      </c>
      <c r="L626" s="48" t="inlineStr">
        <is>
          <t xml:space="preserve">02 - Sports / GT</t>
        </is>
      </c>
      <c r="M626" s="50">
        <v>390000</v>
      </c>
      <c r="N626" s="48" t="inlineStr">
        <is>
          <t xml:space="preserve">Personal</t>
        </is>
      </c>
      <c r="O626" s="46" t="inlineStr">
        <is>
          <t xml:space="preserve">Personal - regular use</t>
        </is>
      </c>
      <c r="P626" s="46" t="inlineStr">
        <is>
          <t xml:space="preserve">2,500 - 5,000</t>
        </is>
      </c>
      <c r="Q626" s="46" t="inlineStr">
        <is>
          <t xml:space="preserve">California</t>
        </is>
      </c>
      <c r="R626" s="46" t="inlineStr">
        <is>
          <t xml:space="preserve">90012</t>
        </is>
      </c>
      <c r="S626" s="48" t="inlineStr">
        <is>
          <t xml:space="preserve">Earthquake - high (CA, Cascadia, New Madrid)</t>
        </is>
      </c>
      <c r="T626" s="36">
        <f>IF($A626="","",IF($S626="","",IFERROR(INDEX('[1]natural catastrophe'!$D$6:$D$17,MATCH($S626,'[1]natural catastrophe'!$B$6:$B$17,0)),"?")))</f>
      </c>
      <c r="U626" s="46" t="inlineStr">
        <is>
          <t xml:space="preserve">$5,000</t>
        </is>
      </c>
      <c r="V626" s="48" t="inlineStr">
        <is>
          <t xml:space="preserve">Agreed Value</t>
        </is>
      </c>
      <c r="W626" s="46" t="inlineStr">
        <is>
          <t xml:space="preserve">$1,000</t>
        </is>
      </c>
      <c r="X626" s="48" t="inlineStr">
        <is>
          <t xml:space="preserve">$1,000,000 CSL</t>
        </is>
      </c>
      <c r="Y626" s="46"/>
      <c r="Z626" s="46"/>
      <c r="AA626" s="48" t="inlineStr">
        <is>
          <t xml:space="preserve">Surplus Lines</t>
        </is>
      </c>
      <c r="AB626" s="50">
        <v>6550.45</v>
      </c>
      <c r="AC626" s="51">
        <v>0</v>
      </c>
      <c r="AD626" s="38">
        <f>IF(ISNUMBER($AB626),$AB626*(1+N($AC626)),"")</f>
      </c>
      <c r="AE626" s="50">
        <v>350</v>
      </c>
      <c r="AF626" s="50">
        <v>0</v>
      </c>
      <c r="AG626" s="51"/>
      <c r="AH626" s="39">
        <f>IF(ISNUMBER($AD626),($AD626+$AE626+$AF626)*$AG626,"")</f>
      </c>
      <c r="AI626" s="50"/>
      <c r="AJ626" s="38">
        <f>IF(ISNUMBER($AD626),SUM($AD626:$AH626),"")</f>
      </c>
      <c r="AK626" s="40">
        <f>IF(AND(ISNUMBER($AB626),ISNUMBER($AD626)),IF($AB626&gt;0,$AD626/$AB626,""),"")</f>
      </c>
      <c r="AL626" s="48" t="inlineStr">
        <is>
          <t xml:space="preserve">At technical</t>
        </is>
      </c>
      <c r="AM626" s="41">
        <f>IF(ISNUMBER($AD626),Header!$I$3,"")</f>
      </c>
      <c r="AN626" s="39">
        <f>IF(ISNUMBER($AD626),$AO626+$AP626,"")</f>
      </c>
      <c r="AO626" s="39">
        <f>IF(ISNUMBER($AD626),ROUND($AD626*Header!$K$3,2),"")</f>
      </c>
      <c r="AP626" s="39">
        <f>IF(ISNUMBER($AD626),ROUND($AD626*Header!$M$3,2),"")</f>
      </c>
      <c r="AQ626" s="38">
        <f>IF(ISNUMBER($AD626),ROUND($AD626,2)-$AO626-$AP626,"")</f>
      </c>
      <c r="AR626" s="39">
        <f>IF(ISNUMBER($AD626),IF(Header!$D$34="","?",$AD626*Header!$D$34),"")</f>
      </c>
      <c r="AS626" s="39">
        <f>IF(ISNUMBER($AB626),IF(Header!$D$34="","?",$AB626*Header!$D$34),"")</f>
      </c>
      <c r="AT626" s="42">
        <f>IF(AND(ISNUMBER($AB626),$M626&gt;0),$AB626/$M626*100,"")</f>
      </c>
      <c r="AU626" s="42">
        <f>IF(AND(ISNUMBER($AD626),$M626&gt;0),$AD626/$M626*100,"")</f>
      </c>
      <c r="AV626" s="40">
        <f>IF(AND(ISNUMBER($AB626),ISNUMBER($AD626),ABS($AB626)&gt;0),$AD626/$AB626,"")</f>
      </c>
      <c r="AW626" s="39">
        <f>IF(ISNUMBER($AD626),MAX(0,(1-0.55-Header!$O$3)*Header!$Q$3*$AQ626),"")</f>
      </c>
      <c r="AX626" s="43">
        <f>IF($A626="","",IF(TRIM(IF($A626="","Missing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",""))="","PASS","FAIL: "&amp;TRIM(IF($A626="","Missing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f>
      </c>
      <c r="AY626" s="44">
        <f>IF($M626="","",IF(ISNUMBER($M626),IF($M626&gt;=Header!$C$18,"YES — refer","No"),""))</f>
      </c>
      <c r="AZ626" s="44">
        <f>IF($AD626="","",IF(ISNUMBER($AD626),IF($AD626&lt;Header!$C$20,"BELOW MIN PREMIUM","OK"),""))</f>
      </c>
      <c r="BA626" s="48" t="inlineStr">
        <is>
          <t xml:space="preserve">Yes</t>
        </is>
      </c>
      <c r="BB626" s="48" t="inlineStr">
        <is>
          <t xml:space="preserve">Yes</t>
        </is>
      </c>
      <c r="BC626" s="46" t="inlineStr">
        <is>
          <t xml:space="preserve">Synthetic demo data</t>
        </is>
      </c>
      <c r="BE626" s="45">
        <f>IF(OR($A626="",$L626="",$H626=""),"",IF(AND(LEFT($L626,2)="06",$H626&gt;1945),"FAIL - pre-war class, year "&amp;$H626,IF(AND(LEFT($L626,2)="07",OR($H626&lt;1946,$H626&gt;1972)),"FAIL - 1946-72 class, year "&amp;$H626,IF(AND(LEFT($L626,2)="08",OR($H626&lt;1973,$H626&gt;1999)),"FAIL - 1973-99 class, year "&amp;$H626,IF(AND(LEFT($L626,2)="09",OR($H626&lt;2000,$H626&gt;2010)),"FAIL - 2000-10 class, year "&amp;$H626,"OK")))))</f>
      </c>
      <c r="BF626" s="45">
        <f>IF($AD626="","",IF(ROUND($AO626+$AP626+$AQ626-$AD626,2)=0,"OK","FAIL - out by "&amp;TEXT($AO626+$AP626+$AQ626-$AD626,"$0.00")))</f>
      </c>
    </row>
    <row r="627" spans="1:58" ht="18.75" customHeight="1" x14ac:dyDescent="0.25">
      <c r="A627" s="30" t="inlineStr">
        <is>
          <t xml:space="preserve">CANON-202602-005507</t>
        </is>
      </c>
      <c r="B627" s="30" t="inlineStr">
        <is>
          <t xml:space="preserve">Thaddeus Montoya</t>
        </is>
      </c>
      <c r="C627" s="31">
        <v>46069</v>
      </c>
      <c r="D627" s="32" t="inlineStr">
        <is>
          <t xml:space="preserve">Bound - within authority</t>
        </is>
      </c>
      <c r="E627" s="32" t="inlineStr">
        <is>
          <t xml:space="preserve">New business</t>
        </is>
      </c>
      <c r="F627" s="30" t="inlineStr">
        <is>
          <t xml:space="preserve">B1234EXOTIC26</t>
        </is>
      </c>
      <c r="G627" s="33">
        <f>IF($A627="","",IF($C627="","",YEAR($C627)))</f>
      </c>
      <c r="H627" s="34">
        <v>2003</v>
      </c>
      <c r="I627" s="30" t="inlineStr">
        <is>
          <t xml:space="preserve">Maserati</t>
        </is>
      </c>
      <c r="J627" s="30" t="inlineStr">
        <is>
          <t xml:space="preserve">GranTurismo</t>
        </is>
      </c>
      <c r="K627" s="30" t="inlineStr">
        <is>
          <t xml:space="preserve">NHWXSGTAM8AR0KVSL</t>
        </is>
      </c>
      <c r="L627" s="32" t="inlineStr">
        <is>
          <t xml:space="preserve">02 - Sports / GT</t>
        </is>
      </c>
      <c r="M627" s="35">
        <v>1040000</v>
      </c>
      <c r="N627" s="32" t="inlineStr">
        <is>
          <t xml:space="preserve">Personal</t>
        </is>
      </c>
      <c r="O627" s="30" t="inlineStr">
        <is>
          <t xml:space="preserve">Personal - regular use</t>
        </is>
      </c>
      <c r="P627" s="30" t="inlineStr">
        <is>
          <t xml:space="preserve">1,000 - 2,500</t>
        </is>
      </c>
      <c r="Q627" s="30" t="inlineStr">
        <is>
          <t xml:space="preserve">Nevada</t>
        </is>
      </c>
      <c r="R627" s="30" t="inlineStr">
        <is>
          <t xml:space="preserve">89101</t>
        </is>
      </c>
      <c r="S627" s="32" t="inlineStr">
        <is>
          <t xml:space="preserve">Wildfire - WUI high hazard</t>
        </is>
      </c>
      <c r="T627" s="36">
        <f>IF($A627="","",IF($S627="","",IFERROR(INDEX('[1]natural catastrophe'!$D$6:$D$17,MATCH($S627,'[1]natural catastrophe'!$B$6:$B$17,0)),"?")))</f>
      </c>
      <c r="U627" s="30" t="inlineStr">
        <is>
          <t xml:space="preserve">$5,000</t>
        </is>
      </c>
      <c r="V627" s="32" t="inlineStr">
        <is>
          <t xml:space="preserve">Agreed Value</t>
        </is>
      </c>
      <c r="W627" s="30" t="inlineStr">
        <is>
          <t xml:space="preserve">$1,000</t>
        </is>
      </c>
      <c r="X627" s="32" t="inlineStr">
        <is>
          <t xml:space="preserve">$1,000,000 CSL</t>
        </is>
      </c>
      <c r="Y627" s="30"/>
      <c r="Z627" s="30"/>
      <c r="AA627" s="32" t="inlineStr">
        <is>
          <t xml:space="preserve">Surplus Lines</t>
        </is>
      </c>
      <c r="AB627" s="35">
        <v>11101.81</v>
      </c>
      <c r="AC627" s="37">
        <v>0</v>
      </c>
      <c r="AD627" s="38">
        <f>IF(ISNUMBER($AB627),$AB627*(1+N($AC627)),"")</f>
      </c>
      <c r="AE627" s="35">
        <v>350</v>
      </c>
      <c r="AF627" s="35">
        <v>250</v>
      </c>
      <c r="AG627" s="37"/>
      <c r="AH627" s="39">
        <f>IF(ISNUMBER($AD627),($AD627+$AE627+$AF627)*$AG627,"")</f>
      </c>
      <c r="AI627" s="35"/>
      <c r="AJ627" s="38">
        <f>IF(ISNUMBER($AD627),SUM($AD627:$AH627),"")</f>
      </c>
      <c r="AK627" s="40">
        <f>IF(AND(ISNUMBER($AB627),ISNUMBER($AD627)),IF($AB627&gt;0,$AD627/$AB627,""),"")</f>
      </c>
      <c r="AL627" s="32" t="inlineStr">
        <is>
          <t xml:space="preserve">At technical</t>
        </is>
      </c>
      <c r="AM627" s="41">
        <f>IF(ISNUMBER($AD627),Header!$I$3,"")</f>
      </c>
      <c r="AN627" s="39">
        <f>IF(ISNUMBER($AD627),$AO627+$AP627,"")</f>
      </c>
      <c r="AO627" s="39">
        <f>IF(ISNUMBER($AD627),ROUND($AD627*Header!$K$3,2),"")</f>
      </c>
      <c r="AP627" s="39">
        <f>IF(ISNUMBER($AD627),ROUND($AD627*Header!$M$3,2),"")</f>
      </c>
      <c r="AQ627" s="38">
        <f>IF(ISNUMBER($AD627),ROUND($AD627,2)-$AO627-$AP627,"")</f>
      </c>
      <c r="AR627" s="39">
        <f>IF(ISNUMBER($AD627),IF(Header!$D$34="","?",$AD627*Header!$D$34),"")</f>
      </c>
      <c r="AS627" s="39">
        <f>IF(ISNUMBER($AB627),IF(Header!$D$34="","?",$AB627*Header!$D$34),"")</f>
      </c>
      <c r="AT627" s="42">
        <f>IF(AND(ISNUMBER($AB627),$M627&gt;0),$AB627/$M627*100,"")</f>
      </c>
      <c r="AU627" s="42">
        <f>IF(AND(ISNUMBER($AD627),$M627&gt;0),$AD627/$M627*100,"")</f>
      </c>
      <c r="AV627" s="40">
        <f>IF(AND(ISNUMBER($AB627),ISNUMBER($AD627),ABS($AB627)&gt;0),$AD627/$AB627,"")</f>
      </c>
      <c r="AW627" s="39">
        <f>IF(ISNUMBER($AD627),MAX(0,(1-0.55-Header!$O$3)*Header!$Q$3*$AQ627),"")</f>
      </c>
      <c r="AX627" s="43">
        <f>IF($A627="","",IF(TRIM(IF($A627="","Missing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",""))="","PASS","FAIL: "&amp;TRIM(IF($A627="","Missing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f>
      </c>
      <c r="AY627" s="44">
        <f>IF($M627="","",IF(ISNUMBER($M627),IF($M627&gt;=Header!$C$18,"YES — refer","No"),""))</f>
      </c>
      <c r="AZ627" s="44">
        <f>IF($AD627="","",IF(ISNUMBER($AD627),IF($AD627&lt;Header!$C$20,"BELOW MIN PREMIUM","OK"),""))</f>
      </c>
      <c r="BA627" s="32" t="inlineStr">
        <is>
          <t xml:space="preserve">Yes</t>
        </is>
      </c>
      <c r="BB627" s="32" t="inlineStr">
        <is>
          <t xml:space="preserve">Yes</t>
        </is>
      </c>
      <c r="BC627" s="30" t="inlineStr">
        <is>
          <t xml:space="preserve">Synthetic demo data</t>
        </is>
      </c>
      <c r="BE627" s="45">
        <f>IF(OR($A627="",$L627="",$H627=""),"",IF(AND(LEFT($L627,2)="06",$H627&gt;1945),"FAIL - pre-war class, year "&amp;$H627,IF(AND(LEFT($L627,2)="07",OR($H627&lt;1946,$H627&gt;1972)),"FAIL - 1946-72 class, year "&amp;$H627,IF(AND(LEFT($L627,2)="08",OR($H627&lt;1973,$H627&gt;1999)),"FAIL - 1973-99 class, year "&amp;$H627,IF(AND(LEFT($L627,2)="09",OR($H627&lt;2000,$H627&gt;2010)),"FAIL - 2000-10 class, year "&amp;$H627,"OK")))))</f>
      </c>
      <c r="BF627" s="45">
        <f>IF($AD627="","",IF(ROUND($AO627+$AP627+$AQ627-$AD627,2)=0,"OK","FAIL - out by "&amp;TEXT($AO627+$AP627+$AQ627-$AD627,"$0.00")))</f>
      </c>
    </row>
    <row r="628" spans="1:58" ht="18.75" customHeight="1" x14ac:dyDescent="0.25">
      <c r="A628" s="46" t="inlineStr">
        <is>
          <t xml:space="preserve">CANON-202602-005508</t>
        </is>
      </c>
      <c r="B628" s="46" t="inlineStr">
        <is>
          <t xml:space="preserve">Desmond Nakashima</t>
        </is>
      </c>
      <c r="C628" s="47">
        <v>46068</v>
      </c>
      <c r="D628" s="48" t="inlineStr">
        <is>
          <t xml:space="preserve">Bound - within authority</t>
        </is>
      </c>
      <c r="E628" s="48" t="inlineStr">
        <is>
          <t xml:space="preserve">New business</t>
        </is>
      </c>
      <c r="F628" s="46" t="inlineStr">
        <is>
          <t xml:space="preserve">B1234EXOTIC26</t>
        </is>
      </c>
      <c r="G628" s="33">
        <f>IF($A628="","",IF($C628="","",YEAR($C628)))</f>
      </c>
      <c r="H628" s="49">
        <v>2006</v>
      </c>
      <c r="I628" s="46" t="inlineStr">
        <is>
          <t xml:space="preserve">Maserati</t>
        </is>
      </c>
      <c r="J628" s="46" t="inlineStr">
        <is>
          <t xml:space="preserve">GranTurismo</t>
        </is>
      </c>
      <c r="K628" s="46" t="inlineStr">
        <is>
          <t xml:space="preserve">60B9YNVL5EJJYSE3Z</t>
        </is>
      </c>
      <c r="L628" s="48" t="inlineStr">
        <is>
          <t xml:space="preserve">02 - Sports / GT</t>
        </is>
      </c>
      <c r="M628" s="50">
        <v>845000</v>
      </c>
      <c r="N628" s="48" t="inlineStr">
        <is>
          <t xml:space="preserve">Personal</t>
        </is>
      </c>
      <c r="O628" s="46" t="inlineStr">
        <is>
          <t xml:space="preserve">Personal - regular use</t>
        </is>
      </c>
      <c r="P628" s="46" t="inlineStr">
        <is>
          <t xml:space="preserve">2,500 - 5,000</t>
        </is>
      </c>
      <c r="Q628" s="46" t="inlineStr">
        <is>
          <t xml:space="preserve">Arizona</t>
        </is>
      </c>
      <c r="R628" s="46" t="inlineStr">
        <is>
          <t xml:space="preserve">85001</t>
        </is>
      </c>
      <c r="S628" s="48" t="inlineStr">
        <is>
          <t xml:space="preserve">Wildfire - WUI high hazard</t>
        </is>
      </c>
      <c r="T628" s="36">
        <f>IF($A628="","",IF($S628="","",IFERROR(INDEX('[1]natural catastrophe'!$D$6:$D$17,MATCH($S628,'[1]natural catastrophe'!$B$6:$B$17,0)),"?")))</f>
      </c>
      <c r="U628" s="46" t="inlineStr">
        <is>
          <t xml:space="preserve">$5,000</t>
        </is>
      </c>
      <c r="V628" s="48" t="inlineStr">
        <is>
          <t xml:space="preserve">Agreed Value</t>
        </is>
      </c>
      <c r="W628" s="46" t="inlineStr">
        <is>
          <t xml:space="preserve">$1,000</t>
        </is>
      </c>
      <c r="X628" s="48" t="inlineStr">
        <is>
          <t xml:space="preserve">$1,000,000 CSL</t>
        </is>
      </c>
      <c r="Y628" s="46"/>
      <c r="Z628" s="46"/>
      <c r="AA628" s="48" t="inlineStr">
        <is>
          <t xml:space="preserve">Surplus Lines</t>
        </is>
      </c>
      <c r="AB628" s="50">
        <v>9202.45</v>
      </c>
      <c r="AC628" s="51">
        <v>0</v>
      </c>
      <c r="AD628" s="38">
        <f>IF(ISNUMBER($AB628),$AB628*(1+N($AC628)),"")</f>
      </c>
      <c r="AE628" s="50">
        <v>350</v>
      </c>
      <c r="AF628" s="50">
        <v>0</v>
      </c>
      <c r="AG628" s="51"/>
      <c r="AH628" s="39">
        <f>IF(ISNUMBER($AD628),($AD628+$AE628+$AF628)*$AG628,"")</f>
      </c>
      <c r="AI628" s="50"/>
      <c r="AJ628" s="38">
        <f>IF(ISNUMBER($AD628),SUM($AD628:$AH628),"")</f>
      </c>
      <c r="AK628" s="40">
        <f>IF(AND(ISNUMBER($AB628),ISNUMBER($AD628)),IF($AB628&gt;0,$AD628/$AB628,""),"")</f>
      </c>
      <c r="AL628" s="48" t="inlineStr">
        <is>
          <t xml:space="preserve">At technical</t>
        </is>
      </c>
      <c r="AM628" s="41">
        <f>IF(ISNUMBER($AD628),Header!$I$3,"")</f>
      </c>
      <c r="AN628" s="39">
        <f>IF(ISNUMBER($AD628),$AO628+$AP628,"")</f>
      </c>
      <c r="AO628" s="39">
        <f>IF(ISNUMBER($AD628),ROUND($AD628*Header!$K$3,2),"")</f>
      </c>
      <c r="AP628" s="39">
        <f>IF(ISNUMBER($AD628),ROUND($AD628*Header!$M$3,2),"")</f>
      </c>
      <c r="AQ628" s="38">
        <f>IF(ISNUMBER($AD628),ROUND($AD628,2)-$AO628-$AP628,"")</f>
      </c>
      <c r="AR628" s="39">
        <f>IF(ISNUMBER($AD628),IF(Header!$D$34="","?",$AD628*Header!$D$34),"")</f>
      </c>
      <c r="AS628" s="39">
        <f>IF(ISNUMBER($AB628),IF(Header!$D$34="","?",$AB628*Header!$D$34),"")</f>
      </c>
      <c r="AT628" s="42">
        <f>IF(AND(ISNUMBER($AB628),$M628&gt;0),$AB628/$M628*100,"")</f>
      </c>
      <c r="AU628" s="42">
        <f>IF(AND(ISNUMBER($AD628),$M628&gt;0),$AD628/$M628*100,"")</f>
      </c>
      <c r="AV628" s="40">
        <f>IF(AND(ISNUMBER($AB628),ISNUMBER($AD628),ABS($AB628)&gt;0),$AD628/$AB628,"")</f>
      </c>
      <c r="AW628" s="39">
        <f>IF(ISNUMBER($AD628),MAX(0,(1-0.55-Header!$O$3)*Header!$Q$3*$AQ628),"")</f>
      </c>
      <c r="AX628" s="43">
        <f>IF($A628="","",IF(TRIM(IF($A628="","Missing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",""))="","PASS","FAIL: "&amp;TRIM(IF($A628="","Missing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f>
      </c>
      <c r="AY628" s="44">
        <f>IF($M628="","",IF(ISNUMBER($M628),IF($M628&gt;=Header!$C$18,"YES — refer","No"),""))</f>
      </c>
      <c r="AZ628" s="44">
        <f>IF($AD628="","",IF(ISNUMBER($AD628),IF($AD628&lt;Header!$C$20,"BELOW MIN PREMIUM","OK"),""))</f>
      </c>
      <c r="BA628" s="48" t="inlineStr">
        <is>
          <t xml:space="preserve">Yes</t>
        </is>
      </c>
      <c r="BB628" s="48" t="inlineStr">
        <is>
          <t xml:space="preserve">Yes</t>
        </is>
      </c>
      <c r="BC628" s="46" t="inlineStr">
        <is>
          <t xml:space="preserve">Synthetic demo data</t>
        </is>
      </c>
      <c r="BE628" s="45">
        <f>IF(OR($A628="",$L628="",$H628=""),"",IF(AND(LEFT($L628,2)="06",$H628&gt;1945),"FAIL - pre-war class, year "&amp;$H628,IF(AND(LEFT($L628,2)="07",OR($H628&lt;1946,$H628&gt;1972)),"FAIL - 1946-72 class, year "&amp;$H628,IF(AND(LEFT($L628,2)="08",OR($H628&lt;1973,$H628&gt;1999)),"FAIL - 1973-99 class, year "&amp;$H628,IF(AND(LEFT($L628,2)="09",OR($H628&lt;2000,$H628&gt;2010)),"FAIL - 2000-10 class, year "&amp;$H628,"OK")))))</f>
      </c>
      <c r="BF628" s="45">
        <f>IF($AD628="","",IF(ROUND($AO628+$AP628+$AQ628-$AD628,2)=0,"OK","FAIL - out by "&amp;TEXT($AO628+$AP628+$AQ628-$AD628,"$0.00")))</f>
      </c>
    </row>
    <row r="629" spans="1:58" ht="18.75" customHeight="1" x14ac:dyDescent="0.25">
      <c r="A629" s="30" t="inlineStr">
        <is>
          <t xml:space="preserve">CANON-202602-005509</t>
        </is>
      </c>
      <c r="B629" s="30" t="inlineStr">
        <is>
          <t xml:space="preserve">Anouk Vandermeer</t>
        </is>
      </c>
      <c r="C629" s="31">
        <v>46076</v>
      </c>
      <c r="D629" s="32" t="inlineStr">
        <is>
          <t xml:space="preserve">Bound - within authority</t>
        </is>
      </c>
      <c r="E629" s="32" t="inlineStr">
        <is>
          <t xml:space="preserve">New business</t>
        </is>
      </c>
      <c r="F629" s="30" t="inlineStr">
        <is>
          <t xml:space="preserve">B1234EXOTIC26</t>
        </is>
      </c>
      <c r="G629" s="33">
        <f>IF($A629="","",IF($C629="","",YEAR($C629)))</f>
      </c>
      <c r="H629" s="34">
        <v>2004</v>
      </c>
      <c r="I629" s="30" t="inlineStr">
        <is>
          <t xml:space="preserve">Aston Martin</t>
        </is>
      </c>
      <c r="J629" s="30" t="inlineStr">
        <is>
          <t xml:space="preserve">DB5</t>
        </is>
      </c>
      <c r="K629" s="30" t="inlineStr">
        <is>
          <t xml:space="preserve">CCH1G759H8T64PNFE</t>
        </is>
      </c>
      <c r="L629" s="32" t="inlineStr">
        <is>
          <t xml:space="preserve">09 - Youngtimer / Collectible (2000-2010)</t>
        </is>
      </c>
      <c r="M629" s="35">
        <v>645000</v>
      </c>
      <c r="N629" s="32" t="inlineStr">
        <is>
          <t xml:space="preserve">Personal</t>
        </is>
      </c>
      <c r="O629" s="30" t="inlineStr">
        <is>
          <t xml:space="preserve">Personal - regular use</t>
        </is>
      </c>
      <c r="P629" s="30" t="inlineStr">
        <is>
          <t xml:space="preserve">1,000 - 2,500</t>
        </is>
      </c>
      <c r="Q629" s="30" t="inlineStr">
        <is>
          <t xml:space="preserve">California</t>
        </is>
      </c>
      <c r="R629" s="30" t="inlineStr">
        <is>
          <t xml:space="preserve">90012</t>
        </is>
      </c>
      <c r="S629" s="32" t="inlineStr">
        <is>
          <t xml:space="preserve">Earthquake - high (CA, Cascadia, New Madrid)</t>
        </is>
      </c>
      <c r="T629" s="36">
        <f>IF($A629="","",IF($S629="","",IFERROR(INDEX('[1]natural catastrophe'!$D$6:$D$17,MATCH($S629,'[1]natural catastrophe'!$B$6:$B$17,0)),"?")))</f>
      </c>
      <c r="U629" s="30" t="inlineStr">
        <is>
          <t xml:space="preserve">$5,000</t>
        </is>
      </c>
      <c r="V629" s="32" t="inlineStr">
        <is>
          <t xml:space="preserve">Agreed Value</t>
        </is>
      </c>
      <c r="W629" s="30" t="inlineStr">
        <is>
          <t xml:space="preserve">$1,000</t>
        </is>
      </c>
      <c r="X629" s="32" t="inlineStr">
        <is>
          <t xml:space="preserve">$1,000,000 CSL</t>
        </is>
      </c>
      <c r="Y629" s="30"/>
      <c r="Z629" s="30"/>
      <c r="AA629" s="32" t="inlineStr">
        <is>
          <t xml:space="preserve">Surplus Lines</t>
        </is>
      </c>
      <c r="AB629" s="35">
        <v>6211.18</v>
      </c>
      <c r="AC629" s="37">
        <v>0</v>
      </c>
      <c r="AD629" s="38">
        <f>IF(ISNUMBER($AB629),$AB629*(1+N($AC629)),"")</f>
      </c>
      <c r="AE629" s="35">
        <v>350</v>
      </c>
      <c r="AF629" s="35">
        <v>0</v>
      </c>
      <c r="AG629" s="37"/>
      <c r="AH629" s="39">
        <f>IF(ISNUMBER($AD629),($AD629+$AE629+$AF629)*$AG629,"")</f>
      </c>
      <c r="AI629" s="35"/>
      <c r="AJ629" s="38">
        <f>IF(ISNUMBER($AD629),SUM($AD629:$AH629),"")</f>
      </c>
      <c r="AK629" s="40">
        <f>IF(AND(ISNUMBER($AB629),ISNUMBER($AD629)),IF($AB629&gt;0,$AD629/$AB629,""),"")</f>
      </c>
      <c r="AL629" s="32" t="inlineStr">
        <is>
          <t xml:space="preserve">At technical</t>
        </is>
      </c>
      <c r="AM629" s="41">
        <f>IF(ISNUMBER($AD629),Header!$I$3,"")</f>
      </c>
      <c r="AN629" s="39">
        <f>IF(ISNUMBER($AD629),$AO629+$AP629,"")</f>
      </c>
      <c r="AO629" s="39">
        <f>IF(ISNUMBER($AD629),ROUND($AD629*Header!$K$3,2),"")</f>
      </c>
      <c r="AP629" s="39">
        <f>IF(ISNUMBER($AD629),ROUND($AD629*Header!$M$3,2),"")</f>
      </c>
      <c r="AQ629" s="38">
        <f>IF(ISNUMBER($AD629),ROUND($AD629,2)-$AO629-$AP629,"")</f>
      </c>
      <c r="AR629" s="39">
        <f>IF(ISNUMBER($AD629),IF(Header!$D$34="","?",$AD629*Header!$D$34),"")</f>
      </c>
      <c r="AS629" s="39">
        <f>IF(ISNUMBER($AB629),IF(Header!$D$34="","?",$AB629*Header!$D$34),"")</f>
      </c>
      <c r="AT629" s="42">
        <f>IF(AND(ISNUMBER($AB629),$M629&gt;0),$AB629/$M629*100,"")</f>
      </c>
      <c r="AU629" s="42">
        <f>IF(AND(ISNUMBER($AD629),$M629&gt;0),$AD629/$M629*100,"")</f>
      </c>
      <c r="AV629" s="40">
        <f>IF(AND(ISNUMBER($AB629),ISNUMBER($AD629),ABS($AB629)&gt;0),$AD629/$AB629,"")</f>
      </c>
      <c r="AW629" s="39">
        <f>IF(ISNUMBER($AD629),MAX(0,(1-0.55-Header!$O$3)*Header!$Q$3*$AQ629),"")</f>
      </c>
      <c r="AX629" s="43">
        <f>IF($A629="","",IF(TRIM(IF($A629="","Missing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",""))="","PASS","FAIL: "&amp;TRIM(IF($A629="","Missing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f>
      </c>
      <c r="AY629" s="44">
        <f>IF($M629="","",IF(ISNUMBER($M629),IF($M629&gt;=Header!$C$18,"YES — refer","No"),""))</f>
      </c>
      <c r="AZ629" s="44">
        <f>IF($AD629="","",IF(ISNUMBER($AD629),IF($AD629&lt;Header!$C$20,"BELOW MIN PREMIUM","OK"),""))</f>
      </c>
      <c r="BA629" s="32" t="inlineStr">
        <is>
          <t xml:space="preserve">Yes</t>
        </is>
      </c>
      <c r="BB629" s="32" t="inlineStr">
        <is>
          <t xml:space="preserve">Yes</t>
        </is>
      </c>
      <c r="BC629" s="30" t="inlineStr">
        <is>
          <t xml:space="preserve">Synthetic demo data</t>
        </is>
      </c>
      <c r="BE629" s="45">
        <f>IF(OR($A629="",$L629="",$H629=""),"",IF(AND(LEFT($L629,2)="06",$H629&gt;1945),"FAIL - pre-war class, year "&amp;$H629,IF(AND(LEFT($L629,2)="07",OR($H629&lt;1946,$H629&gt;1972)),"FAIL - 1946-72 class, year "&amp;$H629,IF(AND(LEFT($L629,2)="08",OR($H629&lt;1973,$H629&gt;1999)),"FAIL - 1973-99 class, year "&amp;$H629,IF(AND(LEFT($L629,2)="09",OR($H629&lt;2000,$H629&gt;2010)),"FAIL - 2000-10 class, year "&amp;$H629,"OK")))))</f>
      </c>
      <c r="BF629" s="45">
        <f>IF($AD629="","",IF(ROUND($AO629+$AP629+$AQ629-$AD629,2)=0,"OK","FAIL - out by "&amp;TEXT($AO629+$AP629+$AQ629-$AD629,"$0.00")))</f>
      </c>
    </row>
    <row r="630" spans="1:58" ht="18.75" customHeight="1" x14ac:dyDescent="0.25">
      <c r="A630" s="46" t="inlineStr">
        <is>
          <t xml:space="preserve">CANON-202602-005511</t>
        </is>
      </c>
      <c r="B630" s="46" t="inlineStr">
        <is>
          <t xml:space="preserve">Anouk Okonkwo</t>
        </is>
      </c>
      <c r="C630" s="47">
        <v>46072</v>
      </c>
      <c r="D630" s="48" t="inlineStr">
        <is>
          <t xml:space="preserve">Bound - within authority</t>
        </is>
      </c>
      <c r="E630" s="48" t="inlineStr">
        <is>
          <t xml:space="preserve">New business</t>
        </is>
      </c>
      <c r="F630" s="46" t="inlineStr">
        <is>
          <t xml:space="preserve">B1234EXOTIC26</t>
        </is>
      </c>
      <c r="G630" s="33">
        <f>IF($A630="","",IF($C630="","",YEAR($C630)))</f>
      </c>
      <c r="H630" s="49">
        <v>1985</v>
      </c>
      <c r="I630" s="46" t="inlineStr">
        <is>
          <t xml:space="preserve">Bentley</t>
        </is>
      </c>
      <c r="J630" s="46" t="inlineStr">
        <is>
          <t xml:space="preserve">Continental GT</t>
        </is>
      </c>
      <c r="K630" s="46" t="inlineStr">
        <is>
          <t xml:space="preserve">FZPGLDUC02KNGF76R</t>
        </is>
      </c>
      <c r="L630" s="48" t="inlineStr">
        <is>
          <t xml:space="preserve">02 - Sports / GT</t>
        </is>
      </c>
      <c r="M630" s="50">
        <v>425000</v>
      </c>
      <c r="N630" s="48" t="inlineStr">
        <is>
          <t xml:space="preserve">Personal</t>
        </is>
      </c>
      <c r="O630" s="46" t="inlineStr">
        <is>
          <t xml:space="preserve">Personal - regular use</t>
        </is>
      </c>
      <c r="P630" s="46" t="inlineStr">
        <is>
          <t xml:space="preserve">Under 1,000</t>
        </is>
      </c>
      <c r="Q630" s="46" t="inlineStr">
        <is>
          <t xml:space="preserve">Illinois</t>
        </is>
      </c>
      <c r="R630" s="46" t="inlineStr">
        <is>
          <t xml:space="preserve">60601</t>
        </is>
      </c>
      <c r="S630" s="48" t="inlineStr">
        <is>
          <t xml:space="preserve">Severe convective - hail / tornado (moderate)</t>
        </is>
      </c>
      <c r="T630" s="36">
        <f>IF($A630="","",IF($S630="","",IFERROR(INDEX('[1]natural catastrophe'!$D$6:$D$17,MATCH($S630,'[1]natural catastrophe'!$B$6:$B$17,0)),"?")))</f>
      </c>
      <c r="U630" s="46" t="inlineStr">
        <is>
          <t xml:space="preserve">$5,000</t>
        </is>
      </c>
      <c r="V630" s="48" t="inlineStr">
        <is>
          <t xml:space="preserve">Agreed Value</t>
        </is>
      </c>
      <c r="W630" s="46" t="inlineStr">
        <is>
          <t xml:space="preserve">$1,000</t>
        </is>
      </c>
      <c r="X630" s="48" t="inlineStr">
        <is>
          <t xml:space="preserve">$1,000,000 CSL</t>
        </is>
      </c>
      <c r="Y630" s="46"/>
      <c r="Z630" s="46"/>
      <c r="AA630" s="48" t="inlineStr">
        <is>
          <t xml:space="preserve">Surplus Lines</t>
        </is>
      </c>
      <c r="AB630" s="50">
        <v>7191.2</v>
      </c>
      <c r="AC630" s="51">
        <v>0</v>
      </c>
      <c r="AD630" s="38">
        <f>IF(ISNUMBER($AB630),$AB630*(1+N($AC630)),"")</f>
      </c>
      <c r="AE630" s="50">
        <v>350</v>
      </c>
      <c r="AF630" s="50">
        <v>0</v>
      </c>
      <c r="AG630" s="51"/>
      <c r="AH630" s="39">
        <f>IF(ISNUMBER($AD630),($AD630+$AE630+$AF630)*$AG630,"")</f>
      </c>
      <c r="AI630" s="50"/>
      <c r="AJ630" s="38">
        <f>IF(ISNUMBER($AD630),SUM($AD630:$AH630),"")</f>
      </c>
      <c r="AK630" s="40">
        <f>IF(AND(ISNUMBER($AB630),ISNUMBER($AD630)),IF($AB630&gt;0,$AD630/$AB630,""),"")</f>
      </c>
      <c r="AL630" s="48" t="inlineStr">
        <is>
          <t xml:space="preserve">At technical</t>
        </is>
      </c>
      <c r="AM630" s="41">
        <f>IF(ISNUMBER($AD630),Header!$I$3,"")</f>
      </c>
      <c r="AN630" s="39">
        <f>IF(ISNUMBER($AD630),$AO630+$AP630,"")</f>
      </c>
      <c r="AO630" s="39">
        <f>IF(ISNUMBER($AD630),ROUND($AD630*Header!$K$3,2),"")</f>
      </c>
      <c r="AP630" s="39">
        <f>IF(ISNUMBER($AD630),ROUND($AD630*Header!$M$3,2),"")</f>
      </c>
      <c r="AQ630" s="38">
        <f>IF(ISNUMBER($AD630),ROUND($AD630,2)-$AO630-$AP630,"")</f>
      </c>
      <c r="AR630" s="39">
        <f>IF(ISNUMBER($AD630),IF(Header!$D$34="","?",$AD630*Header!$D$34),"")</f>
      </c>
      <c r="AS630" s="39">
        <f>IF(ISNUMBER($AB630),IF(Header!$D$34="","?",$AB630*Header!$D$34),"")</f>
      </c>
      <c r="AT630" s="42">
        <f>IF(AND(ISNUMBER($AB630),$M630&gt;0),$AB630/$M630*100,"")</f>
      </c>
      <c r="AU630" s="42">
        <f>IF(AND(ISNUMBER($AD630),$M630&gt;0),$AD630/$M630*100,"")</f>
      </c>
      <c r="AV630" s="40">
        <f>IF(AND(ISNUMBER($AB630),ISNUMBER($AD630),ABS($AB630)&gt;0),$AD630/$AB630,"")</f>
      </c>
      <c r="AW630" s="39">
        <f>IF(ISNUMBER($AD630),MAX(0,(1-0.55-Header!$O$3)*Header!$Q$3*$AQ630),"")</f>
      </c>
      <c r="AX630" s="43">
        <f>IF($A630="","",IF(TRIM(IF($A630="","Missing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",""))="","PASS","FAIL: "&amp;TRIM(IF($A630="","Missing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f>
      </c>
      <c r="AY630" s="44">
        <f>IF($M630="","",IF(ISNUMBER($M630),IF($M630&gt;=Header!$C$18,"YES — refer","No"),""))</f>
      </c>
      <c r="AZ630" s="44">
        <f>IF($AD630="","",IF(ISNUMBER($AD630),IF($AD630&lt;Header!$C$20,"BELOW MIN PREMIUM","OK"),""))</f>
      </c>
      <c r="BA630" s="48" t="inlineStr">
        <is>
          <t xml:space="preserve">Yes</t>
        </is>
      </c>
      <c r="BB630" s="48" t="inlineStr">
        <is>
          <t xml:space="preserve">Yes</t>
        </is>
      </c>
      <c r="BC630" s="46" t="inlineStr">
        <is>
          <t xml:space="preserve">Synthetic demo data</t>
        </is>
      </c>
      <c r="BE630" s="45">
        <f>IF(OR($A630="",$L630="",$H630=""),"",IF(AND(LEFT($L630,2)="06",$H630&gt;1945),"FAIL - pre-war class, year "&amp;$H630,IF(AND(LEFT($L630,2)="07",OR($H630&lt;1946,$H630&gt;1972)),"FAIL - 1946-72 class, year "&amp;$H630,IF(AND(LEFT($L630,2)="08",OR($H630&lt;1973,$H630&gt;1999)),"FAIL - 1973-99 class, year "&amp;$H630,IF(AND(LEFT($L630,2)="09",OR($H630&lt;2000,$H630&gt;2010)),"FAIL - 2000-10 class, year "&amp;$H630,"OK")))))</f>
      </c>
      <c r="BF630" s="45">
        <f>IF($AD630="","",IF(ROUND($AO630+$AP630+$AQ630-$AD630,2)=0,"OK","FAIL - out by "&amp;TEXT($AO630+$AP630+$AQ630-$AD630,"$0.00")))</f>
      </c>
    </row>
    <row r="631" spans="1:58" ht="18.75" customHeight="1" x14ac:dyDescent="0.25">
      <c r="A631" s="30" t="inlineStr">
        <is>
          <t xml:space="preserve">CANON-202602-005514</t>
        </is>
      </c>
      <c r="B631" s="30" t="inlineStr">
        <is>
          <t xml:space="preserve">Cassius Okonkwo</t>
        </is>
      </c>
      <c r="C631" s="31">
        <v>46076</v>
      </c>
      <c r="D631" s="32" t="inlineStr">
        <is>
          <t xml:space="preserve">Bound - within authority</t>
        </is>
      </c>
      <c r="E631" s="32" t="inlineStr">
        <is>
          <t xml:space="preserve">New business</t>
        </is>
      </c>
      <c r="F631" s="30" t="inlineStr">
        <is>
          <t xml:space="preserve">B1234EXOTIC26</t>
        </is>
      </c>
      <c r="G631" s="33">
        <f>IF($A631="","",IF($C631="","",YEAR($C631)))</f>
      </c>
      <c r="H631" s="34">
        <v>1955</v>
      </c>
      <c r="I631" s="30" t="inlineStr">
        <is>
          <t xml:space="preserve">McLaren</t>
        </is>
      </c>
      <c r="J631" s="30" t="inlineStr">
        <is>
          <t xml:space="preserve">750S</t>
        </is>
      </c>
      <c r="K631" s="30" t="inlineStr">
        <is>
          <t xml:space="preserve">N659GFNE351XMWT6J</t>
        </is>
      </c>
      <c r="L631" s="32" t="inlineStr">
        <is>
          <t xml:space="preserve">03 - Supercar</t>
        </is>
      </c>
      <c r="M631" s="35">
        <v>650000</v>
      </c>
      <c r="N631" s="32" t="inlineStr">
        <is>
          <t xml:space="preserve">Personal</t>
        </is>
      </c>
      <c r="O631" s="30" t="inlineStr">
        <is>
          <t xml:space="preserve">Personal - regular use</t>
        </is>
      </c>
      <c r="P631" s="30" t="inlineStr">
        <is>
          <t xml:space="preserve">Under 1,000</t>
        </is>
      </c>
      <c r="Q631" s="30" t="inlineStr">
        <is>
          <t xml:space="preserve">Colorado</t>
        </is>
      </c>
      <c r="R631" s="30" t="inlineStr">
        <is>
          <t xml:space="preserve">80202</t>
        </is>
      </c>
      <c r="S631" s="32" t="inlineStr">
        <is>
          <t xml:space="preserve">Severe convective - hail alley (high)</t>
        </is>
      </c>
      <c r="T631" s="36">
        <f>IF($A631="","",IF($S631="","",IFERROR(INDEX('[1]natural catastrophe'!$D$6:$D$17,MATCH($S631,'[1]natural catastrophe'!$B$6:$B$17,0)),"?")))</f>
      </c>
      <c r="U631" s="30" t="inlineStr">
        <is>
          <t xml:space="preserve">$5,000</t>
        </is>
      </c>
      <c r="V631" s="32" t="inlineStr">
        <is>
          <t xml:space="preserve">Agreed Value</t>
        </is>
      </c>
      <c r="W631" s="30" t="inlineStr">
        <is>
          <t xml:space="preserve">$1,000</t>
        </is>
      </c>
      <c r="X631" s="32" t="inlineStr">
        <is>
          <t xml:space="preserve">$1,000,000 CSL</t>
        </is>
      </c>
      <c r="Y631" s="30"/>
      <c r="Z631" s="30"/>
      <c r="AA631" s="32" t="inlineStr">
        <is>
          <t xml:space="preserve">Surplus Lines</t>
        </is>
      </c>
      <c r="AB631" s="35">
        <v>11267.86</v>
      </c>
      <c r="AC631" s="37">
        <v>0</v>
      </c>
      <c r="AD631" s="38">
        <f>IF(ISNUMBER($AB631),$AB631*(1+N($AC631)),"")</f>
      </c>
      <c r="AE631" s="35">
        <v>350</v>
      </c>
      <c r="AF631" s="35">
        <v>0</v>
      </c>
      <c r="AG631" s="37"/>
      <c r="AH631" s="39">
        <f>IF(ISNUMBER($AD631),($AD631+$AE631+$AF631)*$AG631,"")</f>
      </c>
      <c r="AI631" s="35"/>
      <c r="AJ631" s="38">
        <f>IF(ISNUMBER($AD631),SUM($AD631:$AH631),"")</f>
      </c>
      <c r="AK631" s="40">
        <f>IF(AND(ISNUMBER($AB631),ISNUMBER($AD631)),IF($AB631&gt;0,$AD631/$AB631,""),"")</f>
      </c>
      <c r="AL631" s="32" t="inlineStr">
        <is>
          <t xml:space="preserve">At technical</t>
        </is>
      </c>
      <c r="AM631" s="41">
        <f>IF(ISNUMBER($AD631),Header!$I$3,"")</f>
      </c>
      <c r="AN631" s="39">
        <f>IF(ISNUMBER($AD631),$AO631+$AP631,"")</f>
      </c>
      <c r="AO631" s="39">
        <f>IF(ISNUMBER($AD631),ROUND($AD631*Header!$K$3,2),"")</f>
      </c>
      <c r="AP631" s="39">
        <f>IF(ISNUMBER($AD631),ROUND($AD631*Header!$M$3,2),"")</f>
      </c>
      <c r="AQ631" s="38">
        <f>IF(ISNUMBER($AD631),ROUND($AD631,2)-$AO631-$AP631,"")</f>
      </c>
      <c r="AR631" s="39">
        <f>IF(ISNUMBER($AD631),IF(Header!$D$34="","?",$AD631*Header!$D$34),"")</f>
      </c>
      <c r="AS631" s="39">
        <f>IF(ISNUMBER($AB631),IF(Header!$D$34="","?",$AB631*Header!$D$34),"")</f>
      </c>
      <c r="AT631" s="42">
        <f>IF(AND(ISNUMBER($AB631),$M631&gt;0),$AB631/$M631*100,"")</f>
      </c>
      <c r="AU631" s="42">
        <f>IF(AND(ISNUMBER($AD631),$M631&gt;0),$AD631/$M631*100,"")</f>
      </c>
      <c r="AV631" s="40">
        <f>IF(AND(ISNUMBER($AB631),ISNUMBER($AD631),ABS($AB631)&gt;0),$AD631/$AB631,"")</f>
      </c>
      <c r="AW631" s="39">
        <f>IF(ISNUMBER($AD631),MAX(0,(1-0.55-Header!$O$3)*Header!$Q$3*$AQ631),"")</f>
      </c>
      <c r="AX631" s="43">
        <f>IF($A631="","",IF(TRIM(IF($A631="","Missing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",""))="","PASS","FAIL: "&amp;TRIM(IF($A631="","Missing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f>
      </c>
      <c r="AY631" s="44">
        <f>IF($M631="","",IF(ISNUMBER($M631),IF($M631&gt;=Header!$C$18,"YES — refer","No"),""))</f>
      </c>
      <c r="AZ631" s="44">
        <f>IF($AD631="","",IF(ISNUMBER($AD631),IF($AD631&lt;Header!$C$20,"BELOW MIN PREMIUM","OK"),""))</f>
      </c>
      <c r="BA631" s="32" t="inlineStr">
        <is>
          <t xml:space="preserve">Yes</t>
        </is>
      </c>
      <c r="BB631" s="32" t="inlineStr">
        <is>
          <t xml:space="preserve">Yes</t>
        </is>
      </c>
      <c r="BC631" s="30" t="inlineStr">
        <is>
          <t xml:space="preserve">Synthetic demo data</t>
        </is>
      </c>
      <c r="BE631" s="45">
        <f>IF(OR($A631="",$L631="",$H631=""),"",IF(AND(LEFT($L631,2)="06",$H631&gt;1945),"FAIL - pre-war class, year "&amp;$H631,IF(AND(LEFT($L631,2)="07",OR($H631&lt;1946,$H631&gt;1972)),"FAIL - 1946-72 class, year "&amp;$H631,IF(AND(LEFT($L631,2)="08",OR($H631&lt;1973,$H631&gt;1999)),"FAIL - 1973-99 class, year "&amp;$H631,IF(AND(LEFT($L631,2)="09",OR($H631&lt;2000,$H631&gt;2010)),"FAIL - 2000-10 class, year "&amp;$H631,"OK")))))</f>
      </c>
      <c r="BF631" s="45">
        <f>IF($AD631="","",IF(ROUND($AO631+$AP631+$AQ631-$AD631,2)=0,"OK","FAIL - out by "&amp;TEXT($AO631+$AP631+$AQ631-$AD631,"$0.00")))</f>
      </c>
    </row>
    <row r="632" spans="1:58" ht="18.75" customHeight="1" x14ac:dyDescent="0.25">
      <c r="A632" s="46" t="inlineStr">
        <is>
          <t xml:space="preserve">CANON-202602-005515</t>
        </is>
      </c>
      <c r="B632" s="46" t="inlineStr">
        <is>
          <t xml:space="preserve">Ramona Vasquez</t>
        </is>
      </c>
      <c r="C632" s="47">
        <v>46073</v>
      </c>
      <c r="D632" s="48" t="inlineStr">
        <is>
          <t xml:space="preserve">Bound - within authority</t>
        </is>
      </c>
      <c r="E632" s="48" t="inlineStr">
        <is>
          <t xml:space="preserve">New business</t>
        </is>
      </c>
      <c r="F632" s="46" t="inlineStr">
        <is>
          <t xml:space="preserve">B1234EXOTIC26</t>
        </is>
      </c>
      <c r="G632" s="33">
        <f>IF($A632="","",IF($C632="","",YEAR($C632)))</f>
      </c>
      <c r="H632" s="49">
        <v>2004</v>
      </c>
      <c r="I632" s="46" t="inlineStr">
        <is>
          <t xml:space="preserve">Bentley</t>
        </is>
      </c>
      <c r="J632" s="46" t="inlineStr">
        <is>
          <t xml:space="preserve">Continental GT</t>
        </is>
      </c>
      <c r="K632" s="46" t="inlineStr">
        <is>
          <t xml:space="preserve">8RZJVRS6JRXPEUVUV</t>
        </is>
      </c>
      <c r="L632" s="48" t="inlineStr">
        <is>
          <t xml:space="preserve">02 - Sports / GT</t>
        </is>
      </c>
      <c r="M632" s="50">
        <v>810000</v>
      </c>
      <c r="N632" s="48" t="inlineStr">
        <is>
          <t xml:space="preserve">Personal</t>
        </is>
      </c>
      <c r="O632" s="46" t="inlineStr">
        <is>
          <t xml:space="preserve">Personal - regular use</t>
        </is>
      </c>
      <c r="P632" s="46" t="inlineStr">
        <is>
          <t xml:space="preserve">Under 1,000</t>
        </is>
      </c>
      <c r="Q632" s="46" t="inlineStr">
        <is>
          <t xml:space="preserve">Massachusetts</t>
        </is>
      </c>
      <c r="R632" s="46" t="inlineStr">
        <is>
          <t xml:space="preserve">02108</t>
        </is>
      </c>
      <c r="S632" s="48" t="inlineStr">
        <is>
          <t xml:space="preserve">Tier 3 - Coastal wind (25-100 miles)</t>
        </is>
      </c>
      <c r="T632" s="36">
        <f>IF($A632="","",IF($S632="","",IFERROR(INDEX('[1]natural catastrophe'!$D$6:$D$17,MATCH($S632,'[1]natural catastrophe'!$B$6:$B$17,0)),"?")))</f>
      </c>
      <c r="U632" s="46" t="inlineStr">
        <is>
          <t xml:space="preserve">2% of agreed value, minimum $10,000</t>
        </is>
      </c>
      <c r="V632" s="48" t="inlineStr">
        <is>
          <t xml:space="preserve">Agreed Value</t>
        </is>
      </c>
      <c r="W632" s="46" t="inlineStr">
        <is>
          <t xml:space="preserve">$1,000</t>
        </is>
      </c>
      <c r="X632" s="48" t="inlineStr">
        <is>
          <t xml:space="preserve">$1,000,000 CSL</t>
        </is>
      </c>
      <c r="Y632" s="46"/>
      <c r="Z632" s="46"/>
      <c r="AA632" s="48" t="inlineStr">
        <is>
          <t xml:space="preserve">Surplus Lines</t>
        </is>
      </c>
      <c r="AB632" s="50">
        <v>10917.42</v>
      </c>
      <c r="AC632" s="51">
        <v>0</v>
      </c>
      <c r="AD632" s="38">
        <f>IF(ISNUMBER($AB632),$AB632*(1+N($AC632)),"")</f>
      </c>
      <c r="AE632" s="50">
        <v>350</v>
      </c>
      <c r="AF632" s="50">
        <v>0</v>
      </c>
      <c r="AG632" s="51"/>
      <c r="AH632" s="39">
        <f>IF(ISNUMBER($AD632),($AD632+$AE632+$AF632)*$AG632,"")</f>
      </c>
      <c r="AI632" s="50"/>
      <c r="AJ632" s="38">
        <f>IF(ISNUMBER($AD632),SUM($AD632:$AH632),"")</f>
      </c>
      <c r="AK632" s="40">
        <f>IF(AND(ISNUMBER($AB632),ISNUMBER($AD632)),IF($AB632&gt;0,$AD632/$AB632,""),"")</f>
      </c>
      <c r="AL632" s="48" t="inlineStr">
        <is>
          <t xml:space="preserve">At technical</t>
        </is>
      </c>
      <c r="AM632" s="41">
        <f>IF(ISNUMBER($AD632),Header!$I$3,"")</f>
      </c>
      <c r="AN632" s="39">
        <f>IF(ISNUMBER($AD632),$AO632+$AP632,"")</f>
      </c>
      <c r="AO632" s="39">
        <f>IF(ISNUMBER($AD632),ROUND($AD632*Header!$K$3,2),"")</f>
      </c>
      <c r="AP632" s="39">
        <f>IF(ISNUMBER($AD632),ROUND($AD632*Header!$M$3,2),"")</f>
      </c>
      <c r="AQ632" s="38">
        <f>IF(ISNUMBER($AD632),ROUND($AD632,2)-$AO632-$AP632,"")</f>
      </c>
      <c r="AR632" s="39">
        <f>IF(ISNUMBER($AD632),IF(Header!$D$34="","?",$AD632*Header!$D$34),"")</f>
      </c>
      <c r="AS632" s="39">
        <f>IF(ISNUMBER($AB632),IF(Header!$D$34="","?",$AB632*Header!$D$34),"")</f>
      </c>
      <c r="AT632" s="42">
        <f>IF(AND(ISNUMBER($AB632),$M632&gt;0),$AB632/$M632*100,"")</f>
      </c>
      <c r="AU632" s="42">
        <f>IF(AND(ISNUMBER($AD632),$M632&gt;0),$AD632/$M632*100,"")</f>
      </c>
      <c r="AV632" s="40">
        <f>IF(AND(ISNUMBER($AB632),ISNUMBER($AD632),ABS($AB632)&gt;0),$AD632/$AB632,"")</f>
      </c>
      <c r="AW632" s="39">
        <f>IF(ISNUMBER($AD632),MAX(0,(1-0.55-Header!$O$3)*Header!$Q$3*$AQ632),"")</f>
      </c>
      <c r="AX632" s="43">
        <f>IF($A632="","",IF(TRIM(IF($A632="","Missing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",""))="","PASS","FAIL: "&amp;TRIM(IF($A632="","Missing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f>
      </c>
      <c r="AY632" s="44">
        <f>IF($M632="","",IF(ISNUMBER($M632),IF($M632&gt;=Header!$C$18,"YES — refer","No"),""))</f>
      </c>
      <c r="AZ632" s="44">
        <f>IF($AD632="","",IF(ISNUMBER($AD632),IF($AD632&lt;Header!$C$20,"BELOW MIN PREMIUM","OK"),""))</f>
      </c>
      <c r="BA632" s="48" t="inlineStr">
        <is>
          <t xml:space="preserve">Yes</t>
        </is>
      </c>
      <c r="BB632" s="48" t="inlineStr">
        <is>
          <t xml:space="preserve">Yes</t>
        </is>
      </c>
      <c r="BC632" s="46" t="inlineStr">
        <is>
          <t xml:space="preserve">Synthetic demo data</t>
        </is>
      </c>
      <c r="BE632" s="45">
        <f>IF(OR($A632="",$L632="",$H632=""),"",IF(AND(LEFT($L632,2)="06",$H632&gt;1945),"FAIL - pre-war class, year "&amp;$H632,IF(AND(LEFT($L632,2)="07",OR($H632&lt;1946,$H632&gt;1972)),"FAIL - 1946-72 class, year "&amp;$H632,IF(AND(LEFT($L632,2)="08",OR($H632&lt;1973,$H632&gt;1999)),"FAIL - 1973-99 class, year "&amp;$H632,IF(AND(LEFT($L632,2)="09",OR($H632&lt;2000,$H632&gt;2010)),"FAIL - 2000-10 class, year "&amp;$H632,"OK")))))</f>
      </c>
      <c r="BF632" s="45">
        <f>IF($AD632="","",IF(ROUND($AO632+$AP632+$AQ632-$AD632,2)=0,"OK","FAIL - out by "&amp;TEXT($AO632+$AP632+$AQ632-$AD632,"$0.00")))</f>
      </c>
    </row>
    <row r="633" spans="1:58" ht="18.75" customHeight="1" x14ac:dyDescent="0.25">
      <c r="A633" s="30" t="inlineStr">
        <is>
          <t xml:space="preserve">CANON-202602-005517</t>
        </is>
      </c>
      <c r="B633" s="30" t="inlineStr">
        <is>
          <t xml:space="preserve">Ramona Blackwood</t>
        </is>
      </c>
      <c r="C633" s="31">
        <v>46076</v>
      </c>
      <c r="D633" s="32" t="inlineStr">
        <is>
          <t xml:space="preserve">Bound - within authority</t>
        </is>
      </c>
      <c r="E633" s="32" t="inlineStr">
        <is>
          <t xml:space="preserve">New business</t>
        </is>
      </c>
      <c r="F633" s="30" t="inlineStr">
        <is>
          <t xml:space="preserve">B1234EXOTIC26</t>
        </is>
      </c>
      <c r="G633" s="33">
        <f>IF($A633="","",IF($C633="","",YEAR($C633)))</f>
      </c>
      <c r="H633" s="34">
        <v>1991</v>
      </c>
      <c r="I633" s="30" t="inlineStr">
        <is>
          <t xml:space="preserve">BMW</t>
        </is>
      </c>
      <c r="J633" s="30" t="inlineStr">
        <is>
          <t xml:space="preserve">M8 Competition</t>
        </is>
      </c>
      <c r="K633" s="30" t="inlineStr">
        <is>
          <t xml:space="preserve">8Z360V8TU6DRTMVF2</t>
        </is>
      </c>
      <c r="L633" s="32" t="inlineStr">
        <is>
          <t xml:space="preserve">02 - Sports / GT</t>
        </is>
      </c>
      <c r="M633" s="35">
        <v>975000</v>
      </c>
      <c r="N633" s="32" t="inlineStr">
        <is>
          <t xml:space="preserve">Personal</t>
        </is>
      </c>
      <c r="O633" s="30" t="inlineStr">
        <is>
          <t xml:space="preserve">Personal - regular use</t>
        </is>
      </c>
      <c r="P633" s="30" t="inlineStr">
        <is>
          <t xml:space="preserve">1,000 - 2,500</t>
        </is>
      </c>
      <c r="Q633" s="30" t="inlineStr">
        <is>
          <t xml:space="preserve">Massachusetts</t>
        </is>
      </c>
      <c r="R633" s="30" t="inlineStr">
        <is>
          <t xml:space="preserve">02108</t>
        </is>
      </c>
      <c r="S633" s="32" t="inlineStr">
        <is>
          <t xml:space="preserve">Tier 3 - Coastal wind (25-100 miles)</t>
        </is>
      </c>
      <c r="T633" s="36">
        <f>IF($A633="","",IF($S633="","",IFERROR(INDEX('[1]natural catastrophe'!$D$6:$D$17,MATCH($S633,'[1]natural catastrophe'!$B$6:$B$17,0)),"?")))</f>
      </c>
      <c r="U633" s="30" t="inlineStr">
        <is>
          <t xml:space="preserve">2% of agreed value, minimum $10,000</t>
        </is>
      </c>
      <c r="V633" s="32" t="inlineStr">
        <is>
          <t xml:space="preserve">Agreed Value</t>
        </is>
      </c>
      <c r="W633" s="30" t="inlineStr">
        <is>
          <t xml:space="preserve">$1,000</t>
        </is>
      </c>
      <c r="X633" s="32" t="inlineStr">
        <is>
          <t xml:space="preserve">$1,000,000 CSL</t>
        </is>
      </c>
      <c r="Y633" s="30"/>
      <c r="Z633" s="30"/>
      <c r="AA633" s="32" t="inlineStr">
        <is>
          <t xml:space="preserve">Surplus Lines</t>
        </is>
      </c>
      <c r="AB633" s="35">
        <v>13141.34</v>
      </c>
      <c r="AC633" s="37">
        <v>0</v>
      </c>
      <c r="AD633" s="38">
        <f>IF(ISNUMBER($AB633),$AB633*(1+N($AC633)),"")</f>
      </c>
      <c r="AE633" s="35">
        <v>350</v>
      </c>
      <c r="AF633" s="35">
        <v>0</v>
      </c>
      <c r="AG633" s="37"/>
      <c r="AH633" s="39">
        <f>IF(ISNUMBER($AD633),($AD633+$AE633+$AF633)*$AG633,"")</f>
      </c>
      <c r="AI633" s="35"/>
      <c r="AJ633" s="38">
        <f>IF(ISNUMBER($AD633),SUM($AD633:$AH633),"")</f>
      </c>
      <c r="AK633" s="40">
        <f>IF(AND(ISNUMBER($AB633),ISNUMBER($AD633)),IF($AB633&gt;0,$AD633/$AB633,""),"")</f>
      </c>
      <c r="AL633" s="32" t="inlineStr">
        <is>
          <t xml:space="preserve">At technical</t>
        </is>
      </c>
      <c r="AM633" s="41">
        <f>IF(ISNUMBER($AD633),Header!$I$3,"")</f>
      </c>
      <c r="AN633" s="39">
        <f>IF(ISNUMBER($AD633),$AO633+$AP633,"")</f>
      </c>
      <c r="AO633" s="39">
        <f>IF(ISNUMBER($AD633),ROUND($AD633*Header!$K$3,2),"")</f>
      </c>
      <c r="AP633" s="39">
        <f>IF(ISNUMBER($AD633),ROUND($AD633*Header!$M$3,2),"")</f>
      </c>
      <c r="AQ633" s="38">
        <f>IF(ISNUMBER($AD633),ROUND($AD633,2)-$AO633-$AP633,"")</f>
      </c>
      <c r="AR633" s="39">
        <f>IF(ISNUMBER($AD633),IF(Header!$D$34="","?",$AD633*Header!$D$34),"")</f>
      </c>
      <c r="AS633" s="39">
        <f>IF(ISNUMBER($AB633),IF(Header!$D$34="","?",$AB633*Header!$D$34),"")</f>
      </c>
      <c r="AT633" s="42">
        <f>IF(AND(ISNUMBER($AB633),$M633&gt;0),$AB633/$M633*100,"")</f>
      </c>
      <c r="AU633" s="42">
        <f>IF(AND(ISNUMBER($AD633),$M633&gt;0),$AD633/$M633*100,"")</f>
      </c>
      <c r="AV633" s="40">
        <f>IF(AND(ISNUMBER($AB633),ISNUMBER($AD633),ABS($AB633)&gt;0),$AD633/$AB633,"")</f>
      </c>
      <c r="AW633" s="39">
        <f>IF(ISNUMBER($AD633),MAX(0,(1-0.55-Header!$O$3)*Header!$Q$3*$AQ633),"")</f>
      </c>
      <c r="AX633" s="43">
        <f>IF($A633="","",IF(TRIM(IF($A633="","Missing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",""))="","PASS","FAIL: "&amp;TRIM(IF($A633="","Missing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f>
      </c>
      <c r="AY633" s="44">
        <f>IF($M633="","",IF(ISNUMBER($M633),IF($M633&gt;=Header!$C$18,"YES — refer","No"),""))</f>
      </c>
      <c r="AZ633" s="44">
        <f>IF($AD633="","",IF(ISNUMBER($AD633),IF($AD633&lt;Header!$C$20,"BELOW MIN PREMIUM","OK"),""))</f>
      </c>
      <c r="BA633" s="32" t="inlineStr">
        <is>
          <t xml:space="preserve">Yes</t>
        </is>
      </c>
      <c r="BB633" s="32" t="inlineStr">
        <is>
          <t xml:space="preserve">Yes</t>
        </is>
      </c>
      <c r="BC633" s="30" t="inlineStr">
        <is>
          <t xml:space="preserve">Synthetic demo data</t>
        </is>
      </c>
      <c r="BE633" s="45">
        <f>IF(OR($A633="",$L633="",$H633=""),"",IF(AND(LEFT($L633,2)="06",$H633&gt;1945),"FAIL - pre-war class, year "&amp;$H633,IF(AND(LEFT($L633,2)="07",OR($H633&lt;1946,$H633&gt;1972)),"FAIL - 1946-72 class, year "&amp;$H633,IF(AND(LEFT($L633,2)="08",OR($H633&lt;1973,$H633&gt;1999)),"FAIL - 1973-99 class, year "&amp;$H633,IF(AND(LEFT($L633,2)="09",OR($H633&lt;2000,$H633&gt;2010)),"FAIL - 2000-10 class, year "&amp;$H633,"OK")))))</f>
      </c>
      <c r="BF633" s="45">
        <f>IF($AD633="","",IF(ROUND($AO633+$AP633+$AQ633-$AD633,2)=0,"OK","FAIL - out by "&amp;TEXT($AO633+$AP633+$AQ633-$AD633,"$0.00")))</f>
      </c>
    </row>
    <row r="634" spans="1:58" ht="18.75" customHeight="1" x14ac:dyDescent="0.25">
      <c r="A634" s="46" t="inlineStr">
        <is>
          <t xml:space="preserve">CANON-202602-005518</t>
        </is>
      </c>
      <c r="B634" s="46" t="inlineStr">
        <is>
          <t xml:space="preserve">Wilhelmina Ashcombe</t>
        </is>
      </c>
      <c r="C634" s="47">
        <v>46075</v>
      </c>
      <c r="D634" s="48" t="inlineStr">
        <is>
          <t xml:space="preserve">Bound - within authority</t>
        </is>
      </c>
      <c r="E634" s="48" t="inlineStr">
        <is>
          <t xml:space="preserve">New business</t>
        </is>
      </c>
      <c r="F634" s="46" t="inlineStr">
        <is>
          <t xml:space="preserve">B1234EXOTIC26</t>
        </is>
      </c>
      <c r="G634" s="33">
        <f>IF($A634="","",IF($C634="","",YEAR($C634)))</f>
      </c>
      <c r="H634" s="49">
        <v>1988</v>
      </c>
      <c r="I634" s="46" t="inlineStr">
        <is>
          <t xml:space="preserve">McLaren</t>
        </is>
      </c>
      <c r="J634" s="46" t="inlineStr">
        <is>
          <t xml:space="preserve">750S</t>
        </is>
      </c>
      <c r="K634" s="46" t="inlineStr">
        <is>
          <t xml:space="preserve">NKSGC2A6XHJSR36HU</t>
        </is>
      </c>
      <c r="L634" s="48" t="inlineStr">
        <is>
          <t xml:space="preserve">03 - Supercar</t>
        </is>
      </c>
      <c r="M634" s="50">
        <v>595000</v>
      </c>
      <c r="N634" s="48" t="inlineStr">
        <is>
          <t xml:space="preserve">Personal</t>
        </is>
      </c>
      <c r="O634" s="46" t="inlineStr">
        <is>
          <t xml:space="preserve">Personal - regular use</t>
        </is>
      </c>
      <c r="P634" s="46" t="inlineStr">
        <is>
          <t xml:space="preserve">2,500 - 5,000</t>
        </is>
      </c>
      <c r="Q634" s="46" t="inlineStr">
        <is>
          <t xml:space="preserve">Iowa</t>
        </is>
      </c>
      <c r="R634" s="46" t="inlineStr">
        <is>
          <t xml:space="preserve">50309</t>
        </is>
      </c>
      <c r="S634" s="48" t="inlineStr">
        <is>
          <t xml:space="preserve">Severe convective - hail alley (high)</t>
        </is>
      </c>
      <c r="T634" s="36">
        <f>IF($A634="","",IF($S634="","",IFERROR(INDEX('[1]natural catastrophe'!$D$6:$D$17,MATCH($S634,'[1]natural catastrophe'!$B$6:$B$17,0)),"?")))</f>
      </c>
      <c r="U634" s="46" t="inlineStr">
        <is>
          <t xml:space="preserve">$5,000</t>
        </is>
      </c>
      <c r="V634" s="48" t="inlineStr">
        <is>
          <t xml:space="preserve">Agreed Value</t>
        </is>
      </c>
      <c r="W634" s="46" t="inlineStr">
        <is>
          <t xml:space="preserve">$1,000</t>
        </is>
      </c>
      <c r="X634" s="48" t="inlineStr">
        <is>
          <t xml:space="preserve">$1,000,000 CSL</t>
        </is>
      </c>
      <c r="Y634" s="46"/>
      <c r="Z634" s="46"/>
      <c r="AA634" s="48" t="inlineStr">
        <is>
          <t xml:space="preserve">Surplus Lines</t>
        </is>
      </c>
      <c r="AB634" s="50">
        <v>10314.42</v>
      </c>
      <c r="AC634" s="51">
        <v>0</v>
      </c>
      <c r="AD634" s="38">
        <f>IF(ISNUMBER($AB634),$AB634*(1+N($AC634)),"")</f>
      </c>
      <c r="AE634" s="50">
        <v>350</v>
      </c>
      <c r="AF634" s="50">
        <v>0</v>
      </c>
      <c r="AG634" s="51"/>
      <c r="AH634" s="39">
        <f>IF(ISNUMBER($AD634),($AD634+$AE634+$AF634)*$AG634,"")</f>
      </c>
      <c r="AI634" s="50"/>
      <c r="AJ634" s="38">
        <f>IF(ISNUMBER($AD634),SUM($AD634:$AH634),"")</f>
      </c>
      <c r="AK634" s="40">
        <f>IF(AND(ISNUMBER($AB634),ISNUMBER($AD634)),IF($AB634&gt;0,$AD634/$AB634,""),"")</f>
      </c>
      <c r="AL634" s="48" t="inlineStr">
        <is>
          <t xml:space="preserve">At technical</t>
        </is>
      </c>
      <c r="AM634" s="41">
        <f>IF(ISNUMBER($AD634),Header!$I$3,"")</f>
      </c>
      <c r="AN634" s="39">
        <f>IF(ISNUMBER($AD634),$AO634+$AP634,"")</f>
      </c>
      <c r="AO634" s="39">
        <f>IF(ISNUMBER($AD634),ROUND($AD634*Header!$K$3,2),"")</f>
      </c>
      <c r="AP634" s="39">
        <f>IF(ISNUMBER($AD634),ROUND($AD634*Header!$M$3,2),"")</f>
      </c>
      <c r="AQ634" s="38">
        <f>IF(ISNUMBER($AD634),ROUND($AD634,2)-$AO634-$AP634,"")</f>
      </c>
      <c r="AR634" s="39">
        <f>IF(ISNUMBER($AD634),IF(Header!$D$34="","?",$AD634*Header!$D$34),"")</f>
      </c>
      <c r="AS634" s="39">
        <f>IF(ISNUMBER($AB634),IF(Header!$D$34="","?",$AB634*Header!$D$34),"")</f>
      </c>
      <c r="AT634" s="42">
        <f>IF(AND(ISNUMBER($AB634),$M634&gt;0),$AB634/$M634*100,"")</f>
      </c>
      <c r="AU634" s="42">
        <f>IF(AND(ISNUMBER($AD634),$M634&gt;0),$AD634/$M634*100,"")</f>
      </c>
      <c r="AV634" s="40">
        <f>IF(AND(ISNUMBER($AB634),ISNUMBER($AD634),ABS($AB634)&gt;0),$AD634/$AB634,"")</f>
      </c>
      <c r="AW634" s="39">
        <f>IF(ISNUMBER($AD634),MAX(0,(1-0.55-Header!$O$3)*Header!$Q$3*$AQ634),"")</f>
      </c>
      <c r="AX634" s="43">
        <f>IF($A634="","",IF(TRIM(IF($A634="","Missing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",""))="","PASS","FAIL: "&amp;TRIM(IF($A634="","Missing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f>
      </c>
      <c r="AY634" s="44">
        <f>IF($M634="","",IF(ISNUMBER($M634),IF($M634&gt;=Header!$C$18,"YES — refer","No"),""))</f>
      </c>
      <c r="AZ634" s="44">
        <f>IF($AD634="","",IF(ISNUMBER($AD634),IF($AD634&lt;Header!$C$20,"BELOW MIN PREMIUM","OK"),""))</f>
      </c>
      <c r="BA634" s="48" t="inlineStr">
        <is>
          <t xml:space="preserve">Yes</t>
        </is>
      </c>
      <c r="BB634" s="48" t="inlineStr">
        <is>
          <t xml:space="preserve">Yes</t>
        </is>
      </c>
      <c r="BC634" s="46" t="inlineStr">
        <is>
          <t xml:space="preserve">Synthetic demo data</t>
        </is>
      </c>
      <c r="BE634" s="45">
        <f>IF(OR($A634="",$L634="",$H634=""),"",IF(AND(LEFT($L634,2)="06",$H634&gt;1945),"FAIL - pre-war class, year "&amp;$H634,IF(AND(LEFT($L634,2)="07",OR($H634&lt;1946,$H634&gt;1972)),"FAIL - 1946-72 class, year "&amp;$H634,IF(AND(LEFT($L634,2)="08",OR($H634&lt;1973,$H634&gt;1999)),"FAIL - 1973-99 class, year "&amp;$H634,IF(AND(LEFT($L634,2)="09",OR($H634&lt;2000,$H634&gt;2010)),"FAIL - 2000-10 class, year "&amp;$H634,"OK")))))</f>
      </c>
      <c r="BF634" s="45">
        <f>IF($AD634="","",IF(ROUND($AO634+$AP634+$AQ634-$AD634,2)=0,"OK","FAIL - out by "&amp;TEXT($AO634+$AP634+$AQ634-$AD634,"$0.00")))</f>
      </c>
    </row>
    <row r="635" spans="1:58" ht="18.75" customHeight="1" x14ac:dyDescent="0.25">
      <c r="A635" s="30" t="inlineStr">
        <is>
          <t xml:space="preserve">CANON-202602-005519</t>
        </is>
      </c>
      <c r="B635" s="30" t="inlineStr">
        <is>
          <t xml:space="preserve">Mireille Delacroix</t>
        </is>
      </c>
      <c r="C635" s="31">
        <v>46063</v>
      </c>
      <c r="D635" s="32" t="inlineStr">
        <is>
          <t xml:space="preserve">Bound - within authority</t>
        </is>
      </c>
      <c r="E635" s="32" t="inlineStr">
        <is>
          <t xml:space="preserve">New business</t>
        </is>
      </c>
      <c r="F635" s="30" t="inlineStr">
        <is>
          <t xml:space="preserve">B1234EXOTIC26</t>
        </is>
      </c>
      <c r="G635" s="33">
        <f>IF($A635="","",IF($C635="","",YEAR($C635)))</f>
      </c>
      <c r="H635" s="34">
        <v>2008</v>
      </c>
      <c r="I635" s="30" t="inlineStr">
        <is>
          <t xml:space="preserve">Bentley</t>
        </is>
      </c>
      <c r="J635" s="30" t="inlineStr">
        <is>
          <t xml:space="preserve">Continental GT</t>
        </is>
      </c>
      <c r="K635" s="30" t="inlineStr">
        <is>
          <t xml:space="preserve">11U2GKHB3RXRPDZ2E</t>
        </is>
      </c>
      <c r="L635" s="32" t="inlineStr">
        <is>
          <t xml:space="preserve">02 - Sports / GT</t>
        </is>
      </c>
      <c r="M635" s="35">
        <v>230000</v>
      </c>
      <c r="N635" s="32" t="inlineStr">
        <is>
          <t xml:space="preserve">Personal</t>
        </is>
      </c>
      <c r="O635" s="30" t="inlineStr">
        <is>
          <t xml:space="preserve">Personal - regular use</t>
        </is>
      </c>
      <c r="P635" s="30" t="inlineStr">
        <is>
          <t xml:space="preserve">1,000 - 2,500</t>
        </is>
      </c>
      <c r="Q635" s="30" t="inlineStr">
        <is>
          <t xml:space="preserve">Michigan</t>
        </is>
      </c>
      <c r="R635" s="30" t="inlineStr">
        <is>
          <t xml:space="preserve">48226</t>
        </is>
      </c>
      <c r="S635" s="32" t="inlineStr">
        <is>
          <t xml:space="preserve">Severe convective - hail / tornado (moderate)</t>
        </is>
      </c>
      <c r="T635" s="36">
        <f>IF($A635="","",IF($S635="","",IFERROR(INDEX('[1]natural catastrophe'!$D$6:$D$17,MATCH($S635,'[1]natural catastrophe'!$B$6:$B$17,0)),"?")))</f>
      </c>
      <c r="U635" s="30" t="inlineStr">
        <is>
          <t xml:space="preserve">$5,000</t>
        </is>
      </c>
      <c r="V635" s="32" t="inlineStr">
        <is>
          <t xml:space="preserve">Agreed Value</t>
        </is>
      </c>
      <c r="W635" s="30" t="inlineStr">
        <is>
          <t xml:space="preserve">$1,000</t>
        </is>
      </c>
      <c r="X635" s="32" t="inlineStr">
        <is>
          <t xml:space="preserve">$1,000,000 CSL</t>
        </is>
      </c>
      <c r="Y635" s="30"/>
      <c r="Z635" s="30"/>
      <c r="AA635" s="32" t="inlineStr">
        <is>
          <t xml:space="preserve">Surplus Lines</t>
        </is>
      </c>
      <c r="AB635" s="35">
        <v>5440.75</v>
      </c>
      <c r="AC635" s="37">
        <v>0</v>
      </c>
      <c r="AD635" s="38">
        <f>IF(ISNUMBER($AB635),$AB635*(1+N($AC635)),"")</f>
      </c>
      <c r="AE635" s="35">
        <v>350</v>
      </c>
      <c r="AF635" s="35">
        <v>0</v>
      </c>
      <c r="AG635" s="37"/>
      <c r="AH635" s="39">
        <f>IF(ISNUMBER($AD635),($AD635+$AE635+$AF635)*$AG635,"")</f>
      </c>
      <c r="AI635" s="35"/>
      <c r="AJ635" s="38">
        <f>IF(ISNUMBER($AD635),SUM($AD635:$AH635),"")</f>
      </c>
      <c r="AK635" s="40">
        <f>IF(AND(ISNUMBER($AB635),ISNUMBER($AD635)),IF($AB635&gt;0,$AD635/$AB635,""),"")</f>
      </c>
      <c r="AL635" s="32" t="inlineStr">
        <is>
          <t xml:space="preserve">At technical</t>
        </is>
      </c>
      <c r="AM635" s="41">
        <f>IF(ISNUMBER($AD635),Header!$I$3,"")</f>
      </c>
      <c r="AN635" s="39">
        <f>IF(ISNUMBER($AD635),$AO635+$AP635,"")</f>
      </c>
      <c r="AO635" s="39">
        <f>IF(ISNUMBER($AD635),ROUND($AD635*Header!$K$3,2),"")</f>
      </c>
      <c r="AP635" s="39">
        <f>IF(ISNUMBER($AD635),ROUND($AD635*Header!$M$3,2),"")</f>
      </c>
      <c r="AQ635" s="38">
        <f>IF(ISNUMBER($AD635),ROUND($AD635,2)-$AO635-$AP635,"")</f>
      </c>
      <c r="AR635" s="39">
        <f>IF(ISNUMBER($AD635),IF(Header!$D$34="","?",$AD635*Header!$D$34),"")</f>
      </c>
      <c r="AS635" s="39">
        <f>IF(ISNUMBER($AB635),IF(Header!$D$34="","?",$AB635*Header!$D$34),"")</f>
      </c>
      <c r="AT635" s="42">
        <f>IF(AND(ISNUMBER($AB635),$M635&gt;0),$AB635/$M635*100,"")</f>
      </c>
      <c r="AU635" s="42">
        <f>IF(AND(ISNUMBER($AD635),$M635&gt;0),$AD635/$M635*100,"")</f>
      </c>
      <c r="AV635" s="40">
        <f>IF(AND(ISNUMBER($AB635),ISNUMBER($AD635),ABS($AB635)&gt;0),$AD635/$AB635,"")</f>
      </c>
      <c r="AW635" s="39">
        <f>IF(ISNUMBER($AD635),MAX(0,(1-0.55-Header!$O$3)*Header!$Q$3*$AQ635),"")</f>
      </c>
      <c r="AX635" s="43">
        <f>IF($A635="","",IF(TRIM(IF($A635="","Missing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",""))="","PASS","FAIL: "&amp;TRIM(IF($A635="","Missing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f>
      </c>
      <c r="AY635" s="44">
        <f>IF($M635="","",IF(ISNUMBER($M635),IF($M635&gt;=Header!$C$18,"YES — refer","No"),""))</f>
      </c>
      <c r="AZ635" s="44">
        <f>IF($AD635="","",IF(ISNUMBER($AD635),IF($AD635&lt;Header!$C$20,"BELOW MIN PREMIUM","OK"),""))</f>
      </c>
      <c r="BA635" s="32" t="inlineStr">
        <is>
          <t xml:space="preserve">Yes</t>
        </is>
      </c>
      <c r="BB635" s="32" t="inlineStr">
        <is>
          <t xml:space="preserve">Yes</t>
        </is>
      </c>
      <c r="BC635" s="30" t="inlineStr">
        <is>
          <t xml:space="preserve">Synthetic demo data</t>
        </is>
      </c>
      <c r="BE635" s="45">
        <f>IF(OR($A635="",$L635="",$H635=""),"",IF(AND(LEFT($L635,2)="06",$H635&gt;1945),"FAIL - pre-war class, year "&amp;$H635,IF(AND(LEFT($L635,2)="07",OR($H635&lt;1946,$H635&gt;1972)),"FAIL - 1946-72 class, year "&amp;$H635,IF(AND(LEFT($L635,2)="08",OR($H635&lt;1973,$H635&gt;1999)),"FAIL - 1973-99 class, year "&amp;$H635,IF(AND(LEFT($L635,2)="09",OR($H635&lt;2000,$H635&gt;2010)),"FAIL - 2000-10 class, year "&amp;$H635,"OK")))))</f>
      </c>
      <c r="BF635" s="45">
        <f>IF($AD635="","",IF(ROUND($AO635+$AP635+$AQ635-$AD635,2)=0,"OK","FAIL - out by "&amp;TEXT($AO635+$AP635+$AQ635-$AD635,"$0.00")))</f>
      </c>
    </row>
    <row r="636" spans="1:58" ht="18.75" customHeight="1" x14ac:dyDescent="0.25">
      <c r="A636" s="46" t="inlineStr">
        <is>
          <t xml:space="preserve">CANON-202602-005521</t>
        </is>
      </c>
      <c r="B636" s="46" t="inlineStr">
        <is>
          <t xml:space="preserve">Fenwick Underwood</t>
        </is>
      </c>
      <c r="C636" s="47">
        <v>46066</v>
      </c>
      <c r="D636" s="48" t="inlineStr">
        <is>
          <t xml:space="preserve">Bound - within authority</t>
        </is>
      </c>
      <c r="E636" s="48" t="inlineStr">
        <is>
          <t xml:space="preserve">New business</t>
        </is>
      </c>
      <c r="F636" s="46" t="inlineStr">
        <is>
          <t xml:space="preserve">B1234EXOTIC26</t>
        </is>
      </c>
      <c r="G636" s="33">
        <f>IF($A636="","",IF($C636="","",YEAR($C636)))</f>
      </c>
      <c r="H636" s="49">
        <v>2014</v>
      </c>
      <c r="I636" s="46" t="inlineStr">
        <is>
          <t xml:space="preserve">Aston Martin</t>
        </is>
      </c>
      <c r="J636" s="46" t="inlineStr">
        <is>
          <t xml:space="preserve">DB12</t>
        </is>
      </c>
      <c r="K636" s="46" t="inlineStr">
        <is>
          <t xml:space="preserve">WHJW4KA0P6Z6N2LT9</t>
        </is>
      </c>
      <c r="L636" s="48" t="inlineStr">
        <is>
          <t xml:space="preserve">02 - Sports / GT</t>
        </is>
      </c>
      <c r="M636" s="50">
        <v>1020000</v>
      </c>
      <c r="N636" s="48" t="inlineStr">
        <is>
          <t xml:space="preserve">Personal</t>
        </is>
      </c>
      <c r="O636" s="46" t="inlineStr">
        <is>
          <t xml:space="preserve">Personal - regular use</t>
        </is>
      </c>
      <c r="P636" s="46" t="inlineStr">
        <is>
          <t xml:space="preserve">1,000 - 2,500</t>
        </is>
      </c>
      <c r="Q636" s="46" t="inlineStr">
        <is>
          <t xml:space="preserve">New Hampshire</t>
        </is>
      </c>
      <c r="R636" s="46" t="inlineStr">
        <is>
          <t xml:space="preserve">03301</t>
        </is>
      </c>
      <c r="S636" s="48" t="inlineStr">
        <is>
          <t xml:space="preserve">Tier 3 - Coastal wind (25-100 miles)</t>
        </is>
      </c>
      <c r="T636" s="36">
        <f>IF($A636="","",IF($S636="","",IFERROR(INDEX('[1]natural catastrophe'!$D$6:$D$17,MATCH($S636,'[1]natural catastrophe'!$B$6:$B$17,0)),"?")))</f>
      </c>
      <c r="U636" s="46" t="inlineStr">
        <is>
          <t xml:space="preserve">2% of agreed value, minimum $10,000</t>
        </is>
      </c>
      <c r="V636" s="48" t="inlineStr">
        <is>
          <t xml:space="preserve">Agreed Value</t>
        </is>
      </c>
      <c r="W636" s="46" t="inlineStr">
        <is>
          <t xml:space="preserve">$1,000</t>
        </is>
      </c>
      <c r="X636" s="48" t="inlineStr">
        <is>
          <t xml:space="preserve">$1,000,000 CSL</t>
        </is>
      </c>
      <c r="Y636" s="46"/>
      <c r="Z636" s="46"/>
      <c r="AA636" s="48" t="inlineStr">
        <is>
          <t xml:space="preserve">Surplus Lines</t>
        </is>
      </c>
      <c r="AB636" s="50">
        <v>9678.5</v>
      </c>
      <c r="AC636" s="51">
        <v>0</v>
      </c>
      <c r="AD636" s="38">
        <f>IF(ISNUMBER($AB636),$AB636*(1+N($AC636)),"")</f>
      </c>
      <c r="AE636" s="50">
        <v>350</v>
      </c>
      <c r="AF636" s="50">
        <v>250</v>
      </c>
      <c r="AG636" s="51"/>
      <c r="AH636" s="39">
        <f>IF(ISNUMBER($AD636),($AD636+$AE636+$AF636)*$AG636,"")</f>
      </c>
      <c r="AI636" s="50"/>
      <c r="AJ636" s="38">
        <f>IF(ISNUMBER($AD636),SUM($AD636:$AH636),"")</f>
      </c>
      <c r="AK636" s="40">
        <f>IF(AND(ISNUMBER($AB636),ISNUMBER($AD636)),IF($AB636&gt;0,$AD636/$AB636,""),"")</f>
      </c>
      <c r="AL636" s="48" t="inlineStr">
        <is>
          <t xml:space="preserve">At technical</t>
        </is>
      </c>
      <c r="AM636" s="41">
        <f>IF(ISNUMBER($AD636),Header!$I$3,"")</f>
      </c>
      <c r="AN636" s="39">
        <f>IF(ISNUMBER($AD636),$AO636+$AP636,"")</f>
      </c>
      <c r="AO636" s="39">
        <f>IF(ISNUMBER($AD636),ROUND($AD636*Header!$K$3,2),"")</f>
      </c>
      <c r="AP636" s="39">
        <f>IF(ISNUMBER($AD636),ROUND($AD636*Header!$M$3,2),"")</f>
      </c>
      <c r="AQ636" s="38">
        <f>IF(ISNUMBER($AD636),ROUND($AD636,2)-$AO636-$AP636,"")</f>
      </c>
      <c r="AR636" s="39">
        <f>IF(ISNUMBER($AD636),IF(Header!$D$34="","?",$AD636*Header!$D$34),"")</f>
      </c>
      <c r="AS636" s="39">
        <f>IF(ISNUMBER($AB636),IF(Header!$D$34="","?",$AB636*Header!$D$34),"")</f>
      </c>
      <c r="AT636" s="42">
        <f>IF(AND(ISNUMBER($AB636),$M636&gt;0),$AB636/$M636*100,"")</f>
      </c>
      <c r="AU636" s="42">
        <f>IF(AND(ISNUMBER($AD636),$M636&gt;0),$AD636/$M636*100,"")</f>
      </c>
      <c r="AV636" s="40">
        <f>IF(AND(ISNUMBER($AB636),ISNUMBER($AD636),ABS($AB636)&gt;0),$AD636/$AB636,"")</f>
      </c>
      <c r="AW636" s="39">
        <f>IF(ISNUMBER($AD636),MAX(0,(1-0.55-Header!$O$3)*Header!$Q$3*$AQ636),"")</f>
      </c>
      <c r="AX636" s="43">
        <f>IF($A636="","",IF(TRIM(IF($A636="","Missing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",""))="","PASS","FAIL: "&amp;TRIM(IF($A636="","Missing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f>
      </c>
      <c r="AY636" s="44">
        <f>IF($M636="","",IF(ISNUMBER($M636),IF($M636&gt;=Header!$C$18,"YES — refer","No"),""))</f>
      </c>
      <c r="AZ636" s="44">
        <f>IF($AD636="","",IF(ISNUMBER($AD636),IF($AD636&lt;Header!$C$20,"BELOW MIN PREMIUM","OK"),""))</f>
      </c>
      <c r="BA636" s="48" t="inlineStr">
        <is>
          <t xml:space="preserve">Yes</t>
        </is>
      </c>
      <c r="BB636" s="48" t="inlineStr">
        <is>
          <t xml:space="preserve">Yes</t>
        </is>
      </c>
      <c r="BC636" s="46" t="inlineStr">
        <is>
          <t xml:space="preserve">Synthetic demo data</t>
        </is>
      </c>
      <c r="BE636" s="45">
        <f>IF(OR($A636="",$L636="",$H636=""),"",IF(AND(LEFT($L636,2)="06",$H636&gt;1945),"FAIL - pre-war class, year "&amp;$H636,IF(AND(LEFT($L636,2)="07",OR($H636&lt;1946,$H636&gt;1972)),"FAIL - 1946-72 class, year "&amp;$H636,IF(AND(LEFT($L636,2)="08",OR($H636&lt;1973,$H636&gt;1999)),"FAIL - 1973-99 class, year "&amp;$H636,IF(AND(LEFT($L636,2)="09",OR($H636&lt;2000,$H636&gt;2010)),"FAIL - 2000-10 class, year "&amp;$H636,"OK")))))</f>
      </c>
      <c r="BF636" s="45">
        <f>IF($AD636="","",IF(ROUND($AO636+$AP636+$AQ636-$AD636,2)=0,"OK","FAIL - out by "&amp;TEXT($AO636+$AP636+$AQ636-$AD636,"$0.00")))</f>
      </c>
    </row>
    <row r="637" spans="1:58" ht="18.75" customHeight="1" x14ac:dyDescent="0.25">
      <c r="A637" s="30" t="inlineStr">
        <is>
          <t xml:space="preserve">CANON-202602-005522</t>
        </is>
      </c>
      <c r="B637" s="30" t="inlineStr">
        <is>
          <t xml:space="preserve">Fitzgerald Vasquez</t>
        </is>
      </c>
      <c r="C637" s="31">
        <v>46067</v>
      </c>
      <c r="D637" s="32" t="inlineStr">
        <is>
          <t xml:space="preserve">Bound - within authority</t>
        </is>
      </c>
      <c r="E637" s="32" t="inlineStr">
        <is>
          <t xml:space="preserve">New business</t>
        </is>
      </c>
      <c r="F637" s="30" t="inlineStr">
        <is>
          <t xml:space="preserve">B1234EXOTIC26</t>
        </is>
      </c>
      <c r="G637" s="33">
        <f>IF($A637="","",IF($C637="","",YEAR($C637)))</f>
      </c>
      <c r="H637" s="34">
        <v>1979</v>
      </c>
      <c r="I637" s="30" t="inlineStr">
        <is>
          <t xml:space="preserve">Ferrari</t>
        </is>
      </c>
      <c r="J637" s="30" t="inlineStr">
        <is>
          <t xml:space="preserve">296 GTB</t>
        </is>
      </c>
      <c r="K637" s="30" t="inlineStr">
        <is>
          <t xml:space="preserve">8YVH8PVS3MCTJG8K9</t>
        </is>
      </c>
      <c r="L637" s="32" t="inlineStr">
        <is>
          <t xml:space="preserve">03 - Supercar</t>
        </is>
      </c>
      <c r="M637" s="35">
        <v>875000</v>
      </c>
      <c r="N637" s="32" t="inlineStr">
        <is>
          <t xml:space="preserve">Personal</t>
        </is>
      </c>
      <c r="O637" s="30" t="inlineStr">
        <is>
          <t xml:space="preserve">Personal - regular use</t>
        </is>
      </c>
      <c r="P637" s="30" t="inlineStr">
        <is>
          <t xml:space="preserve">1,000 - 2,500</t>
        </is>
      </c>
      <c r="Q637" s="30" t="inlineStr">
        <is>
          <t xml:space="preserve">New York</t>
        </is>
      </c>
      <c r="R637" s="30" t="inlineStr">
        <is>
          <t xml:space="preserve">10022</t>
        </is>
      </c>
      <c r="S637" s="32" t="inlineStr">
        <is>
          <t xml:space="preserve">Tier 3 - Coastal wind (25-100 miles)</t>
        </is>
      </c>
      <c r="T637" s="36">
        <f>IF($A637="","",IF($S637="","",IFERROR(INDEX('[1]natural catastrophe'!$D$6:$D$17,MATCH($S637,'[1]natural catastrophe'!$B$6:$B$17,0)),"?")))</f>
      </c>
      <c r="U637" s="30" t="inlineStr">
        <is>
          <t xml:space="preserve">2% of agreed value, minimum $10,000</t>
        </is>
      </c>
      <c r="V637" s="32" t="inlineStr">
        <is>
          <t xml:space="preserve">Agreed Value</t>
        </is>
      </c>
      <c r="W637" s="30" t="inlineStr">
        <is>
          <t xml:space="preserve">$1,000</t>
        </is>
      </c>
      <c r="X637" s="32" t="inlineStr">
        <is>
          <t xml:space="preserve">$1,000,000 CSL</t>
        </is>
      </c>
      <c r="Y637" s="30"/>
      <c r="Z637" s="30"/>
      <c r="AA637" s="32" t="inlineStr">
        <is>
          <t xml:space="preserve">Surplus Lines</t>
        </is>
      </c>
      <c r="AB637" s="35">
        <v>17650.35</v>
      </c>
      <c r="AC637" s="37">
        <v>0</v>
      </c>
      <c r="AD637" s="38">
        <f>IF(ISNUMBER($AB637),$AB637*(1+N($AC637)),"")</f>
      </c>
      <c r="AE637" s="35">
        <v>350</v>
      </c>
      <c r="AF637" s="35">
        <v>0</v>
      </c>
      <c r="AG637" s="37"/>
      <c r="AH637" s="39">
        <f>IF(ISNUMBER($AD637),($AD637+$AE637+$AF637)*$AG637,"")</f>
      </c>
      <c r="AI637" s="35"/>
      <c r="AJ637" s="38">
        <f>IF(ISNUMBER($AD637),SUM($AD637:$AH637),"")</f>
      </c>
      <c r="AK637" s="40">
        <f>IF(AND(ISNUMBER($AB637),ISNUMBER($AD637)),IF($AB637&gt;0,$AD637/$AB637,""),"")</f>
      </c>
      <c r="AL637" s="32" t="inlineStr">
        <is>
          <t xml:space="preserve">At technical</t>
        </is>
      </c>
      <c r="AM637" s="41">
        <f>IF(ISNUMBER($AD637),Header!$I$3,"")</f>
      </c>
      <c r="AN637" s="39">
        <f>IF(ISNUMBER($AD637),$AO637+$AP637,"")</f>
      </c>
      <c r="AO637" s="39">
        <f>IF(ISNUMBER($AD637),ROUND($AD637*Header!$K$3,2),"")</f>
      </c>
      <c r="AP637" s="39">
        <f>IF(ISNUMBER($AD637),ROUND($AD637*Header!$M$3,2),"")</f>
      </c>
      <c r="AQ637" s="38">
        <f>IF(ISNUMBER($AD637),ROUND($AD637,2)-$AO637-$AP637,"")</f>
      </c>
      <c r="AR637" s="39">
        <f>IF(ISNUMBER($AD637),IF(Header!$D$34="","?",$AD637*Header!$D$34),"")</f>
      </c>
      <c r="AS637" s="39">
        <f>IF(ISNUMBER($AB637),IF(Header!$D$34="","?",$AB637*Header!$D$34),"")</f>
      </c>
      <c r="AT637" s="42">
        <f>IF(AND(ISNUMBER($AB637),$M637&gt;0),$AB637/$M637*100,"")</f>
      </c>
      <c r="AU637" s="42">
        <f>IF(AND(ISNUMBER($AD637),$M637&gt;0),$AD637/$M637*100,"")</f>
      </c>
      <c r="AV637" s="40">
        <f>IF(AND(ISNUMBER($AB637),ISNUMBER($AD637),ABS($AB637)&gt;0),$AD637/$AB637,"")</f>
      </c>
      <c r="AW637" s="39">
        <f>IF(ISNUMBER($AD637),MAX(0,(1-0.55-Header!$O$3)*Header!$Q$3*$AQ637),"")</f>
      </c>
      <c r="AX637" s="43">
        <f>IF($A637="","",IF(TRIM(IF($A637="","Missing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",""))="","PASS","FAIL: "&amp;TRIM(IF($A637="","Missing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f>
      </c>
      <c r="AY637" s="44">
        <f>IF($M637="","",IF(ISNUMBER($M637),IF($M637&gt;=Header!$C$18,"YES — refer","No"),""))</f>
      </c>
      <c r="AZ637" s="44">
        <f>IF($AD637="","",IF(ISNUMBER($AD637),IF($AD637&lt;Header!$C$20,"BELOW MIN PREMIUM","OK"),""))</f>
      </c>
      <c r="BA637" s="32" t="inlineStr">
        <is>
          <t xml:space="preserve">Yes</t>
        </is>
      </c>
      <c r="BB637" s="32" t="inlineStr">
        <is>
          <t xml:space="preserve">Yes</t>
        </is>
      </c>
      <c r="BC637" s="30" t="inlineStr">
        <is>
          <t xml:space="preserve">Synthetic demo data</t>
        </is>
      </c>
      <c r="BE637" s="45">
        <f>IF(OR($A637="",$L637="",$H637=""),"",IF(AND(LEFT($L637,2)="06",$H637&gt;1945),"FAIL - pre-war class, year "&amp;$H637,IF(AND(LEFT($L637,2)="07",OR($H637&lt;1946,$H637&gt;1972)),"FAIL - 1946-72 class, year "&amp;$H637,IF(AND(LEFT($L637,2)="08",OR($H637&lt;1973,$H637&gt;1999)),"FAIL - 1973-99 class, year "&amp;$H637,IF(AND(LEFT($L637,2)="09",OR($H637&lt;2000,$H637&gt;2010)),"FAIL - 2000-10 class, year "&amp;$H637,"OK")))))</f>
      </c>
      <c r="BF637" s="45">
        <f>IF($AD637="","",IF(ROUND($AO637+$AP637+$AQ637-$AD637,2)=0,"OK","FAIL - out by "&amp;TEXT($AO637+$AP637+$AQ637-$AD637,"$0.00")))</f>
      </c>
    </row>
    <row r="638" spans="1:58" ht="18.75" customHeight="1" x14ac:dyDescent="0.25">
      <c r="A638" s="46" t="inlineStr">
        <is>
          <t xml:space="preserve">CANON-202602-005523</t>
        </is>
      </c>
      <c r="B638" s="46" t="inlineStr">
        <is>
          <t xml:space="preserve">Noor Pennington</t>
        </is>
      </c>
      <c r="C638" s="47">
        <v>46067</v>
      </c>
      <c r="D638" s="48" t="inlineStr">
        <is>
          <t xml:space="preserve">Bound - within authority</t>
        </is>
      </c>
      <c r="E638" s="48" t="inlineStr">
        <is>
          <t xml:space="preserve">New business</t>
        </is>
      </c>
      <c r="F638" s="46" t="inlineStr">
        <is>
          <t xml:space="preserve">B1234EXOTIC26</t>
        </is>
      </c>
      <c r="G638" s="33">
        <f>IF($A638="","",IF($C638="","",YEAR($C638)))</f>
      </c>
      <c r="H638" s="49">
        <v>1994</v>
      </c>
      <c r="I638" s="46" t="inlineStr">
        <is>
          <t xml:space="preserve">BMW</t>
        </is>
      </c>
      <c r="J638" s="46" t="inlineStr">
        <is>
          <t xml:space="preserve">M8 Competition</t>
        </is>
      </c>
      <c r="K638" s="46" t="inlineStr">
        <is>
          <t xml:space="preserve">97UHC24CECYNPJZ41</t>
        </is>
      </c>
      <c r="L638" s="48" t="inlineStr">
        <is>
          <t xml:space="preserve">02 - Sports / GT</t>
        </is>
      </c>
      <c r="M638" s="50">
        <v>550000</v>
      </c>
      <c r="N638" s="48" t="inlineStr">
        <is>
          <t xml:space="preserve">Personal</t>
        </is>
      </c>
      <c r="O638" s="46" t="inlineStr">
        <is>
          <t xml:space="preserve">Personal - regular use</t>
        </is>
      </c>
      <c r="P638" s="46" t="inlineStr">
        <is>
          <t xml:space="preserve">1,000 - 2,500</t>
        </is>
      </c>
      <c r="Q638" s="46" t="inlineStr">
        <is>
          <t xml:space="preserve">Oregon</t>
        </is>
      </c>
      <c r="R638" s="46" t="inlineStr">
        <is>
          <t xml:space="preserve">97204</t>
        </is>
      </c>
      <c r="S638" s="48" t="inlineStr">
        <is>
          <t xml:space="preserve">Earthquake - high (CA, Cascadia, New Madrid)</t>
        </is>
      </c>
      <c r="T638" s="36">
        <f>IF($A638="","",IF($S638="","",IFERROR(INDEX('[1]natural catastrophe'!$D$6:$D$17,MATCH($S638,'[1]natural catastrophe'!$B$6:$B$17,0)),"?")))</f>
      </c>
      <c r="U638" s="46" t="inlineStr">
        <is>
          <t xml:space="preserve">$5,000</t>
        </is>
      </c>
      <c r="V638" s="48" t="inlineStr">
        <is>
          <t xml:space="preserve">Agreed Value</t>
        </is>
      </c>
      <c r="W638" s="46" t="inlineStr">
        <is>
          <t xml:space="preserve">$1,000</t>
        </is>
      </c>
      <c r="X638" s="48" t="inlineStr">
        <is>
          <t xml:space="preserve">$1,000,000 CSL</t>
        </is>
      </c>
      <c r="Y638" s="46"/>
      <c r="Z638" s="46"/>
      <c r="AA638" s="48" t="inlineStr">
        <is>
          <t xml:space="preserve">Surplus Lines</t>
        </is>
      </c>
      <c r="AB638" s="50">
        <v>6701.41</v>
      </c>
      <c r="AC638" s="51">
        <v>0</v>
      </c>
      <c r="AD638" s="38">
        <f>IF(ISNUMBER($AB638),$AB638*(1+N($AC638)),"")</f>
      </c>
      <c r="AE638" s="50">
        <v>350</v>
      </c>
      <c r="AF638" s="50">
        <v>0</v>
      </c>
      <c r="AG638" s="51"/>
      <c r="AH638" s="39">
        <f>IF(ISNUMBER($AD638),($AD638+$AE638+$AF638)*$AG638,"")</f>
      </c>
      <c r="AI638" s="50"/>
      <c r="AJ638" s="38">
        <f>IF(ISNUMBER($AD638),SUM($AD638:$AH638),"")</f>
      </c>
      <c r="AK638" s="40">
        <f>IF(AND(ISNUMBER($AB638),ISNUMBER($AD638)),IF($AB638&gt;0,$AD638/$AB638,""),"")</f>
      </c>
      <c r="AL638" s="48" t="inlineStr">
        <is>
          <t xml:space="preserve">At technical</t>
        </is>
      </c>
      <c r="AM638" s="41">
        <f>IF(ISNUMBER($AD638),Header!$I$3,"")</f>
      </c>
      <c r="AN638" s="39">
        <f>IF(ISNUMBER($AD638),$AO638+$AP638,"")</f>
      </c>
      <c r="AO638" s="39">
        <f>IF(ISNUMBER($AD638),ROUND($AD638*Header!$K$3,2),"")</f>
      </c>
      <c r="AP638" s="39">
        <f>IF(ISNUMBER($AD638),ROUND($AD638*Header!$M$3,2),"")</f>
      </c>
      <c r="AQ638" s="38">
        <f>IF(ISNUMBER($AD638),ROUND($AD638,2)-$AO638-$AP638,"")</f>
      </c>
      <c r="AR638" s="39">
        <f>IF(ISNUMBER($AD638),IF(Header!$D$34="","?",$AD638*Header!$D$34),"")</f>
      </c>
      <c r="AS638" s="39">
        <f>IF(ISNUMBER($AB638),IF(Header!$D$34="","?",$AB638*Header!$D$34),"")</f>
      </c>
      <c r="AT638" s="42">
        <f>IF(AND(ISNUMBER($AB638),$M638&gt;0),$AB638/$M638*100,"")</f>
      </c>
      <c r="AU638" s="42">
        <f>IF(AND(ISNUMBER($AD638),$M638&gt;0),$AD638/$M638*100,"")</f>
      </c>
      <c r="AV638" s="40">
        <f>IF(AND(ISNUMBER($AB638),ISNUMBER($AD638),ABS($AB638)&gt;0),$AD638/$AB638,"")</f>
      </c>
      <c r="AW638" s="39">
        <f>IF(ISNUMBER($AD638),MAX(0,(1-0.55-Header!$O$3)*Header!$Q$3*$AQ638),"")</f>
      </c>
      <c r="AX638" s="43">
        <f>IF($A638="","",IF(TRIM(IF($A638="","Missing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",""))="","PASS","FAIL: "&amp;TRIM(IF($A638="","Missing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f>
      </c>
      <c r="AY638" s="44">
        <f>IF($M638="","",IF(ISNUMBER($M638),IF($M638&gt;=Header!$C$18,"YES — refer","No"),""))</f>
      </c>
      <c r="AZ638" s="44">
        <f>IF($AD638="","",IF(ISNUMBER($AD638),IF($AD638&lt;Header!$C$20,"BELOW MIN PREMIUM","OK"),""))</f>
      </c>
      <c r="BA638" s="48" t="inlineStr">
        <is>
          <t xml:space="preserve">Yes</t>
        </is>
      </c>
      <c r="BB638" s="48" t="inlineStr">
        <is>
          <t xml:space="preserve">Yes</t>
        </is>
      </c>
      <c r="BC638" s="46" t="inlineStr">
        <is>
          <t xml:space="preserve">Synthetic demo data</t>
        </is>
      </c>
      <c r="BE638" s="45">
        <f>IF(OR($A638="",$L638="",$H638=""),"",IF(AND(LEFT($L638,2)="06",$H638&gt;1945),"FAIL - pre-war class, year "&amp;$H638,IF(AND(LEFT($L638,2)="07",OR($H638&lt;1946,$H638&gt;1972)),"FAIL - 1946-72 class, year "&amp;$H638,IF(AND(LEFT($L638,2)="08",OR($H638&lt;1973,$H638&gt;1999)),"FAIL - 1973-99 class, year "&amp;$H638,IF(AND(LEFT($L638,2)="09",OR($H638&lt;2000,$H638&gt;2010)),"FAIL - 2000-10 class, year "&amp;$H638,"OK")))))</f>
      </c>
      <c r="BF638" s="45">
        <f>IF($AD638="","",IF(ROUND($AO638+$AP638+$AQ638-$AD638,2)=0,"OK","FAIL - out by "&amp;TEXT($AO638+$AP638+$AQ638-$AD638,"$0.00")))</f>
      </c>
    </row>
    <row r="639" spans="1:58" ht="18.75" customHeight="1" x14ac:dyDescent="0.25">
      <c r="A639" s="30" t="inlineStr">
        <is>
          <t xml:space="preserve">CANON-202602-005524</t>
        </is>
      </c>
      <c r="B639" s="30" t="inlineStr">
        <is>
          <t xml:space="preserve">Thaddeus Fairweather</t>
        </is>
      </c>
      <c r="C639" s="31">
        <v>46061</v>
      </c>
      <c r="D639" s="32" t="inlineStr">
        <is>
          <t xml:space="preserve">Bound - within authority</t>
        </is>
      </c>
      <c r="E639" s="32" t="inlineStr">
        <is>
          <t xml:space="preserve">New business</t>
        </is>
      </c>
      <c r="F639" s="30" t="inlineStr">
        <is>
          <t xml:space="preserve">B1234EXOTIC26</t>
        </is>
      </c>
      <c r="G639" s="33">
        <f>IF($A639="","",IF($C639="","",YEAR($C639)))</f>
      </c>
      <c r="H639" s="34">
        <v>1983</v>
      </c>
      <c r="I639" s="30" t="inlineStr">
        <is>
          <t xml:space="preserve">Aston Martin</t>
        </is>
      </c>
      <c r="J639" s="30" t="inlineStr">
        <is>
          <t xml:space="preserve">DB12</t>
        </is>
      </c>
      <c r="K639" s="30" t="inlineStr">
        <is>
          <t xml:space="preserve">JLPE413JD1E3TEHNG</t>
        </is>
      </c>
      <c r="L639" s="32" t="inlineStr">
        <is>
          <t xml:space="preserve">02 - Sports / GT</t>
        </is>
      </c>
      <c r="M639" s="35">
        <v>690000</v>
      </c>
      <c r="N639" s="32" t="inlineStr">
        <is>
          <t xml:space="preserve">Personal</t>
        </is>
      </c>
      <c r="O639" s="30" t="inlineStr">
        <is>
          <t xml:space="preserve">Personal - regular use</t>
        </is>
      </c>
      <c r="P639" s="30" t="inlineStr">
        <is>
          <t xml:space="preserve">1,000 - 2,500</t>
        </is>
      </c>
      <c r="Q639" s="30" t="inlineStr">
        <is>
          <t xml:space="preserve">Illinois</t>
        </is>
      </c>
      <c r="R639" s="30" t="inlineStr">
        <is>
          <t xml:space="preserve">60601</t>
        </is>
      </c>
      <c r="S639" s="32" t="inlineStr">
        <is>
          <t xml:space="preserve">Severe convective - hail / tornado (moderate)</t>
        </is>
      </c>
      <c r="T639" s="36">
        <f>IF($A639="","",IF($S639="","",IFERROR(INDEX('[1]natural catastrophe'!$D$6:$D$17,MATCH($S639,'[1]natural catastrophe'!$B$6:$B$17,0)),"?")))</f>
      </c>
      <c r="U639" s="30" t="inlineStr">
        <is>
          <t xml:space="preserve">$5,000</t>
        </is>
      </c>
      <c r="V639" s="32" t="inlineStr">
        <is>
          <t xml:space="preserve">Agreed Value</t>
        </is>
      </c>
      <c r="W639" s="30" t="inlineStr">
        <is>
          <t xml:space="preserve">$1,000</t>
        </is>
      </c>
      <c r="X639" s="32" t="inlineStr">
        <is>
          <t xml:space="preserve">$1,000,000 CSL</t>
        </is>
      </c>
      <c r="Y639" s="30"/>
      <c r="Z639" s="30"/>
      <c r="AA639" s="32" t="inlineStr">
        <is>
          <t xml:space="preserve">Surplus Lines</t>
        </is>
      </c>
      <c r="AB639" s="35">
        <v>10118.43</v>
      </c>
      <c r="AC639" s="37">
        <v>0</v>
      </c>
      <c r="AD639" s="38">
        <f>IF(ISNUMBER($AB639),$AB639*(1+N($AC639)),"")</f>
      </c>
      <c r="AE639" s="35">
        <v>350</v>
      </c>
      <c r="AF639" s="35">
        <v>0</v>
      </c>
      <c r="AG639" s="37"/>
      <c r="AH639" s="39">
        <f>IF(ISNUMBER($AD639),($AD639+$AE639+$AF639)*$AG639,"")</f>
      </c>
      <c r="AI639" s="35"/>
      <c r="AJ639" s="38">
        <f>IF(ISNUMBER($AD639),SUM($AD639:$AH639),"")</f>
      </c>
      <c r="AK639" s="40">
        <f>IF(AND(ISNUMBER($AB639),ISNUMBER($AD639)),IF($AB639&gt;0,$AD639/$AB639,""),"")</f>
      </c>
      <c r="AL639" s="32" t="inlineStr">
        <is>
          <t xml:space="preserve">At technical</t>
        </is>
      </c>
      <c r="AM639" s="41">
        <f>IF(ISNUMBER($AD639),Header!$I$3,"")</f>
      </c>
      <c r="AN639" s="39">
        <f>IF(ISNUMBER($AD639),$AO639+$AP639,"")</f>
      </c>
      <c r="AO639" s="39">
        <f>IF(ISNUMBER($AD639),ROUND($AD639*Header!$K$3,2),"")</f>
      </c>
      <c r="AP639" s="39">
        <f>IF(ISNUMBER($AD639),ROUND($AD639*Header!$M$3,2),"")</f>
      </c>
      <c r="AQ639" s="38">
        <f>IF(ISNUMBER($AD639),ROUND($AD639,2)-$AO639-$AP639,"")</f>
      </c>
      <c r="AR639" s="39">
        <f>IF(ISNUMBER($AD639),IF(Header!$D$34="","?",$AD639*Header!$D$34),"")</f>
      </c>
      <c r="AS639" s="39">
        <f>IF(ISNUMBER($AB639),IF(Header!$D$34="","?",$AB639*Header!$D$34),"")</f>
      </c>
      <c r="AT639" s="42">
        <f>IF(AND(ISNUMBER($AB639),$M639&gt;0),$AB639/$M639*100,"")</f>
      </c>
      <c r="AU639" s="42">
        <f>IF(AND(ISNUMBER($AD639),$M639&gt;0),$AD639/$M639*100,"")</f>
      </c>
      <c r="AV639" s="40">
        <f>IF(AND(ISNUMBER($AB639),ISNUMBER($AD639),ABS($AB639)&gt;0),$AD639/$AB639,"")</f>
      </c>
      <c r="AW639" s="39">
        <f>IF(ISNUMBER($AD639),MAX(0,(1-0.55-Header!$O$3)*Header!$Q$3*$AQ639),"")</f>
      </c>
      <c r="AX639" s="43">
        <f>IF($A639="","",IF(TRIM(IF($A639="","Missing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",""))="","PASS","FAIL: "&amp;TRIM(IF($A639="","Missing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f>
      </c>
      <c r="AY639" s="44">
        <f>IF($M639="","",IF(ISNUMBER($M639),IF($M639&gt;=Header!$C$18,"YES — refer","No"),""))</f>
      </c>
      <c r="AZ639" s="44">
        <f>IF($AD639="","",IF(ISNUMBER($AD639),IF($AD639&lt;Header!$C$20,"BELOW MIN PREMIUM","OK"),""))</f>
      </c>
      <c r="BA639" s="32" t="inlineStr">
        <is>
          <t xml:space="preserve">Yes</t>
        </is>
      </c>
      <c r="BB639" s="32" t="inlineStr">
        <is>
          <t xml:space="preserve">Yes</t>
        </is>
      </c>
      <c r="BC639" s="30" t="inlineStr">
        <is>
          <t xml:space="preserve">Synthetic demo data</t>
        </is>
      </c>
      <c r="BE639" s="45">
        <f>IF(OR($A639="",$L639="",$H639=""),"",IF(AND(LEFT($L639,2)="06",$H639&gt;1945),"FAIL - pre-war class, year "&amp;$H639,IF(AND(LEFT($L639,2)="07",OR($H639&lt;1946,$H639&gt;1972)),"FAIL - 1946-72 class, year "&amp;$H639,IF(AND(LEFT($L639,2)="08",OR($H639&lt;1973,$H639&gt;1999)),"FAIL - 1973-99 class, year "&amp;$H639,IF(AND(LEFT($L639,2)="09",OR($H639&lt;2000,$H639&gt;2010)),"FAIL - 2000-10 class, year "&amp;$H639,"OK")))))</f>
      </c>
      <c r="BF639" s="45">
        <f>IF($AD639="","",IF(ROUND($AO639+$AP639+$AQ639-$AD639,2)=0,"OK","FAIL - out by "&amp;TEXT($AO639+$AP639+$AQ639-$AD639,"$0.00")))</f>
      </c>
    </row>
    <row r="640" spans="1:58" ht="18.75" customHeight="1" x14ac:dyDescent="0.25">
      <c r="A640" s="46" t="inlineStr">
        <is>
          <t xml:space="preserve">CANON-202602-005525</t>
        </is>
      </c>
      <c r="B640" s="46" t="inlineStr">
        <is>
          <t xml:space="preserve">Emiliano Ashcombe</t>
        </is>
      </c>
      <c r="C640" s="47">
        <v>46075</v>
      </c>
      <c r="D640" s="48" t="inlineStr">
        <is>
          <t xml:space="preserve">Bound - within authority</t>
        </is>
      </c>
      <c r="E640" s="48" t="inlineStr">
        <is>
          <t xml:space="preserve">New business</t>
        </is>
      </c>
      <c r="F640" s="46" t="inlineStr">
        <is>
          <t xml:space="preserve">B1234EXOTIC26</t>
        </is>
      </c>
      <c r="G640" s="33">
        <f>IF($A640="","",IF($C640="","",YEAR($C640)))</f>
      </c>
      <c r="H640" s="49">
        <v>1987</v>
      </c>
      <c r="I640" s="46" t="inlineStr">
        <is>
          <t xml:space="preserve">Bentley</t>
        </is>
      </c>
      <c r="J640" s="46" t="inlineStr">
        <is>
          <t xml:space="preserve">Continental GT</t>
        </is>
      </c>
      <c r="K640" s="46" t="inlineStr">
        <is>
          <t xml:space="preserve">RJPNP78683HCYL319</t>
        </is>
      </c>
      <c r="L640" s="48" t="inlineStr">
        <is>
          <t xml:space="preserve">02 - Sports / GT</t>
        </is>
      </c>
      <c r="M640" s="50">
        <v>880000</v>
      </c>
      <c r="N640" s="48" t="inlineStr">
        <is>
          <t xml:space="preserve">Personal</t>
        </is>
      </c>
      <c r="O640" s="46" t="inlineStr">
        <is>
          <t xml:space="preserve">Personal - regular use</t>
        </is>
      </c>
      <c r="P640" s="46" t="inlineStr">
        <is>
          <t xml:space="preserve">1,000 - 2,500</t>
        </is>
      </c>
      <c r="Q640" s="46" t="inlineStr">
        <is>
          <t xml:space="preserve">North Dakota</t>
        </is>
      </c>
      <c r="R640" s="46" t="inlineStr">
        <is>
          <t xml:space="preserve">58501</t>
        </is>
      </c>
      <c r="S640" s="48" t="inlineStr">
        <is>
          <t xml:space="preserve">Severe convective - hail alley (high)</t>
        </is>
      </c>
      <c r="T640" s="36">
        <f>IF($A640="","",IF($S640="","",IFERROR(INDEX('[1]natural catastrophe'!$D$6:$D$17,MATCH($S640,'[1]natural catastrophe'!$B$6:$B$17,0)),"?")))</f>
      </c>
      <c r="U640" s="46" t="inlineStr">
        <is>
          <t xml:space="preserve">$5,000</t>
        </is>
      </c>
      <c r="V640" s="48" t="inlineStr">
        <is>
          <t xml:space="preserve">Agreed Value</t>
        </is>
      </c>
      <c r="W640" s="46" t="inlineStr">
        <is>
          <t xml:space="preserve">$1,000</t>
        </is>
      </c>
      <c r="X640" s="48" t="inlineStr">
        <is>
          <t xml:space="preserve">$1,000,000 CSL</t>
        </is>
      </c>
      <c r="Y640" s="46"/>
      <c r="Z640" s="46"/>
      <c r="AA640" s="48" t="inlineStr">
        <is>
          <t xml:space="preserve">Surplus Lines</t>
        </is>
      </c>
      <c r="AB640" s="50">
        <v>9678.5</v>
      </c>
      <c r="AC640" s="51">
        <v>0</v>
      </c>
      <c r="AD640" s="38">
        <f>IF(ISNUMBER($AB640),$AB640*(1+N($AC640)),"")</f>
      </c>
      <c r="AE640" s="50">
        <v>350</v>
      </c>
      <c r="AF640" s="50">
        <v>0</v>
      </c>
      <c r="AG640" s="51"/>
      <c r="AH640" s="39">
        <f>IF(ISNUMBER($AD640),($AD640+$AE640+$AF640)*$AG640,"")</f>
      </c>
      <c r="AI640" s="50"/>
      <c r="AJ640" s="38">
        <f>IF(ISNUMBER($AD640),SUM($AD640:$AH640),"")</f>
      </c>
      <c r="AK640" s="40">
        <f>IF(AND(ISNUMBER($AB640),ISNUMBER($AD640)),IF($AB640&gt;0,$AD640/$AB640,""),"")</f>
      </c>
      <c r="AL640" s="48" t="inlineStr">
        <is>
          <t xml:space="preserve">At technical</t>
        </is>
      </c>
      <c r="AM640" s="41">
        <f>IF(ISNUMBER($AD640),Header!$I$3,"")</f>
      </c>
      <c r="AN640" s="39">
        <f>IF(ISNUMBER($AD640),$AO640+$AP640,"")</f>
      </c>
      <c r="AO640" s="39">
        <f>IF(ISNUMBER($AD640),ROUND($AD640*Header!$K$3,2),"")</f>
      </c>
      <c r="AP640" s="39">
        <f>IF(ISNUMBER($AD640),ROUND($AD640*Header!$M$3,2),"")</f>
      </c>
      <c r="AQ640" s="38">
        <f>IF(ISNUMBER($AD640),ROUND($AD640,2)-$AO640-$AP640,"")</f>
      </c>
      <c r="AR640" s="39">
        <f>IF(ISNUMBER($AD640),IF(Header!$D$34="","?",$AD640*Header!$D$34),"")</f>
      </c>
      <c r="AS640" s="39">
        <f>IF(ISNUMBER($AB640),IF(Header!$D$34="","?",$AB640*Header!$D$34),"")</f>
      </c>
      <c r="AT640" s="42">
        <f>IF(AND(ISNUMBER($AB640),$M640&gt;0),$AB640/$M640*100,"")</f>
      </c>
      <c r="AU640" s="42">
        <f>IF(AND(ISNUMBER($AD640),$M640&gt;0),$AD640/$M640*100,"")</f>
      </c>
      <c r="AV640" s="40">
        <f>IF(AND(ISNUMBER($AB640),ISNUMBER($AD640),ABS($AB640)&gt;0),$AD640/$AB640,"")</f>
      </c>
      <c r="AW640" s="39">
        <f>IF(ISNUMBER($AD640),MAX(0,(1-0.55-Header!$O$3)*Header!$Q$3*$AQ640),"")</f>
      </c>
      <c r="AX640" s="43">
        <f>IF($A640="","",IF(TRIM(IF($A640="","Missing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",""))="","PASS","FAIL: "&amp;TRIM(IF($A640="","Missing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f>
      </c>
      <c r="AY640" s="44">
        <f>IF($M640="","",IF(ISNUMBER($M640),IF($M640&gt;=Header!$C$18,"YES — refer","No"),""))</f>
      </c>
      <c r="AZ640" s="44">
        <f>IF($AD640="","",IF(ISNUMBER($AD640),IF($AD640&lt;Header!$C$20,"BELOW MIN PREMIUM","OK"),""))</f>
      </c>
      <c r="BA640" s="48" t="inlineStr">
        <is>
          <t xml:space="preserve">Yes</t>
        </is>
      </c>
      <c r="BB640" s="48" t="inlineStr">
        <is>
          <t xml:space="preserve">Yes</t>
        </is>
      </c>
      <c r="BC640" s="46" t="inlineStr">
        <is>
          <t xml:space="preserve">Synthetic demo data</t>
        </is>
      </c>
      <c r="BE640" s="45">
        <f>IF(OR($A640="",$L640="",$H640=""),"",IF(AND(LEFT($L640,2)="06",$H640&gt;1945),"FAIL - pre-war class, year "&amp;$H640,IF(AND(LEFT($L640,2)="07",OR($H640&lt;1946,$H640&gt;1972)),"FAIL - 1946-72 class, year "&amp;$H640,IF(AND(LEFT($L640,2)="08",OR($H640&lt;1973,$H640&gt;1999)),"FAIL - 1973-99 class, year "&amp;$H640,IF(AND(LEFT($L640,2)="09",OR($H640&lt;2000,$H640&gt;2010)),"FAIL - 2000-10 class, year "&amp;$H640,"OK")))))</f>
      </c>
      <c r="BF640" s="45">
        <f>IF($AD640="","",IF(ROUND($AO640+$AP640+$AQ640-$AD640,2)=0,"OK","FAIL - out by "&amp;TEXT($AO640+$AP640+$AQ640-$AD640,"$0.00")))</f>
      </c>
    </row>
    <row r="641" spans="1:58" ht="18.75" customHeight="1" x14ac:dyDescent="0.25">
      <c r="A641" s="30" t="inlineStr">
        <is>
          <t xml:space="preserve">CANON-202602-005526</t>
        </is>
      </c>
      <c r="B641" s="30" t="inlineStr">
        <is>
          <t xml:space="preserve">Aurelio Delacroix</t>
        </is>
      </c>
      <c r="C641" s="31">
        <v>46072</v>
      </c>
      <c r="D641" s="32" t="inlineStr">
        <is>
          <t xml:space="preserve">Bound - within authority</t>
        </is>
      </c>
      <c r="E641" s="32" t="inlineStr">
        <is>
          <t xml:space="preserve">New business</t>
        </is>
      </c>
      <c r="F641" s="30" t="inlineStr">
        <is>
          <t xml:space="preserve">B1234EXOTIC26</t>
        </is>
      </c>
      <c r="G641" s="33">
        <f>IF($A641="","",IF($C641="","",YEAR($C641)))</f>
      </c>
      <c r="H641" s="34">
        <v>1955</v>
      </c>
      <c r="I641" s="30" t="inlineStr">
        <is>
          <t xml:space="preserve">Mercedes-Benz</t>
        </is>
      </c>
      <c r="J641" s="30" t="inlineStr">
        <is>
          <t xml:space="preserve">AMG GT</t>
        </is>
      </c>
      <c r="K641" s="30" t="inlineStr">
        <is>
          <t xml:space="preserve">0E6SYDZK8GB1GUL5C</t>
        </is>
      </c>
      <c r="L641" s="32" t="inlineStr">
        <is>
          <t xml:space="preserve">02 - Sports / GT</t>
        </is>
      </c>
      <c r="M641" s="35">
        <v>335000</v>
      </c>
      <c r="N641" s="32" t="inlineStr">
        <is>
          <t xml:space="preserve">Personal</t>
        </is>
      </c>
      <c r="O641" s="30" t="inlineStr">
        <is>
          <t xml:space="preserve">Personal - regular use</t>
        </is>
      </c>
      <c r="P641" s="30" t="inlineStr">
        <is>
          <t xml:space="preserve">1,000 - 2,500</t>
        </is>
      </c>
      <c r="Q641" s="30" t="inlineStr">
        <is>
          <t xml:space="preserve">Michigan</t>
        </is>
      </c>
      <c r="R641" s="30" t="inlineStr">
        <is>
          <t xml:space="preserve">48226</t>
        </is>
      </c>
      <c r="S641" s="32" t="inlineStr">
        <is>
          <t xml:space="preserve">Severe convective - hail / tornado (moderate)</t>
        </is>
      </c>
      <c r="T641" s="36">
        <f>IF($A641="","",IF($S641="","",IFERROR(INDEX('[1]natural catastrophe'!$D$6:$D$17,MATCH($S641,'[1]natural catastrophe'!$B$6:$B$17,0)),"?")))</f>
      </c>
      <c r="U641" s="30" t="inlineStr">
        <is>
          <t xml:space="preserve">$5,000</t>
        </is>
      </c>
      <c r="V641" s="32" t="inlineStr">
        <is>
          <t xml:space="preserve">Agreed Value</t>
        </is>
      </c>
      <c r="W641" s="30" t="inlineStr">
        <is>
          <t xml:space="preserve">$1,000</t>
        </is>
      </c>
      <c r="X641" s="32" t="inlineStr">
        <is>
          <t xml:space="preserve">$1,000,000 CSL</t>
        </is>
      </c>
      <c r="Y641" s="30"/>
      <c r="Z641" s="30"/>
      <c r="AA641" s="32" t="inlineStr">
        <is>
          <t xml:space="preserve">Surplus Lines</t>
        </is>
      </c>
      <c r="AB641" s="35">
        <v>6460.26</v>
      </c>
      <c r="AC641" s="37">
        <v>0</v>
      </c>
      <c r="AD641" s="38">
        <f>IF(ISNUMBER($AB641),$AB641*(1+N($AC641)),"")</f>
      </c>
      <c r="AE641" s="35">
        <v>350</v>
      </c>
      <c r="AF641" s="35">
        <v>0</v>
      </c>
      <c r="AG641" s="37"/>
      <c r="AH641" s="39">
        <f>IF(ISNUMBER($AD641),($AD641+$AE641+$AF641)*$AG641,"")</f>
      </c>
      <c r="AI641" s="35"/>
      <c r="AJ641" s="38">
        <f>IF(ISNUMBER($AD641),SUM($AD641:$AH641),"")</f>
      </c>
      <c r="AK641" s="40">
        <f>IF(AND(ISNUMBER($AB641),ISNUMBER($AD641)),IF($AB641&gt;0,$AD641/$AB641,""),"")</f>
      </c>
      <c r="AL641" s="32" t="inlineStr">
        <is>
          <t xml:space="preserve">At technical</t>
        </is>
      </c>
      <c r="AM641" s="41">
        <f>IF(ISNUMBER($AD641),Header!$I$3,"")</f>
      </c>
      <c r="AN641" s="39">
        <f>IF(ISNUMBER($AD641),$AO641+$AP641,"")</f>
      </c>
      <c r="AO641" s="39">
        <f>IF(ISNUMBER($AD641),ROUND($AD641*Header!$K$3,2),"")</f>
      </c>
      <c r="AP641" s="39">
        <f>IF(ISNUMBER($AD641),ROUND($AD641*Header!$M$3,2),"")</f>
      </c>
      <c r="AQ641" s="38">
        <f>IF(ISNUMBER($AD641),ROUND($AD641,2)-$AO641-$AP641,"")</f>
      </c>
      <c r="AR641" s="39">
        <f>IF(ISNUMBER($AD641),IF(Header!$D$34="","?",$AD641*Header!$D$34),"")</f>
      </c>
      <c r="AS641" s="39">
        <f>IF(ISNUMBER($AB641),IF(Header!$D$34="","?",$AB641*Header!$D$34),"")</f>
      </c>
      <c r="AT641" s="42">
        <f>IF(AND(ISNUMBER($AB641),$M641&gt;0),$AB641/$M641*100,"")</f>
      </c>
      <c r="AU641" s="42">
        <f>IF(AND(ISNUMBER($AD641),$M641&gt;0),$AD641/$M641*100,"")</f>
      </c>
      <c r="AV641" s="40">
        <f>IF(AND(ISNUMBER($AB641),ISNUMBER($AD641),ABS($AB641)&gt;0),$AD641/$AB641,"")</f>
      </c>
      <c r="AW641" s="39">
        <f>IF(ISNUMBER($AD641),MAX(0,(1-0.55-Header!$O$3)*Header!$Q$3*$AQ641),"")</f>
      </c>
      <c r="AX641" s="43">
        <f>IF($A641="","",IF(TRIM(IF($A641="","Missing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",""))="","PASS","FAIL: "&amp;TRIM(IF($A641="","Missing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f>
      </c>
      <c r="AY641" s="44">
        <f>IF($M641="","",IF(ISNUMBER($M641),IF($M641&gt;=Header!$C$18,"YES — refer","No"),""))</f>
      </c>
      <c r="AZ641" s="44">
        <f>IF($AD641="","",IF(ISNUMBER($AD641),IF($AD641&lt;Header!$C$20,"BELOW MIN PREMIUM","OK"),""))</f>
      </c>
      <c r="BA641" s="32" t="inlineStr">
        <is>
          <t xml:space="preserve">Yes</t>
        </is>
      </c>
      <c r="BB641" s="32" t="inlineStr">
        <is>
          <t xml:space="preserve">Yes</t>
        </is>
      </c>
      <c r="BC641" s="30" t="inlineStr">
        <is>
          <t xml:space="preserve">Synthetic demo data</t>
        </is>
      </c>
      <c r="BE641" s="45">
        <f>IF(OR($A641="",$L641="",$H641=""),"",IF(AND(LEFT($L641,2)="06",$H641&gt;1945),"FAIL - pre-war class, year "&amp;$H641,IF(AND(LEFT($L641,2)="07",OR($H641&lt;1946,$H641&gt;1972)),"FAIL - 1946-72 class, year "&amp;$H641,IF(AND(LEFT($L641,2)="08",OR($H641&lt;1973,$H641&gt;1999)),"FAIL - 1973-99 class, year "&amp;$H641,IF(AND(LEFT($L641,2)="09",OR($H641&lt;2000,$H641&gt;2010)),"FAIL - 2000-10 class, year "&amp;$H641,"OK")))))</f>
      </c>
      <c r="BF641" s="45">
        <f>IF($AD641="","",IF(ROUND($AO641+$AP641+$AQ641-$AD641,2)=0,"OK","FAIL - out by "&amp;TEXT($AO641+$AP641+$AQ641-$AD641,"$0.00")))</f>
      </c>
    </row>
    <row r="642" spans="1:58" ht="18.75" customHeight="1" x14ac:dyDescent="0.25">
      <c r="A642" s="46" t="inlineStr">
        <is>
          <t xml:space="preserve">CANON-202602-005528</t>
        </is>
      </c>
      <c r="B642" s="46" t="inlineStr">
        <is>
          <t xml:space="preserve">Horace Harrington</t>
        </is>
      </c>
      <c r="C642" s="47">
        <v>46075</v>
      </c>
      <c r="D642" s="48" t="inlineStr">
        <is>
          <t xml:space="preserve">Bound - within authority</t>
        </is>
      </c>
      <c r="E642" s="48" t="inlineStr">
        <is>
          <t xml:space="preserve">New business</t>
        </is>
      </c>
      <c r="F642" s="46" t="inlineStr">
        <is>
          <t xml:space="preserve">B1234EXOTIC26</t>
        </is>
      </c>
      <c r="G642" s="33">
        <f>IF($A642="","",IF($C642="","",YEAR($C642)))</f>
      </c>
      <c r="H642" s="49">
        <v>1985</v>
      </c>
      <c r="I642" s="46" t="inlineStr">
        <is>
          <t xml:space="preserve">Aston Martin</t>
        </is>
      </c>
      <c r="J642" s="46" t="inlineStr">
        <is>
          <t xml:space="preserve">DB5</t>
        </is>
      </c>
      <c r="K642" s="46" t="inlineStr">
        <is>
          <t xml:space="preserve">XT4AML5Z6SGH5DF9R</t>
        </is>
      </c>
      <c r="L642" s="48" t="inlineStr">
        <is>
          <t xml:space="preserve">08 - Modern Classic (1973-1999)</t>
        </is>
      </c>
      <c r="M642" s="50">
        <v>1455000</v>
      </c>
      <c r="N642" s="48" t="inlineStr">
        <is>
          <t xml:space="preserve">Personal</t>
        </is>
      </c>
      <c r="O642" s="46" t="inlineStr">
        <is>
          <t xml:space="preserve">Personal - regular use</t>
        </is>
      </c>
      <c r="P642" s="46" t="inlineStr">
        <is>
          <t xml:space="preserve">2,500 - 5,000</t>
        </is>
      </c>
      <c r="Q642" s="46" t="inlineStr">
        <is>
          <t xml:space="preserve">Georgia</t>
        </is>
      </c>
      <c r="R642" s="46" t="inlineStr">
        <is>
          <t xml:space="preserve">30303</t>
        </is>
      </c>
      <c r="S642" s="48" t="inlineStr">
        <is>
          <t xml:space="preserve">Tier 2 - Coastal wind (1-25 miles)</t>
        </is>
      </c>
      <c r="T642" s="36">
        <f>IF($A642="","",IF($S642="","",IFERROR(INDEX('[1]natural catastrophe'!$D$6:$D$17,MATCH($S642,'[1]natural catastrophe'!$B$6:$B$17,0)),"?")))</f>
      </c>
      <c r="U642" s="46" t="inlineStr">
        <is>
          <t xml:space="preserve">2% of agreed value, minimum $10,000</t>
        </is>
      </c>
      <c r="V642" s="48" t="inlineStr">
        <is>
          <t xml:space="preserve">Agreed Value</t>
        </is>
      </c>
      <c r="W642" s="46" t="inlineStr">
        <is>
          <t xml:space="preserve">$1,000</t>
        </is>
      </c>
      <c r="X642" s="48" t="inlineStr">
        <is>
          <t xml:space="preserve">$1,000,000 CSL</t>
        </is>
      </c>
      <c r="Y642" s="46"/>
      <c r="Z642" s="46"/>
      <c r="AA642" s="48" t="inlineStr">
        <is>
          <t xml:space="preserve">Surplus Lines</t>
        </is>
      </c>
      <c r="AB642" s="50">
        <v>10272.5</v>
      </c>
      <c r="AC642" s="51">
        <v>0</v>
      </c>
      <c r="AD642" s="38">
        <f>IF(ISNUMBER($AB642),$AB642*(1+N($AC642)),"")</f>
      </c>
      <c r="AE642" s="50">
        <v>350</v>
      </c>
      <c r="AF642" s="50">
        <v>250</v>
      </c>
      <c r="AG642" s="51"/>
      <c r="AH642" s="39">
        <f>IF(ISNUMBER($AD642),($AD642+$AE642+$AF642)*$AG642,"")</f>
      </c>
      <c r="AI642" s="50"/>
      <c r="AJ642" s="38">
        <f>IF(ISNUMBER($AD642),SUM($AD642:$AH642),"")</f>
      </c>
      <c r="AK642" s="40">
        <f>IF(AND(ISNUMBER($AB642),ISNUMBER($AD642)),IF($AB642&gt;0,$AD642/$AB642,""),"")</f>
      </c>
      <c r="AL642" s="48" t="inlineStr">
        <is>
          <t xml:space="preserve">At technical</t>
        </is>
      </c>
      <c r="AM642" s="41">
        <f>IF(ISNUMBER($AD642),Header!$I$3,"")</f>
      </c>
      <c r="AN642" s="39">
        <f>IF(ISNUMBER($AD642),$AO642+$AP642,"")</f>
      </c>
      <c r="AO642" s="39">
        <f>IF(ISNUMBER($AD642),ROUND($AD642*Header!$K$3,2),"")</f>
      </c>
      <c r="AP642" s="39">
        <f>IF(ISNUMBER($AD642),ROUND($AD642*Header!$M$3,2),"")</f>
      </c>
      <c r="AQ642" s="38">
        <f>IF(ISNUMBER($AD642),ROUND($AD642,2)-$AO642-$AP642,"")</f>
      </c>
      <c r="AR642" s="39">
        <f>IF(ISNUMBER($AD642),IF(Header!$D$34="","?",$AD642*Header!$D$34),"")</f>
      </c>
      <c r="AS642" s="39">
        <f>IF(ISNUMBER($AB642),IF(Header!$D$34="","?",$AB642*Header!$D$34),"")</f>
      </c>
      <c r="AT642" s="42">
        <f>IF(AND(ISNUMBER($AB642),$M642&gt;0),$AB642/$M642*100,"")</f>
      </c>
      <c r="AU642" s="42">
        <f>IF(AND(ISNUMBER($AD642),$M642&gt;0),$AD642/$M642*100,"")</f>
      </c>
      <c r="AV642" s="40">
        <f>IF(AND(ISNUMBER($AB642),ISNUMBER($AD642),ABS($AB642)&gt;0),$AD642/$AB642,"")</f>
      </c>
      <c r="AW642" s="39">
        <f>IF(ISNUMBER($AD642),MAX(0,(1-0.55-Header!$O$3)*Header!$Q$3*$AQ642),"")</f>
      </c>
      <c r="AX642" s="43">
        <f>IF($A642="","",IF(TRIM(IF($A642="","Missing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",""))="","PASS","FAIL: "&amp;TRIM(IF($A642="","Missing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f>
      </c>
      <c r="AY642" s="44">
        <f>IF($M642="","",IF(ISNUMBER($M642),IF($M642&gt;=Header!$C$18,"YES — refer","No"),""))</f>
      </c>
      <c r="AZ642" s="44">
        <f>IF($AD642="","",IF(ISNUMBER($AD642),IF($AD642&lt;Header!$C$20,"BELOW MIN PREMIUM","OK"),""))</f>
      </c>
      <c r="BA642" s="48" t="inlineStr">
        <is>
          <t xml:space="preserve">Yes</t>
        </is>
      </c>
      <c r="BB642" s="48" t="inlineStr">
        <is>
          <t xml:space="preserve">Yes</t>
        </is>
      </c>
      <c r="BC642" s="46" t="inlineStr">
        <is>
          <t xml:space="preserve">Synthetic demo data</t>
        </is>
      </c>
      <c r="BE642" s="45">
        <f>IF(OR($A642="",$L642="",$H642=""),"",IF(AND(LEFT($L642,2)="06",$H642&gt;1945),"FAIL - pre-war class, year "&amp;$H642,IF(AND(LEFT($L642,2)="07",OR($H642&lt;1946,$H642&gt;1972)),"FAIL - 1946-72 class, year "&amp;$H642,IF(AND(LEFT($L642,2)="08",OR($H642&lt;1973,$H642&gt;1999)),"FAIL - 1973-99 class, year "&amp;$H642,IF(AND(LEFT($L642,2)="09",OR($H642&lt;2000,$H642&gt;2010)),"FAIL - 2000-10 class, year "&amp;$H642,"OK")))))</f>
      </c>
      <c r="BF642" s="45">
        <f>IF($AD642="","",IF(ROUND($AO642+$AP642+$AQ642-$AD642,2)=0,"OK","FAIL - out by "&amp;TEXT($AO642+$AP642+$AQ642-$AD642,"$0.00")))</f>
      </c>
    </row>
    <row r="643" spans="1:58" ht="18.75" customHeight="1" x14ac:dyDescent="0.25">
      <c r="A643" s="30" t="inlineStr">
        <is>
          <t xml:space="preserve">CANON-202602-005529</t>
        </is>
      </c>
      <c r="B643" s="30" t="inlineStr">
        <is>
          <t xml:space="preserve">Fenwick Montoya</t>
        </is>
      </c>
      <c r="C643" s="31">
        <v>46064</v>
      </c>
      <c r="D643" s="32" t="inlineStr">
        <is>
          <t xml:space="preserve">Bound - within authority</t>
        </is>
      </c>
      <c r="E643" s="32" t="inlineStr">
        <is>
          <t xml:space="preserve">New business</t>
        </is>
      </c>
      <c r="F643" s="30" t="inlineStr">
        <is>
          <t xml:space="preserve">B1234EXOTIC26</t>
        </is>
      </c>
      <c r="G643" s="33">
        <f>IF($A643="","",IF($C643="","",YEAR($C643)))</f>
      </c>
      <c r="H643" s="34">
        <v>1980</v>
      </c>
      <c r="I643" s="30" t="inlineStr">
        <is>
          <t xml:space="preserve">BMW</t>
        </is>
      </c>
      <c r="J643" s="30" t="inlineStr">
        <is>
          <t xml:space="preserve">M8 Competition</t>
        </is>
      </c>
      <c r="K643" s="30" t="inlineStr">
        <is>
          <t xml:space="preserve">W9ZBDEZT99ZR3CJ0W</t>
        </is>
      </c>
      <c r="L643" s="32" t="inlineStr">
        <is>
          <t xml:space="preserve">02 - Sports / GT</t>
        </is>
      </c>
      <c r="M643" s="35">
        <v>1950000</v>
      </c>
      <c r="N643" s="32" t="inlineStr">
        <is>
          <t xml:space="preserve">Personal</t>
        </is>
      </c>
      <c r="O643" s="30" t="inlineStr">
        <is>
          <t xml:space="preserve">Personal - regular use</t>
        </is>
      </c>
      <c r="P643" s="30" t="inlineStr">
        <is>
          <t xml:space="preserve">Under 1,000</t>
        </is>
      </c>
      <c r="Q643" s="30" t="inlineStr">
        <is>
          <t xml:space="preserve">South Dakota</t>
        </is>
      </c>
      <c r="R643" s="30" t="inlineStr">
        <is>
          <t xml:space="preserve">57501</t>
        </is>
      </c>
      <c r="S643" s="32" t="inlineStr">
        <is>
          <t xml:space="preserve">Severe convective - hail alley (high)</t>
        </is>
      </c>
      <c r="T643" s="36">
        <f>IF($A643="","",IF($S643="","",IFERROR(INDEX('[1]natural catastrophe'!$D$6:$D$17,MATCH($S643,'[1]natural catastrophe'!$B$6:$B$17,0)),"?")))</f>
      </c>
      <c r="U643" s="30" t="inlineStr">
        <is>
          <t xml:space="preserve">$5,000</t>
        </is>
      </c>
      <c r="V643" s="32" t="inlineStr">
        <is>
          <t xml:space="preserve">Agreed Value</t>
        </is>
      </c>
      <c r="W643" s="30" t="inlineStr">
        <is>
          <t xml:space="preserve">$1,000</t>
        </is>
      </c>
      <c r="X643" s="32" t="inlineStr">
        <is>
          <t xml:space="preserve">$1,000,000 CSL</t>
        </is>
      </c>
      <c r="Y643" s="30"/>
      <c r="Z643" s="30"/>
      <c r="AA643" s="32" t="inlineStr">
        <is>
          <t xml:space="preserve">Surplus Lines</t>
        </is>
      </c>
      <c r="AB643" s="35">
        <v>19748.41</v>
      </c>
      <c r="AC643" s="37">
        <v>0</v>
      </c>
      <c r="AD643" s="38">
        <f>IF(ISNUMBER($AB643),$AB643*(1+N($AC643)),"")</f>
      </c>
      <c r="AE643" s="35">
        <v>350</v>
      </c>
      <c r="AF643" s="35">
        <v>250</v>
      </c>
      <c r="AG643" s="37"/>
      <c r="AH643" s="39">
        <f>IF(ISNUMBER($AD643),($AD643+$AE643+$AF643)*$AG643,"")</f>
      </c>
      <c r="AI643" s="35"/>
      <c r="AJ643" s="38">
        <f>IF(ISNUMBER($AD643),SUM($AD643:$AH643),"")</f>
      </c>
      <c r="AK643" s="40">
        <f>IF(AND(ISNUMBER($AB643),ISNUMBER($AD643)),IF($AB643&gt;0,$AD643/$AB643,""),"")</f>
      </c>
      <c r="AL643" s="32" t="inlineStr">
        <is>
          <t xml:space="preserve">At technical</t>
        </is>
      </c>
      <c r="AM643" s="41">
        <f>IF(ISNUMBER($AD643),Header!$I$3,"")</f>
      </c>
      <c r="AN643" s="39">
        <f>IF(ISNUMBER($AD643),$AO643+$AP643,"")</f>
      </c>
      <c r="AO643" s="39">
        <f>IF(ISNUMBER($AD643),ROUND($AD643*Header!$K$3,2),"")</f>
      </c>
      <c r="AP643" s="39">
        <f>IF(ISNUMBER($AD643),ROUND($AD643*Header!$M$3,2),"")</f>
      </c>
      <c r="AQ643" s="38">
        <f>IF(ISNUMBER($AD643),ROUND($AD643,2)-$AO643-$AP643,"")</f>
      </c>
      <c r="AR643" s="39">
        <f>IF(ISNUMBER($AD643),IF(Header!$D$34="","?",$AD643*Header!$D$34),"")</f>
      </c>
      <c r="AS643" s="39">
        <f>IF(ISNUMBER($AB643),IF(Header!$D$34="","?",$AB643*Header!$D$34),"")</f>
      </c>
      <c r="AT643" s="42">
        <f>IF(AND(ISNUMBER($AB643),$M643&gt;0),$AB643/$M643*100,"")</f>
      </c>
      <c r="AU643" s="42">
        <f>IF(AND(ISNUMBER($AD643),$M643&gt;0),$AD643/$M643*100,"")</f>
      </c>
      <c r="AV643" s="40">
        <f>IF(AND(ISNUMBER($AB643),ISNUMBER($AD643),ABS($AB643)&gt;0),$AD643/$AB643,"")</f>
      </c>
      <c r="AW643" s="39">
        <f>IF(ISNUMBER($AD643),MAX(0,(1-0.55-Header!$O$3)*Header!$Q$3*$AQ643),"")</f>
      </c>
      <c r="AX643" s="43">
        <f>IF($A643="","",IF(TRIM(IF($A643="","Missing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",""))="","PASS","FAIL: "&amp;TRIM(IF($A643="","Missing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f>
      </c>
      <c r="AY643" s="44">
        <f>IF($M643="","",IF(ISNUMBER($M643),IF($M643&gt;=Header!$C$18,"YES — refer","No"),""))</f>
      </c>
      <c r="AZ643" s="44">
        <f>IF($AD643="","",IF(ISNUMBER($AD643),IF($AD643&lt;Header!$C$20,"BELOW MIN PREMIUM","OK"),""))</f>
      </c>
      <c r="BA643" s="32" t="inlineStr">
        <is>
          <t xml:space="preserve">Yes</t>
        </is>
      </c>
      <c r="BB643" s="32" t="inlineStr">
        <is>
          <t xml:space="preserve">Yes</t>
        </is>
      </c>
      <c r="BC643" s="30" t="inlineStr">
        <is>
          <t xml:space="preserve">Synthetic demo data</t>
        </is>
      </c>
      <c r="BE643" s="45">
        <f>IF(OR($A643="",$L643="",$H643=""),"",IF(AND(LEFT($L643,2)="06",$H643&gt;1945),"FAIL - pre-war class, year "&amp;$H643,IF(AND(LEFT($L643,2)="07",OR($H643&lt;1946,$H643&gt;1972)),"FAIL - 1946-72 class, year "&amp;$H643,IF(AND(LEFT($L643,2)="08",OR($H643&lt;1973,$H643&gt;1999)),"FAIL - 1973-99 class, year "&amp;$H643,IF(AND(LEFT($L643,2)="09",OR($H643&lt;2000,$H643&gt;2010)),"FAIL - 2000-10 class, year "&amp;$H643,"OK")))))</f>
      </c>
      <c r="BF643" s="45">
        <f>IF($AD643="","",IF(ROUND($AO643+$AP643+$AQ643-$AD643,2)=0,"OK","FAIL - out by "&amp;TEXT($AO643+$AP643+$AQ643-$AD643,"$0.00")))</f>
      </c>
    </row>
    <row r="644" spans="1:58" ht="18.75" customHeight="1" x14ac:dyDescent="0.25">
      <c r="A644" s="46" t="inlineStr">
        <is>
          <t xml:space="preserve">CANON-202602-005531</t>
        </is>
      </c>
      <c r="B644" s="46" t="inlineStr">
        <is>
          <t xml:space="preserve">Noor Thistlewood</t>
        </is>
      </c>
      <c r="C644" s="47">
        <v>46079</v>
      </c>
      <c r="D644" s="48" t="inlineStr">
        <is>
          <t xml:space="preserve">Bound - within authority</t>
        </is>
      </c>
      <c r="E644" s="48" t="inlineStr">
        <is>
          <t xml:space="preserve">New business</t>
        </is>
      </c>
      <c r="F644" s="46" t="inlineStr">
        <is>
          <t xml:space="preserve">B1234EXOTIC26</t>
        </is>
      </c>
      <c r="G644" s="33">
        <f>IF($A644="","",IF($C644="","",YEAR($C644)))</f>
      </c>
      <c r="H644" s="49">
        <v>2023</v>
      </c>
      <c r="I644" s="46" t="inlineStr">
        <is>
          <t xml:space="preserve">BMW</t>
        </is>
      </c>
      <c r="J644" s="46" t="inlineStr">
        <is>
          <t xml:space="preserve">M8 Competition</t>
        </is>
      </c>
      <c r="K644" s="46" t="inlineStr">
        <is>
          <t xml:space="preserve">77CVWTNU7H3ARYXYE</t>
        </is>
      </c>
      <c r="L644" s="48" t="inlineStr">
        <is>
          <t xml:space="preserve">02 - Sports / GT</t>
        </is>
      </c>
      <c r="M644" s="50">
        <v>1485000</v>
      </c>
      <c r="N644" s="48" t="inlineStr">
        <is>
          <t xml:space="preserve">Personal</t>
        </is>
      </c>
      <c r="O644" s="46" t="inlineStr">
        <is>
          <t xml:space="preserve">Personal - regular use</t>
        </is>
      </c>
      <c r="P644" s="46" t="inlineStr">
        <is>
          <t xml:space="preserve">2,500 - 5,000</t>
        </is>
      </c>
      <c r="Q644" s="46" t="inlineStr">
        <is>
          <t xml:space="preserve">New Hampshire</t>
        </is>
      </c>
      <c r="R644" s="46" t="inlineStr">
        <is>
          <t xml:space="preserve">03301</t>
        </is>
      </c>
      <c r="S644" s="48" t="inlineStr">
        <is>
          <t xml:space="preserve">Tier 3 - Coastal wind (25-100 miles)</t>
        </is>
      </c>
      <c r="T644" s="36">
        <f>IF($A644="","",IF($S644="","",IFERROR(INDEX('[1]natural catastrophe'!$D$6:$D$17,MATCH($S644,'[1]natural catastrophe'!$B$6:$B$17,0)),"?")))</f>
      </c>
      <c r="U644" s="46" t="inlineStr">
        <is>
          <t xml:space="preserve">2% of agreed value, minimum $10,000</t>
        </is>
      </c>
      <c r="V644" s="48" t="inlineStr">
        <is>
          <t xml:space="preserve">Agreed Value</t>
        </is>
      </c>
      <c r="W644" s="46" t="inlineStr">
        <is>
          <t xml:space="preserve">$1,000</t>
        </is>
      </c>
      <c r="X644" s="48" t="inlineStr">
        <is>
          <t xml:space="preserve">$1,000,000 CSL</t>
        </is>
      </c>
      <c r="Y644" s="46"/>
      <c r="Z644" s="46"/>
      <c r="AA644" s="48" t="inlineStr">
        <is>
          <t xml:space="preserve">Surplus Lines</t>
        </is>
      </c>
      <c r="AB644" s="50">
        <v>14090.75</v>
      </c>
      <c r="AC644" s="51">
        <v>0</v>
      </c>
      <c r="AD644" s="38">
        <f>IF(ISNUMBER($AB644),$AB644*(1+N($AC644)),"")</f>
      </c>
      <c r="AE644" s="50">
        <v>350</v>
      </c>
      <c r="AF644" s="50">
        <v>250</v>
      </c>
      <c r="AG644" s="51"/>
      <c r="AH644" s="39">
        <f>IF(ISNUMBER($AD644),($AD644+$AE644+$AF644)*$AG644,"")</f>
      </c>
      <c r="AI644" s="50"/>
      <c r="AJ644" s="38">
        <f>IF(ISNUMBER($AD644),SUM($AD644:$AH644),"")</f>
      </c>
      <c r="AK644" s="40">
        <f>IF(AND(ISNUMBER($AB644),ISNUMBER($AD644)),IF($AB644&gt;0,$AD644/$AB644,""),"")</f>
      </c>
      <c r="AL644" s="48" t="inlineStr">
        <is>
          <t xml:space="preserve">At technical</t>
        </is>
      </c>
      <c r="AM644" s="41">
        <f>IF(ISNUMBER($AD644),Header!$I$3,"")</f>
      </c>
      <c r="AN644" s="39">
        <f>IF(ISNUMBER($AD644),$AO644+$AP644,"")</f>
      </c>
      <c r="AO644" s="39">
        <f>IF(ISNUMBER($AD644),ROUND($AD644*Header!$K$3,2),"")</f>
      </c>
      <c r="AP644" s="39">
        <f>IF(ISNUMBER($AD644),ROUND($AD644*Header!$M$3,2),"")</f>
      </c>
      <c r="AQ644" s="38">
        <f>IF(ISNUMBER($AD644),ROUND($AD644,2)-$AO644-$AP644,"")</f>
      </c>
      <c r="AR644" s="39">
        <f>IF(ISNUMBER($AD644),IF(Header!$D$34="","?",$AD644*Header!$D$34),"")</f>
      </c>
      <c r="AS644" s="39">
        <f>IF(ISNUMBER($AB644),IF(Header!$D$34="","?",$AB644*Header!$D$34),"")</f>
      </c>
      <c r="AT644" s="42">
        <f>IF(AND(ISNUMBER($AB644),$M644&gt;0),$AB644/$M644*100,"")</f>
      </c>
      <c r="AU644" s="42">
        <f>IF(AND(ISNUMBER($AD644),$M644&gt;0),$AD644/$M644*100,"")</f>
      </c>
      <c r="AV644" s="40">
        <f>IF(AND(ISNUMBER($AB644),ISNUMBER($AD644),ABS($AB644)&gt;0),$AD644/$AB644,"")</f>
      </c>
      <c r="AW644" s="39">
        <f>IF(ISNUMBER($AD644),MAX(0,(1-0.55-Header!$O$3)*Header!$Q$3*$AQ644),"")</f>
      </c>
      <c r="AX644" s="43">
        <f>IF($A644="","",IF(TRIM(IF($A644="","Missing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",""))="","PASS","FAIL: "&amp;TRIM(IF($A644="","Missing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f>
      </c>
      <c r="AY644" s="44">
        <f>IF($M644="","",IF(ISNUMBER($M644),IF($M644&gt;=Header!$C$18,"YES — refer","No"),""))</f>
      </c>
      <c r="AZ644" s="44">
        <f>IF($AD644="","",IF(ISNUMBER($AD644),IF($AD644&lt;Header!$C$20,"BELOW MIN PREMIUM","OK"),""))</f>
      </c>
      <c r="BA644" s="48" t="inlineStr">
        <is>
          <t xml:space="preserve">Yes</t>
        </is>
      </c>
      <c r="BB644" s="48" t="inlineStr">
        <is>
          <t xml:space="preserve">Yes</t>
        </is>
      </c>
      <c r="BC644" s="46" t="inlineStr">
        <is>
          <t xml:space="preserve">Synthetic demo data</t>
        </is>
      </c>
      <c r="BE644" s="45">
        <f>IF(OR($A644="",$L644="",$H644=""),"",IF(AND(LEFT($L644,2)="06",$H644&gt;1945),"FAIL - pre-war class, year "&amp;$H644,IF(AND(LEFT($L644,2)="07",OR($H644&lt;1946,$H644&gt;1972)),"FAIL - 1946-72 class, year "&amp;$H644,IF(AND(LEFT($L644,2)="08",OR($H644&lt;1973,$H644&gt;1999)),"FAIL - 1973-99 class, year "&amp;$H644,IF(AND(LEFT($L644,2)="09",OR($H644&lt;2000,$H644&gt;2010)),"FAIL - 2000-10 class, year "&amp;$H644,"OK")))))</f>
      </c>
      <c r="BF644" s="45">
        <f>IF($AD644="","",IF(ROUND($AO644+$AP644+$AQ644-$AD644,2)=0,"OK","FAIL - out by "&amp;TEXT($AO644+$AP644+$AQ644-$AD644,"$0.00")))</f>
      </c>
    </row>
    <row r="645" spans="1:58" ht="18.75" customHeight="1" x14ac:dyDescent="0.25">
      <c r="A645" s="30" t="inlineStr">
        <is>
          <t xml:space="preserve">CANON-202602-005532</t>
        </is>
      </c>
      <c r="B645" s="30" t="inlineStr">
        <is>
          <t xml:space="preserve">Priya Rourke</t>
        </is>
      </c>
      <c r="C645" s="31">
        <v>46081</v>
      </c>
      <c r="D645" s="32" t="inlineStr">
        <is>
          <t xml:space="preserve">Bound - within authority</t>
        </is>
      </c>
      <c r="E645" s="32" t="inlineStr">
        <is>
          <t xml:space="preserve">New business</t>
        </is>
      </c>
      <c r="F645" s="30" t="inlineStr">
        <is>
          <t xml:space="preserve">B1234EXOTIC26</t>
        </is>
      </c>
      <c r="G645" s="33">
        <f>IF($A645="","",IF($C645="","",YEAR($C645)))</f>
      </c>
      <c r="H645" s="34">
        <v>1992</v>
      </c>
      <c r="I645" s="30" t="inlineStr">
        <is>
          <t xml:space="preserve">Porsche</t>
        </is>
      </c>
      <c r="J645" s="30" t="inlineStr">
        <is>
          <t xml:space="preserve">911 Turbo S</t>
        </is>
      </c>
      <c r="K645" s="30" t="inlineStr">
        <is>
          <t xml:space="preserve">EY7G2FMLBW52WEXMZ</t>
        </is>
      </c>
      <c r="L645" s="32" t="inlineStr">
        <is>
          <t xml:space="preserve">02 - Sports / GT</t>
        </is>
      </c>
      <c r="M645" s="35">
        <v>240000</v>
      </c>
      <c r="N645" s="32" t="inlineStr">
        <is>
          <t xml:space="preserve">Personal</t>
        </is>
      </c>
      <c r="O645" s="30" t="inlineStr">
        <is>
          <t xml:space="preserve">Personal - regular use</t>
        </is>
      </c>
      <c r="P645" s="30" t="inlineStr">
        <is>
          <t xml:space="preserve">Under 1,000</t>
        </is>
      </c>
      <c r="Q645" s="30" t="inlineStr">
        <is>
          <t xml:space="preserve">Pennsylvania</t>
        </is>
      </c>
      <c r="R645" s="30" t="inlineStr">
        <is>
          <t xml:space="preserve">19103</t>
        </is>
      </c>
      <c r="S645" s="32" t="inlineStr">
        <is>
          <t xml:space="preserve">Low hazard - inland benign</t>
        </is>
      </c>
      <c r="T645" s="36">
        <f>IF($A645="","",IF($S645="","",IFERROR(INDEX('[1]natural catastrophe'!$D$6:$D$17,MATCH($S645,'[1]natural catastrophe'!$B$6:$B$17,0)),"?")))</f>
      </c>
      <c r="U645" s="30" t="inlineStr">
        <is>
          <t xml:space="preserve">$5,000</t>
        </is>
      </c>
      <c r="V645" s="32" t="inlineStr">
        <is>
          <t xml:space="preserve">Agreed Value</t>
        </is>
      </c>
      <c r="W645" s="30" t="inlineStr">
        <is>
          <t xml:space="preserve">$1,000</t>
        </is>
      </c>
      <c r="X645" s="32" t="inlineStr">
        <is>
          <t xml:space="preserve">$1,000,000 CSL</t>
        </is>
      </c>
      <c r="Y645" s="30"/>
      <c r="Z645" s="30"/>
      <c r="AA645" s="32" t="inlineStr">
        <is>
          <t xml:space="preserve">Surplus Lines</t>
        </is>
      </c>
      <c r="AB645" s="35">
        <v>3662.78</v>
      </c>
      <c r="AC645" s="37">
        <v>0</v>
      </c>
      <c r="AD645" s="38">
        <f>IF(ISNUMBER($AB645),$AB645*(1+N($AC645)),"")</f>
      </c>
      <c r="AE645" s="35">
        <v>350</v>
      </c>
      <c r="AF645" s="35">
        <v>0</v>
      </c>
      <c r="AG645" s="37"/>
      <c r="AH645" s="39">
        <f>IF(ISNUMBER($AD645),($AD645+$AE645+$AF645)*$AG645,"")</f>
      </c>
      <c r="AI645" s="35"/>
      <c r="AJ645" s="38">
        <f>IF(ISNUMBER($AD645),SUM($AD645:$AH645),"")</f>
      </c>
      <c r="AK645" s="40">
        <f>IF(AND(ISNUMBER($AB645),ISNUMBER($AD645)),IF($AB645&gt;0,$AD645/$AB645,""),"")</f>
      </c>
      <c r="AL645" s="32" t="inlineStr">
        <is>
          <t xml:space="preserve">At technical</t>
        </is>
      </c>
      <c r="AM645" s="41">
        <f>IF(ISNUMBER($AD645),Header!$I$3,"")</f>
      </c>
      <c r="AN645" s="39">
        <f>IF(ISNUMBER($AD645),$AO645+$AP645,"")</f>
      </c>
      <c r="AO645" s="39">
        <f>IF(ISNUMBER($AD645),ROUND($AD645*Header!$K$3,2),"")</f>
      </c>
      <c r="AP645" s="39">
        <f>IF(ISNUMBER($AD645),ROUND($AD645*Header!$M$3,2),"")</f>
      </c>
      <c r="AQ645" s="38">
        <f>IF(ISNUMBER($AD645),ROUND($AD645,2)-$AO645-$AP645,"")</f>
      </c>
      <c r="AR645" s="39">
        <f>IF(ISNUMBER($AD645),IF(Header!$D$34="","?",$AD645*Header!$D$34),"")</f>
      </c>
      <c r="AS645" s="39">
        <f>IF(ISNUMBER($AB645),IF(Header!$D$34="","?",$AB645*Header!$D$34),"")</f>
      </c>
      <c r="AT645" s="42">
        <f>IF(AND(ISNUMBER($AB645),$M645&gt;0),$AB645/$M645*100,"")</f>
      </c>
      <c r="AU645" s="42">
        <f>IF(AND(ISNUMBER($AD645),$M645&gt;0),$AD645/$M645*100,"")</f>
      </c>
      <c r="AV645" s="40">
        <f>IF(AND(ISNUMBER($AB645),ISNUMBER($AD645),ABS($AB645)&gt;0),$AD645/$AB645,"")</f>
      </c>
      <c r="AW645" s="39">
        <f>IF(ISNUMBER($AD645),MAX(0,(1-0.55-Header!$O$3)*Header!$Q$3*$AQ645),"")</f>
      </c>
      <c r="AX645" s="43">
        <f>IF($A645="","",IF(TRIM(IF($A645="","Missing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",""))="","PASS","FAIL: "&amp;TRIM(IF($A645="","Missing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f>
      </c>
      <c r="AY645" s="44">
        <f>IF($M645="","",IF(ISNUMBER($M645),IF($M645&gt;=Header!$C$18,"YES — refer","No"),""))</f>
      </c>
      <c r="AZ645" s="44">
        <f>IF($AD645="","",IF(ISNUMBER($AD645),IF($AD645&lt;Header!$C$20,"BELOW MIN PREMIUM","OK"),""))</f>
      </c>
      <c r="BA645" s="32" t="inlineStr">
        <is>
          <t xml:space="preserve">Yes</t>
        </is>
      </c>
      <c r="BB645" s="32" t="inlineStr">
        <is>
          <t xml:space="preserve">Yes</t>
        </is>
      </c>
      <c r="BC645" s="30" t="inlineStr">
        <is>
          <t xml:space="preserve">Synthetic demo data</t>
        </is>
      </c>
      <c r="BE645" s="45">
        <f>IF(OR($A645="",$L645="",$H645=""),"",IF(AND(LEFT($L645,2)="06",$H645&gt;1945),"FAIL - pre-war class, year "&amp;$H645,IF(AND(LEFT($L645,2)="07",OR($H645&lt;1946,$H645&gt;1972)),"FAIL - 1946-72 class, year "&amp;$H645,IF(AND(LEFT($L645,2)="08",OR($H645&lt;1973,$H645&gt;1999)),"FAIL - 1973-99 class, year "&amp;$H645,IF(AND(LEFT($L645,2)="09",OR($H645&lt;2000,$H645&gt;2010)),"FAIL - 2000-10 class, year "&amp;$H645,"OK")))))</f>
      </c>
      <c r="BF645" s="45">
        <f>IF($AD645="","",IF(ROUND($AO645+$AP645+$AQ645-$AD645,2)=0,"OK","FAIL - out by "&amp;TEXT($AO645+$AP645+$AQ645-$AD645,"$0.00")))</f>
      </c>
    </row>
    <row r="646" spans="1:58" ht="18.75" customHeight="1" x14ac:dyDescent="0.25">
      <c r="A646" s="46" t="inlineStr">
        <is>
          <t xml:space="preserve">CANON-202602-005533</t>
        </is>
      </c>
      <c r="B646" s="46" t="inlineStr">
        <is>
          <t xml:space="preserve">Thaddeus Ashcombe</t>
        </is>
      </c>
      <c r="C646" s="47">
        <v>46054</v>
      </c>
      <c r="D646" s="48" t="inlineStr">
        <is>
          <t xml:space="preserve">Bound - within authority</t>
        </is>
      </c>
      <c r="E646" s="48" t="inlineStr">
        <is>
          <t xml:space="preserve">New business</t>
        </is>
      </c>
      <c r="F646" s="46" t="inlineStr">
        <is>
          <t xml:space="preserve">B1234EXOTIC26</t>
        </is>
      </c>
      <c r="G646" s="33">
        <f>IF($A646="","",IF($C646="","",YEAR($C646)))</f>
      </c>
      <c r="H646" s="49">
        <v>2006</v>
      </c>
      <c r="I646" s="46" t="inlineStr">
        <is>
          <t xml:space="preserve">Ferrari</t>
        </is>
      </c>
      <c r="J646" s="46" t="inlineStr">
        <is>
          <t xml:space="preserve">296 GTB</t>
        </is>
      </c>
      <c r="K646" s="46" t="inlineStr">
        <is>
          <t xml:space="preserve">WCB7CCS643U2FXKCJ</t>
        </is>
      </c>
      <c r="L646" s="48" t="inlineStr">
        <is>
          <t xml:space="preserve">03 - Supercar</t>
        </is>
      </c>
      <c r="M646" s="50">
        <v>545000</v>
      </c>
      <c r="N646" s="48" t="inlineStr">
        <is>
          <t xml:space="preserve">Personal</t>
        </is>
      </c>
      <c r="O646" s="46" t="inlineStr">
        <is>
          <t xml:space="preserve">Personal - regular use</t>
        </is>
      </c>
      <c r="P646" s="46" t="inlineStr">
        <is>
          <t xml:space="preserve">2,500 - 5,000</t>
        </is>
      </c>
      <c r="Q646" s="46" t="inlineStr">
        <is>
          <t xml:space="preserve">Ohio</t>
        </is>
      </c>
      <c r="R646" s="46" t="inlineStr">
        <is>
          <t xml:space="preserve">43215</t>
        </is>
      </c>
      <c r="S646" s="48" t="inlineStr">
        <is>
          <t xml:space="preserve">Severe convective - hail / tornado (moderate)</t>
        </is>
      </c>
      <c r="T646" s="36">
        <f>IF($A646="","",IF($S646="","",IFERROR(INDEX('[1]natural catastrophe'!$D$6:$D$17,MATCH($S646,'[1]natural catastrophe'!$B$6:$B$17,0)),"?")))</f>
      </c>
      <c r="U646" s="46" t="inlineStr">
        <is>
          <t xml:space="preserve">$5,000</t>
        </is>
      </c>
      <c r="V646" s="48" t="inlineStr">
        <is>
          <t xml:space="preserve">Agreed Value</t>
        </is>
      </c>
      <c r="W646" s="46" t="inlineStr">
        <is>
          <t xml:space="preserve">$1,000</t>
        </is>
      </c>
      <c r="X646" s="48" t="inlineStr">
        <is>
          <t xml:space="preserve">$1,000,000 CSL</t>
        </is>
      </c>
      <c r="Y646" s="46"/>
      <c r="Z646" s="46"/>
      <c r="AA646" s="48" t="inlineStr">
        <is>
          <t xml:space="preserve">Surplus Lines</t>
        </is>
      </c>
      <c r="AB646" s="50">
        <v>11938.42</v>
      </c>
      <c r="AC646" s="51">
        <v>0</v>
      </c>
      <c r="AD646" s="38">
        <f>IF(ISNUMBER($AB646),$AB646*(1+N($AC646)),"")</f>
      </c>
      <c r="AE646" s="50">
        <v>350</v>
      </c>
      <c r="AF646" s="50">
        <v>0</v>
      </c>
      <c r="AG646" s="51"/>
      <c r="AH646" s="39">
        <f>IF(ISNUMBER($AD646),($AD646+$AE646+$AF646)*$AG646,"")</f>
      </c>
      <c r="AI646" s="50"/>
      <c r="AJ646" s="38">
        <f>IF(ISNUMBER($AD646),SUM($AD646:$AH646),"")</f>
      </c>
      <c r="AK646" s="40">
        <f>IF(AND(ISNUMBER($AB646),ISNUMBER($AD646)),IF($AB646&gt;0,$AD646/$AB646,""),"")</f>
      </c>
      <c r="AL646" s="48" t="inlineStr">
        <is>
          <t xml:space="preserve">At technical</t>
        </is>
      </c>
      <c r="AM646" s="41">
        <f>IF(ISNUMBER($AD646),Header!$I$3,"")</f>
      </c>
      <c r="AN646" s="39">
        <f>IF(ISNUMBER($AD646),$AO646+$AP646,"")</f>
      </c>
      <c r="AO646" s="39">
        <f>IF(ISNUMBER($AD646),ROUND($AD646*Header!$K$3,2),"")</f>
      </c>
      <c r="AP646" s="39">
        <f>IF(ISNUMBER($AD646),ROUND($AD646*Header!$M$3,2),"")</f>
      </c>
      <c r="AQ646" s="38">
        <f>IF(ISNUMBER($AD646),ROUND($AD646,2)-$AO646-$AP646,"")</f>
      </c>
      <c r="AR646" s="39">
        <f>IF(ISNUMBER($AD646),IF(Header!$D$34="","?",$AD646*Header!$D$34),"")</f>
      </c>
      <c r="AS646" s="39">
        <f>IF(ISNUMBER($AB646),IF(Header!$D$34="","?",$AB646*Header!$D$34),"")</f>
      </c>
      <c r="AT646" s="42">
        <f>IF(AND(ISNUMBER($AB646),$M646&gt;0),$AB646/$M646*100,"")</f>
      </c>
      <c r="AU646" s="42">
        <f>IF(AND(ISNUMBER($AD646),$M646&gt;0),$AD646/$M646*100,"")</f>
      </c>
      <c r="AV646" s="40">
        <f>IF(AND(ISNUMBER($AB646),ISNUMBER($AD646),ABS($AB646)&gt;0),$AD646/$AB646,"")</f>
      </c>
      <c r="AW646" s="39">
        <f>IF(ISNUMBER($AD646),MAX(0,(1-0.55-Header!$O$3)*Header!$Q$3*$AQ646),"")</f>
      </c>
      <c r="AX646" s="43">
        <f>IF($A646="","",IF(TRIM(IF($A646="","Missing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",""))="","PASS","FAIL: "&amp;TRIM(IF($A646="","Missing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f>
      </c>
      <c r="AY646" s="44">
        <f>IF($M646="","",IF(ISNUMBER($M646),IF($M646&gt;=Header!$C$18,"YES — refer","No"),""))</f>
      </c>
      <c r="AZ646" s="44">
        <f>IF($AD646="","",IF(ISNUMBER($AD646),IF($AD646&lt;Header!$C$20,"BELOW MIN PREMIUM","OK"),""))</f>
      </c>
      <c r="BA646" s="48" t="inlineStr">
        <is>
          <t xml:space="preserve">Yes</t>
        </is>
      </c>
      <c r="BB646" s="48" t="inlineStr">
        <is>
          <t xml:space="preserve">Yes</t>
        </is>
      </c>
      <c r="BC646" s="46" t="inlineStr">
        <is>
          <t xml:space="preserve">Synthetic demo data</t>
        </is>
      </c>
      <c r="BE646" s="45">
        <f>IF(OR($A646="",$L646="",$H646=""),"",IF(AND(LEFT($L646,2)="06",$H646&gt;1945),"FAIL - pre-war class, year "&amp;$H646,IF(AND(LEFT($L646,2)="07",OR($H646&lt;1946,$H646&gt;1972)),"FAIL - 1946-72 class, year "&amp;$H646,IF(AND(LEFT($L646,2)="08",OR($H646&lt;1973,$H646&gt;1999)),"FAIL - 1973-99 class, year "&amp;$H646,IF(AND(LEFT($L646,2)="09",OR($H646&lt;2000,$H646&gt;2010)),"FAIL - 2000-10 class, year "&amp;$H646,"OK")))))</f>
      </c>
      <c r="BF646" s="45">
        <f>IF($AD646="","",IF(ROUND($AO646+$AP646+$AQ646-$AD646,2)=0,"OK","FAIL - out by "&amp;TEXT($AO646+$AP646+$AQ646-$AD646,"$0.00")))</f>
      </c>
    </row>
    <row r="647" spans="1:58" ht="18.75" customHeight="1" x14ac:dyDescent="0.25">
      <c r="A647" s="30" t="inlineStr">
        <is>
          <t xml:space="preserve">CANON-202602-005534</t>
        </is>
      </c>
      <c r="B647" s="30" t="inlineStr">
        <is>
          <t xml:space="preserve">Saoirse Harrington</t>
        </is>
      </c>
      <c r="C647" s="31">
        <v>46081</v>
      </c>
      <c r="D647" s="32" t="inlineStr">
        <is>
          <t xml:space="preserve">Bound - within authority</t>
        </is>
      </c>
      <c r="E647" s="32" t="inlineStr">
        <is>
          <t xml:space="preserve">New business</t>
        </is>
      </c>
      <c r="F647" s="30" t="inlineStr">
        <is>
          <t xml:space="preserve">B1234EXOTIC26</t>
        </is>
      </c>
      <c r="G647" s="33">
        <f>IF($A647="","",IF($C647="","",YEAR($C647)))</f>
      </c>
      <c r="H647" s="34">
        <v>1968</v>
      </c>
      <c r="I647" s="30" t="inlineStr">
        <is>
          <t xml:space="preserve">Bentley</t>
        </is>
      </c>
      <c r="J647" s="30" t="inlineStr">
        <is>
          <t xml:space="preserve">Continental GT</t>
        </is>
      </c>
      <c r="K647" s="30" t="inlineStr">
        <is>
          <t xml:space="preserve">AFV5N00UHCB51SFLV</t>
        </is>
      </c>
      <c r="L647" s="32" t="inlineStr">
        <is>
          <t xml:space="preserve">02 - Sports / GT</t>
        </is>
      </c>
      <c r="M647" s="35">
        <v>605000</v>
      </c>
      <c r="N647" s="32" t="inlineStr">
        <is>
          <t xml:space="preserve">Personal</t>
        </is>
      </c>
      <c r="O647" s="30" t="inlineStr">
        <is>
          <t xml:space="preserve">Personal - regular use</t>
        </is>
      </c>
      <c r="P647" s="30" t="inlineStr">
        <is>
          <t xml:space="preserve">1,000 - 2,500</t>
        </is>
      </c>
      <c r="Q647" s="30" t="inlineStr">
        <is>
          <t xml:space="preserve">Pennsylvania</t>
        </is>
      </c>
      <c r="R647" s="30" t="inlineStr">
        <is>
          <t xml:space="preserve">19103</t>
        </is>
      </c>
      <c r="S647" s="32" t="inlineStr">
        <is>
          <t xml:space="preserve">Low hazard - inland benign</t>
        </is>
      </c>
      <c r="T647" s="36">
        <f>IF($A647="","",IF($S647="","",IFERROR(INDEX('[1]natural catastrophe'!$D$6:$D$17,MATCH($S647,'[1]natural catastrophe'!$B$6:$B$17,0)),"?")))</f>
      </c>
      <c r="U647" s="30" t="inlineStr">
        <is>
          <t xml:space="preserve">$5,000</t>
        </is>
      </c>
      <c r="V647" s="32" t="inlineStr">
        <is>
          <t xml:space="preserve">Agreed Value</t>
        </is>
      </c>
      <c r="W647" s="30" t="inlineStr">
        <is>
          <t xml:space="preserve">$1,000</t>
        </is>
      </c>
      <c r="X647" s="32" t="inlineStr">
        <is>
          <t xml:space="preserve">$1,000,000 CSL</t>
        </is>
      </c>
      <c r="Y647" s="30"/>
      <c r="Z647" s="30"/>
      <c r="AA647" s="32" t="inlineStr">
        <is>
          <t xml:space="preserve">Surplus Lines</t>
        </is>
      </c>
      <c r="AB647" s="35">
        <v>6523.5</v>
      </c>
      <c r="AC647" s="37">
        <v>0</v>
      </c>
      <c r="AD647" s="38">
        <f>IF(ISNUMBER($AB647),$AB647*(1+N($AC647)),"")</f>
      </c>
      <c r="AE647" s="35">
        <v>350</v>
      </c>
      <c r="AF647" s="35">
        <v>0</v>
      </c>
      <c r="AG647" s="37"/>
      <c r="AH647" s="39">
        <f>IF(ISNUMBER($AD647),($AD647+$AE647+$AF647)*$AG647,"")</f>
      </c>
      <c r="AI647" s="35"/>
      <c r="AJ647" s="38">
        <f>IF(ISNUMBER($AD647),SUM($AD647:$AH647),"")</f>
      </c>
      <c r="AK647" s="40">
        <f>IF(AND(ISNUMBER($AB647),ISNUMBER($AD647)),IF($AB647&gt;0,$AD647/$AB647,""),"")</f>
      </c>
      <c r="AL647" s="32" t="inlineStr">
        <is>
          <t xml:space="preserve">At technical</t>
        </is>
      </c>
      <c r="AM647" s="41">
        <f>IF(ISNUMBER($AD647),Header!$I$3,"")</f>
      </c>
      <c r="AN647" s="39">
        <f>IF(ISNUMBER($AD647),$AO647+$AP647,"")</f>
      </c>
      <c r="AO647" s="39">
        <f>IF(ISNUMBER($AD647),ROUND($AD647*Header!$K$3,2),"")</f>
      </c>
      <c r="AP647" s="39">
        <f>IF(ISNUMBER($AD647),ROUND($AD647*Header!$M$3,2),"")</f>
      </c>
      <c r="AQ647" s="38">
        <f>IF(ISNUMBER($AD647),ROUND($AD647,2)-$AO647-$AP647,"")</f>
      </c>
      <c r="AR647" s="39">
        <f>IF(ISNUMBER($AD647),IF(Header!$D$34="","?",$AD647*Header!$D$34),"")</f>
      </c>
      <c r="AS647" s="39">
        <f>IF(ISNUMBER($AB647),IF(Header!$D$34="","?",$AB647*Header!$D$34),"")</f>
      </c>
      <c r="AT647" s="42">
        <f>IF(AND(ISNUMBER($AB647),$M647&gt;0),$AB647/$M647*100,"")</f>
      </c>
      <c r="AU647" s="42">
        <f>IF(AND(ISNUMBER($AD647),$M647&gt;0),$AD647/$M647*100,"")</f>
      </c>
      <c r="AV647" s="40">
        <f>IF(AND(ISNUMBER($AB647),ISNUMBER($AD647),ABS($AB647)&gt;0),$AD647/$AB647,"")</f>
      </c>
      <c r="AW647" s="39">
        <f>IF(ISNUMBER($AD647),MAX(0,(1-0.55-Header!$O$3)*Header!$Q$3*$AQ647),"")</f>
      </c>
      <c r="AX647" s="43">
        <f>IF($A647="","",IF(TRIM(IF($A647="","Missing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",""))="","PASS","FAIL: "&amp;TRIM(IF($A647="","Missing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f>
      </c>
      <c r="AY647" s="44">
        <f>IF($M647="","",IF(ISNUMBER($M647),IF($M647&gt;=Header!$C$18,"YES — refer","No"),""))</f>
      </c>
      <c r="AZ647" s="44">
        <f>IF($AD647="","",IF(ISNUMBER($AD647),IF($AD647&lt;Header!$C$20,"BELOW MIN PREMIUM","OK"),""))</f>
      </c>
      <c r="BA647" s="32" t="inlineStr">
        <is>
          <t xml:space="preserve">Yes</t>
        </is>
      </c>
      <c r="BB647" s="32" t="inlineStr">
        <is>
          <t xml:space="preserve">Yes</t>
        </is>
      </c>
      <c r="BC647" s="30" t="inlineStr">
        <is>
          <t xml:space="preserve">Synthetic demo data</t>
        </is>
      </c>
      <c r="BE647" s="45">
        <f>IF(OR($A647="",$L647="",$H647=""),"",IF(AND(LEFT($L647,2)="06",$H647&gt;1945),"FAIL - pre-war class, year "&amp;$H647,IF(AND(LEFT($L647,2)="07",OR($H647&lt;1946,$H647&gt;1972)),"FAIL - 1946-72 class, year "&amp;$H647,IF(AND(LEFT($L647,2)="08",OR($H647&lt;1973,$H647&gt;1999)),"FAIL - 1973-99 class, year "&amp;$H647,IF(AND(LEFT($L647,2)="09",OR($H647&lt;2000,$H647&gt;2010)),"FAIL - 2000-10 class, year "&amp;$H647,"OK")))))</f>
      </c>
      <c r="BF647" s="45">
        <f>IF($AD647="","",IF(ROUND($AO647+$AP647+$AQ647-$AD647,2)=0,"OK","FAIL - out by "&amp;TEXT($AO647+$AP647+$AQ647-$AD647,"$0.00")))</f>
      </c>
    </row>
    <row r="648" spans="1:58" ht="18.75" customHeight="1" x14ac:dyDescent="0.25">
      <c r="A648" s="46" t="inlineStr">
        <is>
          <t xml:space="preserve">CANON-202602-005535</t>
        </is>
      </c>
      <c r="B648" s="46" t="inlineStr">
        <is>
          <t xml:space="preserve">Sunniva Nakashima</t>
        </is>
      </c>
      <c r="C648" s="47">
        <v>46063</v>
      </c>
      <c r="D648" s="48" t="inlineStr">
        <is>
          <t xml:space="preserve">Bound - within authority</t>
        </is>
      </c>
      <c r="E648" s="48" t="inlineStr">
        <is>
          <t xml:space="preserve">New business</t>
        </is>
      </c>
      <c r="F648" s="46" t="inlineStr">
        <is>
          <t xml:space="preserve">B1234EXOTIC26</t>
        </is>
      </c>
      <c r="G648" s="33">
        <f>IF($A648="","",IF($C648="","",YEAR($C648)))</f>
      </c>
      <c r="H648" s="49">
        <v>2005</v>
      </c>
      <c r="I648" s="46" t="inlineStr">
        <is>
          <t xml:space="preserve">Singer</t>
        </is>
      </c>
      <c r="J648" s="46" t="inlineStr">
        <is>
          <t xml:space="preserve">911 Reimagined</t>
        </is>
      </c>
      <c r="K648" s="46" t="inlineStr">
        <is>
          <t xml:space="preserve">LB116AVKABXBVA3D5</t>
        </is>
      </c>
      <c r="L648" s="48" t="inlineStr">
        <is>
          <t xml:space="preserve">11 - Restomod / Coachbuilt / Bespoke</t>
        </is>
      </c>
      <c r="M648" s="50">
        <v>235000</v>
      </c>
      <c r="N648" s="48" t="inlineStr">
        <is>
          <t xml:space="preserve">Personal</t>
        </is>
      </c>
      <c r="O648" s="46" t="inlineStr">
        <is>
          <t xml:space="preserve">Personal - regular use</t>
        </is>
      </c>
      <c r="P648" s="46" t="inlineStr">
        <is>
          <t xml:space="preserve">Under 1,000</t>
        </is>
      </c>
      <c r="Q648" s="46" t="inlineStr">
        <is>
          <t xml:space="preserve">Idaho</t>
        </is>
      </c>
      <c r="R648" s="46" t="inlineStr">
        <is>
          <t xml:space="preserve">83702</t>
        </is>
      </c>
      <c r="S648" s="48" t="inlineStr">
        <is>
          <t xml:space="preserve">Wildfire - WUI high hazard</t>
        </is>
      </c>
      <c r="T648" s="36">
        <f>IF($A648="","",IF($S648="","",IFERROR(INDEX('[1]natural catastrophe'!$D$6:$D$17,MATCH($S648,'[1]natural catastrophe'!$B$6:$B$17,0)),"?")))</f>
      </c>
      <c r="U648" s="46" t="inlineStr">
        <is>
          <t xml:space="preserve">$5,000</t>
        </is>
      </c>
      <c r="V648" s="48" t="inlineStr">
        <is>
          <t xml:space="preserve">Agreed Value</t>
        </is>
      </c>
      <c r="W648" s="46" t="inlineStr">
        <is>
          <t xml:space="preserve">$1,000</t>
        </is>
      </c>
      <c r="X648" s="48" t="inlineStr">
        <is>
          <t xml:space="preserve">$1,000,000 CSL</t>
        </is>
      </c>
      <c r="Y648" s="46"/>
      <c r="Z648" s="46"/>
      <c r="AA648" s="48" t="inlineStr">
        <is>
          <t xml:space="preserve">Surplus Lines</t>
        </is>
      </c>
      <c r="AB648" s="50">
        <v>4052.32</v>
      </c>
      <c r="AC648" s="51">
        <v>0</v>
      </c>
      <c r="AD648" s="38">
        <f>IF(ISNUMBER($AB648),$AB648*(1+N($AC648)),"")</f>
      </c>
      <c r="AE648" s="50">
        <v>350</v>
      </c>
      <c r="AF648" s="50">
        <v>0</v>
      </c>
      <c r="AG648" s="51"/>
      <c r="AH648" s="39">
        <f>IF(ISNUMBER($AD648),($AD648+$AE648+$AF648)*$AG648,"")</f>
      </c>
      <c r="AI648" s="50"/>
      <c r="AJ648" s="38">
        <f>IF(ISNUMBER($AD648),SUM($AD648:$AH648),"")</f>
      </c>
      <c r="AK648" s="40">
        <f>IF(AND(ISNUMBER($AB648),ISNUMBER($AD648)),IF($AB648&gt;0,$AD648/$AB648,""),"")</f>
      </c>
      <c r="AL648" s="48" t="inlineStr">
        <is>
          <t xml:space="preserve">At technical</t>
        </is>
      </c>
      <c r="AM648" s="41">
        <f>IF(ISNUMBER($AD648),Header!$I$3,"")</f>
      </c>
      <c r="AN648" s="39">
        <f>IF(ISNUMBER($AD648),$AO648+$AP648,"")</f>
      </c>
      <c r="AO648" s="39">
        <f>IF(ISNUMBER($AD648),ROUND($AD648*Header!$K$3,2),"")</f>
      </c>
      <c r="AP648" s="39">
        <f>IF(ISNUMBER($AD648),ROUND($AD648*Header!$M$3,2),"")</f>
      </c>
      <c r="AQ648" s="38">
        <f>IF(ISNUMBER($AD648),ROUND($AD648,2)-$AO648-$AP648,"")</f>
      </c>
      <c r="AR648" s="39">
        <f>IF(ISNUMBER($AD648),IF(Header!$D$34="","?",$AD648*Header!$D$34),"")</f>
      </c>
      <c r="AS648" s="39">
        <f>IF(ISNUMBER($AB648),IF(Header!$D$34="","?",$AB648*Header!$D$34),"")</f>
      </c>
      <c r="AT648" s="42">
        <f>IF(AND(ISNUMBER($AB648),$M648&gt;0),$AB648/$M648*100,"")</f>
      </c>
      <c r="AU648" s="42">
        <f>IF(AND(ISNUMBER($AD648),$M648&gt;0),$AD648/$M648*100,"")</f>
      </c>
      <c r="AV648" s="40">
        <f>IF(AND(ISNUMBER($AB648),ISNUMBER($AD648),ABS($AB648)&gt;0),$AD648/$AB648,"")</f>
      </c>
      <c r="AW648" s="39">
        <f>IF(ISNUMBER($AD648),MAX(0,(1-0.55-Header!$O$3)*Header!$Q$3*$AQ648),"")</f>
      </c>
      <c r="AX648" s="43">
        <f>IF($A648="","",IF(TRIM(IF($A648="","Missing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",""))="","PASS","FAIL: "&amp;TRIM(IF($A648="","Missing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f>
      </c>
      <c r="AY648" s="44">
        <f>IF($M648="","",IF(ISNUMBER($M648),IF($M648&gt;=Header!$C$18,"YES — refer","No"),""))</f>
      </c>
      <c r="AZ648" s="44">
        <f>IF($AD648="","",IF(ISNUMBER($AD648),IF($AD648&lt;Header!$C$20,"BELOW MIN PREMIUM","OK"),""))</f>
      </c>
      <c r="BA648" s="48" t="inlineStr">
        <is>
          <t xml:space="preserve">Yes</t>
        </is>
      </c>
      <c r="BB648" s="48" t="inlineStr">
        <is>
          <t xml:space="preserve">Yes</t>
        </is>
      </c>
      <c r="BC648" s="46" t="inlineStr">
        <is>
          <t xml:space="preserve">Synthetic demo data</t>
        </is>
      </c>
      <c r="BE648" s="45">
        <f>IF(OR($A648="",$L648="",$H648=""),"",IF(AND(LEFT($L648,2)="06",$H648&gt;1945),"FAIL - pre-war class, year "&amp;$H648,IF(AND(LEFT($L648,2)="07",OR($H648&lt;1946,$H648&gt;1972)),"FAIL - 1946-72 class, year "&amp;$H648,IF(AND(LEFT($L648,2)="08",OR($H648&lt;1973,$H648&gt;1999)),"FAIL - 1973-99 class, year "&amp;$H648,IF(AND(LEFT($L648,2)="09",OR($H648&lt;2000,$H648&gt;2010)),"FAIL - 2000-10 class, year "&amp;$H648,"OK")))))</f>
      </c>
      <c r="BF648" s="45">
        <f>IF($AD648="","",IF(ROUND($AO648+$AP648+$AQ648-$AD648,2)=0,"OK","FAIL - out by "&amp;TEXT($AO648+$AP648+$AQ648-$AD648,"$0.00")))</f>
      </c>
    </row>
    <row r="649" spans="1:58" ht="18.75" customHeight="1" x14ac:dyDescent="0.25">
      <c r="A649" s="30" t="inlineStr">
        <is>
          <t xml:space="preserve">CANON-202602-005536</t>
        </is>
      </c>
      <c r="B649" s="30" t="inlineStr">
        <is>
          <t xml:space="preserve">Thaddeus Harrington</t>
        </is>
      </c>
      <c r="C649" s="31">
        <v>46078</v>
      </c>
      <c r="D649" s="32" t="inlineStr">
        <is>
          <t xml:space="preserve">Bound - within authority</t>
        </is>
      </c>
      <c r="E649" s="32" t="inlineStr">
        <is>
          <t xml:space="preserve">New business</t>
        </is>
      </c>
      <c r="F649" s="30" t="inlineStr">
        <is>
          <t xml:space="preserve">B1234EXOTIC26</t>
        </is>
      </c>
      <c r="G649" s="33">
        <f>IF($A649="","",IF($C649="","",YEAR($C649)))</f>
      </c>
      <c r="H649" s="34">
        <v>2017</v>
      </c>
      <c r="I649" s="30" t="inlineStr">
        <is>
          <t xml:space="preserve">Mercedes-Benz</t>
        </is>
      </c>
      <c r="J649" s="30" t="inlineStr">
        <is>
          <t xml:space="preserve">AMG GT</t>
        </is>
      </c>
      <c r="K649" s="30" t="inlineStr">
        <is>
          <t xml:space="preserve">YSXYSUA7WJMFMEC58</t>
        </is>
      </c>
      <c r="L649" s="32" t="inlineStr">
        <is>
          <t xml:space="preserve">02 - Sports / GT</t>
        </is>
      </c>
      <c r="M649" s="35">
        <v>1065000</v>
      </c>
      <c r="N649" s="32" t="inlineStr">
        <is>
          <t xml:space="preserve">Personal</t>
        </is>
      </c>
      <c r="O649" s="30" t="inlineStr">
        <is>
          <t xml:space="preserve">Personal - regular use</t>
        </is>
      </c>
      <c r="P649" s="30" t="inlineStr">
        <is>
          <t xml:space="preserve">2,500 - 5,000</t>
        </is>
      </c>
      <c r="Q649" s="30" t="inlineStr">
        <is>
          <t xml:space="preserve">South Dakota</t>
        </is>
      </c>
      <c r="R649" s="30" t="inlineStr">
        <is>
          <t xml:space="preserve">57501</t>
        </is>
      </c>
      <c r="S649" s="32" t="inlineStr">
        <is>
          <t xml:space="preserve">Severe convective - hail alley (high)</t>
        </is>
      </c>
      <c r="T649" s="36">
        <f>IF($A649="","",IF($S649="","",IFERROR(INDEX('[1]natural catastrophe'!$D$6:$D$17,MATCH($S649,'[1]natural catastrophe'!$B$6:$B$17,0)),"?")))</f>
      </c>
      <c r="U649" s="30" t="inlineStr">
        <is>
          <t xml:space="preserve">$5,000</t>
        </is>
      </c>
      <c r="V649" s="32" t="inlineStr">
        <is>
          <t xml:space="preserve">Agreed Value</t>
        </is>
      </c>
      <c r="W649" s="30" t="inlineStr">
        <is>
          <t xml:space="preserve">$1,000</t>
        </is>
      </c>
      <c r="X649" s="32" t="inlineStr">
        <is>
          <t xml:space="preserve">$1,000,000 CSL</t>
        </is>
      </c>
      <c r="Y649" s="30"/>
      <c r="Z649" s="30"/>
      <c r="AA649" s="32" t="inlineStr">
        <is>
          <t xml:space="preserve">Surplus Lines</t>
        </is>
      </c>
      <c r="AB649" s="35">
        <v>10785.67</v>
      </c>
      <c r="AC649" s="37">
        <v>0</v>
      </c>
      <c r="AD649" s="38">
        <f>IF(ISNUMBER($AB649),$AB649*(1+N($AC649)),"")</f>
      </c>
      <c r="AE649" s="35">
        <v>350</v>
      </c>
      <c r="AF649" s="35">
        <v>250</v>
      </c>
      <c r="AG649" s="37"/>
      <c r="AH649" s="39">
        <f>IF(ISNUMBER($AD649),($AD649+$AE649+$AF649)*$AG649,"")</f>
      </c>
      <c r="AI649" s="35"/>
      <c r="AJ649" s="38">
        <f>IF(ISNUMBER($AD649),SUM($AD649:$AH649),"")</f>
      </c>
      <c r="AK649" s="40">
        <f>IF(AND(ISNUMBER($AB649),ISNUMBER($AD649)),IF($AB649&gt;0,$AD649/$AB649,""),"")</f>
      </c>
      <c r="AL649" s="32" t="inlineStr">
        <is>
          <t xml:space="preserve">At technical</t>
        </is>
      </c>
      <c r="AM649" s="41">
        <f>IF(ISNUMBER($AD649),Header!$I$3,"")</f>
      </c>
      <c r="AN649" s="39">
        <f>IF(ISNUMBER($AD649),$AO649+$AP649,"")</f>
      </c>
      <c r="AO649" s="39">
        <f>IF(ISNUMBER($AD649),ROUND($AD649*Header!$K$3,2),"")</f>
      </c>
      <c r="AP649" s="39">
        <f>IF(ISNUMBER($AD649),ROUND($AD649*Header!$M$3,2),"")</f>
      </c>
      <c r="AQ649" s="38">
        <f>IF(ISNUMBER($AD649),ROUND($AD649,2)-$AO649-$AP649,"")</f>
      </c>
      <c r="AR649" s="39">
        <f>IF(ISNUMBER($AD649),IF(Header!$D$34="","?",$AD649*Header!$D$34),"")</f>
      </c>
      <c r="AS649" s="39">
        <f>IF(ISNUMBER($AB649),IF(Header!$D$34="","?",$AB649*Header!$D$34),"")</f>
      </c>
      <c r="AT649" s="42">
        <f>IF(AND(ISNUMBER($AB649),$M649&gt;0),$AB649/$M649*100,"")</f>
      </c>
      <c r="AU649" s="42">
        <f>IF(AND(ISNUMBER($AD649),$M649&gt;0),$AD649/$M649*100,"")</f>
      </c>
      <c r="AV649" s="40">
        <f>IF(AND(ISNUMBER($AB649),ISNUMBER($AD649),ABS($AB649)&gt;0),$AD649/$AB649,"")</f>
      </c>
      <c r="AW649" s="39">
        <f>IF(ISNUMBER($AD649),MAX(0,(1-0.55-Header!$O$3)*Header!$Q$3*$AQ649),"")</f>
      </c>
      <c r="AX649" s="43">
        <f>IF($A649="","",IF(TRIM(IF($A649="","Missing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",""))="","PASS","FAIL: "&amp;TRIM(IF($A649="","Missing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f>
      </c>
      <c r="AY649" s="44">
        <f>IF($M649="","",IF(ISNUMBER($M649),IF($M649&gt;=Header!$C$18,"YES — refer","No"),""))</f>
      </c>
      <c r="AZ649" s="44">
        <f>IF($AD649="","",IF(ISNUMBER($AD649),IF($AD649&lt;Header!$C$20,"BELOW MIN PREMIUM","OK"),""))</f>
      </c>
      <c r="BA649" s="32" t="inlineStr">
        <is>
          <t xml:space="preserve">Yes</t>
        </is>
      </c>
      <c r="BB649" s="32" t="inlineStr">
        <is>
          <t xml:space="preserve">Yes</t>
        </is>
      </c>
      <c r="BC649" s="30" t="inlineStr">
        <is>
          <t xml:space="preserve">Synthetic demo data</t>
        </is>
      </c>
      <c r="BE649" s="45">
        <f>IF(OR($A649="",$L649="",$H649=""),"",IF(AND(LEFT($L649,2)="06",$H649&gt;1945),"FAIL - pre-war class, year "&amp;$H649,IF(AND(LEFT($L649,2)="07",OR($H649&lt;1946,$H649&gt;1972)),"FAIL - 1946-72 class, year "&amp;$H649,IF(AND(LEFT($L649,2)="08",OR($H649&lt;1973,$H649&gt;1999)),"FAIL - 1973-99 class, year "&amp;$H649,IF(AND(LEFT($L649,2)="09",OR($H649&lt;2000,$H649&gt;2010)),"FAIL - 2000-10 class, year "&amp;$H649,"OK")))))</f>
      </c>
      <c r="BF649" s="45">
        <f>IF($AD649="","",IF(ROUND($AO649+$AP649+$AQ649-$AD649,2)=0,"OK","FAIL - out by "&amp;TEXT($AO649+$AP649+$AQ649-$AD649,"$0.00")))</f>
      </c>
    </row>
    <row r="650" spans="1:58" ht="18.75" customHeight="1" x14ac:dyDescent="0.25">
      <c r="A650" s="46" t="inlineStr">
        <is>
          <t xml:space="preserve">CANON-202602-005538</t>
        </is>
      </c>
      <c r="B650" s="46" t="inlineStr">
        <is>
          <t xml:space="preserve">Saoirse Blackwood</t>
        </is>
      </c>
      <c r="C650" s="47">
        <v>46063</v>
      </c>
      <c r="D650" s="48" t="inlineStr">
        <is>
          <t xml:space="preserve">Bound - within authority</t>
        </is>
      </c>
      <c r="E650" s="48" t="inlineStr">
        <is>
          <t xml:space="preserve">New business</t>
        </is>
      </c>
      <c r="F650" s="46" t="inlineStr">
        <is>
          <t xml:space="preserve">B1234EXOTIC26</t>
        </is>
      </c>
      <c r="G650" s="33">
        <f>IF($A650="","",IF($C650="","",YEAR($C650)))</f>
      </c>
      <c r="H650" s="49">
        <v>2001</v>
      </c>
      <c r="I650" s="46" t="inlineStr">
        <is>
          <t xml:space="preserve">Porsche</t>
        </is>
      </c>
      <c r="J650" s="46" t="inlineStr">
        <is>
          <t xml:space="preserve">911 Turbo S</t>
        </is>
      </c>
      <c r="K650" s="46" t="inlineStr">
        <is>
          <t xml:space="preserve">9W1B4RN4A7N777Y4Y</t>
        </is>
      </c>
      <c r="L650" s="48" t="inlineStr">
        <is>
          <t xml:space="preserve">02 - Sports / GT</t>
        </is>
      </c>
      <c r="M650" s="50">
        <v>895000</v>
      </c>
      <c r="N650" s="48" t="inlineStr">
        <is>
          <t xml:space="preserve">Personal</t>
        </is>
      </c>
      <c r="O650" s="46" t="inlineStr">
        <is>
          <t xml:space="preserve">Personal - regular use</t>
        </is>
      </c>
      <c r="P650" s="46" t="inlineStr">
        <is>
          <t xml:space="preserve">Under 1,000</t>
        </is>
      </c>
      <c r="Q650" s="46" t="inlineStr">
        <is>
          <t xml:space="preserve">South Carolina</t>
        </is>
      </c>
      <c r="R650" s="46" t="inlineStr">
        <is>
          <t xml:space="preserve">29401</t>
        </is>
      </c>
      <c r="S650" s="48" t="inlineStr">
        <is>
          <t xml:space="preserve">Tier 2 - Coastal wind (1-25 miles)</t>
        </is>
      </c>
      <c r="T650" s="36">
        <f>IF($A650="","",IF($S650="","",IFERROR(INDEX('[1]natural catastrophe'!$D$6:$D$17,MATCH($S650,'[1]natural catastrophe'!$B$6:$B$17,0)),"?")))</f>
      </c>
      <c r="U650" s="46" t="inlineStr">
        <is>
          <t xml:space="preserve">2% of agreed value, minimum $10,000</t>
        </is>
      </c>
      <c r="V650" s="48" t="inlineStr">
        <is>
          <t xml:space="preserve">Agreed Value</t>
        </is>
      </c>
      <c r="W650" s="46" t="inlineStr">
        <is>
          <t xml:space="preserve">$1,000</t>
        </is>
      </c>
      <c r="X650" s="48" t="inlineStr">
        <is>
          <t xml:space="preserve">$1,000,000 CSL</t>
        </is>
      </c>
      <c r="Y650" s="46"/>
      <c r="Z650" s="46"/>
      <c r="AA650" s="48" t="inlineStr">
        <is>
          <t xml:space="preserve">Surplus Lines</t>
        </is>
      </c>
      <c r="AB650" s="50">
        <v>11966.57</v>
      </c>
      <c r="AC650" s="51">
        <v>0</v>
      </c>
      <c r="AD650" s="38">
        <f>IF(ISNUMBER($AB650),$AB650*(1+N($AC650)),"")</f>
      </c>
      <c r="AE650" s="50">
        <v>350</v>
      </c>
      <c r="AF650" s="50">
        <v>0</v>
      </c>
      <c r="AG650" s="51"/>
      <c r="AH650" s="39">
        <f>IF(ISNUMBER($AD650),($AD650+$AE650+$AF650)*$AG650,"")</f>
      </c>
      <c r="AI650" s="50"/>
      <c r="AJ650" s="38">
        <f>IF(ISNUMBER($AD650),SUM($AD650:$AH650),"")</f>
      </c>
      <c r="AK650" s="40">
        <f>IF(AND(ISNUMBER($AB650),ISNUMBER($AD650)),IF($AB650&gt;0,$AD650/$AB650,""),"")</f>
      </c>
      <c r="AL650" s="48" t="inlineStr">
        <is>
          <t xml:space="preserve">At technical</t>
        </is>
      </c>
      <c r="AM650" s="41">
        <f>IF(ISNUMBER($AD650),Header!$I$3,"")</f>
      </c>
      <c r="AN650" s="39">
        <f>IF(ISNUMBER($AD650),$AO650+$AP650,"")</f>
      </c>
      <c r="AO650" s="39">
        <f>IF(ISNUMBER($AD650),ROUND($AD650*Header!$K$3,2),"")</f>
      </c>
      <c r="AP650" s="39">
        <f>IF(ISNUMBER($AD650),ROUND($AD650*Header!$M$3,2),"")</f>
      </c>
      <c r="AQ650" s="38">
        <f>IF(ISNUMBER($AD650),ROUND($AD650,2)-$AO650-$AP650,"")</f>
      </c>
      <c r="AR650" s="39">
        <f>IF(ISNUMBER($AD650),IF(Header!$D$34="","?",$AD650*Header!$D$34),"")</f>
      </c>
      <c r="AS650" s="39">
        <f>IF(ISNUMBER($AB650),IF(Header!$D$34="","?",$AB650*Header!$D$34),"")</f>
      </c>
      <c r="AT650" s="42">
        <f>IF(AND(ISNUMBER($AB650),$M650&gt;0),$AB650/$M650*100,"")</f>
      </c>
      <c r="AU650" s="42">
        <f>IF(AND(ISNUMBER($AD650),$M650&gt;0),$AD650/$M650*100,"")</f>
      </c>
      <c r="AV650" s="40">
        <f>IF(AND(ISNUMBER($AB650),ISNUMBER($AD650),ABS($AB650)&gt;0),$AD650/$AB650,"")</f>
      </c>
      <c r="AW650" s="39">
        <f>IF(ISNUMBER($AD650),MAX(0,(1-0.55-Header!$O$3)*Header!$Q$3*$AQ650),"")</f>
      </c>
      <c r="AX650" s="43">
        <f>IF($A650="","",IF(TRIM(IF($A650="","Missing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",""))="","PASS","FAIL: "&amp;TRIM(IF($A650="","Missing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f>
      </c>
      <c r="AY650" s="44">
        <f>IF($M650="","",IF(ISNUMBER($M650),IF($M650&gt;=Header!$C$18,"YES — refer","No"),""))</f>
      </c>
      <c r="AZ650" s="44">
        <f>IF($AD650="","",IF(ISNUMBER($AD650),IF($AD650&lt;Header!$C$20,"BELOW MIN PREMIUM","OK"),""))</f>
      </c>
      <c r="BA650" s="48" t="inlineStr">
        <is>
          <t xml:space="preserve">Yes</t>
        </is>
      </c>
      <c r="BB650" s="48" t="inlineStr">
        <is>
          <t xml:space="preserve">Yes</t>
        </is>
      </c>
      <c r="BC650" s="46" t="inlineStr">
        <is>
          <t xml:space="preserve">Synthetic demo data</t>
        </is>
      </c>
      <c r="BE650" s="45">
        <f>IF(OR($A650="",$L650="",$H650=""),"",IF(AND(LEFT($L650,2)="06",$H650&gt;1945),"FAIL - pre-war class, year "&amp;$H650,IF(AND(LEFT($L650,2)="07",OR($H650&lt;1946,$H650&gt;1972)),"FAIL - 1946-72 class, year "&amp;$H650,IF(AND(LEFT($L650,2)="08",OR($H650&lt;1973,$H650&gt;1999)),"FAIL - 1973-99 class, year "&amp;$H650,IF(AND(LEFT($L650,2)="09",OR($H650&lt;2000,$H650&gt;2010)),"FAIL - 2000-10 class, year "&amp;$H650,"OK")))))</f>
      </c>
      <c r="BF650" s="45">
        <f>IF($AD650="","",IF(ROUND($AO650+$AP650+$AQ650-$AD650,2)=0,"OK","FAIL - out by "&amp;TEXT($AO650+$AP650+$AQ650-$AD650,"$0.00")))</f>
      </c>
    </row>
    <row r="651" spans="1:58" ht="18.75" customHeight="1" x14ac:dyDescent="0.25">
      <c r="A651" s="30" t="inlineStr">
        <is>
          <t xml:space="preserve">CANON-202602-005539</t>
        </is>
      </c>
      <c r="B651" s="30" t="inlineStr">
        <is>
          <t xml:space="preserve">Delphine Ashcombe</t>
        </is>
      </c>
      <c r="C651" s="31">
        <v>46079</v>
      </c>
      <c r="D651" s="32" t="inlineStr">
        <is>
          <t xml:space="preserve">Bound - within authority</t>
        </is>
      </c>
      <c r="E651" s="32" t="inlineStr">
        <is>
          <t xml:space="preserve">New business</t>
        </is>
      </c>
      <c r="F651" s="30" t="inlineStr">
        <is>
          <t xml:space="preserve">B1234EXOTIC26</t>
        </is>
      </c>
      <c r="G651" s="33">
        <f>IF($A651="","",IF($C651="","",YEAR($C651)))</f>
      </c>
      <c r="H651" s="34">
        <v>2011</v>
      </c>
      <c r="I651" s="30" t="inlineStr">
        <is>
          <t xml:space="preserve">McLaren</t>
        </is>
      </c>
      <c r="J651" s="30" t="inlineStr">
        <is>
          <t xml:space="preserve">750S</t>
        </is>
      </c>
      <c r="K651" s="30" t="inlineStr">
        <is>
          <t xml:space="preserve">2FF32CVXU0135Z2FT</t>
        </is>
      </c>
      <c r="L651" s="32" t="inlineStr">
        <is>
          <t xml:space="preserve">03 - Supercar</t>
        </is>
      </c>
      <c r="M651" s="35">
        <v>300000</v>
      </c>
      <c r="N651" s="32" t="inlineStr">
        <is>
          <t xml:space="preserve">Personal</t>
        </is>
      </c>
      <c r="O651" s="30" t="inlineStr">
        <is>
          <t xml:space="preserve">Personal - regular use</t>
        </is>
      </c>
      <c r="P651" s="30" t="inlineStr">
        <is>
          <t xml:space="preserve">Under 1,000</t>
        </is>
      </c>
      <c r="Q651" s="30" t="inlineStr">
        <is>
          <t xml:space="preserve">Kansas</t>
        </is>
      </c>
      <c r="R651" s="30" t="inlineStr">
        <is>
          <t xml:space="preserve">66603</t>
        </is>
      </c>
      <c r="S651" s="32" t="inlineStr">
        <is>
          <t xml:space="preserve">Severe convective - hail alley (high)</t>
        </is>
      </c>
      <c r="T651" s="36">
        <f>IF($A651="","",IF($S651="","",IFERROR(INDEX('[1]natural catastrophe'!$D$6:$D$17,MATCH($S651,'[1]natural catastrophe'!$B$6:$B$17,0)),"?")))</f>
      </c>
      <c r="U651" s="30" t="inlineStr">
        <is>
          <t xml:space="preserve">$5,000</t>
        </is>
      </c>
      <c r="V651" s="32" t="inlineStr">
        <is>
          <t xml:space="preserve">Agreed Value</t>
        </is>
      </c>
      <c r="W651" s="30" t="inlineStr">
        <is>
          <t xml:space="preserve">$1,000</t>
        </is>
      </c>
      <c r="X651" s="32" t="inlineStr">
        <is>
          <t xml:space="preserve">$1,000,000 CSL</t>
        </is>
      </c>
      <c r="Y651" s="30"/>
      <c r="Z651" s="30"/>
      <c r="AA651" s="32" t="inlineStr">
        <is>
          <t xml:space="preserve">Surplus Lines</t>
        </is>
      </c>
      <c r="AB651" s="35">
        <v>5551.4</v>
      </c>
      <c r="AC651" s="37">
        <v>0</v>
      </c>
      <c r="AD651" s="38">
        <f>IF(ISNUMBER($AB651),$AB651*(1+N($AC651)),"")</f>
      </c>
      <c r="AE651" s="35">
        <v>350</v>
      </c>
      <c r="AF651" s="35">
        <v>0</v>
      </c>
      <c r="AG651" s="37"/>
      <c r="AH651" s="39">
        <f>IF(ISNUMBER($AD651),($AD651+$AE651+$AF651)*$AG651,"")</f>
      </c>
      <c r="AI651" s="35"/>
      <c r="AJ651" s="38">
        <f>IF(ISNUMBER($AD651),SUM($AD651:$AH651),"")</f>
      </c>
      <c r="AK651" s="40">
        <f>IF(AND(ISNUMBER($AB651),ISNUMBER($AD651)),IF($AB651&gt;0,$AD651/$AB651,""),"")</f>
      </c>
      <c r="AL651" s="32" t="inlineStr">
        <is>
          <t xml:space="preserve">At technical</t>
        </is>
      </c>
      <c r="AM651" s="41">
        <f>IF(ISNUMBER($AD651),Header!$I$3,"")</f>
      </c>
      <c r="AN651" s="39">
        <f>IF(ISNUMBER($AD651),$AO651+$AP651,"")</f>
      </c>
      <c r="AO651" s="39">
        <f>IF(ISNUMBER($AD651),ROUND($AD651*Header!$K$3,2),"")</f>
      </c>
      <c r="AP651" s="39">
        <f>IF(ISNUMBER($AD651),ROUND($AD651*Header!$M$3,2),"")</f>
      </c>
      <c r="AQ651" s="38">
        <f>IF(ISNUMBER($AD651),ROUND($AD651,2)-$AO651-$AP651,"")</f>
      </c>
      <c r="AR651" s="39">
        <f>IF(ISNUMBER($AD651),IF(Header!$D$34="","?",$AD651*Header!$D$34),"")</f>
      </c>
      <c r="AS651" s="39">
        <f>IF(ISNUMBER($AB651),IF(Header!$D$34="","?",$AB651*Header!$D$34),"")</f>
      </c>
      <c r="AT651" s="42">
        <f>IF(AND(ISNUMBER($AB651),$M651&gt;0),$AB651/$M651*100,"")</f>
      </c>
      <c r="AU651" s="42">
        <f>IF(AND(ISNUMBER($AD651),$M651&gt;0),$AD651/$M651*100,"")</f>
      </c>
      <c r="AV651" s="40">
        <f>IF(AND(ISNUMBER($AB651),ISNUMBER($AD651),ABS($AB651)&gt;0),$AD651/$AB651,"")</f>
      </c>
      <c r="AW651" s="39">
        <f>IF(ISNUMBER($AD651),MAX(0,(1-0.55-Header!$O$3)*Header!$Q$3*$AQ651),"")</f>
      </c>
      <c r="AX651" s="43">
        <f>IF($A651="","",IF(TRIM(IF($A651="","Missing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",""))="","PASS","FAIL: "&amp;TRIM(IF($A651="","Missing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f>
      </c>
      <c r="AY651" s="44">
        <f>IF($M651="","",IF(ISNUMBER($M651),IF($M651&gt;=Header!$C$18,"YES — refer","No"),""))</f>
      </c>
      <c r="AZ651" s="44">
        <f>IF($AD651="","",IF(ISNUMBER($AD651),IF($AD651&lt;Header!$C$20,"BELOW MIN PREMIUM","OK"),""))</f>
      </c>
      <c r="BA651" s="32" t="inlineStr">
        <is>
          <t xml:space="preserve">Yes</t>
        </is>
      </c>
      <c r="BB651" s="32" t="inlineStr">
        <is>
          <t xml:space="preserve">Yes</t>
        </is>
      </c>
      <c r="BC651" s="30" t="inlineStr">
        <is>
          <t xml:space="preserve">Synthetic demo data</t>
        </is>
      </c>
      <c r="BE651" s="45">
        <f>IF(OR($A651="",$L651="",$H651=""),"",IF(AND(LEFT($L651,2)="06",$H651&gt;1945),"FAIL - pre-war class, year "&amp;$H651,IF(AND(LEFT($L651,2)="07",OR($H651&lt;1946,$H651&gt;1972)),"FAIL - 1946-72 class, year "&amp;$H651,IF(AND(LEFT($L651,2)="08",OR($H651&lt;1973,$H651&gt;1999)),"FAIL - 1973-99 class, year "&amp;$H651,IF(AND(LEFT($L651,2)="09",OR($H651&lt;2000,$H651&gt;2010)),"FAIL - 2000-10 class, year "&amp;$H651,"OK")))))</f>
      </c>
      <c r="BF651" s="45">
        <f>IF($AD651="","",IF(ROUND($AO651+$AP651+$AQ651-$AD651,2)=0,"OK","FAIL - out by "&amp;TEXT($AO651+$AP651+$AQ651-$AD651,"$0.00")))</f>
      </c>
    </row>
    <row r="652" spans="1:58" ht="18.75" customHeight="1" x14ac:dyDescent="0.25">
      <c r="A652" s="46" t="inlineStr">
        <is>
          <t xml:space="preserve">CANON-202602-005540</t>
        </is>
      </c>
      <c r="B652" s="46" t="inlineStr">
        <is>
          <t xml:space="preserve">Saoirse Harrington</t>
        </is>
      </c>
      <c r="C652" s="47">
        <v>46060</v>
      </c>
      <c r="D652" s="48" t="inlineStr">
        <is>
          <t xml:space="preserve">Bound - within authority</t>
        </is>
      </c>
      <c r="E652" s="48" t="inlineStr">
        <is>
          <t xml:space="preserve">New business</t>
        </is>
      </c>
      <c r="F652" s="46" t="inlineStr">
        <is>
          <t xml:space="preserve">B1234EXOTIC26</t>
        </is>
      </c>
      <c r="G652" s="33">
        <f>IF($A652="","",IF($C652="","",YEAR($C652)))</f>
      </c>
      <c r="H652" s="49">
        <v>2018</v>
      </c>
      <c r="I652" s="46" t="inlineStr">
        <is>
          <t xml:space="preserve">Maserati</t>
        </is>
      </c>
      <c r="J652" s="46" t="inlineStr">
        <is>
          <t xml:space="preserve">GranTurismo</t>
        </is>
      </c>
      <c r="K652" s="46" t="inlineStr">
        <is>
          <t xml:space="preserve">NJ3EZMJYDDFW2JBCK</t>
        </is>
      </c>
      <c r="L652" s="48" t="inlineStr">
        <is>
          <t xml:space="preserve">02 - Sports / GT</t>
        </is>
      </c>
      <c r="M652" s="50">
        <v>820000</v>
      </c>
      <c r="N652" s="48" t="inlineStr">
        <is>
          <t xml:space="preserve">Personal</t>
        </is>
      </c>
      <c r="O652" s="46" t="inlineStr">
        <is>
          <t xml:space="preserve">Personal - regular use</t>
        </is>
      </c>
      <c r="P652" s="46" t="inlineStr">
        <is>
          <t xml:space="preserve">1,000 - 2,500</t>
        </is>
      </c>
      <c r="Q652" s="46" t="inlineStr">
        <is>
          <t xml:space="preserve">Illinois</t>
        </is>
      </c>
      <c r="R652" s="46" t="inlineStr">
        <is>
          <t xml:space="preserve">60601</t>
        </is>
      </c>
      <c r="S652" s="48" t="inlineStr">
        <is>
          <t xml:space="preserve">Severe convective - hail / tornado (moderate)</t>
        </is>
      </c>
      <c r="T652" s="36">
        <f>IF($A652="","",IF($S652="","",IFERROR(INDEX('[1]natural catastrophe'!$D$6:$D$17,MATCH($S652,'[1]natural catastrophe'!$B$6:$B$17,0)),"?")))</f>
      </c>
      <c r="U652" s="46" t="inlineStr">
        <is>
          <t xml:space="preserve">$5,000</t>
        </is>
      </c>
      <c r="V652" s="48" t="inlineStr">
        <is>
          <t xml:space="preserve">Agreed Value</t>
        </is>
      </c>
      <c r="W652" s="46" t="inlineStr">
        <is>
          <t xml:space="preserve">$1,000</t>
        </is>
      </c>
      <c r="X652" s="48" t="inlineStr">
        <is>
          <t xml:space="preserve">$1,000,000 CSL</t>
        </is>
      </c>
      <c r="Y652" s="46"/>
      <c r="Z652" s="46"/>
      <c r="AA652" s="48" t="inlineStr">
        <is>
          <t xml:space="preserve">Surplus Lines</t>
        </is>
      </c>
      <c r="AB652" s="50">
        <v>12024.8</v>
      </c>
      <c r="AC652" s="51">
        <v>0</v>
      </c>
      <c r="AD652" s="38">
        <f>IF(ISNUMBER($AB652),$AB652*(1+N($AC652)),"")</f>
      </c>
      <c r="AE652" s="50">
        <v>350</v>
      </c>
      <c r="AF652" s="50">
        <v>0</v>
      </c>
      <c r="AG652" s="51"/>
      <c r="AH652" s="39">
        <f>IF(ISNUMBER($AD652),($AD652+$AE652+$AF652)*$AG652,"")</f>
      </c>
      <c r="AI652" s="50"/>
      <c r="AJ652" s="38">
        <f>IF(ISNUMBER($AD652),SUM($AD652:$AH652),"")</f>
      </c>
      <c r="AK652" s="40">
        <f>IF(AND(ISNUMBER($AB652),ISNUMBER($AD652)),IF($AB652&gt;0,$AD652/$AB652,""),"")</f>
      </c>
      <c r="AL652" s="48" t="inlineStr">
        <is>
          <t xml:space="preserve">At technical</t>
        </is>
      </c>
      <c r="AM652" s="41">
        <f>IF(ISNUMBER($AD652),Header!$I$3,"")</f>
      </c>
      <c r="AN652" s="39">
        <f>IF(ISNUMBER($AD652),$AO652+$AP652,"")</f>
      </c>
      <c r="AO652" s="39">
        <f>IF(ISNUMBER($AD652),ROUND($AD652*Header!$K$3,2),"")</f>
      </c>
      <c r="AP652" s="39">
        <f>IF(ISNUMBER($AD652),ROUND($AD652*Header!$M$3,2),"")</f>
      </c>
      <c r="AQ652" s="38">
        <f>IF(ISNUMBER($AD652),ROUND($AD652,2)-$AO652-$AP652,"")</f>
      </c>
      <c r="AR652" s="39">
        <f>IF(ISNUMBER($AD652),IF(Header!$D$34="","?",$AD652*Header!$D$34),"")</f>
      </c>
      <c r="AS652" s="39">
        <f>IF(ISNUMBER($AB652),IF(Header!$D$34="","?",$AB652*Header!$D$34),"")</f>
      </c>
      <c r="AT652" s="42">
        <f>IF(AND(ISNUMBER($AB652),$M652&gt;0),$AB652/$M652*100,"")</f>
      </c>
      <c r="AU652" s="42">
        <f>IF(AND(ISNUMBER($AD652),$M652&gt;0),$AD652/$M652*100,"")</f>
      </c>
      <c r="AV652" s="40">
        <f>IF(AND(ISNUMBER($AB652),ISNUMBER($AD652),ABS($AB652)&gt;0),$AD652/$AB652,"")</f>
      </c>
      <c r="AW652" s="39">
        <f>IF(ISNUMBER($AD652),MAX(0,(1-0.55-Header!$O$3)*Header!$Q$3*$AQ652),"")</f>
      </c>
      <c r="AX652" s="43">
        <f>IF($A652="","",IF(TRIM(IF($A652="","Missing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",""))="","PASS","FAIL: "&amp;TRIM(IF($A652="","Missing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f>
      </c>
      <c r="AY652" s="44">
        <f>IF($M652="","",IF(ISNUMBER($M652),IF($M652&gt;=Header!$C$18,"YES — refer","No"),""))</f>
      </c>
      <c r="AZ652" s="44">
        <f>IF($AD652="","",IF(ISNUMBER($AD652),IF($AD652&lt;Header!$C$20,"BELOW MIN PREMIUM","OK"),""))</f>
      </c>
      <c r="BA652" s="48" t="inlineStr">
        <is>
          <t xml:space="preserve">Yes</t>
        </is>
      </c>
      <c r="BB652" s="48" t="inlineStr">
        <is>
          <t xml:space="preserve">Yes</t>
        </is>
      </c>
      <c r="BC652" s="46" t="inlineStr">
        <is>
          <t xml:space="preserve">Synthetic demo data</t>
        </is>
      </c>
      <c r="BE652" s="45">
        <f>IF(OR($A652="",$L652="",$H652=""),"",IF(AND(LEFT($L652,2)="06",$H652&gt;1945),"FAIL - pre-war class, year "&amp;$H652,IF(AND(LEFT($L652,2)="07",OR($H652&lt;1946,$H652&gt;1972)),"FAIL - 1946-72 class, year "&amp;$H652,IF(AND(LEFT($L652,2)="08",OR($H652&lt;1973,$H652&gt;1999)),"FAIL - 1973-99 class, year "&amp;$H652,IF(AND(LEFT($L652,2)="09",OR($H652&lt;2000,$H652&gt;2010)),"FAIL - 2000-10 class, year "&amp;$H652,"OK")))))</f>
      </c>
      <c r="BF652" s="45">
        <f>IF($AD652="","",IF(ROUND($AO652+$AP652+$AQ652-$AD652,2)=0,"OK","FAIL - out by "&amp;TEXT($AO652+$AP652+$AQ652-$AD652,"$0.00")))</f>
      </c>
    </row>
    <row r="653" spans="1:58" ht="18.75" customHeight="1" x14ac:dyDescent="0.25">
      <c r="A653" s="30" t="inlineStr">
        <is>
          <t xml:space="preserve">CANON-202602-005541</t>
        </is>
      </c>
      <c r="B653" s="30" t="inlineStr">
        <is>
          <t xml:space="preserve">Noor Kingsford</t>
        </is>
      </c>
      <c r="C653" s="31">
        <v>46077</v>
      </c>
      <c r="D653" s="32" t="inlineStr">
        <is>
          <t xml:space="preserve">Bound - within authority</t>
        </is>
      </c>
      <c r="E653" s="32" t="inlineStr">
        <is>
          <t xml:space="preserve">New business</t>
        </is>
      </c>
      <c r="F653" s="30" t="inlineStr">
        <is>
          <t xml:space="preserve">B1234EXOTIC26</t>
        </is>
      </c>
      <c r="G653" s="33">
        <f>IF($A653="","",IF($C653="","",YEAR($C653)))</f>
      </c>
      <c r="H653" s="34">
        <v>1964</v>
      </c>
      <c r="I653" s="30" t="inlineStr">
        <is>
          <t xml:space="preserve">Aston Martin</t>
        </is>
      </c>
      <c r="J653" s="30" t="inlineStr">
        <is>
          <t xml:space="preserve">DB12</t>
        </is>
      </c>
      <c r="K653" s="30" t="inlineStr">
        <is>
          <t xml:space="preserve">V4W6V0FBTNBYCKTPT</t>
        </is>
      </c>
      <c r="L653" s="32" t="inlineStr">
        <is>
          <t xml:space="preserve">02 - Sports / GT</t>
        </is>
      </c>
      <c r="M653" s="35">
        <v>320000</v>
      </c>
      <c r="N653" s="32" t="inlineStr">
        <is>
          <t xml:space="preserve">Personal</t>
        </is>
      </c>
      <c r="O653" s="30" t="inlineStr">
        <is>
          <t xml:space="preserve">Personal - regular use</t>
        </is>
      </c>
      <c r="P653" s="30" t="inlineStr">
        <is>
          <t xml:space="preserve">1,000 - 2,500</t>
        </is>
      </c>
      <c r="Q653" s="30" t="inlineStr">
        <is>
          <t xml:space="preserve">Montana</t>
        </is>
      </c>
      <c r="R653" s="30" t="inlineStr">
        <is>
          <t xml:space="preserve">59601</t>
        </is>
      </c>
      <c r="S653" s="32" t="inlineStr">
        <is>
          <t xml:space="preserve">Wildfire - WUI high hazard</t>
        </is>
      </c>
      <c r="T653" s="36">
        <f>IF($A653="","",IF($S653="","",IFERROR(INDEX('[1]natural catastrophe'!$D$6:$D$17,MATCH($S653,'[1]natural catastrophe'!$B$6:$B$17,0)),"?")))</f>
      </c>
      <c r="U653" s="30" t="inlineStr">
        <is>
          <t xml:space="preserve">$5,000</t>
        </is>
      </c>
      <c r="V653" s="32" t="inlineStr">
        <is>
          <t xml:space="preserve">Agreed Value</t>
        </is>
      </c>
      <c r="W653" s="30" t="inlineStr">
        <is>
          <t xml:space="preserve">$1,000</t>
        </is>
      </c>
      <c r="X653" s="32" t="inlineStr">
        <is>
          <t xml:space="preserve">$1,000,000 CSL</t>
        </is>
      </c>
      <c r="Y653" s="30"/>
      <c r="Z653" s="30"/>
      <c r="AA653" s="32" t="inlineStr">
        <is>
          <t xml:space="preserve">Surplus Lines</t>
        </is>
      </c>
      <c r="AB653" s="35">
        <v>3702.59</v>
      </c>
      <c r="AC653" s="37">
        <v>0</v>
      </c>
      <c r="AD653" s="38">
        <f>IF(ISNUMBER($AB653),$AB653*(1+N($AC653)),"")</f>
      </c>
      <c r="AE653" s="35">
        <v>350</v>
      </c>
      <c r="AF653" s="35">
        <v>0</v>
      </c>
      <c r="AG653" s="37"/>
      <c r="AH653" s="39">
        <f>IF(ISNUMBER($AD653),($AD653+$AE653+$AF653)*$AG653,"")</f>
      </c>
      <c r="AI653" s="35"/>
      <c r="AJ653" s="38">
        <f>IF(ISNUMBER($AD653),SUM($AD653:$AH653),"")</f>
      </c>
      <c r="AK653" s="40">
        <f>IF(AND(ISNUMBER($AB653),ISNUMBER($AD653)),IF($AB653&gt;0,$AD653/$AB653,""),"")</f>
      </c>
      <c r="AL653" s="32" t="inlineStr">
        <is>
          <t xml:space="preserve">At technical</t>
        </is>
      </c>
      <c r="AM653" s="41">
        <f>IF(ISNUMBER($AD653),Header!$I$3,"")</f>
      </c>
      <c r="AN653" s="39">
        <f>IF(ISNUMBER($AD653),$AO653+$AP653,"")</f>
      </c>
      <c r="AO653" s="39">
        <f>IF(ISNUMBER($AD653),ROUND($AD653*Header!$K$3,2),"")</f>
      </c>
      <c r="AP653" s="39">
        <f>IF(ISNUMBER($AD653),ROUND($AD653*Header!$M$3,2),"")</f>
      </c>
      <c r="AQ653" s="38">
        <f>IF(ISNUMBER($AD653),ROUND($AD653,2)-$AO653-$AP653,"")</f>
      </c>
      <c r="AR653" s="39">
        <f>IF(ISNUMBER($AD653),IF(Header!$D$34="","?",$AD653*Header!$D$34),"")</f>
      </c>
      <c r="AS653" s="39">
        <f>IF(ISNUMBER($AB653),IF(Header!$D$34="","?",$AB653*Header!$D$34),"")</f>
      </c>
      <c r="AT653" s="42">
        <f>IF(AND(ISNUMBER($AB653),$M653&gt;0),$AB653/$M653*100,"")</f>
      </c>
      <c r="AU653" s="42">
        <f>IF(AND(ISNUMBER($AD653),$M653&gt;0),$AD653/$M653*100,"")</f>
      </c>
      <c r="AV653" s="40">
        <f>IF(AND(ISNUMBER($AB653),ISNUMBER($AD653),ABS($AB653)&gt;0),$AD653/$AB653,"")</f>
      </c>
      <c r="AW653" s="39">
        <f>IF(ISNUMBER($AD653),MAX(0,(1-0.55-Header!$O$3)*Header!$Q$3*$AQ653),"")</f>
      </c>
      <c r="AX653" s="43">
        <f>IF($A653="","",IF(TRIM(IF($A653="","Missing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",""))="","PASS","FAIL: "&amp;TRIM(IF($A653="","Missing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f>
      </c>
      <c r="AY653" s="44">
        <f>IF($M653="","",IF(ISNUMBER($M653),IF($M653&gt;=Header!$C$18,"YES — refer","No"),""))</f>
      </c>
      <c r="AZ653" s="44">
        <f>IF($AD653="","",IF(ISNUMBER($AD653),IF($AD653&lt;Header!$C$20,"BELOW MIN PREMIUM","OK"),""))</f>
      </c>
      <c r="BA653" s="32" t="inlineStr">
        <is>
          <t xml:space="preserve">Yes</t>
        </is>
      </c>
      <c r="BB653" s="32" t="inlineStr">
        <is>
          <t xml:space="preserve">Yes</t>
        </is>
      </c>
      <c r="BC653" s="30" t="inlineStr">
        <is>
          <t xml:space="preserve">Synthetic demo data</t>
        </is>
      </c>
      <c r="BE653" s="45">
        <f>IF(OR($A653="",$L653="",$H653=""),"",IF(AND(LEFT($L653,2)="06",$H653&gt;1945),"FAIL - pre-war class, year "&amp;$H653,IF(AND(LEFT($L653,2)="07",OR($H653&lt;1946,$H653&gt;1972)),"FAIL - 1946-72 class, year "&amp;$H653,IF(AND(LEFT($L653,2)="08",OR($H653&lt;1973,$H653&gt;1999)),"FAIL - 1973-99 class, year "&amp;$H653,IF(AND(LEFT($L653,2)="09",OR($H653&lt;2000,$H653&gt;2010)),"FAIL - 2000-10 class, year "&amp;$H653,"OK")))))</f>
      </c>
      <c r="BF653" s="45">
        <f>IF($AD653="","",IF(ROUND($AO653+$AP653+$AQ653-$AD653,2)=0,"OK","FAIL - out by "&amp;TEXT($AO653+$AP653+$AQ653-$AD653,"$0.00")))</f>
      </c>
    </row>
    <row r="654" spans="1:58" ht="18.75" customHeight="1" x14ac:dyDescent="0.25">
      <c r="A654" s="46" t="inlineStr">
        <is>
          <t xml:space="preserve">CANON-202602-005543</t>
        </is>
      </c>
      <c r="B654" s="46" t="inlineStr">
        <is>
          <t xml:space="preserve">Sunniva Chattopadhyay</t>
        </is>
      </c>
      <c r="C654" s="47">
        <v>46071</v>
      </c>
      <c r="D654" s="48" t="inlineStr">
        <is>
          <t xml:space="preserve">Bound - within authority</t>
        </is>
      </c>
      <c r="E654" s="48" t="inlineStr">
        <is>
          <t xml:space="preserve">New business</t>
        </is>
      </c>
      <c r="F654" s="46" t="inlineStr">
        <is>
          <t xml:space="preserve">B1234EXOTIC26</t>
        </is>
      </c>
      <c r="G654" s="33">
        <f>IF($A654="","",IF($C654="","",YEAR($C654)))</f>
      </c>
      <c r="H654" s="49">
        <v>1982</v>
      </c>
      <c r="I654" s="46" t="inlineStr">
        <is>
          <t xml:space="preserve">Ferrari</t>
        </is>
      </c>
      <c r="J654" s="46" t="inlineStr">
        <is>
          <t xml:space="preserve">275 GTB/4</t>
        </is>
      </c>
      <c r="K654" s="46" t="inlineStr">
        <is>
          <t xml:space="preserve">44J3KTS5PJSU4NFKB</t>
        </is>
      </c>
      <c r="L654" s="48" t="inlineStr">
        <is>
          <t xml:space="preserve">08 - Modern Classic (1973-1999)</t>
        </is>
      </c>
      <c r="M654" s="50">
        <v>645000</v>
      </c>
      <c r="N654" s="48" t="inlineStr">
        <is>
          <t xml:space="preserve">Personal</t>
        </is>
      </c>
      <c r="O654" s="46" t="inlineStr">
        <is>
          <t xml:space="preserve">Personal - regular use</t>
        </is>
      </c>
      <c r="P654" s="46" t="inlineStr">
        <is>
          <t xml:space="preserve">1,000 - 2,500</t>
        </is>
      </c>
      <c r="Q654" s="46" t="inlineStr">
        <is>
          <t xml:space="preserve">Texas</t>
        </is>
      </c>
      <c r="R654" s="46" t="inlineStr">
        <is>
          <t xml:space="preserve">75201</t>
        </is>
      </c>
      <c r="S654" s="48" t="inlineStr">
        <is>
          <t xml:space="preserve">Tier 2 - Coastal wind (1-25 miles)</t>
        </is>
      </c>
      <c r="T654" s="36">
        <f>IF($A654="","",IF($S654="","",IFERROR(INDEX('[1]natural catastrophe'!$D$6:$D$17,MATCH($S654,'[1]natural catastrophe'!$B$6:$B$17,0)),"?")))</f>
      </c>
      <c r="U654" s="46" t="inlineStr">
        <is>
          <t xml:space="preserve">2% of agreed value, minimum $10,000</t>
        </is>
      </c>
      <c r="V654" s="48" t="inlineStr">
        <is>
          <t xml:space="preserve">Agreed Value</t>
        </is>
      </c>
      <c r="W654" s="46" t="inlineStr">
        <is>
          <t xml:space="preserve">$1,000</t>
        </is>
      </c>
      <c r="X654" s="48" t="inlineStr">
        <is>
          <t xml:space="preserve">$1,000,000 CSL</t>
        </is>
      </c>
      <c r="Y654" s="46"/>
      <c r="Z654" s="46"/>
      <c r="AA654" s="48" t="inlineStr">
        <is>
          <t xml:space="preserve">Surplus Lines</t>
        </is>
      </c>
      <c r="AB654" s="50">
        <v>5291</v>
      </c>
      <c r="AC654" s="51">
        <v>0</v>
      </c>
      <c r="AD654" s="38">
        <f>IF(ISNUMBER($AB654),$AB654*(1+N($AC654)),"")</f>
      </c>
      <c r="AE654" s="50">
        <v>350</v>
      </c>
      <c r="AF654" s="50">
        <v>0</v>
      </c>
      <c r="AG654" s="51"/>
      <c r="AH654" s="39">
        <f>IF(ISNUMBER($AD654),($AD654+$AE654+$AF654)*$AG654,"")</f>
      </c>
      <c r="AI654" s="50"/>
      <c r="AJ654" s="38">
        <f>IF(ISNUMBER($AD654),SUM($AD654:$AH654),"")</f>
      </c>
      <c r="AK654" s="40">
        <f>IF(AND(ISNUMBER($AB654),ISNUMBER($AD654)),IF($AB654&gt;0,$AD654/$AB654,""),"")</f>
      </c>
      <c r="AL654" s="48" t="inlineStr">
        <is>
          <t xml:space="preserve">At technical</t>
        </is>
      </c>
      <c r="AM654" s="41">
        <f>IF(ISNUMBER($AD654),Header!$I$3,"")</f>
      </c>
      <c r="AN654" s="39">
        <f>IF(ISNUMBER($AD654),$AO654+$AP654,"")</f>
      </c>
      <c r="AO654" s="39">
        <f>IF(ISNUMBER($AD654),ROUND($AD654*Header!$K$3,2),"")</f>
      </c>
      <c r="AP654" s="39">
        <f>IF(ISNUMBER($AD654),ROUND($AD654*Header!$M$3,2),"")</f>
      </c>
      <c r="AQ654" s="38">
        <f>IF(ISNUMBER($AD654),ROUND($AD654,2)-$AO654-$AP654,"")</f>
      </c>
      <c r="AR654" s="39">
        <f>IF(ISNUMBER($AD654),IF(Header!$D$34="","?",$AD654*Header!$D$34),"")</f>
      </c>
      <c r="AS654" s="39">
        <f>IF(ISNUMBER($AB654),IF(Header!$D$34="","?",$AB654*Header!$D$34),"")</f>
      </c>
      <c r="AT654" s="42">
        <f>IF(AND(ISNUMBER($AB654),$M654&gt;0),$AB654/$M654*100,"")</f>
      </c>
      <c r="AU654" s="42">
        <f>IF(AND(ISNUMBER($AD654),$M654&gt;0),$AD654/$M654*100,"")</f>
      </c>
      <c r="AV654" s="40">
        <f>IF(AND(ISNUMBER($AB654),ISNUMBER($AD654),ABS($AB654)&gt;0),$AD654/$AB654,"")</f>
      </c>
      <c r="AW654" s="39">
        <f>IF(ISNUMBER($AD654),MAX(0,(1-0.55-Header!$O$3)*Header!$Q$3*$AQ654),"")</f>
      </c>
      <c r="AX654" s="43">
        <f>IF($A654="","",IF(TRIM(IF($A654="","Missing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",""))="","PASS","FAIL: "&amp;TRIM(IF($A654="","Missing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f>
      </c>
      <c r="AY654" s="44">
        <f>IF($M654="","",IF(ISNUMBER($M654),IF($M654&gt;=Header!$C$18,"YES — refer","No"),""))</f>
      </c>
      <c r="AZ654" s="44">
        <f>IF($AD654="","",IF(ISNUMBER($AD654),IF($AD654&lt;Header!$C$20,"BELOW MIN PREMIUM","OK"),""))</f>
      </c>
      <c r="BA654" s="48" t="inlineStr">
        <is>
          <t xml:space="preserve">Yes</t>
        </is>
      </c>
      <c r="BB654" s="48" t="inlineStr">
        <is>
          <t xml:space="preserve">Yes</t>
        </is>
      </c>
      <c r="BC654" s="46" t="inlineStr">
        <is>
          <t xml:space="preserve">Synthetic demo data</t>
        </is>
      </c>
      <c r="BE654" s="45">
        <f>IF(OR($A654="",$L654="",$H654=""),"",IF(AND(LEFT($L654,2)="06",$H654&gt;1945),"FAIL - pre-war class, year "&amp;$H654,IF(AND(LEFT($L654,2)="07",OR($H654&lt;1946,$H654&gt;1972)),"FAIL - 1946-72 class, year "&amp;$H654,IF(AND(LEFT($L654,2)="08",OR($H654&lt;1973,$H654&gt;1999)),"FAIL - 1973-99 class, year "&amp;$H654,IF(AND(LEFT($L654,2)="09",OR($H654&lt;2000,$H654&gt;2010)),"FAIL - 2000-10 class, year "&amp;$H654,"OK")))))</f>
      </c>
      <c r="BF654" s="45">
        <f>IF($AD654="","",IF(ROUND($AO654+$AP654+$AQ654-$AD654,2)=0,"OK","FAIL - out by "&amp;TEXT($AO654+$AP654+$AQ654-$AD654,"$0.00")))</f>
      </c>
    </row>
    <row r="655" spans="1:58" ht="18.75" customHeight="1" x14ac:dyDescent="0.25">
      <c r="A655" s="30" t="inlineStr">
        <is>
          <t xml:space="preserve">CANON-202602-005544</t>
        </is>
      </c>
      <c r="B655" s="30" t="inlineStr">
        <is>
          <t xml:space="preserve">Everett Underwood</t>
        </is>
      </c>
      <c r="C655" s="31">
        <v>46063</v>
      </c>
      <c r="D655" s="32" t="inlineStr">
        <is>
          <t xml:space="preserve">Bound - within authority</t>
        </is>
      </c>
      <c r="E655" s="32" t="inlineStr">
        <is>
          <t xml:space="preserve">New business</t>
        </is>
      </c>
      <c r="F655" s="30" t="inlineStr">
        <is>
          <t xml:space="preserve">B1234EXOTIC26</t>
        </is>
      </c>
      <c r="G655" s="33">
        <f>IF($A655="","",IF($C655="","",YEAR($C655)))</f>
      </c>
      <c r="H655" s="34">
        <v>2024</v>
      </c>
      <c r="I655" s="30" t="inlineStr">
        <is>
          <t xml:space="preserve">Bentley</t>
        </is>
      </c>
      <c r="J655" s="30" t="inlineStr">
        <is>
          <t xml:space="preserve">Continental GT</t>
        </is>
      </c>
      <c r="K655" s="30" t="inlineStr">
        <is>
          <t xml:space="preserve">V963WC2K94FX7WMBG</t>
        </is>
      </c>
      <c r="L655" s="32" t="inlineStr">
        <is>
          <t xml:space="preserve">02 - Sports / GT</t>
        </is>
      </c>
      <c r="M655" s="35">
        <v>325000</v>
      </c>
      <c r="N655" s="32" t="inlineStr">
        <is>
          <t xml:space="preserve">Personal</t>
        </is>
      </c>
      <c r="O655" s="30" t="inlineStr">
        <is>
          <t xml:space="preserve">Personal - regular use</t>
        </is>
      </c>
      <c r="P655" s="30" t="inlineStr">
        <is>
          <t xml:space="preserve">2,500 - 5,000</t>
        </is>
      </c>
      <c r="Q655" s="30" t="inlineStr">
        <is>
          <t xml:space="preserve">Wisconsin</t>
        </is>
      </c>
      <c r="R655" s="30" t="inlineStr">
        <is>
          <t xml:space="preserve">53202</t>
        </is>
      </c>
      <c r="S655" s="32" t="inlineStr">
        <is>
          <t xml:space="preserve">Severe convective - hail / tornado (moderate)</t>
        </is>
      </c>
      <c r="T655" s="36">
        <f>IF($A655="","",IF($S655="","",IFERROR(INDEX('[1]natural catastrophe'!$D$6:$D$17,MATCH($S655,'[1]natural catastrophe'!$B$6:$B$17,0)),"?")))</f>
      </c>
      <c r="U655" s="30" t="inlineStr">
        <is>
          <t xml:space="preserve">$5,000</t>
        </is>
      </c>
      <c r="V655" s="32" t="inlineStr">
        <is>
          <t xml:space="preserve">Agreed Value</t>
        </is>
      </c>
      <c r="W655" s="30" t="inlineStr">
        <is>
          <t xml:space="preserve">$1,000</t>
        </is>
      </c>
      <c r="X655" s="32" t="inlineStr">
        <is>
          <t xml:space="preserve">$1,000,000 CSL</t>
        </is>
      </c>
      <c r="Y655" s="30"/>
      <c r="Z655" s="30"/>
      <c r="AA655" s="32" t="inlineStr">
        <is>
          <t xml:space="preserve">Surplus Lines</t>
        </is>
      </c>
      <c r="AB655" s="35">
        <v>4852.19</v>
      </c>
      <c r="AC655" s="37">
        <v>0</v>
      </c>
      <c r="AD655" s="38">
        <f>IF(ISNUMBER($AB655),$AB655*(1+N($AC655)),"")</f>
      </c>
      <c r="AE655" s="35">
        <v>350</v>
      </c>
      <c r="AF655" s="35">
        <v>0</v>
      </c>
      <c r="AG655" s="37"/>
      <c r="AH655" s="39">
        <f>IF(ISNUMBER($AD655),($AD655+$AE655+$AF655)*$AG655,"")</f>
      </c>
      <c r="AI655" s="35"/>
      <c r="AJ655" s="38">
        <f>IF(ISNUMBER($AD655),SUM($AD655:$AH655),"")</f>
      </c>
      <c r="AK655" s="40">
        <f>IF(AND(ISNUMBER($AB655),ISNUMBER($AD655)),IF($AB655&gt;0,$AD655/$AB655,""),"")</f>
      </c>
      <c r="AL655" s="32" t="inlineStr">
        <is>
          <t xml:space="preserve">At technical</t>
        </is>
      </c>
      <c r="AM655" s="41">
        <f>IF(ISNUMBER($AD655),Header!$I$3,"")</f>
      </c>
      <c r="AN655" s="39">
        <f>IF(ISNUMBER($AD655),$AO655+$AP655,"")</f>
      </c>
      <c r="AO655" s="39">
        <f>IF(ISNUMBER($AD655),ROUND($AD655*Header!$K$3,2),"")</f>
      </c>
      <c r="AP655" s="39">
        <f>IF(ISNUMBER($AD655),ROUND($AD655*Header!$M$3,2),"")</f>
      </c>
      <c r="AQ655" s="38">
        <f>IF(ISNUMBER($AD655),ROUND($AD655,2)-$AO655-$AP655,"")</f>
      </c>
      <c r="AR655" s="39">
        <f>IF(ISNUMBER($AD655),IF(Header!$D$34="","?",$AD655*Header!$D$34),"")</f>
      </c>
      <c r="AS655" s="39">
        <f>IF(ISNUMBER($AB655),IF(Header!$D$34="","?",$AB655*Header!$D$34),"")</f>
      </c>
      <c r="AT655" s="42">
        <f>IF(AND(ISNUMBER($AB655),$M655&gt;0),$AB655/$M655*100,"")</f>
      </c>
      <c r="AU655" s="42">
        <f>IF(AND(ISNUMBER($AD655),$M655&gt;0),$AD655/$M655*100,"")</f>
      </c>
      <c r="AV655" s="40">
        <f>IF(AND(ISNUMBER($AB655),ISNUMBER($AD655),ABS($AB655)&gt;0),$AD655/$AB655,"")</f>
      </c>
      <c r="AW655" s="39">
        <f>IF(ISNUMBER($AD655),MAX(0,(1-0.55-Header!$O$3)*Header!$Q$3*$AQ655),"")</f>
      </c>
      <c r="AX655" s="43">
        <f>IF($A655="","",IF(TRIM(IF($A655="","Missing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",""))="","PASS","FAIL: "&amp;TRIM(IF($A655="","Missing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f>
      </c>
      <c r="AY655" s="44">
        <f>IF($M655="","",IF(ISNUMBER($M655),IF($M655&gt;=Header!$C$18,"YES — refer","No"),""))</f>
      </c>
      <c r="AZ655" s="44">
        <f>IF($AD655="","",IF(ISNUMBER($AD655),IF($AD655&lt;Header!$C$20,"BELOW MIN PREMIUM","OK"),""))</f>
      </c>
      <c r="BA655" s="32" t="inlineStr">
        <is>
          <t xml:space="preserve">Yes</t>
        </is>
      </c>
      <c r="BB655" s="32" t="inlineStr">
        <is>
          <t xml:space="preserve">Yes</t>
        </is>
      </c>
      <c r="BC655" s="30" t="inlineStr">
        <is>
          <t xml:space="preserve">Synthetic demo data</t>
        </is>
      </c>
      <c r="BE655" s="45">
        <f>IF(OR($A655="",$L655="",$H655=""),"",IF(AND(LEFT($L655,2)="06",$H655&gt;1945),"FAIL - pre-war class, year "&amp;$H655,IF(AND(LEFT($L655,2)="07",OR($H655&lt;1946,$H655&gt;1972)),"FAIL - 1946-72 class, year "&amp;$H655,IF(AND(LEFT($L655,2)="08",OR($H655&lt;1973,$H655&gt;1999)),"FAIL - 1973-99 class, year "&amp;$H655,IF(AND(LEFT($L655,2)="09",OR($H655&lt;2000,$H655&gt;2010)),"FAIL - 2000-10 class, year "&amp;$H655,"OK")))))</f>
      </c>
      <c r="BF655" s="45">
        <f>IF($AD655="","",IF(ROUND($AO655+$AP655+$AQ655-$AD655,2)=0,"OK","FAIL - out by "&amp;TEXT($AO655+$AP655+$AQ655-$AD655,"$0.00")))</f>
      </c>
    </row>
    <row r="656" spans="1:58" ht="18.75" customHeight="1" x14ac:dyDescent="0.25">
      <c r="A656" s="46" t="inlineStr">
        <is>
          <t xml:space="preserve">CANON-202602-005545</t>
        </is>
      </c>
      <c r="B656" s="46" t="inlineStr">
        <is>
          <t xml:space="preserve">Cassius Bellandi</t>
        </is>
      </c>
      <c r="C656" s="47">
        <v>46059</v>
      </c>
      <c r="D656" s="48" t="inlineStr">
        <is>
          <t xml:space="preserve">Bound - within authority</t>
        </is>
      </c>
      <c r="E656" s="48" t="inlineStr">
        <is>
          <t xml:space="preserve">New business</t>
        </is>
      </c>
      <c r="F656" s="46" t="inlineStr">
        <is>
          <t xml:space="preserve">B1234EXOTIC26</t>
        </is>
      </c>
      <c r="G656" s="33">
        <f>IF($A656="","",IF($C656="","",YEAR($C656)))</f>
      </c>
      <c r="H656" s="49">
        <v>1978</v>
      </c>
      <c r="I656" s="46" t="inlineStr">
        <is>
          <t xml:space="preserve">BMW</t>
        </is>
      </c>
      <c r="J656" s="46" t="inlineStr">
        <is>
          <t xml:space="preserve">M8 Competition</t>
        </is>
      </c>
      <c r="K656" s="46" t="inlineStr">
        <is>
          <t xml:space="preserve">CSXX6Y98TBEWPLB1A</t>
        </is>
      </c>
      <c r="L656" s="48" t="inlineStr">
        <is>
          <t xml:space="preserve">02 - Sports / GT</t>
        </is>
      </c>
      <c r="M656" s="50">
        <v>820000</v>
      </c>
      <c r="N656" s="48" t="inlineStr">
        <is>
          <t xml:space="preserve">Personal</t>
        </is>
      </c>
      <c r="O656" s="46" t="inlineStr">
        <is>
          <t xml:space="preserve">Personal - regular use</t>
        </is>
      </c>
      <c r="P656" s="46" t="inlineStr">
        <is>
          <t xml:space="preserve">2,500 - 5,000</t>
        </is>
      </c>
      <c r="Q656" s="46" t="inlineStr">
        <is>
          <t xml:space="preserve">Alabama</t>
        </is>
      </c>
      <c r="R656" s="46" t="inlineStr">
        <is>
          <t xml:space="preserve">35203</t>
        </is>
      </c>
      <c r="S656" s="48" t="inlineStr">
        <is>
          <t xml:space="preserve">Tier 2 - Coastal wind (1-25 miles)</t>
        </is>
      </c>
      <c r="T656" s="36">
        <f>IF($A656="","",IF($S656="","",IFERROR(INDEX('[1]natural catastrophe'!$D$6:$D$17,MATCH($S656,'[1]natural catastrophe'!$B$6:$B$17,0)),"?")))</f>
      </c>
      <c r="U656" s="46" t="inlineStr">
        <is>
          <t xml:space="preserve">2% of agreed value, minimum $10,000</t>
        </is>
      </c>
      <c r="V656" s="48" t="inlineStr">
        <is>
          <t xml:space="preserve">Agreed Value</t>
        </is>
      </c>
      <c r="W656" s="46" t="inlineStr">
        <is>
          <t xml:space="preserve">$1,000</t>
        </is>
      </c>
      <c r="X656" s="48" t="inlineStr">
        <is>
          <t xml:space="preserve">$1,000,000 CSL</t>
        </is>
      </c>
      <c r="Y656" s="46"/>
      <c r="Z656" s="46"/>
      <c r="AA656" s="48" t="inlineStr">
        <is>
          <t xml:space="preserve">Surplus Lines</t>
        </is>
      </c>
      <c r="AB656" s="50">
        <v>11229.05</v>
      </c>
      <c r="AC656" s="51">
        <v>0</v>
      </c>
      <c r="AD656" s="38">
        <f>IF(ISNUMBER($AB656),$AB656*(1+N($AC656)),"")</f>
      </c>
      <c r="AE656" s="50">
        <v>350</v>
      </c>
      <c r="AF656" s="50">
        <v>0</v>
      </c>
      <c r="AG656" s="51"/>
      <c r="AH656" s="39">
        <f>IF(ISNUMBER($AD656),($AD656+$AE656+$AF656)*$AG656,"")</f>
      </c>
      <c r="AI656" s="50"/>
      <c r="AJ656" s="38">
        <f>IF(ISNUMBER($AD656),SUM($AD656:$AH656),"")</f>
      </c>
      <c r="AK656" s="40">
        <f>IF(AND(ISNUMBER($AB656),ISNUMBER($AD656)),IF($AB656&gt;0,$AD656/$AB656,""),"")</f>
      </c>
      <c r="AL656" s="48" t="inlineStr">
        <is>
          <t xml:space="preserve">At technical</t>
        </is>
      </c>
      <c r="AM656" s="41">
        <f>IF(ISNUMBER($AD656),Header!$I$3,"")</f>
      </c>
      <c r="AN656" s="39">
        <f>IF(ISNUMBER($AD656),$AO656+$AP656,"")</f>
      </c>
      <c r="AO656" s="39">
        <f>IF(ISNUMBER($AD656),ROUND($AD656*Header!$K$3,2),"")</f>
      </c>
      <c r="AP656" s="39">
        <f>IF(ISNUMBER($AD656),ROUND($AD656*Header!$M$3,2),"")</f>
      </c>
      <c r="AQ656" s="38">
        <f>IF(ISNUMBER($AD656),ROUND($AD656,2)-$AO656-$AP656,"")</f>
      </c>
      <c r="AR656" s="39">
        <f>IF(ISNUMBER($AD656),IF(Header!$D$34="","?",$AD656*Header!$D$34),"")</f>
      </c>
      <c r="AS656" s="39">
        <f>IF(ISNUMBER($AB656),IF(Header!$D$34="","?",$AB656*Header!$D$34),"")</f>
      </c>
      <c r="AT656" s="42">
        <f>IF(AND(ISNUMBER($AB656),$M656&gt;0),$AB656/$M656*100,"")</f>
      </c>
      <c r="AU656" s="42">
        <f>IF(AND(ISNUMBER($AD656),$M656&gt;0),$AD656/$M656*100,"")</f>
      </c>
      <c r="AV656" s="40">
        <f>IF(AND(ISNUMBER($AB656),ISNUMBER($AD656),ABS($AB656)&gt;0),$AD656/$AB656,"")</f>
      </c>
      <c r="AW656" s="39">
        <f>IF(ISNUMBER($AD656),MAX(0,(1-0.55-Header!$O$3)*Header!$Q$3*$AQ656),"")</f>
      </c>
      <c r="AX656" s="43">
        <f>IF($A656="","",IF(TRIM(IF($A656="","Missing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",""))="","PASS","FAIL: "&amp;TRIM(IF($A656="","Missing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f>
      </c>
      <c r="AY656" s="44">
        <f>IF($M656="","",IF(ISNUMBER($M656),IF($M656&gt;=Header!$C$18,"YES — refer","No"),""))</f>
      </c>
      <c r="AZ656" s="44">
        <f>IF($AD656="","",IF(ISNUMBER($AD656),IF($AD656&lt;Header!$C$20,"BELOW MIN PREMIUM","OK"),""))</f>
      </c>
      <c r="BA656" s="48" t="inlineStr">
        <is>
          <t xml:space="preserve">Yes</t>
        </is>
      </c>
      <c r="BB656" s="48" t="inlineStr">
        <is>
          <t xml:space="preserve">Yes</t>
        </is>
      </c>
      <c r="BC656" s="46" t="inlineStr">
        <is>
          <t xml:space="preserve">Synthetic demo data</t>
        </is>
      </c>
      <c r="BE656" s="45">
        <f>IF(OR($A656="",$L656="",$H656=""),"",IF(AND(LEFT($L656,2)="06",$H656&gt;1945),"FAIL - pre-war class, year "&amp;$H656,IF(AND(LEFT($L656,2)="07",OR($H656&lt;1946,$H656&gt;1972)),"FAIL - 1946-72 class, year "&amp;$H656,IF(AND(LEFT($L656,2)="08",OR($H656&lt;1973,$H656&gt;1999)),"FAIL - 1973-99 class, year "&amp;$H656,IF(AND(LEFT($L656,2)="09",OR($H656&lt;2000,$H656&gt;2010)),"FAIL - 2000-10 class, year "&amp;$H656,"OK")))))</f>
      </c>
      <c r="BF656" s="45">
        <f>IF($AD656="","",IF(ROUND($AO656+$AP656+$AQ656-$AD656,2)=0,"OK","FAIL - out by "&amp;TEXT($AO656+$AP656+$AQ656-$AD656,"$0.00")))</f>
      </c>
    </row>
    <row r="657" spans="1:58" ht="18.75" customHeight="1" x14ac:dyDescent="0.25">
      <c r="A657" s="30" t="inlineStr">
        <is>
          <t xml:space="preserve">CANON-202602-005549</t>
        </is>
      </c>
      <c r="B657" s="30" t="inlineStr">
        <is>
          <t xml:space="preserve">Everett Fairweather</t>
        </is>
      </c>
      <c r="C657" s="31">
        <v>46078</v>
      </c>
      <c r="D657" s="32" t="inlineStr">
        <is>
          <t xml:space="preserve">Bound - within authority</t>
        </is>
      </c>
      <c r="E657" s="32" t="inlineStr">
        <is>
          <t xml:space="preserve">New business</t>
        </is>
      </c>
      <c r="F657" s="30" t="inlineStr">
        <is>
          <t xml:space="preserve">B1234EXOTIC26</t>
        </is>
      </c>
      <c r="G657" s="33">
        <f>IF($A657="","",IF($C657="","",YEAR($C657)))</f>
      </c>
      <c r="H657" s="34">
        <v>1962</v>
      </c>
      <c r="I657" s="30" t="inlineStr">
        <is>
          <t xml:space="preserve">Ferrari</t>
        </is>
      </c>
      <c r="J657" s="30" t="inlineStr">
        <is>
          <t xml:space="preserve">296 GTB</t>
        </is>
      </c>
      <c r="K657" s="30" t="inlineStr">
        <is>
          <t xml:space="preserve">LUNK1B1UZ9LMH3HUW</t>
        </is>
      </c>
      <c r="L657" s="32" t="inlineStr">
        <is>
          <t xml:space="preserve">03 - Supercar</t>
        </is>
      </c>
      <c r="M657" s="35">
        <v>1950000</v>
      </c>
      <c r="N657" s="32" t="inlineStr">
        <is>
          <t xml:space="preserve">Personal</t>
        </is>
      </c>
      <c r="O657" s="30" t="inlineStr">
        <is>
          <t xml:space="preserve">Personal - regular use</t>
        </is>
      </c>
      <c r="P657" s="30" t="inlineStr">
        <is>
          <t xml:space="preserve">2,500 - 5,000</t>
        </is>
      </c>
      <c r="Q657" s="30" t="inlineStr">
        <is>
          <t xml:space="preserve">Indiana</t>
        </is>
      </c>
      <c r="R657" s="30" t="inlineStr">
        <is>
          <t xml:space="preserve">46204</t>
        </is>
      </c>
      <c r="S657" s="32" t="inlineStr">
        <is>
          <t xml:space="preserve">Severe convective - hail / tornado (moderate)</t>
        </is>
      </c>
      <c r="T657" s="36">
        <f>IF($A657="","",IF($S657="","",IFERROR(INDEX('[1]natural catastrophe'!$D$6:$D$17,MATCH($S657,'[1]natural catastrophe'!$B$6:$B$17,0)),"?")))</f>
      </c>
      <c r="U657" s="30" t="inlineStr">
        <is>
          <t xml:space="preserve">$5,000</t>
        </is>
      </c>
      <c r="V657" s="32" t="inlineStr">
        <is>
          <t xml:space="preserve">Agreed Value</t>
        </is>
      </c>
      <c r="W657" s="30" t="inlineStr">
        <is>
          <t xml:space="preserve">$1,000</t>
        </is>
      </c>
      <c r="X657" s="32" t="inlineStr">
        <is>
          <t xml:space="preserve">$1,000,000 CSL</t>
        </is>
      </c>
      <c r="Y657" s="30"/>
      <c r="Z657" s="30"/>
      <c r="AA657" s="32" t="inlineStr">
        <is>
          <t xml:space="preserve">Surplus Lines</t>
        </is>
      </c>
      <c r="AB657" s="35">
        <v>31830.35</v>
      </c>
      <c r="AC657" s="37">
        <v>0</v>
      </c>
      <c r="AD657" s="38">
        <f>IF(ISNUMBER($AB657),$AB657*(1+N($AC657)),"")</f>
      </c>
      <c r="AE657" s="35">
        <v>350</v>
      </c>
      <c r="AF657" s="35">
        <v>250</v>
      </c>
      <c r="AG657" s="37"/>
      <c r="AH657" s="39">
        <f>IF(ISNUMBER($AD657),($AD657+$AE657+$AF657)*$AG657,"")</f>
      </c>
      <c r="AI657" s="35"/>
      <c r="AJ657" s="38">
        <f>IF(ISNUMBER($AD657),SUM($AD657:$AH657),"")</f>
      </c>
      <c r="AK657" s="40">
        <f>IF(AND(ISNUMBER($AB657),ISNUMBER($AD657)),IF($AB657&gt;0,$AD657/$AB657,""),"")</f>
      </c>
      <c r="AL657" s="32" t="inlineStr">
        <is>
          <t xml:space="preserve">At technical</t>
        </is>
      </c>
      <c r="AM657" s="41">
        <f>IF(ISNUMBER($AD657),Header!$I$3,"")</f>
      </c>
      <c r="AN657" s="39">
        <f>IF(ISNUMBER($AD657),$AO657+$AP657,"")</f>
      </c>
      <c r="AO657" s="39">
        <f>IF(ISNUMBER($AD657),ROUND($AD657*Header!$K$3,2),"")</f>
      </c>
      <c r="AP657" s="39">
        <f>IF(ISNUMBER($AD657),ROUND($AD657*Header!$M$3,2),"")</f>
      </c>
      <c r="AQ657" s="38">
        <f>IF(ISNUMBER($AD657),ROUND($AD657,2)-$AO657-$AP657,"")</f>
      </c>
      <c r="AR657" s="39">
        <f>IF(ISNUMBER($AD657),IF(Header!$D$34="","?",$AD657*Header!$D$34),"")</f>
      </c>
      <c r="AS657" s="39">
        <f>IF(ISNUMBER($AB657),IF(Header!$D$34="","?",$AB657*Header!$D$34),"")</f>
      </c>
      <c r="AT657" s="42">
        <f>IF(AND(ISNUMBER($AB657),$M657&gt;0),$AB657/$M657*100,"")</f>
      </c>
      <c r="AU657" s="42">
        <f>IF(AND(ISNUMBER($AD657),$M657&gt;0),$AD657/$M657*100,"")</f>
      </c>
      <c r="AV657" s="40">
        <f>IF(AND(ISNUMBER($AB657),ISNUMBER($AD657),ABS($AB657)&gt;0),$AD657/$AB657,"")</f>
      </c>
      <c r="AW657" s="39">
        <f>IF(ISNUMBER($AD657),MAX(0,(1-0.55-Header!$O$3)*Header!$Q$3*$AQ657),"")</f>
      </c>
      <c r="AX657" s="43">
        <f>IF($A657="","",IF(TRIM(IF($A657="","Missing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",""))="","PASS","FAIL: "&amp;TRIM(IF($A657="","Missing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f>
      </c>
      <c r="AY657" s="44">
        <f>IF($M657="","",IF(ISNUMBER($M657),IF($M657&gt;=Header!$C$18,"YES — refer","No"),""))</f>
      </c>
      <c r="AZ657" s="44">
        <f>IF($AD657="","",IF(ISNUMBER($AD657),IF($AD657&lt;Header!$C$20,"BELOW MIN PREMIUM","OK"),""))</f>
      </c>
      <c r="BA657" s="32" t="inlineStr">
        <is>
          <t xml:space="preserve">Yes</t>
        </is>
      </c>
      <c r="BB657" s="32" t="inlineStr">
        <is>
          <t xml:space="preserve">Yes</t>
        </is>
      </c>
      <c r="BC657" s="30" t="inlineStr">
        <is>
          <t xml:space="preserve">Synthetic demo data</t>
        </is>
      </c>
      <c r="BE657" s="45">
        <f>IF(OR($A657="",$L657="",$H657=""),"",IF(AND(LEFT($L657,2)="06",$H657&gt;1945),"FAIL - pre-war class, year "&amp;$H657,IF(AND(LEFT($L657,2)="07",OR($H657&lt;1946,$H657&gt;1972)),"FAIL - 1946-72 class, year "&amp;$H657,IF(AND(LEFT($L657,2)="08",OR($H657&lt;1973,$H657&gt;1999)),"FAIL - 1973-99 class, year "&amp;$H657,IF(AND(LEFT($L657,2)="09",OR($H657&lt;2000,$H657&gt;2010)),"FAIL - 2000-10 class, year "&amp;$H657,"OK")))))</f>
      </c>
      <c r="BF657" s="45">
        <f>IF($AD657="","",IF(ROUND($AO657+$AP657+$AQ657-$AD657,2)=0,"OK","FAIL - out by "&amp;TEXT($AO657+$AP657+$AQ657-$AD657,"$0.00")))</f>
      </c>
    </row>
    <row r="658" spans="1:58" ht="18.75" customHeight="1" x14ac:dyDescent="0.25">
      <c r="A658" s="46" t="inlineStr">
        <is>
          <t xml:space="preserve">CANON-202602-005550</t>
        </is>
      </c>
      <c r="B658" s="46" t="inlineStr">
        <is>
          <t xml:space="preserve">Fenwick Fairweather</t>
        </is>
      </c>
      <c r="C658" s="47">
        <v>46056</v>
      </c>
      <c r="D658" s="48" t="inlineStr">
        <is>
          <t xml:space="preserve">Bound - within authority</t>
        </is>
      </c>
      <c r="E658" s="48" t="inlineStr">
        <is>
          <t xml:space="preserve">New business</t>
        </is>
      </c>
      <c r="F658" s="46" t="inlineStr">
        <is>
          <t xml:space="preserve">B1234EXOTIC26</t>
        </is>
      </c>
      <c r="G658" s="33">
        <f>IF($A658="","",IF($C658="","",YEAR($C658)))</f>
      </c>
      <c r="H658" s="49">
        <v>1994</v>
      </c>
      <c r="I658" s="46" t="inlineStr">
        <is>
          <t xml:space="preserve">Bentley</t>
        </is>
      </c>
      <c r="J658" s="46" t="inlineStr">
        <is>
          <t xml:space="preserve">Continental GT</t>
        </is>
      </c>
      <c r="K658" s="46" t="inlineStr">
        <is>
          <t xml:space="preserve">DPL2S6RE5L7YPRX8N</t>
        </is>
      </c>
      <c r="L658" s="48" t="inlineStr">
        <is>
          <t xml:space="preserve">02 - Sports / GT</t>
        </is>
      </c>
      <c r="M658" s="50">
        <v>455000</v>
      </c>
      <c r="N658" s="48" t="inlineStr">
        <is>
          <t xml:space="preserve">Personal</t>
        </is>
      </c>
      <c r="O658" s="46" t="inlineStr">
        <is>
          <t xml:space="preserve">Personal - regular use</t>
        </is>
      </c>
      <c r="P658" s="46" t="inlineStr">
        <is>
          <t xml:space="preserve">2,500 - 5,000</t>
        </is>
      </c>
      <c r="Q658" s="46" t="inlineStr">
        <is>
          <t xml:space="preserve">Wisconsin</t>
        </is>
      </c>
      <c r="R658" s="46" t="inlineStr">
        <is>
          <t xml:space="preserve">53202</t>
        </is>
      </c>
      <c r="S658" s="48" t="inlineStr">
        <is>
          <t xml:space="preserve">Severe convective - hail / tornado (moderate)</t>
        </is>
      </c>
      <c r="T658" s="36">
        <f>IF($A658="","",IF($S658="","",IFERROR(INDEX('[1]natural catastrophe'!$D$6:$D$17,MATCH($S658,'[1]natural catastrophe'!$B$6:$B$17,0)),"?")))</f>
      </c>
      <c r="U658" s="46" t="inlineStr">
        <is>
          <t xml:space="preserve">$5,000</t>
        </is>
      </c>
      <c r="V658" s="48" t="inlineStr">
        <is>
          <t xml:space="preserve">Agreed Value</t>
        </is>
      </c>
      <c r="W658" s="46" t="inlineStr">
        <is>
          <t xml:space="preserve">$1,000</t>
        </is>
      </c>
      <c r="X658" s="48" t="inlineStr">
        <is>
          <t xml:space="preserve">$1,000,000 CSL</t>
        </is>
      </c>
      <c r="Y658" s="46"/>
      <c r="Z658" s="46"/>
      <c r="AA658" s="48" t="inlineStr">
        <is>
          <t xml:space="preserve">Surplus Lines</t>
        </is>
      </c>
      <c r="AB658" s="50">
        <v>6793.07</v>
      </c>
      <c r="AC658" s="51">
        <v>0</v>
      </c>
      <c r="AD658" s="38">
        <f>IF(ISNUMBER($AB658),$AB658*(1+N($AC658)),"")</f>
      </c>
      <c r="AE658" s="50">
        <v>350</v>
      </c>
      <c r="AF658" s="50">
        <v>0</v>
      </c>
      <c r="AG658" s="51"/>
      <c r="AH658" s="39">
        <f>IF(ISNUMBER($AD658),($AD658+$AE658+$AF658)*$AG658,"")</f>
      </c>
      <c r="AI658" s="50"/>
      <c r="AJ658" s="38">
        <f>IF(ISNUMBER($AD658),SUM($AD658:$AH658),"")</f>
      </c>
      <c r="AK658" s="40">
        <f>IF(AND(ISNUMBER($AB658),ISNUMBER($AD658)),IF($AB658&gt;0,$AD658/$AB658,""),"")</f>
      </c>
      <c r="AL658" s="48" t="inlineStr">
        <is>
          <t xml:space="preserve">At technical</t>
        </is>
      </c>
      <c r="AM658" s="41">
        <f>IF(ISNUMBER($AD658),Header!$I$3,"")</f>
      </c>
      <c r="AN658" s="39">
        <f>IF(ISNUMBER($AD658),$AO658+$AP658,"")</f>
      </c>
      <c r="AO658" s="39">
        <f>IF(ISNUMBER($AD658),ROUND($AD658*Header!$K$3,2),"")</f>
      </c>
      <c r="AP658" s="39">
        <f>IF(ISNUMBER($AD658),ROUND($AD658*Header!$M$3,2),"")</f>
      </c>
      <c r="AQ658" s="38">
        <f>IF(ISNUMBER($AD658),ROUND($AD658,2)-$AO658-$AP658,"")</f>
      </c>
      <c r="AR658" s="39">
        <f>IF(ISNUMBER($AD658),IF(Header!$D$34="","?",$AD658*Header!$D$34),"")</f>
      </c>
      <c r="AS658" s="39">
        <f>IF(ISNUMBER($AB658),IF(Header!$D$34="","?",$AB658*Header!$D$34),"")</f>
      </c>
      <c r="AT658" s="42">
        <f>IF(AND(ISNUMBER($AB658),$M658&gt;0),$AB658/$M658*100,"")</f>
      </c>
      <c r="AU658" s="42">
        <f>IF(AND(ISNUMBER($AD658),$M658&gt;0),$AD658/$M658*100,"")</f>
      </c>
      <c r="AV658" s="40">
        <f>IF(AND(ISNUMBER($AB658),ISNUMBER($AD658),ABS($AB658)&gt;0),$AD658/$AB658,"")</f>
      </c>
      <c r="AW658" s="39">
        <f>IF(ISNUMBER($AD658),MAX(0,(1-0.55-Header!$O$3)*Header!$Q$3*$AQ658),"")</f>
      </c>
      <c r="AX658" s="43">
        <f>IF($A658="","",IF(TRIM(IF($A658="","Missing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",""))="","PASS","FAIL: "&amp;TRIM(IF($A658="","Missing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f>
      </c>
      <c r="AY658" s="44">
        <f>IF($M658="","",IF(ISNUMBER($M658),IF($M658&gt;=Header!$C$18,"YES — refer","No"),""))</f>
      </c>
      <c r="AZ658" s="44">
        <f>IF($AD658="","",IF(ISNUMBER($AD658),IF($AD658&lt;Header!$C$20,"BELOW MIN PREMIUM","OK"),""))</f>
      </c>
      <c r="BA658" s="48" t="inlineStr">
        <is>
          <t xml:space="preserve">Yes</t>
        </is>
      </c>
      <c r="BB658" s="48" t="inlineStr">
        <is>
          <t xml:space="preserve">Yes</t>
        </is>
      </c>
      <c r="BC658" s="46" t="inlineStr">
        <is>
          <t xml:space="preserve">Synthetic demo data</t>
        </is>
      </c>
      <c r="BE658" s="45">
        <f>IF(OR($A658="",$L658="",$H658=""),"",IF(AND(LEFT($L658,2)="06",$H658&gt;1945),"FAIL - pre-war class, year "&amp;$H658,IF(AND(LEFT($L658,2)="07",OR($H658&lt;1946,$H658&gt;1972)),"FAIL - 1946-72 class, year "&amp;$H658,IF(AND(LEFT($L658,2)="08",OR($H658&lt;1973,$H658&gt;1999)),"FAIL - 1973-99 class, year "&amp;$H658,IF(AND(LEFT($L658,2)="09",OR($H658&lt;2000,$H658&gt;2010)),"FAIL - 2000-10 class, year "&amp;$H658,"OK")))))</f>
      </c>
      <c r="BF658" s="45">
        <f>IF($AD658="","",IF(ROUND($AO658+$AP658+$AQ658-$AD658,2)=0,"OK","FAIL - out by "&amp;TEXT($AO658+$AP658+$AQ658-$AD658,"$0.00")))</f>
      </c>
    </row>
    <row r="659" spans="1:58" ht="18.75" customHeight="1" x14ac:dyDescent="0.25">
      <c r="A659" s="30" t="inlineStr">
        <is>
          <t xml:space="preserve">CANON-202602-005552</t>
        </is>
      </c>
      <c r="B659" s="30" t="inlineStr">
        <is>
          <t xml:space="preserve">Mireille Farkas</t>
        </is>
      </c>
      <c r="C659" s="31">
        <v>46077</v>
      </c>
      <c r="D659" s="32" t="inlineStr">
        <is>
          <t xml:space="preserve">Bound - within authority</t>
        </is>
      </c>
      <c r="E659" s="32" t="inlineStr">
        <is>
          <t xml:space="preserve">New business</t>
        </is>
      </c>
      <c r="F659" s="30" t="inlineStr">
        <is>
          <t xml:space="preserve">B1234EXOTIC26</t>
        </is>
      </c>
      <c r="G659" s="33">
        <f>IF($A659="","",IF($C659="","",YEAR($C659)))</f>
      </c>
      <c r="H659" s="34">
        <v>1971</v>
      </c>
      <c r="I659" s="30" t="inlineStr">
        <is>
          <t xml:space="preserve">Lamborghini</t>
        </is>
      </c>
      <c r="J659" s="30" t="inlineStr">
        <is>
          <t xml:space="preserve">Huracan EVO</t>
        </is>
      </c>
      <c r="K659" s="30" t="inlineStr">
        <is>
          <t xml:space="preserve">U2YC55LEY1L4BVRSL</t>
        </is>
      </c>
      <c r="L659" s="32" t="inlineStr">
        <is>
          <t xml:space="preserve">03 - Supercar</t>
        </is>
      </c>
      <c r="M659" s="35">
        <v>1845000</v>
      </c>
      <c r="N659" s="32" t="inlineStr">
        <is>
          <t xml:space="preserve">Personal</t>
        </is>
      </c>
      <c r="O659" s="30" t="inlineStr">
        <is>
          <t xml:space="preserve">Personal - regular use</t>
        </is>
      </c>
      <c r="P659" s="30" t="inlineStr">
        <is>
          <t xml:space="preserve">2,500 - 5,000</t>
        </is>
      </c>
      <c r="Q659" s="30" t="inlineStr">
        <is>
          <t xml:space="preserve">Michigan</t>
        </is>
      </c>
      <c r="R659" s="30" t="inlineStr">
        <is>
          <t xml:space="preserve">48226</t>
        </is>
      </c>
      <c r="S659" s="32" t="inlineStr">
        <is>
          <t xml:space="preserve">Severe convective - hail / tornado (moderate)</t>
        </is>
      </c>
      <c r="T659" s="36">
        <f>IF($A659="","",IF($S659="","",IFERROR(INDEX('[1]natural catastrophe'!$D$6:$D$17,MATCH($S659,'[1]natural catastrophe'!$B$6:$B$17,0)),"?")))</f>
      </c>
      <c r="U659" s="30" t="inlineStr">
        <is>
          <t xml:space="preserve">$5,000</t>
        </is>
      </c>
      <c r="V659" s="32" t="inlineStr">
        <is>
          <t xml:space="preserve">Agreed Value</t>
        </is>
      </c>
      <c r="W659" s="30" t="inlineStr">
        <is>
          <t xml:space="preserve">$1,000</t>
        </is>
      </c>
      <c r="X659" s="32" t="inlineStr">
        <is>
          <t xml:space="preserve">$1,000,000 CSL</t>
        </is>
      </c>
      <c r="Y659" s="30"/>
      <c r="Z659" s="30"/>
      <c r="AA659" s="32" t="inlineStr">
        <is>
          <t xml:space="preserve">Surplus Lines</t>
        </is>
      </c>
      <c r="AB659" s="35">
        <v>37951.58</v>
      </c>
      <c r="AC659" s="37">
        <v>0</v>
      </c>
      <c r="AD659" s="38">
        <f>IF(ISNUMBER($AB659),$AB659*(1+N($AC659)),"")</f>
      </c>
      <c r="AE659" s="35">
        <v>350</v>
      </c>
      <c r="AF659" s="35">
        <v>250</v>
      </c>
      <c r="AG659" s="37"/>
      <c r="AH659" s="39">
        <f>IF(ISNUMBER($AD659),($AD659+$AE659+$AF659)*$AG659,"")</f>
      </c>
      <c r="AI659" s="35"/>
      <c r="AJ659" s="38">
        <f>IF(ISNUMBER($AD659),SUM($AD659:$AH659),"")</f>
      </c>
      <c r="AK659" s="40">
        <f>IF(AND(ISNUMBER($AB659),ISNUMBER($AD659)),IF($AB659&gt;0,$AD659/$AB659,""),"")</f>
      </c>
      <c r="AL659" s="32" t="inlineStr">
        <is>
          <t xml:space="preserve">At technical</t>
        </is>
      </c>
      <c r="AM659" s="41">
        <f>IF(ISNUMBER($AD659),Header!$I$3,"")</f>
      </c>
      <c r="AN659" s="39">
        <f>IF(ISNUMBER($AD659),$AO659+$AP659,"")</f>
      </c>
      <c r="AO659" s="39">
        <f>IF(ISNUMBER($AD659),ROUND($AD659*Header!$K$3,2),"")</f>
      </c>
      <c r="AP659" s="39">
        <f>IF(ISNUMBER($AD659),ROUND($AD659*Header!$M$3,2),"")</f>
      </c>
      <c r="AQ659" s="38">
        <f>IF(ISNUMBER($AD659),ROUND($AD659,2)-$AO659-$AP659,"")</f>
      </c>
      <c r="AR659" s="39">
        <f>IF(ISNUMBER($AD659),IF(Header!$D$34="","?",$AD659*Header!$D$34),"")</f>
      </c>
      <c r="AS659" s="39">
        <f>IF(ISNUMBER($AB659),IF(Header!$D$34="","?",$AB659*Header!$D$34),"")</f>
      </c>
      <c r="AT659" s="42">
        <f>IF(AND(ISNUMBER($AB659),$M659&gt;0),$AB659/$M659*100,"")</f>
      </c>
      <c r="AU659" s="42">
        <f>IF(AND(ISNUMBER($AD659),$M659&gt;0),$AD659/$M659*100,"")</f>
      </c>
      <c r="AV659" s="40">
        <f>IF(AND(ISNUMBER($AB659),ISNUMBER($AD659),ABS($AB659)&gt;0),$AD659/$AB659,"")</f>
      </c>
      <c r="AW659" s="39">
        <f>IF(ISNUMBER($AD659),MAX(0,(1-0.55-Header!$O$3)*Header!$Q$3*$AQ659),"")</f>
      </c>
      <c r="AX659" s="43">
        <f>IF($A659="","",IF(TRIM(IF($A659="","Missing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",""))="","PASS","FAIL: "&amp;TRIM(IF($A659="","Missing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f>
      </c>
      <c r="AY659" s="44">
        <f>IF($M659="","",IF(ISNUMBER($M659),IF($M659&gt;=Header!$C$18,"YES — refer","No"),""))</f>
      </c>
      <c r="AZ659" s="44">
        <f>IF($AD659="","",IF(ISNUMBER($AD659),IF($AD659&lt;Header!$C$20,"BELOW MIN PREMIUM","OK"),""))</f>
      </c>
      <c r="BA659" s="32" t="inlineStr">
        <is>
          <t xml:space="preserve">Yes</t>
        </is>
      </c>
      <c r="BB659" s="32" t="inlineStr">
        <is>
          <t xml:space="preserve">Yes</t>
        </is>
      </c>
      <c r="BC659" s="30" t="inlineStr">
        <is>
          <t xml:space="preserve">Synthetic demo data</t>
        </is>
      </c>
      <c r="BE659" s="45">
        <f>IF(OR($A659="",$L659="",$H659=""),"",IF(AND(LEFT($L659,2)="06",$H659&gt;1945),"FAIL - pre-war class, year "&amp;$H659,IF(AND(LEFT($L659,2)="07",OR($H659&lt;1946,$H659&gt;1972)),"FAIL - 1946-72 class, year "&amp;$H659,IF(AND(LEFT($L659,2)="08",OR($H659&lt;1973,$H659&gt;1999)),"FAIL - 1973-99 class, year "&amp;$H659,IF(AND(LEFT($L659,2)="09",OR($H659&lt;2000,$H659&gt;2010)),"FAIL - 2000-10 class, year "&amp;$H659,"OK")))))</f>
      </c>
      <c r="BF659" s="45">
        <f>IF($AD659="","",IF(ROUND($AO659+$AP659+$AQ659-$AD659,2)=0,"OK","FAIL - out by "&amp;TEXT($AO659+$AP659+$AQ659-$AD659,"$0.00")))</f>
      </c>
    </row>
    <row r="660" spans="1:58" ht="18.75" customHeight="1" x14ac:dyDescent="0.25">
      <c r="A660" s="46" t="inlineStr">
        <is>
          <t xml:space="preserve">CANON-202602-005553</t>
        </is>
      </c>
      <c r="B660" s="46" t="inlineStr">
        <is>
          <t xml:space="preserve">Ramona Blackwood</t>
        </is>
      </c>
      <c r="C660" s="47">
        <v>46069</v>
      </c>
      <c r="D660" s="48" t="inlineStr">
        <is>
          <t xml:space="preserve">Bound - within authority</t>
        </is>
      </c>
      <c r="E660" s="48" t="inlineStr">
        <is>
          <t xml:space="preserve">New business</t>
        </is>
      </c>
      <c r="F660" s="46" t="inlineStr">
        <is>
          <t xml:space="preserve">B1234EXOTIC26</t>
        </is>
      </c>
      <c r="G660" s="33">
        <f>IF($A660="","",IF($C660="","",YEAR($C660)))</f>
      </c>
      <c r="H660" s="49">
        <v>2015</v>
      </c>
      <c r="I660" s="46" t="inlineStr">
        <is>
          <t xml:space="preserve">BMW</t>
        </is>
      </c>
      <c r="J660" s="46" t="inlineStr">
        <is>
          <t xml:space="preserve">M8 Competition</t>
        </is>
      </c>
      <c r="K660" s="46" t="inlineStr">
        <is>
          <t xml:space="preserve">442XF4JXF246P5H6S</t>
        </is>
      </c>
      <c r="L660" s="48" t="inlineStr">
        <is>
          <t xml:space="preserve">02 - Sports / GT</t>
        </is>
      </c>
      <c r="M660" s="50">
        <v>450000</v>
      </c>
      <c r="N660" s="48" t="inlineStr">
        <is>
          <t xml:space="preserve">Personal</t>
        </is>
      </c>
      <c r="O660" s="46" t="inlineStr">
        <is>
          <t xml:space="preserve">Personal - regular use</t>
        </is>
      </c>
      <c r="P660" s="46" t="inlineStr">
        <is>
          <t xml:space="preserve">2,500 - 5,000</t>
        </is>
      </c>
      <c r="Q660" s="46" t="inlineStr">
        <is>
          <t xml:space="preserve">New York</t>
        </is>
      </c>
      <c r="R660" s="46" t="inlineStr">
        <is>
          <t xml:space="preserve">10022</t>
        </is>
      </c>
      <c r="S660" s="48" t="inlineStr">
        <is>
          <t xml:space="preserve">Tier 3 - Coastal wind (25-100 miles)</t>
        </is>
      </c>
      <c r="T660" s="36">
        <f>IF($A660="","",IF($S660="","",IFERROR(INDEX('[1]natural catastrophe'!$D$6:$D$17,MATCH($S660,'[1]natural catastrophe'!$B$6:$B$17,0)),"?")))</f>
      </c>
      <c r="U660" s="46" t="inlineStr">
        <is>
          <t xml:space="preserve">2% of agreed value, minimum $10,000</t>
        </is>
      </c>
      <c r="V660" s="48" t="inlineStr">
        <is>
          <t xml:space="preserve">Agreed Value</t>
        </is>
      </c>
      <c r="W660" s="46" t="inlineStr">
        <is>
          <t xml:space="preserve">$1,000</t>
        </is>
      </c>
      <c r="X660" s="48" t="inlineStr">
        <is>
          <t xml:space="preserve">$1,000,000 CSL</t>
        </is>
      </c>
      <c r="Y660" s="46"/>
      <c r="Z660" s="46"/>
      <c r="AA660" s="48" t="inlineStr">
        <is>
          <t xml:space="preserve">Surplus Lines</t>
        </is>
      </c>
      <c r="AB660" s="50">
        <v>7166.31</v>
      </c>
      <c r="AC660" s="51">
        <v>0</v>
      </c>
      <c r="AD660" s="38">
        <f>IF(ISNUMBER($AB660),$AB660*(1+N($AC660)),"")</f>
      </c>
      <c r="AE660" s="50">
        <v>350</v>
      </c>
      <c r="AF660" s="50">
        <v>0</v>
      </c>
      <c r="AG660" s="51"/>
      <c r="AH660" s="39">
        <f>IF(ISNUMBER($AD660),($AD660+$AE660+$AF660)*$AG660,"")</f>
      </c>
      <c r="AI660" s="50"/>
      <c r="AJ660" s="38">
        <f>IF(ISNUMBER($AD660),SUM($AD660:$AH660),"")</f>
      </c>
      <c r="AK660" s="40">
        <f>IF(AND(ISNUMBER($AB660),ISNUMBER($AD660)),IF($AB660&gt;0,$AD660/$AB660,""),"")</f>
      </c>
      <c r="AL660" s="48" t="inlineStr">
        <is>
          <t xml:space="preserve">At technical</t>
        </is>
      </c>
      <c r="AM660" s="41">
        <f>IF(ISNUMBER($AD660),Header!$I$3,"")</f>
      </c>
      <c r="AN660" s="39">
        <f>IF(ISNUMBER($AD660),$AO660+$AP660,"")</f>
      </c>
      <c r="AO660" s="39">
        <f>IF(ISNUMBER($AD660),ROUND($AD660*Header!$K$3,2),"")</f>
      </c>
      <c r="AP660" s="39">
        <f>IF(ISNUMBER($AD660),ROUND($AD660*Header!$M$3,2),"")</f>
      </c>
      <c r="AQ660" s="38">
        <f>IF(ISNUMBER($AD660),ROUND($AD660,2)-$AO660-$AP660,"")</f>
      </c>
      <c r="AR660" s="39">
        <f>IF(ISNUMBER($AD660),IF(Header!$D$34="","?",$AD660*Header!$D$34),"")</f>
      </c>
      <c r="AS660" s="39">
        <f>IF(ISNUMBER($AB660),IF(Header!$D$34="","?",$AB660*Header!$D$34),"")</f>
      </c>
      <c r="AT660" s="42">
        <f>IF(AND(ISNUMBER($AB660),$M660&gt;0),$AB660/$M660*100,"")</f>
      </c>
      <c r="AU660" s="42">
        <f>IF(AND(ISNUMBER($AD660),$M660&gt;0),$AD660/$M660*100,"")</f>
      </c>
      <c r="AV660" s="40">
        <f>IF(AND(ISNUMBER($AB660),ISNUMBER($AD660),ABS($AB660)&gt;0),$AD660/$AB660,"")</f>
      </c>
      <c r="AW660" s="39">
        <f>IF(ISNUMBER($AD660),MAX(0,(1-0.55-Header!$O$3)*Header!$Q$3*$AQ660),"")</f>
      </c>
      <c r="AX660" s="43">
        <f>IF($A660="","",IF(TRIM(IF($A660="","Missing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",""))="","PASS","FAIL: "&amp;TRIM(IF($A660="","Missing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f>
      </c>
      <c r="AY660" s="44">
        <f>IF($M660="","",IF(ISNUMBER($M660),IF($M660&gt;=Header!$C$18,"YES — refer","No"),""))</f>
      </c>
      <c r="AZ660" s="44">
        <f>IF($AD660="","",IF(ISNUMBER($AD660),IF($AD660&lt;Header!$C$20,"BELOW MIN PREMIUM","OK"),""))</f>
      </c>
      <c r="BA660" s="48" t="inlineStr">
        <is>
          <t xml:space="preserve">Yes</t>
        </is>
      </c>
      <c r="BB660" s="48" t="inlineStr">
        <is>
          <t xml:space="preserve">Yes</t>
        </is>
      </c>
      <c r="BC660" s="46" t="inlineStr">
        <is>
          <t xml:space="preserve">Synthetic demo data</t>
        </is>
      </c>
      <c r="BE660" s="45">
        <f>IF(OR($A660="",$L660="",$H660=""),"",IF(AND(LEFT($L660,2)="06",$H660&gt;1945),"FAIL - pre-war class, year "&amp;$H660,IF(AND(LEFT($L660,2)="07",OR($H660&lt;1946,$H660&gt;1972)),"FAIL - 1946-72 class, year "&amp;$H660,IF(AND(LEFT($L660,2)="08",OR($H660&lt;1973,$H660&gt;1999)),"FAIL - 1973-99 class, year "&amp;$H660,IF(AND(LEFT($L660,2)="09",OR($H660&lt;2000,$H660&gt;2010)),"FAIL - 2000-10 class, year "&amp;$H660,"OK")))))</f>
      </c>
      <c r="BF660" s="45">
        <f>IF($AD660="","",IF(ROUND($AO660+$AP660+$AQ660-$AD660,2)=0,"OK","FAIL - out by "&amp;TEXT($AO660+$AP660+$AQ660-$AD660,"$0.00")))</f>
      </c>
    </row>
    <row r="661" spans="1:58" ht="18.75" customHeight="1" x14ac:dyDescent="0.25">
      <c r="A661" s="30" t="inlineStr">
        <is>
          <t xml:space="preserve">CANON-202602-005555</t>
        </is>
      </c>
      <c r="B661" s="30" t="inlineStr">
        <is>
          <t xml:space="preserve">Fitzgerald Harrington</t>
        </is>
      </c>
      <c r="C661" s="31">
        <v>46054</v>
      </c>
      <c r="D661" s="32" t="inlineStr">
        <is>
          <t xml:space="preserve">Bound - within authority</t>
        </is>
      </c>
      <c r="E661" s="32" t="inlineStr">
        <is>
          <t xml:space="preserve">New business</t>
        </is>
      </c>
      <c r="F661" s="30" t="inlineStr">
        <is>
          <t xml:space="preserve">B1234EXOTIC26</t>
        </is>
      </c>
      <c r="G661" s="33">
        <f>IF($A661="","",IF($C661="","",YEAR($C661)))</f>
      </c>
      <c r="H661" s="34">
        <v>1962</v>
      </c>
      <c r="I661" s="30" t="inlineStr">
        <is>
          <t xml:space="preserve">Aston Martin</t>
        </is>
      </c>
      <c r="J661" s="30" t="inlineStr">
        <is>
          <t xml:space="preserve">DB12</t>
        </is>
      </c>
      <c r="K661" s="30" t="inlineStr">
        <is>
          <t xml:space="preserve">9SN13HSPCX6ZFX89A</t>
        </is>
      </c>
      <c r="L661" s="32" t="inlineStr">
        <is>
          <t xml:space="preserve">02 - Sports / GT</t>
        </is>
      </c>
      <c r="M661" s="35">
        <v>785000</v>
      </c>
      <c r="N661" s="32" t="inlineStr">
        <is>
          <t xml:space="preserve">Personal</t>
        </is>
      </c>
      <c r="O661" s="30" t="inlineStr">
        <is>
          <t xml:space="preserve">Personal - regular use</t>
        </is>
      </c>
      <c r="P661" s="30" t="inlineStr">
        <is>
          <t xml:space="preserve">Under 1,000</t>
        </is>
      </c>
      <c r="Q661" s="30" t="inlineStr">
        <is>
          <t xml:space="preserve">Vermont</t>
        </is>
      </c>
      <c r="R661" s="30" t="inlineStr">
        <is>
          <t xml:space="preserve">05601</t>
        </is>
      </c>
      <c r="S661" s="32" t="inlineStr">
        <is>
          <t xml:space="preserve">Low hazard - inland benign</t>
        </is>
      </c>
      <c r="T661" s="36">
        <f>IF($A661="","",IF($S661="","",IFERROR(INDEX('[1]natural catastrophe'!$D$6:$D$17,MATCH($S661,'[1]natural catastrophe'!$B$6:$B$17,0)),"?")))</f>
      </c>
      <c r="U661" s="30" t="inlineStr">
        <is>
          <t xml:space="preserve">$5,000</t>
        </is>
      </c>
      <c r="V661" s="32" t="inlineStr">
        <is>
          <t xml:space="preserve">Agreed Value</t>
        </is>
      </c>
      <c r="W661" s="30" t="inlineStr">
        <is>
          <t xml:space="preserve">$1,000</t>
        </is>
      </c>
      <c r="X661" s="32" t="inlineStr">
        <is>
          <t xml:space="preserve">$1,000,000 CSL</t>
        </is>
      </c>
      <c r="Y661" s="30"/>
      <c r="Z661" s="30"/>
      <c r="AA661" s="32" t="inlineStr">
        <is>
          <t xml:space="preserve">Surplus Lines</t>
        </is>
      </c>
      <c r="AB661" s="35">
        <v>10326.54</v>
      </c>
      <c r="AC661" s="37">
        <v>0</v>
      </c>
      <c r="AD661" s="38">
        <f>IF(ISNUMBER($AB661),$AB661*(1+N($AC661)),"")</f>
      </c>
      <c r="AE661" s="35">
        <v>350</v>
      </c>
      <c r="AF661" s="35">
        <v>0</v>
      </c>
      <c r="AG661" s="37"/>
      <c r="AH661" s="39">
        <f>IF(ISNUMBER($AD661),($AD661+$AE661+$AF661)*$AG661,"")</f>
      </c>
      <c r="AI661" s="35"/>
      <c r="AJ661" s="38">
        <f>IF(ISNUMBER($AD661),SUM($AD661:$AH661),"")</f>
      </c>
      <c r="AK661" s="40">
        <f>IF(AND(ISNUMBER($AB661),ISNUMBER($AD661)),IF($AB661&gt;0,$AD661/$AB661,""),"")</f>
      </c>
      <c r="AL661" s="32" t="inlineStr">
        <is>
          <t xml:space="preserve">At technical</t>
        </is>
      </c>
      <c r="AM661" s="41">
        <f>IF(ISNUMBER($AD661),Header!$I$3,"")</f>
      </c>
      <c r="AN661" s="39">
        <f>IF(ISNUMBER($AD661),$AO661+$AP661,"")</f>
      </c>
      <c r="AO661" s="39">
        <f>IF(ISNUMBER($AD661),ROUND($AD661*Header!$K$3,2),"")</f>
      </c>
      <c r="AP661" s="39">
        <f>IF(ISNUMBER($AD661),ROUND($AD661*Header!$M$3,2),"")</f>
      </c>
      <c r="AQ661" s="38">
        <f>IF(ISNUMBER($AD661),ROUND($AD661,2)-$AO661-$AP661,"")</f>
      </c>
      <c r="AR661" s="39">
        <f>IF(ISNUMBER($AD661),IF(Header!$D$34="","?",$AD661*Header!$D$34),"")</f>
      </c>
      <c r="AS661" s="39">
        <f>IF(ISNUMBER($AB661),IF(Header!$D$34="","?",$AB661*Header!$D$34),"")</f>
      </c>
      <c r="AT661" s="42">
        <f>IF(AND(ISNUMBER($AB661),$M661&gt;0),$AB661/$M661*100,"")</f>
      </c>
      <c r="AU661" s="42">
        <f>IF(AND(ISNUMBER($AD661),$M661&gt;0),$AD661/$M661*100,"")</f>
      </c>
      <c r="AV661" s="40">
        <f>IF(AND(ISNUMBER($AB661),ISNUMBER($AD661),ABS($AB661)&gt;0),$AD661/$AB661,"")</f>
      </c>
      <c r="AW661" s="39">
        <f>IF(ISNUMBER($AD661),MAX(0,(1-0.55-Header!$O$3)*Header!$Q$3*$AQ661),"")</f>
      </c>
      <c r="AX661" s="43">
        <f>IF($A661="","",IF(TRIM(IF($A661="","Missing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",""))="","PASS","FAIL: "&amp;TRIM(IF($A661="","Missing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f>
      </c>
      <c r="AY661" s="44">
        <f>IF($M661="","",IF(ISNUMBER($M661),IF($M661&gt;=Header!$C$18,"YES — refer","No"),""))</f>
      </c>
      <c r="AZ661" s="44">
        <f>IF($AD661="","",IF(ISNUMBER($AD661),IF($AD661&lt;Header!$C$20,"BELOW MIN PREMIUM","OK"),""))</f>
      </c>
      <c r="BA661" s="32" t="inlineStr">
        <is>
          <t xml:space="preserve">Yes</t>
        </is>
      </c>
      <c r="BB661" s="32" t="inlineStr">
        <is>
          <t xml:space="preserve">Yes</t>
        </is>
      </c>
      <c r="BC661" s="30" t="inlineStr">
        <is>
          <t xml:space="preserve">Synthetic demo data</t>
        </is>
      </c>
      <c r="BE661" s="45">
        <f>IF(OR($A661="",$L661="",$H661=""),"",IF(AND(LEFT($L661,2)="06",$H661&gt;1945),"FAIL - pre-war class, year "&amp;$H661,IF(AND(LEFT($L661,2)="07",OR($H661&lt;1946,$H661&gt;1972)),"FAIL - 1946-72 class, year "&amp;$H661,IF(AND(LEFT($L661,2)="08",OR($H661&lt;1973,$H661&gt;1999)),"FAIL - 1973-99 class, year "&amp;$H661,IF(AND(LEFT($L661,2)="09",OR($H661&lt;2000,$H661&gt;2010)),"FAIL - 2000-10 class, year "&amp;$H661,"OK")))))</f>
      </c>
      <c r="BF661" s="45">
        <f>IF($AD661="","",IF(ROUND($AO661+$AP661+$AQ661-$AD661,2)=0,"OK","FAIL - out by "&amp;TEXT($AO661+$AP661+$AQ661-$AD661,"$0.00")))</f>
      </c>
    </row>
    <row r="662" spans="1:58" ht="18.75" customHeight="1" x14ac:dyDescent="0.25">
      <c r="A662" s="46" t="inlineStr">
        <is>
          <t xml:space="preserve">CANON-202602-005556</t>
        </is>
      </c>
      <c r="B662" s="46" t="inlineStr">
        <is>
          <t xml:space="preserve">Marisol Thistlewood</t>
        </is>
      </c>
      <c r="C662" s="47">
        <v>46068</v>
      </c>
      <c r="D662" s="48" t="inlineStr">
        <is>
          <t xml:space="preserve">Bound - within authority</t>
        </is>
      </c>
      <c r="E662" s="48" t="inlineStr">
        <is>
          <t xml:space="preserve">New business</t>
        </is>
      </c>
      <c r="F662" s="46" t="inlineStr">
        <is>
          <t xml:space="preserve">B1234EXOTIC26</t>
        </is>
      </c>
      <c r="G662" s="33">
        <f>IF($A662="","",IF($C662="","",YEAR($C662)))</f>
      </c>
      <c r="H662" s="49">
        <v>1958</v>
      </c>
      <c r="I662" s="46" t="inlineStr">
        <is>
          <t xml:space="preserve">Porsche</t>
        </is>
      </c>
      <c r="J662" s="46" t="inlineStr">
        <is>
          <t xml:space="preserve">911 Turbo S</t>
        </is>
      </c>
      <c r="K662" s="46" t="inlineStr">
        <is>
          <t xml:space="preserve">LSZ3BGNHNH07XZR9K</t>
        </is>
      </c>
      <c r="L662" s="48" t="inlineStr">
        <is>
          <t xml:space="preserve">02 - Sports / GT</t>
        </is>
      </c>
      <c r="M662" s="50">
        <v>1020000</v>
      </c>
      <c r="N662" s="48" t="inlineStr">
        <is>
          <t xml:space="preserve">Personal</t>
        </is>
      </c>
      <c r="O662" s="46" t="inlineStr">
        <is>
          <t xml:space="preserve">Personal - regular use</t>
        </is>
      </c>
      <c r="P662" s="46" t="inlineStr">
        <is>
          <t xml:space="preserve">2,500 - 5,000</t>
        </is>
      </c>
      <c r="Q662" s="46" t="inlineStr">
        <is>
          <t xml:space="preserve">Colorado</t>
        </is>
      </c>
      <c r="R662" s="46" t="inlineStr">
        <is>
          <t xml:space="preserve">80202</t>
        </is>
      </c>
      <c r="S662" s="48" t="inlineStr">
        <is>
          <t xml:space="preserve">Severe convective - hail alley (high)</t>
        </is>
      </c>
      <c r="T662" s="36">
        <f>IF($A662="","",IF($S662="","",IFERROR(INDEX('[1]natural catastrophe'!$D$6:$D$17,MATCH($S662,'[1]natural catastrophe'!$B$6:$B$17,0)),"?")))</f>
      </c>
      <c r="U662" s="46" t="inlineStr">
        <is>
          <t xml:space="preserve">$5,000</t>
        </is>
      </c>
      <c r="V662" s="48" t="inlineStr">
        <is>
          <t xml:space="preserve">Agreed Value</t>
        </is>
      </c>
      <c r="W662" s="46" t="inlineStr">
        <is>
          <t xml:space="preserve">$1,000</t>
        </is>
      </c>
      <c r="X662" s="48" t="inlineStr">
        <is>
          <t xml:space="preserve">$1,000,000 CSL</t>
        </is>
      </c>
      <c r="Y662" s="46"/>
      <c r="Z662" s="46"/>
      <c r="AA662" s="48" t="inlineStr">
        <is>
          <t xml:space="preserve">Surplus Lines</t>
        </is>
      </c>
      <c r="AB662" s="50">
        <v>10236.88</v>
      </c>
      <c r="AC662" s="51">
        <v>0</v>
      </c>
      <c r="AD662" s="38">
        <f>IF(ISNUMBER($AB662),$AB662*(1+N($AC662)),"")</f>
      </c>
      <c r="AE662" s="50">
        <v>350</v>
      </c>
      <c r="AF662" s="50">
        <v>250</v>
      </c>
      <c r="AG662" s="51"/>
      <c r="AH662" s="39">
        <f>IF(ISNUMBER($AD662),($AD662+$AE662+$AF662)*$AG662,"")</f>
      </c>
      <c r="AI662" s="50"/>
      <c r="AJ662" s="38">
        <f>IF(ISNUMBER($AD662),SUM($AD662:$AH662),"")</f>
      </c>
      <c r="AK662" s="40">
        <f>IF(AND(ISNUMBER($AB662),ISNUMBER($AD662)),IF($AB662&gt;0,$AD662/$AB662,""),"")</f>
      </c>
      <c r="AL662" s="48" t="inlineStr">
        <is>
          <t xml:space="preserve">At technical</t>
        </is>
      </c>
      <c r="AM662" s="41">
        <f>IF(ISNUMBER($AD662),Header!$I$3,"")</f>
      </c>
      <c r="AN662" s="39">
        <f>IF(ISNUMBER($AD662),$AO662+$AP662,"")</f>
      </c>
      <c r="AO662" s="39">
        <f>IF(ISNUMBER($AD662),ROUND($AD662*Header!$K$3,2),"")</f>
      </c>
      <c r="AP662" s="39">
        <f>IF(ISNUMBER($AD662),ROUND($AD662*Header!$M$3,2),"")</f>
      </c>
      <c r="AQ662" s="38">
        <f>IF(ISNUMBER($AD662),ROUND($AD662,2)-$AO662-$AP662,"")</f>
      </c>
      <c r="AR662" s="39">
        <f>IF(ISNUMBER($AD662),IF(Header!$D$34="","?",$AD662*Header!$D$34),"")</f>
      </c>
      <c r="AS662" s="39">
        <f>IF(ISNUMBER($AB662),IF(Header!$D$34="","?",$AB662*Header!$D$34),"")</f>
      </c>
      <c r="AT662" s="42">
        <f>IF(AND(ISNUMBER($AB662),$M662&gt;0),$AB662/$M662*100,"")</f>
      </c>
      <c r="AU662" s="42">
        <f>IF(AND(ISNUMBER($AD662),$M662&gt;0),$AD662/$M662*100,"")</f>
      </c>
      <c r="AV662" s="40">
        <f>IF(AND(ISNUMBER($AB662),ISNUMBER($AD662),ABS($AB662)&gt;0),$AD662/$AB662,"")</f>
      </c>
      <c r="AW662" s="39">
        <f>IF(ISNUMBER($AD662),MAX(0,(1-0.55-Header!$O$3)*Header!$Q$3*$AQ662),"")</f>
      </c>
      <c r="AX662" s="43">
        <f>IF($A662="","",IF(TRIM(IF($A662="","Missing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",""))="","PASS","FAIL: "&amp;TRIM(IF($A662="","Missing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f>
      </c>
      <c r="AY662" s="44">
        <f>IF($M662="","",IF(ISNUMBER($M662),IF($M662&gt;=Header!$C$18,"YES — refer","No"),""))</f>
      </c>
      <c r="AZ662" s="44">
        <f>IF($AD662="","",IF(ISNUMBER($AD662),IF($AD662&lt;Header!$C$20,"BELOW MIN PREMIUM","OK"),""))</f>
      </c>
      <c r="BA662" s="48" t="inlineStr">
        <is>
          <t xml:space="preserve">Yes</t>
        </is>
      </c>
      <c r="BB662" s="48" t="inlineStr">
        <is>
          <t xml:space="preserve">Yes</t>
        </is>
      </c>
      <c r="BC662" s="46" t="inlineStr">
        <is>
          <t xml:space="preserve">Synthetic demo data</t>
        </is>
      </c>
      <c r="BE662" s="45">
        <f>IF(OR($A662="",$L662="",$H662=""),"",IF(AND(LEFT($L662,2)="06",$H662&gt;1945),"FAIL - pre-war class, year "&amp;$H662,IF(AND(LEFT($L662,2)="07",OR($H662&lt;1946,$H662&gt;1972)),"FAIL - 1946-72 class, year "&amp;$H662,IF(AND(LEFT($L662,2)="08",OR($H662&lt;1973,$H662&gt;1999)),"FAIL - 1973-99 class, year "&amp;$H662,IF(AND(LEFT($L662,2)="09",OR($H662&lt;2000,$H662&gt;2010)),"FAIL - 2000-10 class, year "&amp;$H662,"OK")))))</f>
      </c>
      <c r="BF662" s="45">
        <f>IF($AD662="","",IF(ROUND($AO662+$AP662+$AQ662-$AD662,2)=0,"OK","FAIL - out by "&amp;TEXT($AO662+$AP662+$AQ662-$AD662,"$0.00")))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D5:D662</xm:sqref>
        </x14:dataValidation>
        <x14:dataValidation type="list" allowBlank="1" xr:uid="{00000000-0002-0000-0200-000001000000}">
          <x14:formula1>
            <xm:f>Lists!$A$5:$A$11</xm:f>
          </x14:formula1>
          <x14:formula2>
            <xm:f>0</xm:f>
          </x14:formula2>
          <xm:sqref>E5:E662</xm:sqref>
        </x14:dataValidation>
        <x14:dataValidation type="list" allowBlank="1" xr:uid="{00000000-0002-0000-0200-000002000000}">
          <x14:formula1>
            <xm:f>Lists!$D$5:$D$16</xm:f>
          </x14:formula1>
          <x14:formula2>
            <xm:f>0</xm:f>
          </x14:formula2>
          <xm:sqref>L5:L662</xm:sqref>
        </x14:dataValidation>
        <x14:dataValidation type="list" allowBlank="1" xr:uid="{00000000-0002-0000-0200-000003000000}">
          <x14:formula1>
            <xm:f>Lists!$C$5:$C$6</xm:f>
          </x14:formula1>
          <x14:formula2>
            <xm:f>0</xm:f>
          </x14:formula2>
          <xm:sqref>N5:N662</xm:sqref>
        </x14:dataValidation>
        <x14:dataValidation type="list" allowBlank="1" xr:uid="{00000000-0002-0000-0200-000004000000}">
          <x14:formula1>
            <xm:f>Lists!$G$5:$G$16</xm:f>
          </x14:formula1>
          <x14:formula2>
            <xm:f>0</xm:f>
          </x14:formula2>
          <xm:sqref>S5:S662</xm:sqref>
        </x14:dataValidation>
        <x14:dataValidation type="list" allowBlank="1" xr:uid="{00000000-0002-0000-0200-000005000000}">
          <x14:formula1>
            <xm:f>Lists!$E$5:$E$8</xm:f>
          </x14:formula1>
          <x14:formula2>
            <xm:f>0</xm:f>
          </x14:formula2>
          <xm:sqref>V5:V662</xm:sqref>
        </x14:dataValidation>
        <x14:dataValidation type="list" allowBlank="1" xr:uid="{00000000-0002-0000-0200-000006000000}">
          <x14:formula1>
            <xm:f>Lists!$F$5:$F$10</xm:f>
          </x14:formula1>
          <x14:formula2>
            <xm:f>0</xm:f>
          </x14:formula2>
          <xm:sqref>X5:X662</xm:sqref>
        </x14:dataValidation>
        <x14:dataValidation type="list" allowBlank="1" xr:uid="{00000000-0002-0000-0200-000007000000}">
          <x14:formula1>
            <xm:f>Lists!$K$5:$K$7</xm:f>
          </x14:formula1>
          <x14:formula2>
            <xm:f>0</xm:f>
          </x14:formula2>
          <xm:sqref>AA5:AA662</xm:sqref>
        </x14:dataValidation>
        <x14:dataValidation type="list" allowBlank="1" xr:uid="{00000000-0002-0000-0200-000008000000}">
          <x14:formula1>
            <xm:f>Lists!$H$5:$H$8</xm:f>
          </x14:formula1>
          <x14:formula2>
            <xm:f>0</xm:f>
          </x14:formula2>
          <xm:sqref>AL5:AL662</xm:sqref>
        </x14:dataValidation>
        <x14:dataValidation type="list" allowBlank="1" xr:uid="{00000000-0002-0000-0200-000009000000}">
          <x14:formula1>
            <xm:f>Lists!$J$5:$J$6</xm:f>
          </x14:formula1>
          <x14:formula2>
            <xm:f>0</xm:f>
          </x14:formula2>
          <xm:sqref>BA5:BB662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Bordereaux'!$D$5:$D$662,"Bound*",'UW Bordereaux'!$AD$5:$AD$662)</f>
      </c>
    </row>
    <row r="6" spans="1:7" ht="15" customHeight="1" x14ac:dyDescent="0.25">
      <c r="B6" s="23" t="s">
        <v>264</v>
      </c>
      <c r="C6" s="52">
        <f>-SUMIF('UW Bordereaux'!$D$5:$D$662,"Bound*",'UW Bordereaux'!$AN$5:$AN$662)</f>
      </c>
    </row>
    <row r="7" spans="1:7" ht="15" customHeight="1" x14ac:dyDescent="0.25">
      <c r="B7" s="25" t="s">
        <v>265</v>
      </c>
      <c r="C7" s="22">
        <f>SUMIF('UW Bordereaux'!$D$5:$D$662,"Bound*",'UW Bordereaux'!$AQ$5:$AQ$662)</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Bordereaux'!$D$5:$D$662,"Bound*",'UW Bordereaux'!$AE$5:$AE$662)</f>
      </c>
    </row>
    <row r="11" spans="1:7" ht="15" customHeight="1" x14ac:dyDescent="0.25">
      <c r="B11" s="23" t="s">
        <v>105</v>
      </c>
      <c r="C11" s="52">
        <f>SUMIF('UW Bordereaux'!$D$5:$D$662,"Bound*",'UW Bordereaux'!$AH$5:$AH$662)</f>
      </c>
    </row>
    <row r="12" spans="1:7" ht="15" customHeight="1" x14ac:dyDescent="0.25">
      <c r="B12" s="25" t="s">
        <v>268</v>
      </c>
      <c r="C12" s="22">
        <f>SUMIF('UW Bordereaux'!$D$5:$D$662,"Bound*",'UW Bordereaux'!$AI$5:$AI$662)</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Bordereaux'!$D$5:$D$662,"Bound*",'UW Bordereaux'!$AD$5:$AD$662)*Header!$D$24</f>
      </c>
    </row>
    <row r="16" spans="1:7" ht="15" customHeight="1" x14ac:dyDescent="0.25">
      <c r="B16" s="23" t="s">
        <v>271</v>
      </c>
      <c r="C16" s="52">
        <f>SUMIF('UW Bordereaux'!$D$5:$D$662,"Bound*",'UW Bordereaux'!$AD$5:$AD$662)*Header!$D$34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Bordereaux'!$D$5:$D$662,"Bound*",'UW Bordereaux'!$A$5:$A$662,"")=0,"PASS","FAIL — "&amp;COUNTIFS('UW Bordereaux'!$D$5:$D$662,"Bound*",'UW Bordereaux'!$A$5:$A$662,"")&amp;" bound risks missing certificate")</f>
      </c>
      <c r="D20" s="76"/>
      <c r="E20" s="76"/>
      <c r="F20" s="78"/>
      <c r="G20" s="78"/>
    </row>
    <row r="21" spans="2:7" ht="25.5" customHeight="1" x14ac:dyDescent="0.25">
      <c r="B21" s="56" t="s">
        <v>276</v>
      </c>
      <c r="C21" s="75" t="str">
        <f>IF(SUMPRODUCT((LEN('UW Bordereaux'!$A$5:$A$662)&gt;0)*(LEN('UW Bordereaux'!$D$5:$D$662)=0))=0,"PASS","FAIL — "&amp;SUMPRODUCT((LEN('UW Bordereaux'!$A$5:$A$662)&gt;0)*(LEN('UW Bordereaux'!$D$5:$D$662)=0))&amp;" rows missing status")</f>
      </c>
      <c r="D21" s="75"/>
      <c r="E21" s="75"/>
      <c r="F21" s="79"/>
      <c r="G21" s="79"/>
    </row>
    <row r="22" spans="2:7" ht="25.5" customHeight="1" x14ac:dyDescent="0.25">
      <c r="B22" s="55" t="s">
        <v>277</v>
      </c>
      <c r="C22" s="76" t="str">
        <f>IF(COUNTIFS('UW Bordereaux'!$D$5:$D$662,"Bound*",'UW Bordereaux'!$C$5:$C$662,"")=0,"PASS","FAIL — "&amp;COUNTIFS('UW Bordereaux'!$D$5:$D$662,"Bound*",'UW Bordereaux'!$C$5:$C$662,"")&amp;" bound risks missing effective date")</f>
      </c>
      <c r="D22" s="76"/>
      <c r="E22" s="76"/>
      <c r="F22" s="78"/>
      <c r="G22" s="78"/>
    </row>
    <row r="23" spans="2:7" ht="25.5" customHeight="1" x14ac:dyDescent="0.25">
      <c r="B23" s="56" t="s">
        <v>278</v>
      </c>
      <c r="C23" s="75" t="str">
        <f>IF(COUNTIFS('UW Bordereaux'!$D$5:$D$662,"Bound*",'UW Bordereaux'!$AB$5:$AB$662,"")=0,"PASS","FAIL — "&amp;COUNTIFS('UW Bordereaux'!$D$5:$D$662,"Bound*",'UW Bordereaux'!$AB$5:$AB$662,"")&amp;" bound risks missing technical premium")</f>
      </c>
      <c r="D23" s="75"/>
      <c r="E23" s="75"/>
      <c r="F23" s="79"/>
      <c r="G23" s="79"/>
    </row>
    <row r="24" spans="2:7" ht="25.5" customHeight="1" x14ac:dyDescent="0.25">
      <c r="B24" s="55" t="s">
        <v>279</v>
      </c>
      <c r="C24" s="76" t="str">
        <f>IF(COUNTIFS('UW Bordereaux'!$D$5:$D$662,"Bound*",'UW Bordereaux'!$AF$5:$AF$662,"")=0,"PASS","FAIL — "&amp;COUNTIFS('UW Bordereaux'!$D$5:$D$662,"Bound*",'UW Bordereaux'!$AF$5:$AF$662,"")&amp;" bound risks missing SL tax rate")</f>
      </c>
      <c r="D24" s="76"/>
      <c r="E24" s="76"/>
      <c r="F24" s="78" t="s">
        <v>280</v>
      </c>
      <c r="G24" s="78"/>
    </row>
    <row r="25" spans="2:7" ht="25.5" customHeight="1" x14ac:dyDescent="0.25">
      <c r="B25" s="56" t="s">
        <v>281</v>
      </c>
      <c r="C25" s="75" t="str">
        <f>IF(SUMPRODUCT(('UW Bordereaux'!$M$5:$M$662&lt;0)*('UW Bordereaux'!$A$5:$A$662&lt;&gt;""))=0,"PASS","FAIL — negative agreed value detected")</f>
      </c>
      <c r="D25" s="75"/>
      <c r="E25" s="75"/>
      <c r="F25" s="79"/>
      <c r="G25" s="79"/>
    </row>
    <row r="26" spans="2:7" ht="25.5" customHeight="1" x14ac:dyDescent="0.25">
      <c r="B26" s="55" t="s">
        <v>282</v>
      </c>
      <c r="C26" s="76" t="str">
        <f>IF(SUMPRODUCT(('UW Bordereaux'!$M$5:$M$662&lt;100000)*('UW Bordereaux'!$M$5:$M$662&gt;0)*('UW Bordereaux'!$A$5:$A$662&lt;&gt;""))=0,"PASS","FAIL — "&amp;SUMPRODUCT(('UW Bordereaux'!$M$5:$M$662&lt;100000)*('UW Bordereaux'!$M$5:$M$662&gt;0)*('UW Bordereaux'!$A$5:$A$662&lt;&gt;""))&amp;"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Bordereaux'!$AJ$5:$AJ$662,"&lt;0.85",'UW Bordereaux'!$D$5:$D$662,"Bound*")=0,"PASS","WARN — "&amp;COUNTIFS('UW Bordereaux'!$AJ$5:$AJ$662,"&lt;0.85",'UW Bordereaux'!$D$5:$D$662,"Bound*")&amp;" risks below 85% rate adequacy")</f>
      </c>
      <c r="D28" s="76"/>
      <c r="E28" s="76"/>
      <c r="F28" s="78" t="s">
        <v>285</v>
      </c>
      <c r="G28" s="78"/>
    </row>
    <row r="29" spans="2:7" ht="25.5" customHeight="1" x14ac:dyDescent="0.25">
      <c r="B29" s="56" t="s">
        <v>286</v>
      </c>
      <c r="C29" s="75" t="str">
        <f>COUNTIFS('UW Bordereaux'!$M$5:$M$662,"&gt;="&amp;Header!$C$18,'UW Bordereaux'!$D$5:$D$662,"Bound*")&amp;" risk(s) at or above $2m AV — confirm individual referral is on file"</f>
      </c>
      <c r="D29" s="75"/>
      <c r="E29" s="75"/>
      <c r="F29" s="79"/>
      <c r="G29" s="79"/>
    </row>
    <row r="30" spans="2:7" ht="25.5" customHeight="1" x14ac:dyDescent="0.25">
      <c r="B30" s="55" t="s">
        <v>287</v>
      </c>
      <c r="C30" s="76" t="str">
        <f>COUNTIF('UW Bordereaux'!$AK$5:$AK$662,"BEYOND AUTHORITY")&amp;" risk(s) — confirm approval is on file in the Referral Log"</f>
      </c>
      <c r="D30" s="76"/>
      <c r="E30" s="76"/>
      <c r="F30" s="78"/>
      <c r="G30" s="78"/>
    </row>
    <row r="31" spans="2:7" ht="25.5" customHeight="1" x14ac:dyDescent="0.25">
      <c r="B31" s="56" t="s">
        <v>288</v>
      </c>
      <c r="C31" s="75" t="str">
        <f>IF(COUNTIF('UW Bordereaux'!$AW$5:$AW$662,"FAIL*")=0,"PASS — all mandatory fields complete","FAIL — "&amp;COUNTIF('UW Bordereaux'!$AW$5:$AW$662,"FAIL*")&amp;" rows with missing mandatory fields")</f>
      </c>
      <c r="D31" s="75"/>
      <c r="E31" s="75"/>
      <c r="F31" s="79" t="s">
        <v>289</v>
      </c>
      <c r="G31" s="79"/>
    </row>
    <row r="33" spans="2:7" ht="25.5" customHeight="1" x14ac:dyDescent="0.25">
      <c r="B33" s="57" t="s">
        <v>290</v>
      </c>
      <c r="C33" s="76" t="str">
        <f>IF(COUNTIF('UW Bordereaux'!$BE$5:$BE$662,"FAIL*")=0,"PASS","FAIL - "&amp;COUNTIF('UW Bordereaux'!$BE$5:$BE$662,"FAIL*")&amp;" rows where vehicle year falls outside its class era")</f>
      </c>
      <c r="D33" s="76"/>
      <c r="E33" s="76"/>
    </row>
    <row r="34" spans="2:7" ht="25.5" customHeight="1" x14ac:dyDescent="0.25">
      <c r="B34" s="56" t="s">
        <v>291</v>
      </c>
      <c r="C34" s="75" t="str">
        <f>IF(COUNTIF('UW Bordereaux'!$BF$5:$BF$662,"FAIL*")=0,"PASS - all rows foot to the cent","FAIL - "&amp;COUNTIF('UW Bordereaux'!$BF$5:$BF$662,"FAIL*")&amp;"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Bordereaux'!$D$5:$D$662,"Bound*",'UW Bordereaux'!$AD$5:$AD$662)</f>
      </c>
    </row>
    <row r="41" spans="2:7" x14ac:dyDescent="0.25">
      <c r="B41" s="55" t="s">
        <v>296</v>
      </c>
      <c r="C41" s="59">
        <f>SUMIF('UW Bordereaux'!$D$5:$D$662,"Bound*",'UW Bordereaux'!$AO$5:$AO$662)</f>
      </c>
    </row>
    <row r="42" spans="2:7" x14ac:dyDescent="0.25">
      <c r="B42" s="55" t="s">
        <v>297</v>
      </c>
      <c r="C42" s="59">
        <f>SUMIF('UW Bordereaux'!$D$5:$D$662,"Bound*",'UW Bordereaux'!$AP$5:$AP$662)</f>
      </c>
    </row>
    <row r="43" spans="2:7" x14ac:dyDescent="0.25">
      <c r="B43" s="55" t="s">
        <v>298</v>
      </c>
      <c r="C43" s="59">
        <f>SUMIF('UW Bordereaux'!$D$5:$D$662,"Bound*",'UW Bordereaux'!$AQ$5:$AQ$662)</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