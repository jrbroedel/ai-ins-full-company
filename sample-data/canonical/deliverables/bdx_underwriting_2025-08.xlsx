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<sst xmlns="http://schemas.openxmlformats.org/spreadsheetml/2006/main" count="3734" uniqueCount="1329">
  <si>
    <t xml:space="preserve">Underwriting BDX — 2025-08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</si>
  <si>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</si>
  <si>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</si>
  <si>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(407 policies incepting 2025-08).</t>
  </si>
  <si>
    <t xml:space="preserve">Gross written premium</t>
  </si>
  <si>
    <t xml:space="preserve">$4,598,256.96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</si>
  <si>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</si>
  <si>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</si>
  <si>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</si>
  <si>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rater_sample_2025-08.xlsx (its GWP == that policy's Bordereau row).</t>
  </si>
  <si>
    <t xml:space="preserve">Underwriting Bordereau — 2025-08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</si>
  <si>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</si>
  <si>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</si>
  <si>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</si>
  <si>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</si>
  <si>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</si>
  <si>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</si>
  <si>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</si>
  <si>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</si>
  <si>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</si>
  <si>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</si>
  <si>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</si>
  <si>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</si>
  <si>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</si>
  <si>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</si>
  <si>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</si>
  <si>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</si>
  <si>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</si>
  <si>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</si>
  <si>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</si>
  <si>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</si>
  <si>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</si>
  <si>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</si>
  <si>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</si>
  <si>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</si>
  <si>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</si>
  <si>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</si>
  <si>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</si>
  <si>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</si>
  <si>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</si>
  <si>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CANON-202508-000003</t>
  </si>
  <si>
    <t xml:space="preserve">Everett Delacroix</t>
  </si>
  <si>
    <t xml:space="preserve">2025-08-20</t>
  </si>
  <si>
    <t xml:space="preserve">2026-08-20</t>
  </si>
  <si>
    <t xml:space="preserve">Porsche</t>
  </si>
  <si>
    <t xml:space="preserve">911 Turbo S</t>
  </si>
  <si>
    <t xml:space="preserve">H7E6FX0TRJ83PRTRW</t>
  </si>
  <si>
    <t xml:space="preserve">02 - Sports / GT</t>
  </si>
  <si>
    <t xml:space="preserve">Kansas</t>
  </si>
  <si>
    <t xml:space="preserve">CANON-202508-000004</t>
  </si>
  <si>
    <t xml:space="preserve">Desmond Underwood</t>
  </si>
  <si>
    <t xml:space="preserve">2025-08-16</t>
  </si>
  <si>
    <t xml:space="preserve">2026-08-16</t>
  </si>
  <si>
    <t xml:space="preserve">Ferrari</t>
  </si>
  <si>
    <t xml:space="preserve">296 GTB</t>
  </si>
  <si>
    <t xml:space="preserve">6NCW36EALANFZMAC9</t>
  </si>
  <si>
    <t xml:space="preserve">03 - Supercar</t>
  </si>
  <si>
    <t xml:space="preserve">Nevada</t>
  </si>
  <si>
    <t xml:space="preserve">CANON-202508-000008</t>
  </si>
  <si>
    <t xml:space="preserve">Callum Rourke</t>
  </si>
  <si>
    <t xml:space="preserve">2025-08-10</t>
  </si>
  <si>
    <t xml:space="preserve">2026-08-10</t>
  </si>
  <si>
    <t xml:space="preserve">HA9H172MS7HR73NDT</t>
  </si>
  <si>
    <t xml:space="preserve">Alabama</t>
  </si>
  <si>
    <t xml:space="preserve">CANON-202508-000009</t>
  </si>
  <si>
    <t xml:space="preserve">Ottilie Vandermeer</t>
  </si>
  <si>
    <t xml:space="preserve">2025-08-01</t>
  </si>
  <si>
    <t xml:space="preserve">2026-08-01</t>
  </si>
  <si>
    <t xml:space="preserve">M4PU85LNXR94D371W</t>
  </si>
  <si>
    <t xml:space="preserve">New Mexico</t>
  </si>
  <si>
    <t xml:space="preserve">CANON-202508-000011</t>
  </si>
  <si>
    <t xml:space="preserve">Desmond Thistlewood</t>
  </si>
  <si>
    <t xml:space="preserve">2025-08-05</t>
  </si>
  <si>
    <t xml:space="preserve">2026-08-05</t>
  </si>
  <si>
    <t xml:space="preserve">YX2B9J4X9TVWAE128</t>
  </si>
  <si>
    <t xml:space="preserve">Ohio</t>
  </si>
  <si>
    <t xml:space="preserve">CANON-202508-000012</t>
  </si>
  <si>
    <t xml:space="preserve">Callum Thistlewood</t>
  </si>
  <si>
    <t xml:space="preserve">2025-08-30</t>
  </si>
  <si>
    <t xml:space="preserve">2026-08-30</t>
  </si>
  <si>
    <t xml:space="preserve">Maserati</t>
  </si>
  <si>
    <t xml:space="preserve">GranTurismo</t>
  </si>
  <si>
    <t xml:space="preserve">1Y7NEJZ5550ZB203F</t>
  </si>
  <si>
    <t xml:space="preserve">California</t>
  </si>
  <si>
    <t xml:space="preserve">CANON-202508-000013</t>
  </si>
  <si>
    <t xml:space="preserve">Leopold Fairweather</t>
  </si>
  <si>
    <t xml:space="preserve">2025-08-15</t>
  </si>
  <si>
    <t xml:space="preserve">2026-08-15</t>
  </si>
  <si>
    <t xml:space="preserve">Aston Martin</t>
  </si>
  <si>
    <t xml:space="preserve">DB12</t>
  </si>
  <si>
    <t xml:space="preserve">JL6LW9DCRZLFC8NWH</t>
  </si>
  <si>
    <t xml:space="preserve">New York</t>
  </si>
  <si>
    <t xml:space="preserve">CANON-202508-000014</t>
  </si>
  <si>
    <t xml:space="preserve">Callum Montoya</t>
  </si>
  <si>
    <t xml:space="preserve">2025-08-07</t>
  </si>
  <si>
    <t xml:space="preserve">2026-08-07</t>
  </si>
  <si>
    <t xml:space="preserve">2H4D2CA7CMSBJA924</t>
  </si>
  <si>
    <t xml:space="preserve">CANON-202508-000018</t>
  </si>
  <si>
    <t xml:space="preserve">Sunniva Blackwood</t>
  </si>
  <si>
    <t xml:space="preserve">Mercedes-Benz</t>
  </si>
  <si>
    <t xml:space="preserve">AMG GT</t>
  </si>
  <si>
    <t xml:space="preserve">FBX60A7UBL8LLV0SF</t>
  </si>
  <si>
    <t xml:space="preserve">Illinois</t>
  </si>
  <si>
    <t xml:space="preserve">CANON-202508-000020</t>
  </si>
  <si>
    <t xml:space="preserve">Anouk Bellandi</t>
  </si>
  <si>
    <t xml:space="preserve">McLaren</t>
  </si>
  <si>
    <t xml:space="preserve">750S</t>
  </si>
  <si>
    <t xml:space="preserve">1SN1N49RJX4KMEA92</t>
  </si>
  <si>
    <t xml:space="preserve">North Carolina</t>
  </si>
  <si>
    <t xml:space="preserve">CANON-202508-000021</t>
  </si>
  <si>
    <t xml:space="preserve">Beatrix Castellanos</t>
  </si>
  <si>
    <t xml:space="preserve">2025-08-27</t>
  </si>
  <si>
    <t xml:space="preserve">2026-08-27</t>
  </si>
  <si>
    <t xml:space="preserve">VK1RJACR57CWNKWBP</t>
  </si>
  <si>
    <t xml:space="preserve">CANON-202508-000023</t>
  </si>
  <si>
    <t xml:space="preserve">Thaddeus Chattopadhyay</t>
  </si>
  <si>
    <t xml:space="preserve">2025-08-13</t>
  </si>
  <si>
    <t xml:space="preserve">2026-08-13</t>
  </si>
  <si>
    <t xml:space="preserve">9D17BP4D2T0DXC4D4</t>
  </si>
  <si>
    <t xml:space="preserve">Delaware</t>
  </si>
  <si>
    <t xml:space="preserve">CANON-202508-000024</t>
  </si>
  <si>
    <t xml:space="preserve">Wilhelmina Montoya</t>
  </si>
  <si>
    <t xml:space="preserve">Alfa Romeo</t>
  </si>
  <si>
    <t xml:space="preserve">8C 2900</t>
  </si>
  <si>
    <t xml:space="preserve">HZ2C10GA54K7661YW</t>
  </si>
  <si>
    <t xml:space="preserve">06 - Vintage Pre-War (pre-1946)</t>
  </si>
  <si>
    <t xml:space="preserve">Maryland</t>
  </si>
  <si>
    <t xml:space="preserve">CANON-202508-000025</t>
  </si>
  <si>
    <t xml:space="preserve">2025-08-21</t>
  </si>
  <si>
    <t xml:space="preserve">2026-08-21</t>
  </si>
  <si>
    <t xml:space="preserve">MWER5FPL5K9NLZ67M</t>
  </si>
  <si>
    <t xml:space="preserve">Minnesota</t>
  </si>
  <si>
    <t xml:space="preserve">CANON-202508-000026</t>
  </si>
  <si>
    <t xml:space="preserve">Desmond Chattopadhyay</t>
  </si>
  <si>
    <t xml:space="preserve">280SL Pagoda</t>
  </si>
  <si>
    <t xml:space="preserve">68PM46R7XZXBLTH48</t>
  </si>
  <si>
    <t xml:space="preserve">07 - Post-War Classic (1946-1972)</t>
  </si>
  <si>
    <t xml:space="preserve">Indiana</t>
  </si>
  <si>
    <t xml:space="preserve">CANON-202508-000027</t>
  </si>
  <si>
    <t xml:space="preserve">Ingrid Kingsford</t>
  </si>
  <si>
    <t xml:space="preserve">WB53BDUMNE43HJUMB</t>
  </si>
  <si>
    <t xml:space="preserve">Vermont</t>
  </si>
  <si>
    <t xml:space="preserve">CANON-202508-000028</t>
  </si>
  <si>
    <t xml:space="preserve">Everett Nakashima</t>
  </si>
  <si>
    <t xml:space="preserve">2025-08-29</t>
  </si>
  <si>
    <t xml:space="preserve">2026-08-29</t>
  </si>
  <si>
    <t xml:space="preserve">Bentley</t>
  </si>
  <si>
    <t xml:space="preserve">Continental GT</t>
  </si>
  <si>
    <t xml:space="preserve">UVTVHVWVNRN76TZF8</t>
  </si>
  <si>
    <t xml:space="preserve">Washington</t>
  </si>
  <si>
    <t xml:space="preserve">CANON-202508-000029</t>
  </si>
  <si>
    <t xml:space="preserve">Desmond Harrington</t>
  </si>
  <si>
    <t xml:space="preserve">2025-08-17</t>
  </si>
  <si>
    <t xml:space="preserve">2026-08-17</t>
  </si>
  <si>
    <t xml:space="preserve">DB5</t>
  </si>
  <si>
    <t xml:space="preserve">W9WX8HZFANSE5A0GN</t>
  </si>
  <si>
    <t xml:space="preserve">CANON-202508-000030</t>
  </si>
  <si>
    <t xml:space="preserve">Aurelio Thistlewood</t>
  </si>
  <si>
    <t xml:space="preserve">2025-08-23</t>
  </si>
  <si>
    <t xml:space="preserve">2026-08-23</t>
  </si>
  <si>
    <t xml:space="preserve">YW2HZXPM0CD53D6V6</t>
  </si>
  <si>
    <t xml:space="preserve">Pennsylvania</t>
  </si>
  <si>
    <t xml:space="preserve">CANON-202508-000031</t>
  </si>
  <si>
    <t xml:space="preserve">Aurelio Pennington</t>
  </si>
  <si>
    <t xml:space="preserve">2025-08-12</t>
  </si>
  <si>
    <t xml:space="preserve">2026-08-12</t>
  </si>
  <si>
    <t xml:space="preserve">Ringbrothers</t>
  </si>
  <si>
    <t xml:space="preserve">Mustang</t>
  </si>
  <si>
    <t xml:space="preserve">XCGH2Z0F7FN8PTKRS</t>
  </si>
  <si>
    <t xml:space="preserve">11 - Restomod / Coachbuilt / Bespoke</t>
  </si>
  <si>
    <t xml:space="preserve">CANON-202508-000032</t>
  </si>
  <si>
    <t xml:space="preserve">Mireille Okonkwo</t>
  </si>
  <si>
    <t xml:space="preserve">SGARF187EMK9NN9MM</t>
  </si>
  <si>
    <t xml:space="preserve">Texas</t>
  </si>
  <si>
    <t xml:space="preserve">CANON-202508-000033</t>
  </si>
  <si>
    <t xml:space="preserve">Emiliano Underwood</t>
  </si>
  <si>
    <t xml:space="preserve">XB8VFWF0JF0YCLRKB</t>
  </si>
  <si>
    <t xml:space="preserve">CANON-202508-000034</t>
  </si>
  <si>
    <t xml:space="preserve">Desmond Vasquez</t>
  </si>
  <si>
    <t xml:space="preserve">2025-08-22</t>
  </si>
  <si>
    <t xml:space="preserve">2026-08-22</t>
  </si>
  <si>
    <t xml:space="preserve">RJG7LER1KZHE85U4L</t>
  </si>
  <si>
    <t xml:space="preserve">CANON-202508-000035</t>
  </si>
  <si>
    <t xml:space="preserve">Everett Harrington</t>
  </si>
  <si>
    <t xml:space="preserve">LNTV5W9ML6E6W31WA</t>
  </si>
  <si>
    <t xml:space="preserve">CANON-202508-000036</t>
  </si>
  <si>
    <t xml:space="preserve">1NMR6J0DC2JPBKKRE</t>
  </si>
  <si>
    <t xml:space="preserve">Wyoming</t>
  </si>
  <si>
    <t xml:space="preserve">CANON-202508-000037</t>
  </si>
  <si>
    <t xml:space="preserve">Everett Vandermeer</t>
  </si>
  <si>
    <t xml:space="preserve">2025-08-26</t>
  </si>
  <si>
    <t xml:space="preserve">2026-08-26</t>
  </si>
  <si>
    <t xml:space="preserve">G16ZM2C65C9RP477A</t>
  </si>
  <si>
    <t xml:space="preserve">CANON-202508-000038</t>
  </si>
  <si>
    <t xml:space="preserve">Wilhelmina Ashcombe</t>
  </si>
  <si>
    <t xml:space="preserve">4.5 Litre</t>
  </si>
  <si>
    <t xml:space="preserve">G7HM7R0VGGZ54RB7J</t>
  </si>
  <si>
    <t xml:space="preserve">Michigan</t>
  </si>
  <si>
    <t xml:space="preserve">CANON-202508-000039</t>
  </si>
  <si>
    <t xml:space="preserve">Horace Vandermeer</t>
  </si>
  <si>
    <t xml:space="preserve">2025-08-08</t>
  </si>
  <si>
    <t xml:space="preserve">2026-08-08</t>
  </si>
  <si>
    <t xml:space="preserve">7BWGC6D9WWSKK37RX</t>
  </si>
  <si>
    <t xml:space="preserve">Florida</t>
  </si>
  <si>
    <t xml:space="preserve">CANON-202508-000040</t>
  </si>
  <si>
    <t xml:space="preserve">Lorenzo Ashcombe</t>
  </si>
  <si>
    <t xml:space="preserve">2025-08-14</t>
  </si>
  <si>
    <t xml:space="preserve">2026-08-14</t>
  </si>
  <si>
    <t xml:space="preserve">MR15CUNZHPN63JMLA</t>
  </si>
  <si>
    <t xml:space="preserve">CANON-202508-000042</t>
  </si>
  <si>
    <t xml:space="preserve">Saoirse Castellanos</t>
  </si>
  <si>
    <t xml:space="preserve">JLJ9AM322FDWZ6BXG</t>
  </si>
  <si>
    <t xml:space="preserve">North Dakota</t>
  </si>
  <si>
    <t xml:space="preserve">CANON-202508-000044</t>
  </si>
  <si>
    <t xml:space="preserve">Ingrid Fairweather</t>
  </si>
  <si>
    <t xml:space="preserve">EFTZLCH9AJY6UAAAS</t>
  </si>
  <si>
    <t xml:space="preserve">Utah</t>
  </si>
  <si>
    <t xml:space="preserve">CANON-202508-000045</t>
  </si>
  <si>
    <t xml:space="preserve">Delphine Underwood</t>
  </si>
  <si>
    <t xml:space="preserve">2025-08-19</t>
  </si>
  <si>
    <t xml:space="preserve">2026-08-19</t>
  </si>
  <si>
    <t xml:space="preserve">D2LSZCR70VA2ZT11H</t>
  </si>
  <si>
    <t xml:space="preserve">CANON-202508-000047</t>
  </si>
  <si>
    <t xml:space="preserve">Sunniva Thistlewood</t>
  </si>
  <si>
    <t xml:space="preserve">PN9SECCWXXUZ1E6BX</t>
  </si>
  <si>
    <t xml:space="preserve">New Hampshire</t>
  </si>
  <si>
    <t xml:space="preserve">CANON-202508-000048</t>
  </si>
  <si>
    <t xml:space="preserve">Anouk Fairweather</t>
  </si>
  <si>
    <t xml:space="preserve">EWJ52D89V9034J46B</t>
  </si>
  <si>
    <t xml:space="preserve">CANON-202508-000051</t>
  </si>
  <si>
    <t xml:space="preserve">Lorenzo Nakashima</t>
  </si>
  <si>
    <t xml:space="preserve">ZBZ7K5E1UZ0B22ZWE</t>
  </si>
  <si>
    <t xml:space="preserve">CANON-202508-000052</t>
  </si>
  <si>
    <t xml:space="preserve">K8YDE38ZTU5Z90ZKG</t>
  </si>
  <si>
    <t xml:space="preserve">CANON-202508-000053</t>
  </si>
  <si>
    <t xml:space="preserve">Ottilie Castellanos</t>
  </si>
  <si>
    <t xml:space="preserve">SF90 Stradale</t>
  </si>
  <si>
    <t xml:space="preserve">4JB4HG9JD1422CWHG</t>
  </si>
  <si>
    <t xml:space="preserve">Louisiana</t>
  </si>
  <si>
    <t xml:space="preserve">CANON-202508-000054</t>
  </si>
  <si>
    <t xml:space="preserve">Ingrid Whitlock</t>
  </si>
  <si>
    <t xml:space="preserve">Singer</t>
  </si>
  <si>
    <t xml:space="preserve">911 Reimagined</t>
  </si>
  <si>
    <t xml:space="preserve">MX3NXHGDGZ734ATNV</t>
  </si>
  <si>
    <t xml:space="preserve">CANON-202508-000057</t>
  </si>
  <si>
    <t xml:space="preserve">Thaddeus Whitlock</t>
  </si>
  <si>
    <t xml:space="preserve">50X63U7YZF63188RY</t>
  </si>
  <si>
    <t xml:space="preserve">Arizona</t>
  </si>
  <si>
    <t xml:space="preserve">CANON-202508-000058</t>
  </si>
  <si>
    <t xml:space="preserve">Ramona Montoya</t>
  </si>
  <si>
    <t xml:space="preserve">2025-08-09</t>
  </si>
  <si>
    <t xml:space="preserve">2026-08-09</t>
  </si>
  <si>
    <t xml:space="preserve">RG8AVP7U26ZLAPV4S</t>
  </si>
  <si>
    <t xml:space="preserve">Colorado</t>
  </si>
  <si>
    <t xml:space="preserve">CANON-202508-000059</t>
  </si>
  <si>
    <t xml:space="preserve">Callum Vandermeer</t>
  </si>
  <si>
    <t xml:space="preserve">2025-08-11</t>
  </si>
  <si>
    <t xml:space="preserve">2026-08-11</t>
  </si>
  <si>
    <t xml:space="preserve">275 GTB/4</t>
  </si>
  <si>
    <t xml:space="preserve">PR39BTFUPC2MT96F5</t>
  </si>
  <si>
    <t xml:space="preserve">Massachusetts</t>
  </si>
  <si>
    <t xml:space="preserve">CANON-202508-000060</t>
  </si>
  <si>
    <t xml:space="preserve">Priya Chattopadhyay</t>
  </si>
  <si>
    <t xml:space="preserve">2025-08-03</t>
  </si>
  <si>
    <t xml:space="preserve">2026-08-03</t>
  </si>
  <si>
    <t xml:space="preserve">BMW</t>
  </si>
  <si>
    <t xml:space="preserve">M8 Competition</t>
  </si>
  <si>
    <t xml:space="preserve">FDCP0T2A6UDBC7Y84</t>
  </si>
  <si>
    <t xml:space="preserve">Virginia</t>
  </si>
  <si>
    <t xml:space="preserve">CANON-202508-000064</t>
  </si>
  <si>
    <t xml:space="preserve">Emiliano Merriweather</t>
  </si>
  <si>
    <t xml:space="preserve">4L1PBA3BRC54WZU5X</t>
  </si>
  <si>
    <t xml:space="preserve">CANON-202508-000065</t>
  </si>
  <si>
    <t xml:space="preserve">Cassius Merriweather</t>
  </si>
  <si>
    <t xml:space="preserve">2025-08-25</t>
  </si>
  <si>
    <t xml:space="preserve">2026-08-25</t>
  </si>
  <si>
    <t xml:space="preserve">Jaguar</t>
  </si>
  <si>
    <t xml:space="preserve">E-Type Series 1</t>
  </si>
  <si>
    <t xml:space="preserve">EMS6RM5C8FXVJTR4G</t>
  </si>
  <si>
    <t xml:space="preserve">Alaska</t>
  </si>
  <si>
    <t xml:space="preserve">CANON-202508-000067</t>
  </si>
  <si>
    <t xml:space="preserve">Mireille Fairweather</t>
  </si>
  <si>
    <t xml:space="preserve">2025-08-04</t>
  </si>
  <si>
    <t xml:space="preserve">2026-08-04</t>
  </si>
  <si>
    <t xml:space="preserve">HPJHTLK059B193NKE</t>
  </si>
  <si>
    <t xml:space="preserve">CANON-202508-000068</t>
  </si>
  <si>
    <t xml:space="preserve">H7WJ6K3WJ9VFXBU66</t>
  </si>
  <si>
    <t xml:space="preserve">Nebraska</t>
  </si>
  <si>
    <t xml:space="preserve">CANON-202508-000069</t>
  </si>
  <si>
    <t xml:space="preserve">YWG2TCPES2LU1JWUX</t>
  </si>
  <si>
    <t xml:space="preserve">CANON-202508-000070</t>
  </si>
  <si>
    <t xml:space="preserve">Sunniva Harrington</t>
  </si>
  <si>
    <t xml:space="preserve">Bugatti</t>
  </si>
  <si>
    <t xml:space="preserve">Type 57</t>
  </si>
  <si>
    <t xml:space="preserve">66VXMSSKABFPZSU7J</t>
  </si>
  <si>
    <t xml:space="preserve">CANON-202508-000071</t>
  </si>
  <si>
    <t xml:space="preserve">Everett Blackwood</t>
  </si>
  <si>
    <t xml:space="preserve">CWD2XLZZ0NJFWRGRR</t>
  </si>
  <si>
    <t xml:space="preserve">CANON-202508-000073</t>
  </si>
  <si>
    <t xml:space="preserve">Cassius Kingsford</t>
  </si>
  <si>
    <t xml:space="preserve">A0HA4228L3BWU350G</t>
  </si>
  <si>
    <t xml:space="preserve">CANON-202508-000074</t>
  </si>
  <si>
    <t xml:space="preserve">Callum Delacroix</t>
  </si>
  <si>
    <t xml:space="preserve">Icon</t>
  </si>
  <si>
    <t xml:space="preserve">Derelict</t>
  </si>
  <si>
    <t xml:space="preserve">4ESND9TD0S4FWKLA7</t>
  </si>
  <si>
    <t xml:space="preserve">CANON-202508-000075</t>
  </si>
  <si>
    <t xml:space="preserve">Fenwick Montoya</t>
  </si>
  <si>
    <t xml:space="preserve">V2P83NK7MENWRNYT7</t>
  </si>
  <si>
    <t xml:space="preserve">CANON-202508-000076</t>
  </si>
  <si>
    <t xml:space="preserve">Priya Okonkwo</t>
  </si>
  <si>
    <t xml:space="preserve">PEYDAG9D89KZZ6C4E</t>
  </si>
  <si>
    <t xml:space="preserve">Iowa</t>
  </si>
  <si>
    <t xml:space="preserve">CANON-202508-000077</t>
  </si>
  <si>
    <t xml:space="preserve">Thaddeus Bellandi</t>
  </si>
  <si>
    <t xml:space="preserve">2025-08-24</t>
  </si>
  <si>
    <t xml:space="preserve">2026-08-24</t>
  </si>
  <si>
    <t xml:space="preserve">SLR706NSGKYW0HC0J</t>
  </si>
  <si>
    <t xml:space="preserve">CANON-202508-000078</t>
  </si>
  <si>
    <t xml:space="preserve">Saoirse Thistlewood</t>
  </si>
  <si>
    <t xml:space="preserve">92REPF8SA2ACKKU8P</t>
  </si>
  <si>
    <t xml:space="preserve">CANON-202508-000080</t>
  </si>
  <si>
    <t xml:space="preserve">Horace Blackwood</t>
  </si>
  <si>
    <t xml:space="preserve">0WZVA2FZ1PT8VK6J7</t>
  </si>
  <si>
    <t xml:space="preserve">Mississippi</t>
  </si>
  <si>
    <t xml:space="preserve">CANON-202508-000081</t>
  </si>
  <si>
    <t xml:space="preserve">Emiliano Montoya</t>
  </si>
  <si>
    <t xml:space="preserve">1TGH6BAJBMJJ6W1YR</t>
  </si>
  <si>
    <t xml:space="preserve">Tennessee</t>
  </si>
  <si>
    <t xml:space="preserve">CANON-202508-000082</t>
  </si>
  <si>
    <t xml:space="preserve">Sunniva Merriweather</t>
  </si>
  <si>
    <t xml:space="preserve">J8SWRZK65D2Y92WZ4</t>
  </si>
  <si>
    <t xml:space="preserve">CANON-202508-000083</t>
  </si>
  <si>
    <t xml:space="preserve">Fenwick Chattopadhyay</t>
  </si>
  <si>
    <t xml:space="preserve">H8GEWS0MU8XKEGM4J</t>
  </si>
  <si>
    <t xml:space="preserve">CANON-202508-000086</t>
  </si>
  <si>
    <t xml:space="preserve">Emiliano Rourke</t>
  </si>
  <si>
    <t xml:space="preserve">YNDZ8Z3X8AZPEJECS</t>
  </si>
  <si>
    <t xml:space="preserve">CANON-202508-000087</t>
  </si>
  <si>
    <t xml:space="preserve">T7HCKTM1ZJVDYXB8W</t>
  </si>
  <si>
    <t xml:space="preserve">CANON-202508-000088</t>
  </si>
  <si>
    <t xml:space="preserve">Aurelio Castellanos</t>
  </si>
  <si>
    <t xml:space="preserve">2025-08-28</t>
  </si>
  <si>
    <t xml:space="preserve">2026-08-28</t>
  </si>
  <si>
    <t xml:space="preserve">XE7LFCDN58W56U70D</t>
  </si>
  <si>
    <t xml:space="preserve">CANON-202508-000089</t>
  </si>
  <si>
    <t xml:space="preserve">Sunniva Farkas</t>
  </si>
  <si>
    <t xml:space="preserve">2EY6HYLMT56XSVWLK</t>
  </si>
  <si>
    <t xml:space="preserve">Wisconsin</t>
  </si>
  <si>
    <t xml:space="preserve">CANON-202508-000090</t>
  </si>
  <si>
    <t xml:space="preserve">Everett Pennington</t>
  </si>
  <si>
    <t xml:space="preserve">SE5LGEVTP1V8D1NER</t>
  </si>
  <si>
    <t xml:space="preserve">CANON-202508-000093</t>
  </si>
  <si>
    <t xml:space="preserve">Fenwick Rourke</t>
  </si>
  <si>
    <t xml:space="preserve">D3UPLVRA9MR16AUDV</t>
  </si>
  <si>
    <t xml:space="preserve">Connecticut</t>
  </si>
  <si>
    <t xml:space="preserve">CANON-202508-000096</t>
  </si>
  <si>
    <t xml:space="preserve">Ottilie Montoya</t>
  </si>
  <si>
    <t xml:space="preserve">FXP0UH3T6HUBAUD35</t>
  </si>
  <si>
    <t xml:space="preserve">CANON-202508-000097</t>
  </si>
  <si>
    <t xml:space="preserve">Desmond Montoya</t>
  </si>
  <si>
    <t xml:space="preserve">49N1YJMZ434L28JW2</t>
  </si>
  <si>
    <t xml:space="preserve">West Virginia</t>
  </si>
  <si>
    <t xml:space="preserve">CANON-202508-000098</t>
  </si>
  <si>
    <t xml:space="preserve">Noor Ashcombe</t>
  </si>
  <si>
    <t xml:space="preserve">PWDD9AXL8CV0R8L6C</t>
  </si>
  <si>
    <t xml:space="preserve">CANON-202508-000099</t>
  </si>
  <si>
    <t xml:space="preserve">Wilhelmina Nakashima</t>
  </si>
  <si>
    <t xml:space="preserve">2025-08-06</t>
  </si>
  <si>
    <t xml:space="preserve">2026-08-06</t>
  </si>
  <si>
    <t xml:space="preserve">9ZDGTJ8C5859HNZ58</t>
  </si>
  <si>
    <t xml:space="preserve">CANON-202508-000100</t>
  </si>
  <si>
    <t xml:space="preserve">Desmond Bellandi</t>
  </si>
  <si>
    <t xml:space="preserve">Y621NT2D6RKZXV1LA</t>
  </si>
  <si>
    <t xml:space="preserve">CANON-202508-000101</t>
  </si>
  <si>
    <t xml:space="preserve">Desmond Fairweather</t>
  </si>
  <si>
    <t xml:space="preserve">2ERD88C01Z205LJ7C</t>
  </si>
  <si>
    <t xml:space="preserve">CANON-202508-000103</t>
  </si>
  <si>
    <t xml:space="preserve">Anouk Vandermeer</t>
  </si>
  <si>
    <t xml:space="preserve">7MKGDSYLLCEXADNYK</t>
  </si>
  <si>
    <t xml:space="preserve">CANON-202508-000104</t>
  </si>
  <si>
    <t xml:space="preserve">Mireille Kingsford</t>
  </si>
  <si>
    <t xml:space="preserve">B43A7PZUE7KGF2KPC</t>
  </si>
  <si>
    <t xml:space="preserve">CANON-202508-000105</t>
  </si>
  <si>
    <t xml:space="preserve">Fitzgerald Ashcombe</t>
  </si>
  <si>
    <t xml:space="preserve">2025-08-02</t>
  </si>
  <si>
    <t xml:space="preserve">2026-08-02</t>
  </si>
  <si>
    <t xml:space="preserve">Lamborghini</t>
  </si>
  <si>
    <t xml:space="preserve">Huracan EVO</t>
  </si>
  <si>
    <t xml:space="preserve">BGUXRK7FFHHP4F34Z</t>
  </si>
  <si>
    <t xml:space="preserve">CANON-202508-000106</t>
  </si>
  <si>
    <t xml:space="preserve">Delphine Merriweather</t>
  </si>
  <si>
    <t xml:space="preserve">N1JECR14VMV588YMR</t>
  </si>
  <si>
    <t xml:space="preserve">CANON-202508-000107</t>
  </si>
  <si>
    <t xml:space="preserve">Ingrid Farkas</t>
  </si>
  <si>
    <t xml:space="preserve">T2W8NHX07354JFXNW</t>
  </si>
  <si>
    <t xml:space="preserve">CANON-202508-000108</t>
  </si>
  <si>
    <t xml:space="preserve">Fitzgerald Delacroix</t>
  </si>
  <si>
    <t xml:space="preserve">48UTJ0P9NJEGVMTGC</t>
  </si>
  <si>
    <t xml:space="preserve">New Jersey</t>
  </si>
  <si>
    <t xml:space="preserve">CANON-202508-000109</t>
  </si>
  <si>
    <t xml:space="preserve">Mireille Nakashima</t>
  </si>
  <si>
    <t xml:space="preserve">SNE8UWKV7KUDYKTVT</t>
  </si>
  <si>
    <t xml:space="preserve">CANON-202508-000110</t>
  </si>
  <si>
    <t xml:space="preserve">Lorenzo Castellanos</t>
  </si>
  <si>
    <t xml:space="preserve">285ZW28BX7RWNPR12</t>
  </si>
  <si>
    <t xml:space="preserve">CANON-202508-000111</t>
  </si>
  <si>
    <t xml:space="preserve">Delphine Whitlock</t>
  </si>
  <si>
    <t xml:space="preserve">223AR1R0AU2CP2954</t>
  </si>
  <si>
    <t xml:space="preserve">CANON-202508-000112</t>
  </si>
  <si>
    <t xml:space="preserve">Lorenzo Larsson</t>
  </si>
  <si>
    <t xml:space="preserve">YX6597H8ZCFPYS5CH</t>
  </si>
  <si>
    <t xml:space="preserve">CANON-202508-000114</t>
  </si>
  <si>
    <t xml:space="preserve">Everett Underwood</t>
  </si>
  <si>
    <t xml:space="preserve">5LKMY14SFG1PN9SX7</t>
  </si>
  <si>
    <t xml:space="preserve">CANON-202508-000116</t>
  </si>
  <si>
    <t xml:space="preserve">Y5JDFFP8CNW86L8WU</t>
  </si>
  <si>
    <t xml:space="preserve">CANON-202508-000117</t>
  </si>
  <si>
    <t xml:space="preserve">Noor Thistlewood</t>
  </si>
  <si>
    <t xml:space="preserve">SVP4WYU9HRXF07AG6</t>
  </si>
  <si>
    <t xml:space="preserve">CANON-202508-000118</t>
  </si>
  <si>
    <t xml:space="preserve">Saoirse Underwood</t>
  </si>
  <si>
    <t xml:space="preserve">9LRH9W8C16UJXZ683</t>
  </si>
  <si>
    <t xml:space="preserve">CANON-202508-000120</t>
  </si>
  <si>
    <t xml:space="preserve">Ramona Whitlock</t>
  </si>
  <si>
    <t xml:space="preserve">KFFYZCD4VCMUVEWRF</t>
  </si>
  <si>
    <t xml:space="preserve">CANON-202508-000121</t>
  </si>
  <si>
    <t xml:space="preserve">LY5T9GGG5654FAA0Z</t>
  </si>
  <si>
    <t xml:space="preserve">Oklahoma</t>
  </si>
  <si>
    <t xml:space="preserve">CANON-202508-000122</t>
  </si>
  <si>
    <t xml:space="preserve">Fitzgerald Chattopadhyay</t>
  </si>
  <si>
    <t xml:space="preserve">RXX3SFL3E124NU8EK</t>
  </si>
  <si>
    <t xml:space="preserve">CANON-202508-000123</t>
  </si>
  <si>
    <t xml:space="preserve">HEMSYHP5XWR94XGLH</t>
  </si>
  <si>
    <t xml:space="preserve">CANON-202508-000126</t>
  </si>
  <si>
    <t xml:space="preserve">Wilhelmina Whitlock</t>
  </si>
  <si>
    <t xml:space="preserve">6U84A2TB2ZXFE7UL7</t>
  </si>
  <si>
    <t xml:space="preserve">CANON-202508-000127</t>
  </si>
  <si>
    <t xml:space="preserve">Marisol Ashcombe</t>
  </si>
  <si>
    <t xml:space="preserve">PP1E7V40WGXWV34VU</t>
  </si>
  <si>
    <t xml:space="preserve">CANON-202508-000128</t>
  </si>
  <si>
    <t xml:space="preserve">7YU5XCC077ZV74CMF</t>
  </si>
  <si>
    <t xml:space="preserve">CANON-202508-000129</t>
  </si>
  <si>
    <t xml:space="preserve">2025-08-31</t>
  </si>
  <si>
    <t xml:space="preserve">2026-08-31</t>
  </si>
  <si>
    <t xml:space="preserve">94Z57P97UBJ1TZDES</t>
  </si>
  <si>
    <t xml:space="preserve">CANON-202508-000130</t>
  </si>
  <si>
    <t xml:space="preserve">Leopold Merriweather</t>
  </si>
  <si>
    <t xml:space="preserve">XHHWYMLX49V7U117D</t>
  </si>
  <si>
    <t xml:space="preserve">CANON-202508-000131</t>
  </si>
  <si>
    <t xml:space="preserve">ZVKZGKG2T3L6C7S0E</t>
  </si>
  <si>
    <t xml:space="preserve">South Dakota</t>
  </si>
  <si>
    <t xml:space="preserve">CANON-202508-000132</t>
  </si>
  <si>
    <t xml:space="preserve">Wilhelmina Farkas</t>
  </si>
  <si>
    <t xml:space="preserve">A336MFM37VH2GTJ6U</t>
  </si>
  <si>
    <t xml:space="preserve">CANON-202508-000133</t>
  </si>
  <si>
    <t xml:space="preserve">Desmond Okonkwo</t>
  </si>
  <si>
    <t xml:space="preserve">DNTNW1FPSHAXGHKNV</t>
  </si>
  <si>
    <t xml:space="preserve">CANON-202508-000134</t>
  </si>
  <si>
    <t xml:space="preserve">Emiliano Pennington</t>
  </si>
  <si>
    <t xml:space="preserve">5EZ6V80XYBJS75VF3</t>
  </si>
  <si>
    <t xml:space="preserve">CANON-202508-000139</t>
  </si>
  <si>
    <t xml:space="preserve">1JW12J238CHL9FJZX</t>
  </si>
  <si>
    <t xml:space="preserve">CANON-202508-000140</t>
  </si>
  <si>
    <t xml:space="preserve">Leopold Nakashima</t>
  </si>
  <si>
    <t xml:space="preserve">XSVJMRYS877C2F1RD</t>
  </si>
  <si>
    <t xml:space="preserve">CANON-202508-000141</t>
  </si>
  <si>
    <t xml:space="preserve">Lorenzo Pennington</t>
  </si>
  <si>
    <t xml:space="preserve">ZTACFKZSDF4KSLVYT</t>
  </si>
  <si>
    <t xml:space="preserve">CANON-202508-000142</t>
  </si>
  <si>
    <t xml:space="preserve">DWJHMC5CVGNR19GW2</t>
  </si>
  <si>
    <t xml:space="preserve">Arkansas</t>
  </si>
  <si>
    <t xml:space="preserve">CANON-202508-000144</t>
  </si>
  <si>
    <t xml:space="preserve">Desmond Pennington</t>
  </si>
  <si>
    <t xml:space="preserve">0SL90K28ZSAC2NUNK</t>
  </si>
  <si>
    <t xml:space="preserve">Hawaii</t>
  </si>
  <si>
    <t xml:space="preserve">CANON-202508-000145</t>
  </si>
  <si>
    <t xml:space="preserve">Lorenzo Kingsford</t>
  </si>
  <si>
    <t xml:space="preserve">1XSVD2L69KF4VCSX0</t>
  </si>
  <si>
    <t xml:space="preserve">CANON-202508-000146</t>
  </si>
  <si>
    <t xml:space="preserve">LFBJ9EEWJRXJ80G0M</t>
  </si>
  <si>
    <t xml:space="preserve">CANON-202508-000147</t>
  </si>
  <si>
    <t xml:space="preserve">Delphine Delacroix</t>
  </si>
  <si>
    <t xml:space="preserve">Y7ZRSA4F833EL8GW3</t>
  </si>
  <si>
    <t xml:space="preserve">CANON-202508-000148</t>
  </si>
  <si>
    <t xml:space="preserve">Desmond Rourke</t>
  </si>
  <si>
    <t xml:space="preserve">FV56B82VAAW9K92XU</t>
  </si>
  <si>
    <t xml:space="preserve">CANON-202508-000149</t>
  </si>
  <si>
    <t xml:space="preserve">Wilhelmina Merriweather</t>
  </si>
  <si>
    <t xml:space="preserve">JSGP6BWJ8EZKHSUB1</t>
  </si>
  <si>
    <t xml:space="preserve">South Carolina</t>
  </si>
  <si>
    <t xml:space="preserve">CANON-202508-000150</t>
  </si>
  <si>
    <t xml:space="preserve">Thaddeus Merriweather</t>
  </si>
  <si>
    <t xml:space="preserve">81DPEC885YX4SMKMG</t>
  </si>
  <si>
    <t xml:space="preserve">CANON-202508-000151</t>
  </si>
  <si>
    <t xml:space="preserve">Lorenzo Vasquez</t>
  </si>
  <si>
    <t xml:space="preserve">ULWX27P19JA39DE39</t>
  </si>
  <si>
    <t xml:space="preserve">CANON-202508-000153</t>
  </si>
  <si>
    <t xml:space="preserve">MFA9K1T3HH04G7UMH</t>
  </si>
  <si>
    <t xml:space="preserve">CANON-202508-000155</t>
  </si>
  <si>
    <t xml:space="preserve">Wilhelmina Fairweather</t>
  </si>
  <si>
    <t xml:space="preserve">8NDR12DA37W79M9NK</t>
  </si>
  <si>
    <t xml:space="preserve">CANON-202508-000156</t>
  </si>
  <si>
    <t xml:space="preserve">Marisol Okonkwo</t>
  </si>
  <si>
    <t xml:space="preserve">17ZULBHXKW7CXMJD5</t>
  </si>
  <si>
    <t xml:space="preserve">CANON-202508-000157</t>
  </si>
  <si>
    <t xml:space="preserve">Sunniva Larsson</t>
  </si>
  <si>
    <t xml:space="preserve">ZHEJ7P84HF1A571G9</t>
  </si>
  <si>
    <t xml:space="preserve">CANON-202508-000158</t>
  </si>
  <si>
    <t xml:space="preserve">Marisol Harrington</t>
  </si>
  <si>
    <t xml:space="preserve">V2CY13KZ0721XU457</t>
  </si>
  <si>
    <t xml:space="preserve">Oregon</t>
  </si>
  <si>
    <t xml:space="preserve">CANON-202508-000160</t>
  </si>
  <si>
    <t xml:space="preserve">Emiliano Vandermeer</t>
  </si>
  <si>
    <t xml:space="preserve">XNF94KPRLEBE8T2XM</t>
  </si>
  <si>
    <t xml:space="preserve">CANON-202508-000161</t>
  </si>
  <si>
    <t xml:space="preserve">Delphine Castellanos</t>
  </si>
  <si>
    <t xml:space="preserve">J22GDR35VX5JDRYVW</t>
  </si>
  <si>
    <t xml:space="preserve">CANON-202508-000162</t>
  </si>
  <si>
    <t xml:space="preserve">Desmond Blackwood</t>
  </si>
  <si>
    <t xml:space="preserve">RJKY46ZAD9CS8U8LK</t>
  </si>
  <si>
    <t xml:space="preserve">CANON-202508-000163</t>
  </si>
  <si>
    <t xml:space="preserve">7KCNC57YJP5YDJREA</t>
  </si>
  <si>
    <t xml:space="preserve">CANON-202508-000164</t>
  </si>
  <si>
    <t xml:space="preserve">Y7YGWBZHLCCERBTKA</t>
  </si>
  <si>
    <t xml:space="preserve">CANON-202508-000165</t>
  </si>
  <si>
    <t xml:space="preserve">Saoirse Kingsford</t>
  </si>
  <si>
    <t xml:space="preserve">AKGYBTF1P9ULCH1R4</t>
  </si>
  <si>
    <t xml:space="preserve">CANON-202508-000166</t>
  </si>
  <si>
    <t xml:space="preserve">Callum Chattopadhyay</t>
  </si>
  <si>
    <t xml:space="preserve">KES0TPNMEHXBHZ7V7</t>
  </si>
  <si>
    <t xml:space="preserve">CANON-202508-000167</t>
  </si>
  <si>
    <t xml:space="preserve">Leopold Kingsford</t>
  </si>
  <si>
    <t xml:space="preserve">CZCRSD9JCM6W1DWA3</t>
  </si>
  <si>
    <t xml:space="preserve">CANON-202508-000168</t>
  </si>
  <si>
    <t xml:space="preserve">Marisol Bellandi</t>
  </si>
  <si>
    <t xml:space="preserve">UW89NRLM6KM5NPKG4</t>
  </si>
  <si>
    <t xml:space="preserve">CANON-202508-000169</t>
  </si>
  <si>
    <t xml:space="preserve">Aurelio Fairweather</t>
  </si>
  <si>
    <t xml:space="preserve">F05A9967VZJUM3NMU</t>
  </si>
  <si>
    <t xml:space="preserve">CANON-202508-000170</t>
  </si>
  <si>
    <t xml:space="preserve">Marisol Blackwood</t>
  </si>
  <si>
    <t xml:space="preserve">LMZMP2LAPHZ52JKTS</t>
  </si>
  <si>
    <t xml:space="preserve">CANON-202508-000171</t>
  </si>
  <si>
    <t xml:space="preserve">Cassius Farkas</t>
  </si>
  <si>
    <t xml:space="preserve">CN3X9R6CFA83WF1V3</t>
  </si>
  <si>
    <t xml:space="preserve">CANON-202508-000172</t>
  </si>
  <si>
    <t xml:space="preserve">Sunniva Whitlock</t>
  </si>
  <si>
    <t xml:space="preserve">NG2D3SPB5299ZRNVD</t>
  </si>
  <si>
    <t xml:space="preserve">Kentucky</t>
  </si>
  <si>
    <t xml:space="preserve">CANON-202508-000173</t>
  </si>
  <si>
    <t xml:space="preserve">Ingrid Pennington</t>
  </si>
  <si>
    <t xml:space="preserve">2NNTAFGMWDBD26WHW</t>
  </si>
  <si>
    <t xml:space="preserve">CANON-202508-000174</t>
  </si>
  <si>
    <t xml:space="preserve">Noor Vasquez</t>
  </si>
  <si>
    <t xml:space="preserve">KWDHSCZEK9CN4FEJB</t>
  </si>
  <si>
    <t xml:space="preserve">Georgia</t>
  </si>
  <si>
    <t xml:space="preserve">CANON-202508-000175</t>
  </si>
  <si>
    <t xml:space="preserve">Leopold Chattopadhyay</t>
  </si>
  <si>
    <t xml:space="preserve">2025-08-18</t>
  </si>
  <si>
    <t xml:space="preserve">2026-08-18</t>
  </si>
  <si>
    <t xml:space="preserve">297P2GJ7ED9V9TNPZ</t>
  </si>
  <si>
    <t xml:space="preserve">CANON-202508-000177</t>
  </si>
  <si>
    <t xml:space="preserve">Emiliano Vasquez</t>
  </si>
  <si>
    <t xml:space="preserve">533R4ZK0H5FX9BGW4</t>
  </si>
  <si>
    <t xml:space="preserve">CANON-202508-000178</t>
  </si>
  <si>
    <t xml:space="preserve">Emiliano Larsson</t>
  </si>
  <si>
    <t xml:space="preserve">85SJDT5FTUB0WTN0D</t>
  </si>
  <si>
    <t xml:space="preserve">CANON-202508-000179</t>
  </si>
  <si>
    <t xml:space="preserve">Callum Farkas</t>
  </si>
  <si>
    <t xml:space="preserve">7V8C09Z8T41E9HMUV</t>
  </si>
  <si>
    <t xml:space="preserve">CANON-202508-000180</t>
  </si>
  <si>
    <t xml:space="preserve">Thaddeus Harrington</t>
  </si>
  <si>
    <t xml:space="preserve">8YZ9L1W2F7F1RCLVV</t>
  </si>
  <si>
    <t xml:space="preserve">CANON-202508-000181</t>
  </si>
  <si>
    <t xml:space="preserve">Cassius Okonkwo</t>
  </si>
  <si>
    <t xml:space="preserve">7GHKNR01BKH7S9YJZ</t>
  </si>
  <si>
    <t xml:space="preserve">CANON-202508-000182</t>
  </si>
  <si>
    <t xml:space="preserve">KHJ7MGJS2CPVSGZA1</t>
  </si>
  <si>
    <t xml:space="preserve">CANON-202508-000184</t>
  </si>
  <si>
    <t xml:space="preserve">Sunniva Nakashima</t>
  </si>
  <si>
    <t xml:space="preserve">348E7DC0ADXF7U2L0</t>
  </si>
  <si>
    <t xml:space="preserve">CANON-202508-000185</t>
  </si>
  <si>
    <t xml:space="preserve">0E8T698AE9TD441TY</t>
  </si>
  <si>
    <t xml:space="preserve">CANON-202508-000186</t>
  </si>
  <si>
    <t xml:space="preserve">Ramona Pennington</t>
  </si>
  <si>
    <t xml:space="preserve">2YY49J8J4MBB7G65U</t>
  </si>
  <si>
    <t xml:space="preserve">CANON-202508-000187</t>
  </si>
  <si>
    <t xml:space="preserve">Anouk Delacroix</t>
  </si>
  <si>
    <t xml:space="preserve">CLCESCX92VLJJ1WKK</t>
  </si>
  <si>
    <t xml:space="preserve">CANON-202508-000189</t>
  </si>
  <si>
    <t xml:space="preserve">Aurelio Harrington</t>
  </si>
  <si>
    <t xml:space="preserve">NZEM4WXAEYAVEKD47</t>
  </si>
  <si>
    <t xml:space="preserve">Montana</t>
  </si>
  <si>
    <t xml:space="preserve">CANON-202508-000190</t>
  </si>
  <si>
    <t xml:space="preserve">Thaddeus Delacroix</t>
  </si>
  <si>
    <t xml:space="preserve">LXZN38FZ6MP00RXUY</t>
  </si>
  <si>
    <t xml:space="preserve">CANON-202508-000191</t>
  </si>
  <si>
    <t xml:space="preserve">Leopold Whitlock</t>
  </si>
  <si>
    <t xml:space="preserve">2PEN165KGHAGL1XR1</t>
  </si>
  <si>
    <t xml:space="preserve">CANON-202508-000192</t>
  </si>
  <si>
    <t xml:space="preserve">Fenwick Vasquez</t>
  </si>
  <si>
    <t xml:space="preserve">21MT1DV1LW7TU2S51</t>
  </si>
  <si>
    <t xml:space="preserve">CANON-202508-000193</t>
  </si>
  <si>
    <t xml:space="preserve">Marisol Castellanos</t>
  </si>
  <si>
    <t xml:space="preserve">G99XXE2WHVP93A1EL</t>
  </si>
  <si>
    <t xml:space="preserve">CANON-202508-000195</t>
  </si>
  <si>
    <t xml:space="preserve">4KF9A0B369GJRVUMF</t>
  </si>
  <si>
    <t xml:space="preserve">CANON-202508-000197</t>
  </si>
  <si>
    <t xml:space="preserve">Desmond Vandermeer</t>
  </si>
  <si>
    <t xml:space="preserve">WLLMML59EP0W7C66U</t>
  </si>
  <si>
    <t xml:space="preserve">CANON-202508-000198</t>
  </si>
  <si>
    <t xml:space="preserve">Aurelio Delacroix</t>
  </si>
  <si>
    <t xml:space="preserve">UM0Z23KLVV39GFRGY</t>
  </si>
  <si>
    <t xml:space="preserve">CANON-202508-000199</t>
  </si>
  <si>
    <t xml:space="preserve">Fenwick Underwood</t>
  </si>
  <si>
    <t xml:space="preserve">DU0F2C4K2JCDH4AWJ</t>
  </si>
  <si>
    <t xml:space="preserve">CANON-202508-000200</t>
  </si>
  <si>
    <t xml:space="preserve">Thaddeus Kingsford</t>
  </si>
  <si>
    <t xml:space="preserve">MYY1F979RD54HVHCJ</t>
  </si>
  <si>
    <t xml:space="preserve">CANON-202508-000202</t>
  </si>
  <si>
    <t xml:space="preserve">Delphine Larsson</t>
  </si>
  <si>
    <t xml:space="preserve">45V50D6EM2T1EJWW9</t>
  </si>
  <si>
    <t xml:space="preserve">CANON-202508-000203</t>
  </si>
  <si>
    <t xml:space="preserve">Beatrix Chattopadhyay</t>
  </si>
  <si>
    <t xml:space="preserve">65BYYFRRRB139L4VA</t>
  </si>
  <si>
    <t xml:space="preserve">CANON-202508-000204</t>
  </si>
  <si>
    <t xml:space="preserve">Leopold Rourke</t>
  </si>
  <si>
    <t xml:space="preserve">Y5M0X5V7APMS0T83T</t>
  </si>
  <si>
    <t xml:space="preserve">Idaho</t>
  </si>
  <si>
    <t xml:space="preserve">CANON-202508-000205</t>
  </si>
  <si>
    <t xml:space="preserve">Ramona Merriweather</t>
  </si>
  <si>
    <t xml:space="preserve">HMVU9HW5BRBDYCWW0</t>
  </si>
  <si>
    <t xml:space="preserve">CANON-202508-000206</t>
  </si>
  <si>
    <t xml:space="preserve">Thaddeus Blackwood</t>
  </si>
  <si>
    <t xml:space="preserve">YAZEBEULE95BEV5Z5</t>
  </si>
  <si>
    <t xml:space="preserve">CANON-202508-000207</t>
  </si>
  <si>
    <t xml:space="preserve">Aurelio Larsson</t>
  </si>
  <si>
    <t xml:space="preserve">1FCN5FA0RKUPUPCZZ</t>
  </si>
  <si>
    <t xml:space="preserve">CANON-202508-000208</t>
  </si>
  <si>
    <t xml:space="preserve">Beatrix Bellandi</t>
  </si>
  <si>
    <t xml:space="preserve">L0ZYMEDG2J2HSC5NZ</t>
  </si>
  <si>
    <t xml:space="preserve">CANON-202508-000209</t>
  </si>
  <si>
    <t xml:space="preserve">Leopold Bellandi</t>
  </si>
  <si>
    <t xml:space="preserve">BC13HMK5GRPB5CPL4</t>
  </si>
  <si>
    <t xml:space="preserve">CANON-202508-000210</t>
  </si>
  <si>
    <t xml:space="preserve">8W6AU8AGTWWZRBYAR</t>
  </si>
  <si>
    <t xml:space="preserve">CANON-202508-000211</t>
  </si>
  <si>
    <t xml:space="preserve">Delphine Vandermeer</t>
  </si>
  <si>
    <t xml:space="preserve">78VS533AGHD0MJ290</t>
  </si>
  <si>
    <t xml:space="preserve">CANON-202508-000213</t>
  </si>
  <si>
    <t xml:space="preserve">Horace Okonkwo</t>
  </si>
  <si>
    <t xml:space="preserve">ZJHJMN8ETZJJW1ARG</t>
  </si>
  <si>
    <t xml:space="preserve">CANON-202508-000214</t>
  </si>
  <si>
    <t xml:space="preserve">Anouk Chattopadhyay</t>
  </si>
  <si>
    <t xml:space="preserve">VHACNULCF5HJ6STUR</t>
  </si>
  <si>
    <t xml:space="preserve">Missouri</t>
  </si>
  <si>
    <t xml:space="preserve">CANON-202508-000215</t>
  </si>
  <si>
    <t xml:space="preserve">Lorenzo Merriweather</t>
  </si>
  <si>
    <t xml:space="preserve">TD7EC8UAHXSHA8P3E</t>
  </si>
  <si>
    <t xml:space="preserve">CANON-202508-000216</t>
  </si>
  <si>
    <t xml:space="preserve">Fenwick Whitlock</t>
  </si>
  <si>
    <t xml:space="preserve">JDU793SZZ6NMGVXT0</t>
  </si>
  <si>
    <t xml:space="preserve">CANON-202508-000218</t>
  </si>
  <si>
    <t xml:space="preserve">Mireille Ashcombe</t>
  </si>
  <si>
    <t xml:space="preserve">8PVDW1S1DEKJ0S1F7</t>
  </si>
  <si>
    <t xml:space="preserve">CANON-202508-000219</t>
  </si>
  <si>
    <t xml:space="preserve">Mireille Castellanos</t>
  </si>
  <si>
    <t xml:space="preserve">JRWJALV9LCCR2JCCN</t>
  </si>
  <si>
    <t xml:space="preserve">CANON-202508-000220</t>
  </si>
  <si>
    <t xml:space="preserve">Fitzgerald Rourke</t>
  </si>
  <si>
    <t xml:space="preserve">MTGT1F3BFEP11GWXZ</t>
  </si>
  <si>
    <t xml:space="preserve">CANON-202508-000221</t>
  </si>
  <si>
    <t xml:space="preserve">FYBN2BWU7KVU619TG</t>
  </si>
  <si>
    <t xml:space="preserve">CANON-202508-000222</t>
  </si>
  <si>
    <t xml:space="preserve">T4G9TEC3PSY7KBF5T</t>
  </si>
  <si>
    <t xml:space="preserve">CANON-202508-000224</t>
  </si>
  <si>
    <t xml:space="preserve">HXE5F0E8X0JAWZ53N</t>
  </si>
  <si>
    <t xml:space="preserve">CANON-202508-000225</t>
  </si>
  <si>
    <t xml:space="preserve">Sunniva Fairweather</t>
  </si>
  <si>
    <t xml:space="preserve">XB0DGUA4UDTF8MY4B</t>
  </si>
  <si>
    <t xml:space="preserve">CANON-202508-000226</t>
  </si>
  <si>
    <t xml:space="preserve">Anouk Pennington</t>
  </si>
  <si>
    <t xml:space="preserve">3ZYN1PTNRE4PJ37Z2</t>
  </si>
  <si>
    <t xml:space="preserve">CANON-202508-000227</t>
  </si>
  <si>
    <t xml:space="preserve">Desmond Merriweather</t>
  </si>
  <si>
    <t xml:space="preserve">8LRALCPYVWMFGDJ3U</t>
  </si>
  <si>
    <t xml:space="preserve">CANON-202508-000228</t>
  </si>
  <si>
    <t xml:space="preserve">JZXCMVHVG182NUJ7A</t>
  </si>
  <si>
    <t xml:space="preserve">CANON-202508-000230</t>
  </si>
  <si>
    <t xml:space="preserve">2T01R2V8MAURY8WEB</t>
  </si>
  <si>
    <t xml:space="preserve">CANON-202508-000231</t>
  </si>
  <si>
    <t xml:space="preserve">Everett Larsson</t>
  </si>
  <si>
    <t xml:space="preserve">B1R1PK2GBMZA3TFVW</t>
  </si>
  <si>
    <t xml:space="preserve">CANON-202508-000234</t>
  </si>
  <si>
    <t xml:space="preserve">Cassius Delacroix</t>
  </si>
  <si>
    <t xml:space="preserve">9FN5CLKNN6GB89Y9E</t>
  </si>
  <si>
    <t xml:space="preserve">CANON-202508-000235</t>
  </si>
  <si>
    <t xml:space="preserve">Fitzgerald Castellanos</t>
  </si>
  <si>
    <t xml:space="preserve">XAUD3B41A82VFKF75</t>
  </si>
  <si>
    <t xml:space="preserve">CANON-202508-000236</t>
  </si>
  <si>
    <t xml:space="preserve">Fenwick Delacroix</t>
  </si>
  <si>
    <t xml:space="preserve">0R565B4ZM51L75V00</t>
  </si>
  <si>
    <t xml:space="preserve">CANON-202508-000238</t>
  </si>
  <si>
    <t xml:space="preserve">XW19P1SJXR7EJCKF2</t>
  </si>
  <si>
    <t xml:space="preserve">CANON-202508-000240</t>
  </si>
  <si>
    <t xml:space="preserve">Marisol Merriweather</t>
  </si>
  <si>
    <t xml:space="preserve">MM86UKVBPVHCE643B</t>
  </si>
  <si>
    <t xml:space="preserve">CANON-202508-000241</t>
  </si>
  <si>
    <t xml:space="preserve">4W4JSAVVZB4JN423B</t>
  </si>
  <si>
    <t xml:space="preserve">CANON-202508-000243</t>
  </si>
  <si>
    <t xml:space="preserve">Wilhelmina Harrington</t>
  </si>
  <si>
    <t xml:space="preserve">4W7XDNN85MBXCNAWG</t>
  </si>
  <si>
    <t xml:space="preserve">CANON-202508-000244</t>
  </si>
  <si>
    <t xml:space="preserve">Wilhelmina Delacroix</t>
  </si>
  <si>
    <t xml:space="preserve">M8Y7Z966CYAFRP64Z</t>
  </si>
  <si>
    <t xml:space="preserve">CANON-202508-000245</t>
  </si>
  <si>
    <t xml:space="preserve">Ottilie Thistlewood</t>
  </si>
  <si>
    <t xml:space="preserve">ANZ2SD2RLTVUPCUMG</t>
  </si>
  <si>
    <t xml:space="preserve">CANON-202508-000246</t>
  </si>
  <si>
    <t xml:space="preserve">Cassius Castellanos</t>
  </si>
  <si>
    <t xml:space="preserve">JHJSP1ZCUB0RF33C4</t>
  </si>
  <si>
    <t xml:space="preserve">CANON-202508-000247</t>
  </si>
  <si>
    <t xml:space="preserve">6SPFWH6GNRSUGKVDA</t>
  </si>
  <si>
    <t xml:space="preserve">CANON-202508-000248</t>
  </si>
  <si>
    <t xml:space="preserve">Fenwick Larsson</t>
  </si>
  <si>
    <t xml:space="preserve">PFPZ3ZE9MP99DDF2C</t>
  </si>
  <si>
    <t xml:space="preserve">CANON-202508-000249</t>
  </si>
  <si>
    <t xml:space="preserve">Saoirse Nakashima</t>
  </si>
  <si>
    <t xml:space="preserve">3S7T1ZAVFS5KR3DU3</t>
  </si>
  <si>
    <t xml:space="preserve">CANON-202508-000250</t>
  </si>
  <si>
    <t xml:space="preserve">Saoirse Okonkwo</t>
  </si>
  <si>
    <t xml:space="preserve">MGPLM0DG2A2W3YBJ9</t>
  </si>
  <si>
    <t xml:space="preserve">CANON-202508-000251</t>
  </si>
  <si>
    <t xml:space="preserve">FKM9Z9VP325DBB7V8</t>
  </si>
  <si>
    <t xml:space="preserve">CANON-202508-000253</t>
  </si>
  <si>
    <t xml:space="preserve">Lorenzo Underwood</t>
  </si>
  <si>
    <t xml:space="preserve">BDXRYNSJGWRR8VKEF</t>
  </si>
  <si>
    <t xml:space="preserve">CANON-202508-000254</t>
  </si>
  <si>
    <t xml:space="preserve">Mireille Rourke</t>
  </si>
  <si>
    <t xml:space="preserve">K99FBFAEEB2FLRGNA</t>
  </si>
  <si>
    <t xml:space="preserve">CANON-202508-000255</t>
  </si>
  <si>
    <t xml:space="preserve">Cassius Thistlewood</t>
  </si>
  <si>
    <t xml:space="preserve">YE4RE1MDTPYUT6XFR</t>
  </si>
  <si>
    <t xml:space="preserve">CANON-202508-000256</t>
  </si>
  <si>
    <t xml:space="preserve">HMKDDLMNH3G8BHFKH</t>
  </si>
  <si>
    <t xml:space="preserve">CANON-202508-000258</t>
  </si>
  <si>
    <t xml:space="preserve">Ingrid Nakashima</t>
  </si>
  <si>
    <t xml:space="preserve">EBPPKL4DMKA1TLXBS</t>
  </si>
  <si>
    <t xml:space="preserve">CANON-202508-000260</t>
  </si>
  <si>
    <t xml:space="preserve">Anouk Larsson</t>
  </si>
  <si>
    <t xml:space="preserve">WXM1KPFFFP35KZ2TM</t>
  </si>
  <si>
    <t xml:space="preserve">CANON-202508-000261</t>
  </si>
  <si>
    <t xml:space="preserve">Callum Vasquez</t>
  </si>
  <si>
    <t xml:space="preserve">91NG7R4SH1S6LEM9R</t>
  </si>
  <si>
    <t xml:space="preserve">CANON-202508-000262</t>
  </si>
  <si>
    <t xml:space="preserve">RFW2Z34F4C3VMHLE1</t>
  </si>
  <si>
    <t xml:space="preserve">CANON-202508-000263</t>
  </si>
  <si>
    <t xml:space="preserve">Fenwick Okonkwo</t>
  </si>
  <si>
    <t xml:space="preserve">MF56NVURKHT6HAH48</t>
  </si>
  <si>
    <t xml:space="preserve">CANON-202508-000266</t>
  </si>
  <si>
    <t xml:space="preserve">Fenwick Castellanos</t>
  </si>
  <si>
    <t xml:space="preserve">PM2C2ZP4HH67W6J5B</t>
  </si>
  <si>
    <t xml:space="preserve">CANON-202508-000267</t>
  </si>
  <si>
    <t xml:space="preserve">Mireille Farkas</t>
  </si>
  <si>
    <t xml:space="preserve">1ZVVCLZ5YMPVN8ADC</t>
  </si>
  <si>
    <t xml:space="preserve">CANON-202508-000268</t>
  </si>
  <si>
    <t xml:space="preserve">Leopold Castellanos</t>
  </si>
  <si>
    <t xml:space="preserve">718SS7LB6F4SKXS7J</t>
  </si>
  <si>
    <t xml:space="preserve">CANON-202508-000269</t>
  </si>
  <si>
    <t xml:space="preserve">Anouk Okonkwo</t>
  </si>
  <si>
    <t xml:space="preserve">3DUGTEPEF1PD0U3PS</t>
  </si>
  <si>
    <t xml:space="preserve">CANON-202508-000270</t>
  </si>
  <si>
    <t xml:space="preserve">YZACJAKGUZ3U5CF12</t>
  </si>
  <si>
    <t xml:space="preserve">CANON-202508-000271</t>
  </si>
  <si>
    <t xml:space="preserve">Ottilie Vasquez</t>
  </si>
  <si>
    <t xml:space="preserve">0X9BN4UTGUT74KCPB</t>
  </si>
  <si>
    <t xml:space="preserve">CANON-202508-000274</t>
  </si>
  <si>
    <t xml:space="preserve">Saoirse Chattopadhyay</t>
  </si>
  <si>
    <t xml:space="preserve">4NY4NBBF8VS36B0DE</t>
  </si>
  <si>
    <t xml:space="preserve">CANON-202508-000275</t>
  </si>
  <si>
    <t xml:space="preserve">Cassius Rourke</t>
  </si>
  <si>
    <t xml:space="preserve">SGB7R19A4X8DFEZ78</t>
  </si>
  <si>
    <t xml:space="preserve">CANON-202508-000276</t>
  </si>
  <si>
    <t xml:space="preserve">JZC829LXJMB0W76BW</t>
  </si>
  <si>
    <t xml:space="preserve">CANON-202508-000277</t>
  </si>
  <si>
    <t xml:space="preserve">Ramona Rourke</t>
  </si>
  <si>
    <t xml:space="preserve">P0UM59MJDJB3WNMTA</t>
  </si>
  <si>
    <t xml:space="preserve">CANON-202508-000281</t>
  </si>
  <si>
    <t xml:space="preserve">E73ADJ0WCAVB756XP</t>
  </si>
  <si>
    <t xml:space="preserve">CANON-202508-000282</t>
  </si>
  <si>
    <t xml:space="preserve">Wilhelmina Pennington</t>
  </si>
  <si>
    <t xml:space="preserve">TWHG9BU49L2RP7TWB</t>
  </si>
  <si>
    <t xml:space="preserve">CANON-202508-000283</t>
  </si>
  <si>
    <t xml:space="preserve">96GJ6YWZ4NFBCFEHK</t>
  </si>
  <si>
    <t xml:space="preserve">CANON-202508-000285</t>
  </si>
  <si>
    <t xml:space="preserve">Everett Montoya</t>
  </si>
  <si>
    <t xml:space="preserve">MKSR4146KVEDTN4K8</t>
  </si>
  <si>
    <t xml:space="preserve">CANON-202508-000286</t>
  </si>
  <si>
    <t xml:space="preserve">XRU4R8JV3TP3R2JKU</t>
  </si>
  <si>
    <t xml:space="preserve">CANON-202508-000288</t>
  </si>
  <si>
    <t xml:space="preserve">HWXDHGRLHYWGG74D4</t>
  </si>
  <si>
    <t xml:space="preserve">CANON-202508-000290</t>
  </si>
  <si>
    <t xml:space="preserve">Beatrix Fairweather</t>
  </si>
  <si>
    <t xml:space="preserve">B2E8770MUKZFJ27TZ</t>
  </si>
  <si>
    <t xml:space="preserve">CANON-202508-000293</t>
  </si>
  <si>
    <t xml:space="preserve">Ramona Farkas</t>
  </si>
  <si>
    <t xml:space="preserve">3XG9AJEUEHJ9LA8LA</t>
  </si>
  <si>
    <t xml:space="preserve">CANON-202508-000294</t>
  </si>
  <si>
    <t xml:space="preserve">Sunniva Pennington</t>
  </si>
  <si>
    <t xml:space="preserve">HDVEJEBKY9HKLLXNE</t>
  </si>
  <si>
    <t xml:space="preserve">CANON-202508-000296</t>
  </si>
  <si>
    <t xml:space="preserve">Lorenzo Montoya</t>
  </si>
  <si>
    <t xml:space="preserve">FHGSJAVX67VK0XBKD</t>
  </si>
  <si>
    <t xml:space="preserve">CANON-202508-000297</t>
  </si>
  <si>
    <t xml:space="preserve">Fitzgerald Kingsford</t>
  </si>
  <si>
    <t xml:space="preserve">BKE31Y1YLREW7YWP5</t>
  </si>
  <si>
    <t xml:space="preserve">CANON-202508-000300</t>
  </si>
  <si>
    <t xml:space="preserve">Ramona Vandermeer</t>
  </si>
  <si>
    <t xml:space="preserve">UA48SZ7859Y1SK1DU</t>
  </si>
  <si>
    <t xml:space="preserve">CANON-202508-000301</t>
  </si>
  <si>
    <t xml:space="preserve">Leopold Pennington</t>
  </si>
  <si>
    <t xml:space="preserve">WU4TXK16850B609GR</t>
  </si>
  <si>
    <t xml:space="preserve">CANON-202508-000303</t>
  </si>
  <si>
    <t xml:space="preserve">WUN5LKKG3JV5CPJEU</t>
  </si>
  <si>
    <t xml:space="preserve">CANON-202508-000304</t>
  </si>
  <si>
    <t xml:space="preserve">Fenwick Thistlewood</t>
  </si>
  <si>
    <t xml:space="preserve">MY7K9VD414GJ8DZ75</t>
  </si>
  <si>
    <t xml:space="preserve">CANON-202508-000305</t>
  </si>
  <si>
    <t xml:space="preserve">Leopold Blackwood</t>
  </si>
  <si>
    <t xml:space="preserve">LMJLVTJP90HAZZ8B1</t>
  </si>
  <si>
    <t xml:space="preserve">CANON-202508-000306</t>
  </si>
  <si>
    <t xml:space="preserve">NKKKF0DHTT3ACD4DT</t>
  </si>
  <si>
    <t xml:space="preserve">CANON-202508-000308</t>
  </si>
  <si>
    <t xml:space="preserve">Fenwick Bellandi</t>
  </si>
  <si>
    <t xml:space="preserve">UL65Z3DKXFWMK1JL5</t>
  </si>
  <si>
    <t xml:space="preserve">CANON-202508-000309</t>
  </si>
  <si>
    <t xml:space="preserve">Anouk Blackwood</t>
  </si>
  <si>
    <t xml:space="preserve">RRYUB5L1USJ1SCM0R</t>
  </si>
  <si>
    <t xml:space="preserve">CANON-202508-000310</t>
  </si>
  <si>
    <t xml:space="preserve">Cassius Blackwood</t>
  </si>
  <si>
    <t xml:space="preserve">P9GU1HNGUWK4YY30K</t>
  </si>
  <si>
    <t xml:space="preserve">CANON-202508-000311</t>
  </si>
  <si>
    <t xml:space="preserve">Ramona Nakashima</t>
  </si>
  <si>
    <t xml:space="preserve">BD3L29NP4DZN0JD0Y</t>
  </si>
  <si>
    <t xml:space="preserve">CANON-202508-000313</t>
  </si>
  <si>
    <t xml:space="preserve">W4G55F3JBWJYF302P</t>
  </si>
  <si>
    <t xml:space="preserve">CANON-202508-000314</t>
  </si>
  <si>
    <t xml:space="preserve">Everett Fairweather</t>
  </si>
  <si>
    <t xml:space="preserve">BEK447WFKDGM5LLJU</t>
  </si>
  <si>
    <t xml:space="preserve">CANON-202508-000315</t>
  </si>
  <si>
    <t xml:space="preserve">Beatrix Okonkwo</t>
  </si>
  <si>
    <t xml:space="preserve">J8YEGBHKUW41XS60M</t>
  </si>
  <si>
    <t xml:space="preserve">CANON-202508-000316</t>
  </si>
  <si>
    <t xml:space="preserve">Horace Rourke</t>
  </si>
  <si>
    <t xml:space="preserve">JTSLPRULCWG7CUF3S</t>
  </si>
  <si>
    <t xml:space="preserve">CANON-202508-000317</t>
  </si>
  <si>
    <t xml:space="preserve">Ingrid Montoya</t>
  </si>
  <si>
    <t xml:space="preserve">KHTGW6TBBXYF45798</t>
  </si>
  <si>
    <t xml:space="preserve">CANON-202508-000318</t>
  </si>
  <si>
    <t xml:space="preserve">Saoirse Delacroix</t>
  </si>
  <si>
    <t xml:space="preserve">JCTHNS7NL7PHP5Z3C</t>
  </si>
  <si>
    <t xml:space="preserve">CANON-202508-000319</t>
  </si>
  <si>
    <t xml:space="preserve">7N0VPZ2WJWC1E9YXS</t>
  </si>
  <si>
    <t xml:space="preserve">CANON-202508-000320</t>
  </si>
  <si>
    <t xml:space="preserve">AV9Z56Z4RR3672GVN</t>
  </si>
  <si>
    <t xml:space="preserve">CANON-202508-000321</t>
  </si>
  <si>
    <t xml:space="preserve">JPDL7HC3XGNVTEMLZ</t>
  </si>
  <si>
    <t xml:space="preserve">CANON-202508-000322</t>
  </si>
  <si>
    <t xml:space="preserve">6FZ8USG1HGXZL52SD</t>
  </si>
  <si>
    <t xml:space="preserve">CANON-202508-000326</t>
  </si>
  <si>
    <t xml:space="preserve">Leopold Vasquez</t>
  </si>
  <si>
    <t xml:space="preserve">PUBM1FSAYCNH25AG9</t>
  </si>
  <si>
    <t xml:space="preserve">CANON-202508-000328</t>
  </si>
  <si>
    <t xml:space="preserve">Fitzgerald Underwood</t>
  </si>
  <si>
    <t xml:space="preserve">YJ3A6UP493KPS3FWP</t>
  </si>
  <si>
    <t xml:space="preserve">CANON-202508-000329</t>
  </si>
  <si>
    <t xml:space="preserve">Anouk Montoya</t>
  </si>
  <si>
    <t xml:space="preserve">6DDNSUJAVJXE65N4G</t>
  </si>
  <si>
    <t xml:space="preserve">CANON-202508-000331</t>
  </si>
  <si>
    <t xml:space="preserve">Saoirse Blackwood</t>
  </si>
  <si>
    <t xml:space="preserve">VRPTYAY5H8HZ7TGX3</t>
  </si>
  <si>
    <t xml:space="preserve">CANON-202508-000333</t>
  </si>
  <si>
    <t xml:space="preserve">MVF2V7TV0AJXRDMBW</t>
  </si>
  <si>
    <t xml:space="preserve">CANON-202508-000334</t>
  </si>
  <si>
    <t xml:space="preserve">Thaddeus Thistlewood</t>
  </si>
  <si>
    <t xml:space="preserve">KV1NU16HVGUEEN7F0</t>
  </si>
  <si>
    <t xml:space="preserve">CANON-202508-000336</t>
  </si>
  <si>
    <t xml:space="preserve">1ZCJYWGSXP377B7VT</t>
  </si>
  <si>
    <t xml:space="preserve">CANON-202508-000337</t>
  </si>
  <si>
    <t xml:space="preserve">Horace Whitlock</t>
  </si>
  <si>
    <t xml:space="preserve">3A4XYHG0PB7TN32C3</t>
  </si>
  <si>
    <t xml:space="preserve">CANON-202508-000338</t>
  </si>
  <si>
    <t xml:space="preserve">Ramona Blackwood</t>
  </si>
  <si>
    <t xml:space="preserve">PE1B6ZHH7P0MBD6GG</t>
  </si>
  <si>
    <t xml:space="preserve">CANON-202508-000340</t>
  </si>
  <si>
    <t xml:space="preserve">89HLZ5524NKCUV9FR</t>
  </si>
  <si>
    <t xml:space="preserve">CANON-202508-000341</t>
  </si>
  <si>
    <t xml:space="preserve">Mireille Harrington</t>
  </si>
  <si>
    <t xml:space="preserve">5SPMW44X9M9BJN0L2</t>
  </si>
  <si>
    <t xml:space="preserve">CANON-202508-000343</t>
  </si>
  <si>
    <t xml:space="preserve">Ottilie Okonkwo</t>
  </si>
  <si>
    <t xml:space="preserve">LFE6YNGZ0HDC6DCY6</t>
  </si>
  <si>
    <t xml:space="preserve">CANON-202508-000344</t>
  </si>
  <si>
    <t xml:space="preserve">Ingrid Larsson</t>
  </si>
  <si>
    <t xml:space="preserve">J8KMMZPNZWAHX18UU</t>
  </si>
  <si>
    <t xml:space="preserve">CANON-202508-000345</t>
  </si>
  <si>
    <t xml:space="preserve">B5X4118HMJXL7XL5W</t>
  </si>
  <si>
    <t xml:space="preserve">CANON-202508-000346</t>
  </si>
  <si>
    <t xml:space="preserve">P43K5LJSSHH3W2CCK</t>
  </si>
  <si>
    <t xml:space="preserve">CANON-202508-000348</t>
  </si>
  <si>
    <t xml:space="preserve">GEB2LMAS34C0X9NA9</t>
  </si>
  <si>
    <t xml:space="preserve">CANON-202508-000349</t>
  </si>
  <si>
    <t xml:space="preserve">Emiliano Fairweather</t>
  </si>
  <si>
    <t xml:space="preserve">2XH1LTCSDMNRMK40P</t>
  </si>
  <si>
    <t xml:space="preserve">CANON-202508-000350</t>
  </si>
  <si>
    <t xml:space="preserve">Wilhelmina Larsson</t>
  </si>
  <si>
    <t xml:space="preserve">WYUY4LGVLGCLA42T0</t>
  </si>
  <si>
    <t xml:space="preserve">CANON-202508-000351</t>
  </si>
  <si>
    <t xml:space="preserve">Emiliano Blackwood</t>
  </si>
  <si>
    <t xml:space="preserve">P629XD12UC6M22XPH</t>
  </si>
  <si>
    <t xml:space="preserve">CANON-202508-000353</t>
  </si>
  <si>
    <t xml:space="preserve">Priya Thistlewood</t>
  </si>
  <si>
    <t xml:space="preserve">GS9EUVCB1CHJJP6HX</t>
  </si>
  <si>
    <t xml:space="preserve">CANON-202508-000354</t>
  </si>
  <si>
    <t xml:space="preserve">Sunniva Montoya</t>
  </si>
  <si>
    <t xml:space="preserve">8NBL0296TYM9B4CAP</t>
  </si>
  <si>
    <t xml:space="preserve">CANON-202508-000356</t>
  </si>
  <si>
    <t xml:space="preserve">Callum Pennington</t>
  </si>
  <si>
    <t xml:space="preserve">DXMD1W828SU613AE7</t>
  </si>
  <si>
    <t xml:space="preserve">CANON-202508-000357</t>
  </si>
  <si>
    <t xml:space="preserve">Fenwick Pennington</t>
  </si>
  <si>
    <t xml:space="preserve">WX2N9HRLF4PB7R3Z8</t>
  </si>
  <si>
    <t xml:space="preserve">CANON-202508-000359</t>
  </si>
  <si>
    <t xml:space="preserve">2GY8NXGKGNHZSA79Y</t>
  </si>
  <si>
    <t xml:space="preserve">CANON-202508-000361</t>
  </si>
  <si>
    <t xml:space="preserve">PDMP0YVGNW8M02CJL</t>
  </si>
  <si>
    <t xml:space="preserve">CANON-202508-000362</t>
  </si>
  <si>
    <t xml:space="preserve">Horace Bellandi</t>
  </si>
  <si>
    <t xml:space="preserve">EGP2EGA089SRBUNNA</t>
  </si>
  <si>
    <t xml:space="preserve">CANON-202508-000364</t>
  </si>
  <si>
    <t xml:space="preserve">Fenwick Blackwood</t>
  </si>
  <si>
    <t xml:space="preserve">GW3GSZ0SXAYMM0SME</t>
  </si>
  <si>
    <t xml:space="preserve">CANON-202508-000365</t>
  </si>
  <si>
    <t xml:space="preserve">Callum Ashcombe</t>
  </si>
  <si>
    <t xml:space="preserve">5EXP40NCU5EMVKJWC</t>
  </si>
  <si>
    <t xml:space="preserve">CANON-202508-000367</t>
  </si>
  <si>
    <t xml:space="preserve">Priya Montoya</t>
  </si>
  <si>
    <t xml:space="preserve">AV6GGKE8U1DDH09BZ</t>
  </si>
  <si>
    <t xml:space="preserve">CANON-202508-000370</t>
  </si>
  <si>
    <t xml:space="preserve">9NK6AN6H3LPALTJNJ</t>
  </si>
  <si>
    <t xml:space="preserve">CANON-202508-000371</t>
  </si>
  <si>
    <t xml:space="preserve">1AV81TYJW4AUUVWJV</t>
  </si>
  <si>
    <t xml:space="preserve">CANON-202508-000372</t>
  </si>
  <si>
    <t xml:space="preserve">Leopold Harrington</t>
  </si>
  <si>
    <t xml:space="preserve">JAWCUGB5LHJF084HE</t>
  </si>
  <si>
    <t xml:space="preserve">CANON-202508-000373</t>
  </si>
  <si>
    <t xml:space="preserve">KCN3VP894LCHCL71E</t>
  </si>
  <si>
    <t xml:space="preserve">CANON-202508-000374</t>
  </si>
  <si>
    <t xml:space="preserve">Ramona Fairweather</t>
  </si>
  <si>
    <t xml:space="preserve">2E0SK8APSHN56ZM16</t>
  </si>
  <si>
    <t xml:space="preserve">CANON-202508-000375</t>
  </si>
  <si>
    <t xml:space="preserve">8H7MGW8S0UKB4U3DC</t>
  </si>
  <si>
    <t xml:space="preserve">CANON-202508-000377</t>
  </si>
  <si>
    <t xml:space="preserve">Desmond Ashcombe</t>
  </si>
  <si>
    <t xml:space="preserve">J6KV5Y1VV6JR5RCZW</t>
  </si>
  <si>
    <t xml:space="preserve">CANON-202508-000378</t>
  </si>
  <si>
    <t xml:space="preserve">Aurelio Chattopadhyay</t>
  </si>
  <si>
    <t xml:space="preserve">RGH64CLND5KM44TKD</t>
  </si>
  <si>
    <t xml:space="preserve">CANON-202508-000379</t>
  </si>
  <si>
    <t xml:space="preserve">Ingrid Chattopadhyay</t>
  </si>
  <si>
    <t xml:space="preserve">PSFE3L7C9EBS2TEPE</t>
  </si>
  <si>
    <t xml:space="preserve">CANON-202508-000382</t>
  </si>
  <si>
    <t xml:space="preserve">BYHV60ZRMFJEBAK1N</t>
  </si>
  <si>
    <t xml:space="preserve">CANON-202508-000385</t>
  </si>
  <si>
    <t xml:space="preserve">Delphine Montoya</t>
  </si>
  <si>
    <t xml:space="preserve">MKMWUXL15S515NVV4</t>
  </si>
  <si>
    <t xml:space="preserve">CANON-202508-000386</t>
  </si>
  <si>
    <t xml:space="preserve">Leopold Vandermeer</t>
  </si>
  <si>
    <t xml:space="preserve">WL72H6AN5WHN94EPW</t>
  </si>
  <si>
    <t xml:space="preserve">CANON-202508-000387</t>
  </si>
  <si>
    <t xml:space="preserve">Beatrix Ashcombe</t>
  </si>
  <si>
    <t xml:space="preserve">MDG0XXT4F50AAC6H4</t>
  </si>
  <si>
    <t xml:space="preserve">CANON-202508-000389</t>
  </si>
  <si>
    <t xml:space="preserve">Aurelio Merriweather</t>
  </si>
  <si>
    <t xml:space="preserve">TLDD65126AAU6250R</t>
  </si>
  <si>
    <t xml:space="preserve">CANON-202508-000390</t>
  </si>
  <si>
    <t xml:space="preserve">Wilhelmina Castellanos</t>
  </si>
  <si>
    <t xml:space="preserve">8STD4K6DGFVSLN7HY</t>
  </si>
  <si>
    <t xml:space="preserve">CANON-202508-000391</t>
  </si>
  <si>
    <t xml:space="preserve">Saoirse Farkas</t>
  </si>
  <si>
    <t xml:space="preserve">JBEJ97GL2PWGE53VL</t>
  </si>
  <si>
    <t xml:space="preserve">CANON-202508-000392</t>
  </si>
  <si>
    <t xml:space="preserve">Aurelio Nakashima</t>
  </si>
  <si>
    <t xml:space="preserve">RNE9RB1PM0RFN2GT7</t>
  </si>
  <si>
    <t xml:space="preserve">CANON-202508-000394</t>
  </si>
  <si>
    <t xml:space="preserve">Z35YSNKLZ0W4TCFP1</t>
  </si>
  <si>
    <t xml:space="preserve">CANON-202508-000396</t>
  </si>
  <si>
    <t xml:space="preserve">5A3CV23H9NSAM0C8K</t>
  </si>
  <si>
    <t xml:space="preserve">CANON-202508-000397</t>
  </si>
  <si>
    <t xml:space="preserve">Priya Harrington</t>
  </si>
  <si>
    <t xml:space="preserve">RUDE7YFF8NC874B4P</t>
  </si>
  <si>
    <t xml:space="preserve">CANON-202508-000399</t>
  </si>
  <si>
    <t xml:space="preserve">Noor Kingsford</t>
  </si>
  <si>
    <t xml:space="preserve">F57C3UM5FF3F93VDS</t>
  </si>
  <si>
    <t xml:space="preserve">CANON-202508-000400</t>
  </si>
  <si>
    <t xml:space="preserve">Leopold Underwood</t>
  </si>
  <si>
    <t xml:space="preserve">LRGAG3W19HCD40C24</t>
  </si>
  <si>
    <t xml:space="preserve">CANON-202508-000401</t>
  </si>
  <si>
    <t xml:space="preserve">Emiliano Kingsford</t>
  </si>
  <si>
    <t xml:space="preserve">VPUWUA4872RK4CPS0</t>
  </si>
  <si>
    <t xml:space="preserve">CANON-202508-000405</t>
  </si>
  <si>
    <t xml:space="preserve">Ottilie Fairweather</t>
  </si>
  <si>
    <t xml:space="preserve">YKSXA0PPLN0VCDBLN</t>
  </si>
  <si>
    <t xml:space="preserve">CANON-202508-000407</t>
  </si>
  <si>
    <t xml:space="preserve">HVKG5TCGXWTSWU78T</t>
  </si>
  <si>
    <t xml:space="preserve">CANON-202508-000408</t>
  </si>
  <si>
    <t xml:space="preserve">Horace Ashcombe</t>
  </si>
  <si>
    <t xml:space="preserve">W7D46JNDSKR1U9T50</t>
  </si>
  <si>
    <t xml:space="preserve">CANON-202508-000409</t>
  </si>
  <si>
    <t xml:space="preserve">Beatrix Whitlock</t>
  </si>
  <si>
    <t xml:space="preserve">Z0SVB65JSR836DJ4Z</t>
  </si>
  <si>
    <t xml:space="preserve">CANON-202508-000410</t>
  </si>
  <si>
    <t xml:space="preserve">Horace Vasquez</t>
  </si>
  <si>
    <t xml:space="preserve">J232AYXDL7YR8UCLZ</t>
  </si>
  <si>
    <t xml:space="preserve">CANON-202508-000411</t>
  </si>
  <si>
    <t xml:space="preserve">Aurelio Underwood</t>
  </si>
  <si>
    <t xml:space="preserve">C677TGEVKJKJJM6EK</t>
  </si>
  <si>
    <t xml:space="preserve">CANON-202508-000413</t>
  </si>
  <si>
    <t xml:space="preserve">ZADYT00ADEY4AJPHK</t>
  </si>
  <si>
    <t xml:space="preserve">CANON-202508-000415</t>
  </si>
  <si>
    <t xml:space="preserve">Mireille Chattopadhyay</t>
  </si>
  <si>
    <t xml:space="preserve">1U8KCGKM78MTR0AE0</t>
  </si>
  <si>
    <t xml:space="preserve">CANON-202508-000416</t>
  </si>
  <si>
    <t xml:space="preserve">44D45K0UTV2JC9MC4</t>
  </si>
  <si>
    <t xml:space="preserve">CANON-202508-000418</t>
  </si>
  <si>
    <t xml:space="preserve">Fitzgerald Bellandi</t>
  </si>
  <si>
    <t xml:space="preserve">9YDBHEH6J4GFXUCL6</t>
  </si>
  <si>
    <t xml:space="preserve">CANON-202508-000419</t>
  </si>
  <si>
    <t xml:space="preserve">Emiliano Farkas</t>
  </si>
  <si>
    <t xml:space="preserve">D7C5WP05W10M6LVYZ</t>
  </si>
  <si>
    <t xml:space="preserve">CANON-202508-000420</t>
  </si>
  <si>
    <t xml:space="preserve">0BML7U7HCV3G9SC66</t>
  </si>
  <si>
    <t xml:space="preserve">CANON-202508-000421</t>
  </si>
  <si>
    <t xml:space="preserve">Everett Thistlewood</t>
  </si>
  <si>
    <t xml:space="preserve">M6WE2Y4FDP6NUZLC8</t>
  </si>
  <si>
    <t xml:space="preserve">CANON-202508-000423</t>
  </si>
  <si>
    <t xml:space="preserve">Beatrix Kingsford</t>
  </si>
  <si>
    <t xml:space="preserve">XJSMLD3THGLZ7MHNZ</t>
  </si>
  <si>
    <t xml:space="preserve">CANON-202508-000424</t>
  </si>
  <si>
    <t xml:space="preserve">Noor Blackwood</t>
  </si>
  <si>
    <t xml:space="preserve">WKFH7EHZPZGY1TK3R</t>
  </si>
  <si>
    <t xml:space="preserve">CANON-202508-000425</t>
  </si>
  <si>
    <t xml:space="preserve">JFSMKUDUV49Z728FJ</t>
  </si>
  <si>
    <t xml:space="preserve">CANON-202508-000428</t>
  </si>
  <si>
    <t xml:space="preserve">Callum Whitlock</t>
  </si>
  <si>
    <t xml:space="preserve">DX53KY92F7Z3PT4W0</t>
  </si>
  <si>
    <t xml:space="preserve">CANON-202508-000429</t>
  </si>
  <si>
    <t xml:space="preserve">Marisol Underwood</t>
  </si>
  <si>
    <t xml:space="preserve">NYA1504JE4703WT43</t>
  </si>
  <si>
    <t xml:space="preserve">CANON-202508-000430</t>
  </si>
  <si>
    <t xml:space="preserve">RDJ0C5ND14TS64LR5</t>
  </si>
  <si>
    <t xml:space="preserve">CANON-202508-000432</t>
  </si>
  <si>
    <t xml:space="preserve">Sunniva Castellanos</t>
  </si>
  <si>
    <t xml:space="preserve">P9JCMDM6Y80FWNYLM</t>
  </si>
  <si>
    <t xml:space="preserve">CANON-202508-000433</t>
  </si>
  <si>
    <t xml:space="preserve">Y6PZBZH8XM43SR150</t>
  </si>
  <si>
    <t xml:space="preserve">CANON-202508-000434</t>
  </si>
  <si>
    <t xml:space="preserve">Ramona Underwood</t>
  </si>
  <si>
    <t xml:space="preserve">MEYUEPFG6YZ3MRTUV</t>
  </si>
  <si>
    <t xml:space="preserve">CANON-202508-000435</t>
  </si>
  <si>
    <t xml:space="preserve">Thaddeus Larsson</t>
  </si>
  <si>
    <t xml:space="preserve">8BPU44W618CV78YHF</t>
  </si>
  <si>
    <t xml:space="preserve">CANON-202508-000436</t>
  </si>
  <si>
    <t xml:space="preserve">3DPSRD60ABX1LLF2U</t>
  </si>
  <si>
    <t xml:space="preserve">CANON-202508-000437</t>
  </si>
  <si>
    <t xml:space="preserve">Ramona Vasquez</t>
  </si>
  <si>
    <t xml:space="preserve">RD9LF12882UZZ4A0X</t>
  </si>
  <si>
    <t xml:space="preserve">CANON-202508-000438</t>
  </si>
  <si>
    <t xml:space="preserve">Wilhelmina Vandermeer</t>
  </si>
  <si>
    <t xml:space="preserve">SXCJT474JU7AWEYJC</t>
  </si>
  <si>
    <t xml:space="preserve">CANON-202508-000440</t>
  </si>
  <si>
    <t xml:space="preserve">Fitzgerald Blackwood</t>
  </si>
  <si>
    <t xml:space="preserve">JE1DFVAT7JPGGN9H1</t>
  </si>
  <si>
    <t xml:space="preserve">CANON-202508-000441</t>
  </si>
  <si>
    <t xml:space="preserve">T7VYUECD0ERW7311S</t>
  </si>
  <si>
    <t xml:space="preserve">CANON-202508-000442</t>
  </si>
  <si>
    <t xml:space="preserve">Saoirse Whitlock</t>
  </si>
  <si>
    <t xml:space="preserve">N8RVTF75NRFKG7F2K</t>
  </si>
  <si>
    <t xml:space="preserve">CANON-202508-000444</t>
  </si>
  <si>
    <t xml:space="preserve">Priya Rourke</t>
  </si>
  <si>
    <t xml:space="preserve">S4R63D6U7SSAMWRP6</t>
  </si>
  <si>
    <t xml:space="preserve">CANON-202508-000445</t>
  </si>
  <si>
    <t xml:space="preserve">4DVMNU4C5KNYRMVSU</t>
  </si>
  <si>
    <t xml:space="preserve">CANON-202508-000446</t>
  </si>
  <si>
    <t xml:space="preserve">3J2U8L7YAWBVNTG76</t>
  </si>
  <si>
    <t xml:space="preserve">CANON-202508-000448</t>
  </si>
  <si>
    <t xml:space="preserve">Delphine Fairweather</t>
  </si>
  <si>
    <t xml:space="preserve">BUSX15DNFG0KCXL4X</t>
  </si>
  <si>
    <t xml:space="preserve">CANON-202508-000449</t>
  </si>
  <si>
    <t xml:space="preserve">W4R2UGX1775DSPSN6</t>
  </si>
  <si>
    <t xml:space="preserve">CANON-202508-000450</t>
  </si>
  <si>
    <t xml:space="preserve">Fenwick Fairweather</t>
  </si>
  <si>
    <t xml:space="preserve">CRBXARYLRD86FFL4J</t>
  </si>
  <si>
    <t xml:space="preserve">CANON-202508-000452</t>
  </si>
  <si>
    <t xml:space="preserve">Ottilie Merriweather</t>
  </si>
  <si>
    <t xml:space="preserve">B64X85CWDWBX0DUBS</t>
  </si>
  <si>
    <t xml:space="preserve">CANON-202508-000454</t>
  </si>
  <si>
    <t xml:space="preserve">LATP5A3NDBHV5JYZV</t>
  </si>
  <si>
    <t xml:space="preserve">CANON-202508-000457</t>
  </si>
  <si>
    <t xml:space="preserve">Aurelio Whitlock</t>
  </si>
  <si>
    <t xml:space="preserve">2J5KK6HZWULKV4E42</t>
  </si>
  <si>
    <t xml:space="preserve">CANON-202508-000458</t>
  </si>
  <si>
    <t xml:space="preserve">N0P4169ALHJ0NNLVF</t>
  </si>
  <si>
    <t xml:space="preserve">CANON-202508-000460</t>
  </si>
  <si>
    <t xml:space="preserve">Mireille Thistlewood</t>
  </si>
  <si>
    <t xml:space="preserve">82UD19PBNM1YNNEB0</t>
  </si>
  <si>
    <t xml:space="preserve">CANON-202508-000461</t>
  </si>
  <si>
    <t xml:space="preserve">Fitzgerald Vasquez</t>
  </si>
  <si>
    <t xml:space="preserve">TVD6EDNTW86ZX63TT</t>
  </si>
  <si>
    <t xml:space="preserve">CANON-202508-000462</t>
  </si>
  <si>
    <t xml:space="preserve">Anouk Ashcombe</t>
  </si>
  <si>
    <t xml:space="preserve">9HFMP2S78E69LBACJ</t>
  </si>
  <si>
    <t xml:space="preserve">CANON-202508-000463</t>
  </si>
  <si>
    <t xml:space="preserve">LBESMTKF6D6GPMV20</t>
  </si>
  <si>
    <t xml:space="preserve">CANON-202508-000464</t>
  </si>
  <si>
    <t xml:space="preserve">Cassius Vasquez</t>
  </si>
  <si>
    <t xml:space="preserve">4ZBL6GBAAC72NTJX4</t>
  </si>
  <si>
    <t xml:space="preserve">CANON-202508-000465</t>
  </si>
  <si>
    <t xml:space="preserve">M2VXD5KN1XRRE1HWJ</t>
  </si>
  <si>
    <t xml:space="preserve">CANON-202508-000466</t>
  </si>
  <si>
    <t xml:space="preserve">Cassius Underwood</t>
  </si>
  <si>
    <t xml:space="preserve">3PNR3UWRRYY3RLSV4</t>
  </si>
  <si>
    <t xml:space="preserve">CANON-202508-000467</t>
  </si>
  <si>
    <t xml:space="preserve">FWGSD7TLPC1F390B0</t>
  </si>
  <si>
    <t xml:space="preserve">CANON-202508-000471</t>
  </si>
  <si>
    <t xml:space="preserve">Emiliano Castellanos</t>
  </si>
  <si>
    <t xml:space="preserve">6RLMFMDYGL1HZJJ7W</t>
  </si>
  <si>
    <t xml:space="preserve">CANON-202508-000472</t>
  </si>
  <si>
    <t xml:space="preserve">KW6LKVCE88282R90X</t>
  </si>
  <si>
    <t xml:space="preserve">CANON-202508-000474</t>
  </si>
  <si>
    <t xml:space="preserve">T4GHPV6LCY0XDPZ5X</t>
  </si>
  <si>
    <t xml:space="preserve">CANON-202508-000475</t>
  </si>
  <si>
    <t xml:space="preserve">KZ5EDEM991L454DYZ</t>
  </si>
  <si>
    <t xml:space="preserve">CANON-202508-000476</t>
  </si>
  <si>
    <t xml:space="preserve">73GY0NXR6U640LL2A</t>
  </si>
  <si>
    <t xml:space="preserve">CANON-202508-000478</t>
  </si>
  <si>
    <t xml:space="preserve">Ramona Larsson</t>
  </si>
  <si>
    <t xml:space="preserve">XKRGS1YDEG9C487C4</t>
  </si>
  <si>
    <t xml:space="preserve">CANON-202508-000479</t>
  </si>
  <si>
    <t xml:space="preserve">7996049DDNRN5J5Y2</t>
  </si>
  <si>
    <t xml:space="preserve">CANON-202508-000480</t>
  </si>
  <si>
    <t xml:space="preserve">Anouk Merriweather</t>
  </si>
  <si>
    <t xml:space="preserve">BRAPN7P4PJ9ZW184G</t>
  </si>
  <si>
    <t xml:space="preserve">CANON-202508-000481</t>
  </si>
  <si>
    <t xml:space="preserve">Delphine Farkas</t>
  </si>
  <si>
    <t xml:space="preserve">N6JMS10DH6S32T5CU</t>
  </si>
  <si>
    <t xml:space="preserve">CANON-202508-000482</t>
  </si>
  <si>
    <t xml:space="preserve">Anouk Farkas</t>
  </si>
  <si>
    <t xml:space="preserve">2V9HSD8NMMUMF8L7V</t>
  </si>
  <si>
    <t xml:space="preserve">CANON-202508-000485</t>
  </si>
  <si>
    <t xml:space="preserve">2R329SR0X110X24R8</t>
  </si>
  <si>
    <t xml:space="preserve">CANON-202508-000487</t>
  </si>
  <si>
    <t xml:space="preserve">9HCFRKBRTVL8UAP4V</t>
  </si>
  <si>
    <t xml:space="preserve">CANON-202508-000488</t>
  </si>
  <si>
    <t xml:space="preserve">Anouk Vasquez</t>
  </si>
  <si>
    <t xml:space="preserve">VUKN2YGML22T34D32</t>
  </si>
  <si>
    <t xml:space="preserve">CANON-202508-000491</t>
  </si>
  <si>
    <t xml:space="preserve">Saoirse Vasquez</t>
  </si>
  <si>
    <t xml:space="preserve">X86V9HACASBCDH5KE</t>
  </si>
  <si>
    <t xml:space="preserve">CANON-202508-000492</t>
  </si>
  <si>
    <t xml:space="preserve">Beatrix Vandermeer</t>
  </si>
  <si>
    <t xml:space="preserve">NKPXA8T0G59RABLEG</t>
  </si>
  <si>
    <t xml:space="preserve">CANON-202508-000493</t>
  </si>
  <si>
    <t xml:space="preserve">ZHPZUP587MT0GXCME</t>
  </si>
  <si>
    <t xml:space="preserve">CANON-202508-000495</t>
  </si>
  <si>
    <t xml:space="preserve">Cassius Vandermeer</t>
  </si>
  <si>
    <t xml:space="preserve">4RSLKFX7NYLCCR3BJ</t>
  </si>
  <si>
    <t xml:space="preserve">CANON-202508-000496</t>
  </si>
  <si>
    <t xml:space="preserve">RAHUMMJ2HSMNGN4WT</t>
  </si>
  <si>
    <t xml:space="preserve">CANON-202508-000498</t>
  </si>
  <si>
    <t xml:space="preserve">Ottilie Rourke</t>
  </si>
  <si>
    <t xml:space="preserve">7X9XU4LSFU7UYYAD6</t>
  </si>
  <si>
    <t xml:space="preserve">Rhode Island</t>
  </si>
  <si>
    <t xml:space="preserve">CANON-202508-000499</t>
  </si>
  <si>
    <t xml:space="preserve">60G8TMG5XUKYCMTDU</t>
  </si>
  <si>
    <t xml:space="preserve">CANON-202508-000500</t>
  </si>
  <si>
    <t xml:space="preserve">ET9JKDLSXHRB678JC</t>
  </si>
  <si>
    <t xml:space="preserve">CANON-202508-000501</t>
  </si>
  <si>
    <t xml:space="preserve">S0BE230Z8ESW1LGU5</t>
  </si>
  <si>
    <t xml:space="preserve">CANON-202508-000504</t>
  </si>
  <si>
    <t xml:space="preserve">Marisol Delacroix</t>
  </si>
  <si>
    <t xml:space="preserve">FH71KV6D0HVUZZ3TM</t>
  </si>
  <si>
    <t xml:space="preserve">CANON-202508-000505</t>
  </si>
  <si>
    <t xml:space="preserve">Sunniva Okonkwo</t>
  </si>
  <si>
    <t xml:space="preserve">RF1MZFY3M82AFTWVY</t>
  </si>
  <si>
    <t xml:space="preserve">CANON-202508-000507</t>
  </si>
  <si>
    <t xml:space="preserve">FDWL1JK2469F9VHVM</t>
  </si>
  <si>
    <t xml:space="preserve">CANON-202508-000508</t>
  </si>
  <si>
    <t xml:space="preserve">WDBSJZPRT84HBPRBF</t>
  </si>
  <si>
    <t xml:space="preserve">CANON-202508-000509</t>
  </si>
  <si>
    <t xml:space="preserve">Beatrix Harrington</t>
  </si>
  <si>
    <t xml:space="preserve">YSR626TP232F3D878</t>
  </si>
  <si>
    <t xml:space="preserve">CANON-202508-000510</t>
  </si>
  <si>
    <t xml:space="preserve">Priya Blackwood</t>
  </si>
  <si>
    <t xml:space="preserve">G7BM96VXN3Z8N2THA</t>
  </si>
  <si>
    <t xml:space="preserve">CANON-202508-000511</t>
  </si>
  <si>
    <t xml:space="preserve">Horace Montoya</t>
  </si>
  <si>
    <t xml:space="preserve">HSL9327V0LJW0P2Y5</t>
  </si>
  <si>
    <t xml:space="preserve">CANON-202508-000512</t>
  </si>
  <si>
    <t xml:space="preserve">7GXL7R2GFKUFN1C4V</t>
  </si>
  <si>
    <t xml:space="preserve">CANON-202508-000514</t>
  </si>
  <si>
    <t xml:space="preserve">VGXLNZ3YUBMYL9BUT</t>
  </si>
  <si>
    <t xml:space="preserve">CANON-202508-000515</t>
  </si>
  <si>
    <t xml:space="preserve">Thaddeus Vandermeer</t>
  </si>
  <si>
    <t xml:space="preserve">8ZJ19RS7HUBXGCUHU</t>
  </si>
  <si>
    <t xml:space="preserve">CANON-202508-000517</t>
  </si>
  <si>
    <t xml:space="preserve">XMM0WHVM3WYD4MPLM</t>
  </si>
  <si>
    <t xml:space="preserve">CANON-202508-000520</t>
  </si>
  <si>
    <t xml:space="preserve">XJE5CH6FM6HWL0UJ1</t>
  </si>
  <si>
    <t xml:space="preserve">CANON-202508-000521</t>
  </si>
  <si>
    <t xml:space="preserve">Ingrid Rourke</t>
  </si>
  <si>
    <t xml:space="preserve">RHWVHNNTMRAB2Z8MJ</t>
  </si>
  <si>
    <t xml:space="preserve">CANON-202508-000522</t>
  </si>
  <si>
    <t xml:space="preserve">2R9WF9DGNWSNP1880</t>
  </si>
  <si>
    <t xml:space="preserve">CANON-202508-000523</t>
  </si>
  <si>
    <t xml:space="preserve">26N8BL6P103MHJRCF</t>
  </si>
  <si>
    <t xml:space="preserve">CANON-202508-000524</t>
  </si>
  <si>
    <t xml:space="preserve">RC4A906ZGK2P3EU5G</t>
  </si>
  <si>
    <t xml:space="preserve">CANON-202508-000525</t>
  </si>
  <si>
    <t xml:space="preserve">RL31S366MERYZK62P</t>
  </si>
  <si>
    <t xml:space="preserve">CANON-202508-000526</t>
  </si>
  <si>
    <t xml:space="preserve">TGYKR43VG4LNWXKSH</t>
  </si>
  <si>
    <t xml:space="preserve">CANON-202508-000528</t>
  </si>
  <si>
    <t xml:space="preserve">Marisol Pennington</t>
  </si>
  <si>
    <t xml:space="preserve">3P77EV5VX0D7VLJRV</t>
  </si>
  <si>
    <t xml:space="preserve">CANON-202508-000529</t>
  </si>
  <si>
    <t xml:space="preserve">Beatrix Montoya</t>
  </si>
  <si>
    <t xml:space="preserve">3ZHWPMSJ8V5EXU9BN</t>
  </si>
  <si>
    <t xml:space="preserve">CANON-202508-000531</t>
  </si>
  <si>
    <t xml:space="preserve">EA4EENES6W1D3EA7L</t>
  </si>
  <si>
    <t xml:space="preserve">CANON-202508-000533</t>
  </si>
  <si>
    <t xml:space="preserve">A947P99XPRTJWYCGK</t>
  </si>
  <si>
    <t xml:space="preserve">CANON-202508-000534</t>
  </si>
  <si>
    <t xml:space="preserve">AW72CCPMKA9WK3A5A</t>
  </si>
  <si>
    <t xml:space="preserve">CANON-202508-000535</t>
  </si>
  <si>
    <t xml:space="preserve">Thaddeus Castellanos</t>
  </si>
  <si>
    <t xml:space="preserve">L4RGPW7W4FP4B637C</t>
  </si>
  <si>
    <t xml:space="preserve">CANON-202508-000537</t>
  </si>
  <si>
    <t xml:space="preserve">Ramona Bellandi</t>
  </si>
  <si>
    <t xml:space="preserve">D8A6EGMJUL1HUS10J</t>
  </si>
  <si>
    <t xml:space="preserve">CANON-202508-000538</t>
  </si>
  <si>
    <t xml:space="preserve">Ottilie Harrington</t>
  </si>
  <si>
    <t xml:space="preserve">AKBGDVS1A68VJAKHY</t>
  </si>
  <si>
    <t xml:space="preserve">CANON-202508-000539</t>
  </si>
  <si>
    <t xml:space="preserve">Noor Castellanos</t>
  </si>
  <si>
    <t xml:space="preserve">1JTNA94YF18PSAR2P</t>
  </si>
  <si>
    <t xml:space="preserve">CANON-202508-000540</t>
  </si>
  <si>
    <t xml:space="preserve">Sunniva Bellandi</t>
  </si>
  <si>
    <t xml:space="preserve">930X07E8G8CR1A4CC</t>
  </si>
  <si>
    <t xml:space="preserve">CANON-202508-000543</t>
  </si>
  <si>
    <t xml:space="preserve">P44SZHXYCP82MYFB7</t>
  </si>
  <si>
    <t xml:space="preserve">CANON-202508-000544</t>
  </si>
  <si>
    <t xml:space="preserve">Ottilie Whitlock</t>
  </si>
  <si>
    <t xml:space="preserve">GS5XMSYT2HSCYTNKT</t>
  </si>
  <si>
    <t xml:space="preserve">CANON-202508-000546</t>
  </si>
  <si>
    <t xml:space="preserve">EN0UBBTR92PVNE0YX</t>
  </si>
  <si>
    <t xml:space="preserve">CANON-202508-000548</t>
  </si>
  <si>
    <t xml:space="preserve">Anouk Nakashima</t>
  </si>
  <si>
    <t xml:space="preserve">NAP31AJFRAUDC8G3N</t>
  </si>
  <si>
    <t xml:space="preserve">CANON-202508-000549</t>
  </si>
  <si>
    <t xml:space="preserve">6TVMNXZDGZBSN25K9</t>
  </si>
  <si>
    <t xml:space="preserve">CANON-202508-000550</t>
  </si>
  <si>
    <t xml:space="preserve">BVMJNHDNGT5SRXT7B</t>
  </si>
  <si>
    <t xml:space="preserve">CANON-202508-000553</t>
  </si>
  <si>
    <t xml:space="preserve">CEMFFK4JXJMU3609H</t>
  </si>
  <si>
    <t xml:space="preserve">CANON-202508-000554</t>
  </si>
  <si>
    <t xml:space="preserve">Fitzgerald Fairweather</t>
  </si>
  <si>
    <t xml:space="preserve">JPHCAFDMRGS5L8S4X</t>
  </si>
  <si>
    <t xml:space="preserve">CANON-202508-000556</t>
  </si>
  <si>
    <t xml:space="preserve">Cassius Chattopadhyay</t>
  </si>
  <si>
    <t xml:space="preserve">T8X8RKK277TZUR6A2</t>
  </si>
  <si>
    <t xml:space="preserve">CANON-202508-000557</t>
  </si>
  <si>
    <t xml:space="preserve">Ingrid Underwood</t>
  </si>
  <si>
    <t xml:space="preserve">BH88HSGH90G9MYUCK</t>
  </si>
  <si>
    <t xml:space="preserve">CANON-202508-000558</t>
  </si>
  <si>
    <t xml:space="preserve">SK0E730DCSLDRJTP2</t>
  </si>
  <si>
    <t xml:space="preserve">CANON-202508-000559</t>
  </si>
  <si>
    <t xml:space="preserve">Lorenzo Whitlock</t>
  </si>
  <si>
    <t xml:space="preserve">HV9TEJMUJRDCTC38R</t>
  </si>
  <si>
    <t xml:space="preserve">CANON-202508-000560</t>
  </si>
  <si>
    <t xml:space="preserve">Noor Larsson</t>
  </si>
  <si>
    <t xml:space="preserve">WUZ0ETBXK77L421ZA</t>
  </si>
  <si>
    <t xml:space="preserve">CANON-202508-000561</t>
  </si>
  <si>
    <t xml:space="preserve">T57XMF3GPUL5FW0YB</t>
  </si>
  <si>
    <t xml:space="preserve">CANON-202508-000563</t>
  </si>
  <si>
    <t xml:space="preserve">6DZCH1UAZ46RN7PK6</t>
  </si>
  <si>
    <t xml:space="preserve">CANON-202508-000564</t>
  </si>
  <si>
    <t xml:space="preserve">Horace Larsson</t>
  </si>
  <si>
    <t xml:space="preserve">BLKYZX0C592Y7BKZ8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</si>
  <si>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</si>
  <si>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</si>
  <si>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</si>
  <si>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</si>
  <si>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2025-08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</si>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</sst>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4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1984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190000</v>
      </c>
      <c r="K5" s="3" t="s">
        <v>48</v>
      </c>
      <c r="L5" s="7" t="n">
        <v>3199.17</v>
      </c>
      <c r="M5" s="7" t="n">
        <v>399.9</v>
      </c>
      <c r="N5" s="7" t="n">
        <v>399.9</v>
      </c>
      <c r="O5" s="7" t="n">
        <v>2399.4</v>
      </c>
      <c r="P5" s="7" t="n">
        <v>239.94</v>
      </c>
      <c r="Q5" s="7" t="n">
        <v>239.94</v>
      </c>
      <c r="R5" s="7" t="n">
        <v>239.94</v>
      </c>
      <c r="S5" s="7" t="n">
        <v>239.94</v>
      </c>
      <c r="T5" s="7" t="n">
        <v>239.94</v>
      </c>
      <c r="U5" s="7" t="n">
        <v>239.94</v>
      </c>
      <c r="V5" s="7" t="n">
        <v>239.94</v>
      </c>
      <c r="W5" s="7" t="n">
        <v>239.94</v>
      </c>
      <c r="X5" s="7" t="n">
        <v>239.94</v>
      </c>
      <c r="Y5" s="7" t="n">
        <v>239.94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1957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570000</v>
      </c>
      <c r="K6" s="8" t="s">
        <v>57</v>
      </c>
      <c r="L6" s="9" t="n">
        <v>11953.87</v>
      </c>
      <c r="M6" s="9" t="n">
        <v>1494.23</v>
      </c>
      <c r="N6" s="9" t="n">
        <v>1494.23</v>
      </c>
      <c r="O6" s="9" t="n">
        <v>8965.4</v>
      </c>
      <c r="P6" s="9" t="n">
        <v>896.54</v>
      </c>
      <c r="Q6" s="9" t="n">
        <v>896.54</v>
      </c>
      <c r="R6" s="9" t="n">
        <v>896.54</v>
      </c>
      <c r="S6" s="9" t="n">
        <v>896.54</v>
      </c>
      <c r="T6" s="9" t="n">
        <v>896.54</v>
      </c>
      <c r="U6" s="9" t="n">
        <v>896.54</v>
      </c>
      <c r="V6" s="9" t="n">
        <v>896.54</v>
      </c>
      <c r="W6" s="9" t="n">
        <v>896.54</v>
      </c>
      <c r="X6" s="9" t="n">
        <v>896.54</v>
      </c>
      <c r="Y6" s="9" t="n">
        <v>896.54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1998</v>
      </c>
      <c r="F7" s="3" t="s">
        <v>53</v>
      </c>
      <c r="G7" s="3" t="s">
        <v>54</v>
      </c>
      <c r="H7" s="3" t="s">
        <v>62</v>
      </c>
      <c r="I7" s="3" t="s">
        <v>56</v>
      </c>
      <c r="J7" s="7" t="n">
        <v>750000</v>
      </c>
      <c r="K7" s="3" t="s">
        <v>63</v>
      </c>
      <c r="L7" s="7" t="n">
        <v>17073.11</v>
      </c>
      <c r="M7" s="7" t="n">
        <v>2134.14</v>
      </c>
      <c r="N7" s="7" t="n">
        <v>2134.14</v>
      </c>
      <c r="O7" s="7" t="n">
        <v>12804.8</v>
      </c>
      <c r="P7" s="7" t="n">
        <v>1280.48</v>
      </c>
      <c r="Q7" s="7" t="n">
        <v>1280.48</v>
      </c>
      <c r="R7" s="7" t="n">
        <v>1280.48</v>
      </c>
      <c r="S7" s="7" t="n">
        <v>1280.48</v>
      </c>
      <c r="T7" s="7" t="n">
        <v>1280.48</v>
      </c>
      <c r="U7" s="7" t="n">
        <v>1280.48</v>
      </c>
      <c r="V7" s="7" t="n">
        <v>1280.48</v>
      </c>
      <c r="W7" s="7" t="n">
        <v>1280.48</v>
      </c>
      <c r="X7" s="7" t="n">
        <v>1280.48</v>
      </c>
      <c r="Y7" s="7" t="n">
        <v>1280.48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64</v>
      </c>
      <c r="B8" s="8" t="s">
        <v>65</v>
      </c>
      <c r="C8" s="8" t="s">
        <v>66</v>
      </c>
      <c r="D8" s="8" t="s">
        <v>67</v>
      </c>
      <c r="E8" s="8" t="n">
        <v>2020</v>
      </c>
      <c r="F8" s="8" t="s">
        <v>53</v>
      </c>
      <c r="G8" s="8" t="s">
        <v>54</v>
      </c>
      <c r="H8" s="8" t="s">
        <v>68</v>
      </c>
      <c r="I8" s="8" t="s">
        <v>56</v>
      </c>
      <c r="J8" s="9" t="n">
        <v>605000</v>
      </c>
      <c r="K8" s="8" t="s">
        <v>69</v>
      </c>
      <c r="L8" s="9" t="n">
        <v>13880.75</v>
      </c>
      <c r="M8" s="9" t="n">
        <v>1735.09</v>
      </c>
      <c r="N8" s="9" t="n">
        <v>1735.09</v>
      </c>
      <c r="O8" s="9" t="n">
        <v>10410.6</v>
      </c>
      <c r="P8" s="9" t="n">
        <v>1041.06</v>
      </c>
      <c r="Q8" s="9" t="n">
        <v>1041.06</v>
      </c>
      <c r="R8" s="9" t="n">
        <v>1041.06</v>
      </c>
      <c r="S8" s="9" t="n">
        <v>1041.06</v>
      </c>
      <c r="T8" s="9" t="n">
        <v>1041.06</v>
      </c>
      <c r="U8" s="9" t="n">
        <v>1041.06</v>
      </c>
      <c r="V8" s="9" t="n">
        <v>1041.06</v>
      </c>
      <c r="W8" s="9" t="n">
        <v>1041.06</v>
      </c>
      <c r="X8" s="9" t="n">
        <v>1041.06</v>
      </c>
      <c r="Y8" s="9" t="n">
        <v>1041.06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70</v>
      </c>
      <c r="B9" s="3" t="s">
        <v>71</v>
      </c>
      <c r="C9" s="3" t="s">
        <v>72</v>
      </c>
      <c r="D9" s="3" t="s">
        <v>73</v>
      </c>
      <c r="E9" s="3" t="n">
        <v>2004</v>
      </c>
      <c r="F9" s="3" t="s">
        <v>53</v>
      </c>
      <c r="G9" s="3" t="s">
        <v>54</v>
      </c>
      <c r="H9" s="3" t="s">
        <v>74</v>
      </c>
      <c r="I9" s="3" t="s">
        <v>56</v>
      </c>
      <c r="J9" s="7" t="n">
        <v>1950000</v>
      </c>
      <c r="K9" s="3" t="s">
        <v>75</v>
      </c>
      <c r="L9" s="7" t="n">
        <v>40913.21</v>
      </c>
      <c r="M9" s="7" t="n">
        <v>5114.15</v>
      </c>
      <c r="N9" s="7" t="n">
        <v>5114.15</v>
      </c>
      <c r="O9" s="7" t="n">
        <v>30684.9</v>
      </c>
      <c r="P9" s="7" t="n">
        <v>3068.49</v>
      </c>
      <c r="Q9" s="7" t="n">
        <v>3068.49</v>
      </c>
      <c r="R9" s="7" t="n">
        <v>3068.49</v>
      </c>
      <c r="S9" s="7" t="n">
        <v>3068.49</v>
      </c>
      <c r="T9" s="7" t="n">
        <v>3068.49</v>
      </c>
      <c r="U9" s="7" t="n">
        <v>3068.49</v>
      </c>
      <c r="V9" s="7" t="n">
        <v>3068.49</v>
      </c>
      <c r="W9" s="7" t="n">
        <v>3068.49</v>
      </c>
      <c r="X9" s="7" t="n">
        <v>3068.49</v>
      </c>
      <c r="Y9" s="7" t="n">
        <v>3068.49</v>
      </c>
      <c r="Z9" s="7" t="n">
        <v>350</v>
      </c>
      <c r="AA9" s="7" t="n">
        <v>250</v>
      </c>
      <c r="AB9" s="7" t="n">
        <v>600</v>
      </c>
    </row>
    <row r="10" customFormat="false" ht="15" hidden="false" customHeight="false" outlineLevel="0" collapsed="false">
      <c r="A10" s="8" t="s">
        <v>76</v>
      </c>
      <c r="B10" s="8" t="s">
        <v>77</v>
      </c>
      <c r="C10" s="8" t="s">
        <v>78</v>
      </c>
      <c r="D10" s="8" t="s">
        <v>79</v>
      </c>
      <c r="E10" s="8" t="n">
        <v>2022</v>
      </c>
      <c r="F10" s="8" t="s">
        <v>80</v>
      </c>
      <c r="G10" s="8" t="s">
        <v>81</v>
      </c>
      <c r="H10" s="8" t="s">
        <v>82</v>
      </c>
      <c r="I10" s="8" t="s">
        <v>47</v>
      </c>
      <c r="J10" s="9" t="n">
        <v>1415000</v>
      </c>
      <c r="K10" s="8" t="s">
        <v>83</v>
      </c>
      <c r="L10" s="9" t="n">
        <v>19823.35</v>
      </c>
      <c r="M10" s="9" t="n">
        <v>2477.92</v>
      </c>
      <c r="N10" s="9" t="n">
        <v>2477.92</v>
      </c>
      <c r="O10" s="9" t="n">
        <v>14867.5</v>
      </c>
      <c r="P10" s="9" t="n">
        <v>1486.75</v>
      </c>
      <c r="Q10" s="9" t="n">
        <v>1486.75</v>
      </c>
      <c r="R10" s="9" t="n">
        <v>1486.75</v>
      </c>
      <c r="S10" s="9" t="n">
        <v>1486.75</v>
      </c>
      <c r="T10" s="9" t="n">
        <v>1486.75</v>
      </c>
      <c r="U10" s="9" t="n">
        <v>1486.75</v>
      </c>
      <c r="V10" s="9" t="n">
        <v>1486.75</v>
      </c>
      <c r="W10" s="9" t="n">
        <v>1486.75</v>
      </c>
      <c r="X10" s="9" t="n">
        <v>1486.75</v>
      </c>
      <c r="Y10" s="9" t="n">
        <v>1486.75</v>
      </c>
      <c r="Z10" s="9" t="n">
        <v>350</v>
      </c>
      <c r="AA10" s="9" t="n">
        <v>250</v>
      </c>
      <c r="AB10" s="9" t="n">
        <v>600</v>
      </c>
    </row>
    <row r="11" customFormat="false" ht="15" hidden="false" customHeight="false" outlineLevel="0" collapsed="false">
      <c r="A11" s="3" t="s">
        <v>84</v>
      </c>
      <c r="B11" s="3" t="s">
        <v>85</v>
      </c>
      <c r="C11" s="3" t="s">
        <v>86</v>
      </c>
      <c r="D11" s="3" t="s">
        <v>87</v>
      </c>
      <c r="E11" s="3" t="n">
        <v>1959</v>
      </c>
      <c r="F11" s="3" t="s">
        <v>88</v>
      </c>
      <c r="G11" s="3" t="s">
        <v>89</v>
      </c>
      <c r="H11" s="3" t="s">
        <v>90</v>
      </c>
      <c r="I11" s="3" t="s">
        <v>47</v>
      </c>
      <c r="J11" s="7" t="n">
        <v>380000</v>
      </c>
      <c r="K11" s="3" t="s">
        <v>91</v>
      </c>
      <c r="L11" s="7" t="n">
        <v>6883.02</v>
      </c>
      <c r="M11" s="7" t="n">
        <v>860.38</v>
      </c>
      <c r="N11" s="7" t="n">
        <v>860.38</v>
      </c>
      <c r="O11" s="7" t="n">
        <v>5162.3</v>
      </c>
      <c r="P11" s="7" t="n">
        <v>516.23</v>
      </c>
      <c r="Q11" s="7" t="n">
        <v>516.23</v>
      </c>
      <c r="R11" s="7" t="n">
        <v>516.23</v>
      </c>
      <c r="S11" s="7" t="n">
        <v>516.23</v>
      </c>
      <c r="T11" s="7" t="n">
        <v>516.23</v>
      </c>
      <c r="U11" s="7" t="n">
        <v>516.23</v>
      </c>
      <c r="V11" s="7" t="n">
        <v>516.23</v>
      </c>
      <c r="W11" s="7" t="n">
        <v>516.23</v>
      </c>
      <c r="X11" s="7" t="n">
        <v>516.23</v>
      </c>
      <c r="Y11" s="7" t="n">
        <v>516.23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92</v>
      </c>
      <c r="B12" s="8" t="s">
        <v>93</v>
      </c>
      <c r="C12" s="8" t="s">
        <v>94</v>
      </c>
      <c r="D12" s="8" t="s">
        <v>95</v>
      </c>
      <c r="E12" s="8" t="n">
        <v>1960</v>
      </c>
      <c r="F12" s="8" t="s">
        <v>53</v>
      </c>
      <c r="G12" s="8" t="s">
        <v>54</v>
      </c>
      <c r="H12" s="8" t="s">
        <v>96</v>
      </c>
      <c r="I12" s="8" t="s">
        <v>56</v>
      </c>
      <c r="J12" s="9" t="n">
        <v>1565000</v>
      </c>
      <c r="K12" s="8" t="s">
        <v>57</v>
      </c>
      <c r="L12" s="9" t="n">
        <v>27638.49</v>
      </c>
      <c r="M12" s="9" t="n">
        <v>3454.81</v>
      </c>
      <c r="N12" s="9" t="n">
        <v>3454.81</v>
      </c>
      <c r="O12" s="9" t="n">
        <v>20728.9</v>
      </c>
      <c r="P12" s="9" t="n">
        <v>2072.89</v>
      </c>
      <c r="Q12" s="9" t="n">
        <v>2072.89</v>
      </c>
      <c r="R12" s="9" t="n">
        <v>2072.89</v>
      </c>
      <c r="S12" s="9" t="n">
        <v>2072.89</v>
      </c>
      <c r="T12" s="9" t="n">
        <v>2072.89</v>
      </c>
      <c r="U12" s="9" t="n">
        <v>2072.89</v>
      </c>
      <c r="V12" s="9" t="n">
        <v>2072.89</v>
      </c>
      <c r="W12" s="9" t="n">
        <v>2072.89</v>
      </c>
      <c r="X12" s="9" t="n">
        <v>2072.89</v>
      </c>
      <c r="Y12" s="9" t="n">
        <v>2072.89</v>
      </c>
      <c r="Z12" s="9" t="n">
        <v>350</v>
      </c>
      <c r="AA12" s="9" t="n">
        <v>250</v>
      </c>
      <c r="AB12" s="9" t="n">
        <v>600</v>
      </c>
    </row>
    <row r="13" customFormat="false" ht="15" hidden="false" customHeight="false" outlineLevel="0" collapsed="false">
      <c r="A13" s="3" t="s">
        <v>97</v>
      </c>
      <c r="B13" s="3" t="s">
        <v>98</v>
      </c>
      <c r="C13" s="3" t="s">
        <v>86</v>
      </c>
      <c r="D13" s="3" t="s">
        <v>87</v>
      </c>
      <c r="E13" s="3" t="n">
        <v>1999</v>
      </c>
      <c r="F13" s="3" t="s">
        <v>99</v>
      </c>
      <c r="G13" s="3" t="s">
        <v>100</v>
      </c>
      <c r="H13" s="3" t="s">
        <v>101</v>
      </c>
      <c r="I13" s="3" t="s">
        <v>47</v>
      </c>
      <c r="J13" s="7" t="n">
        <v>520000</v>
      </c>
      <c r="K13" s="3" t="s">
        <v>102</v>
      </c>
      <c r="L13" s="7" t="n">
        <v>8673.21</v>
      </c>
      <c r="M13" s="7" t="n">
        <v>1084.15</v>
      </c>
      <c r="N13" s="7" t="n">
        <v>1084.15</v>
      </c>
      <c r="O13" s="7" t="n">
        <v>6504.9</v>
      </c>
      <c r="P13" s="7" t="n">
        <v>650.49</v>
      </c>
      <c r="Q13" s="7" t="n">
        <v>650.49</v>
      </c>
      <c r="R13" s="7" t="n">
        <v>650.49</v>
      </c>
      <c r="S13" s="7" t="n">
        <v>650.49</v>
      </c>
      <c r="T13" s="7" t="n">
        <v>650.49</v>
      </c>
      <c r="U13" s="7" t="n">
        <v>650.49</v>
      </c>
      <c r="V13" s="7" t="n">
        <v>650.49</v>
      </c>
      <c r="W13" s="7" t="n">
        <v>650.49</v>
      </c>
      <c r="X13" s="7" t="n">
        <v>650.49</v>
      </c>
      <c r="Y13" s="7" t="n">
        <v>650.49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103</v>
      </c>
      <c r="B14" s="8" t="s">
        <v>104</v>
      </c>
      <c r="C14" s="8" t="s">
        <v>86</v>
      </c>
      <c r="D14" s="8" t="s">
        <v>87</v>
      </c>
      <c r="E14" s="8" t="n">
        <v>2000</v>
      </c>
      <c r="F14" s="8" t="s">
        <v>105</v>
      </c>
      <c r="G14" s="8" t="s">
        <v>106</v>
      </c>
      <c r="H14" s="8" t="s">
        <v>107</v>
      </c>
      <c r="I14" s="8" t="s">
        <v>56</v>
      </c>
      <c r="J14" s="9" t="n">
        <v>1085000</v>
      </c>
      <c r="K14" s="8" t="s">
        <v>108</v>
      </c>
      <c r="L14" s="9" t="n">
        <v>18833.96</v>
      </c>
      <c r="M14" s="9" t="n">
        <v>2354.24</v>
      </c>
      <c r="N14" s="9" t="n">
        <v>2354.24</v>
      </c>
      <c r="O14" s="9" t="n">
        <v>14125.5</v>
      </c>
      <c r="P14" s="9" t="n">
        <v>1412.55</v>
      </c>
      <c r="Q14" s="9" t="n">
        <v>1412.55</v>
      </c>
      <c r="R14" s="9" t="n">
        <v>1412.55</v>
      </c>
      <c r="S14" s="9" t="n">
        <v>1412.55</v>
      </c>
      <c r="T14" s="9" t="n">
        <v>1412.55</v>
      </c>
      <c r="U14" s="9" t="n">
        <v>1412.55</v>
      </c>
      <c r="V14" s="9" t="n">
        <v>1412.55</v>
      </c>
      <c r="W14" s="9" t="n">
        <v>1412.55</v>
      </c>
      <c r="X14" s="9" t="n">
        <v>1412.55</v>
      </c>
      <c r="Y14" s="9" t="n">
        <v>1412.55</v>
      </c>
      <c r="Z14" s="9" t="n">
        <v>350</v>
      </c>
      <c r="AA14" s="9" t="n">
        <v>250</v>
      </c>
      <c r="AB14" s="9" t="n">
        <v>600</v>
      </c>
    </row>
    <row r="15" customFormat="false" ht="15" hidden="false" customHeight="false" outlineLevel="0" collapsed="false">
      <c r="A15" s="3" t="s">
        <v>109</v>
      </c>
      <c r="B15" s="3" t="s">
        <v>110</v>
      </c>
      <c r="C15" s="3" t="s">
        <v>111</v>
      </c>
      <c r="D15" s="3" t="s">
        <v>112</v>
      </c>
      <c r="E15" s="3" t="n">
        <v>1962</v>
      </c>
      <c r="F15" s="3" t="s">
        <v>105</v>
      </c>
      <c r="G15" s="3" t="s">
        <v>106</v>
      </c>
      <c r="H15" s="3" t="s">
        <v>113</v>
      </c>
      <c r="I15" s="3" t="s">
        <v>56</v>
      </c>
      <c r="J15" s="7" t="n">
        <v>360000</v>
      </c>
      <c r="K15" s="3" t="s">
        <v>63</v>
      </c>
      <c r="L15" s="7" t="n">
        <v>9920.38</v>
      </c>
      <c r="M15" s="7" t="n">
        <v>1240.05</v>
      </c>
      <c r="N15" s="7" t="n">
        <v>1240.05</v>
      </c>
      <c r="O15" s="7" t="n">
        <v>7440.3</v>
      </c>
      <c r="P15" s="7" t="n">
        <v>744.03</v>
      </c>
      <c r="Q15" s="7" t="n">
        <v>744.03</v>
      </c>
      <c r="R15" s="7" t="n">
        <v>744.03</v>
      </c>
      <c r="S15" s="7" t="n">
        <v>744.03</v>
      </c>
      <c r="T15" s="7" t="n">
        <v>744.03</v>
      </c>
      <c r="U15" s="7" t="n">
        <v>744.03</v>
      </c>
      <c r="V15" s="7" t="n">
        <v>744.03</v>
      </c>
      <c r="W15" s="7" t="n">
        <v>744.03</v>
      </c>
      <c r="X15" s="7" t="n">
        <v>744.03</v>
      </c>
      <c r="Y15" s="7" t="n">
        <v>744.03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114</v>
      </c>
      <c r="B16" s="8" t="s">
        <v>115</v>
      </c>
      <c r="C16" s="8" t="s">
        <v>116</v>
      </c>
      <c r="D16" s="8" t="s">
        <v>117</v>
      </c>
      <c r="E16" s="8" t="n">
        <v>1975</v>
      </c>
      <c r="F16" s="8" t="s">
        <v>99</v>
      </c>
      <c r="G16" s="8" t="s">
        <v>100</v>
      </c>
      <c r="H16" s="8" t="s">
        <v>118</v>
      </c>
      <c r="I16" s="8" t="s">
        <v>47</v>
      </c>
      <c r="J16" s="9" t="n">
        <v>495000</v>
      </c>
      <c r="K16" s="8" t="s">
        <v>119</v>
      </c>
      <c r="L16" s="9" t="n">
        <v>8755.9</v>
      </c>
      <c r="M16" s="9" t="n">
        <v>1094.49</v>
      </c>
      <c r="N16" s="9" t="n">
        <v>1094.49</v>
      </c>
      <c r="O16" s="9" t="n">
        <v>6566.9</v>
      </c>
      <c r="P16" s="9" t="n">
        <v>656.69</v>
      </c>
      <c r="Q16" s="9" t="n">
        <v>656.69</v>
      </c>
      <c r="R16" s="9" t="n">
        <v>656.69</v>
      </c>
      <c r="S16" s="9" t="n">
        <v>656.69</v>
      </c>
      <c r="T16" s="9" t="n">
        <v>656.69</v>
      </c>
      <c r="U16" s="9" t="n">
        <v>656.69</v>
      </c>
      <c r="V16" s="9" t="n">
        <v>656.69</v>
      </c>
      <c r="W16" s="9" t="n">
        <v>656.69</v>
      </c>
      <c r="X16" s="9" t="n">
        <v>656.69</v>
      </c>
      <c r="Y16" s="9" t="n">
        <v>656.69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120</v>
      </c>
      <c r="B17" s="3" t="s">
        <v>121</v>
      </c>
      <c r="C17" s="3" t="s">
        <v>42</v>
      </c>
      <c r="D17" s="3" t="s">
        <v>43</v>
      </c>
      <c r="E17" s="3" t="n">
        <v>2009</v>
      </c>
      <c r="F17" s="3" t="s">
        <v>122</v>
      </c>
      <c r="G17" s="3" t="s">
        <v>123</v>
      </c>
      <c r="H17" s="3" t="s">
        <v>124</v>
      </c>
      <c r="I17" s="3" t="s">
        <v>125</v>
      </c>
      <c r="J17" s="7" t="n">
        <v>520000</v>
      </c>
      <c r="K17" s="3" t="s">
        <v>126</v>
      </c>
      <c r="L17" s="7" t="n">
        <v>3541.89</v>
      </c>
      <c r="M17" s="7" t="n">
        <v>442.74</v>
      </c>
      <c r="N17" s="7" t="n">
        <v>442.74</v>
      </c>
      <c r="O17" s="7" t="n">
        <v>2656.4</v>
      </c>
      <c r="P17" s="7" t="n">
        <v>265.64</v>
      </c>
      <c r="Q17" s="7" t="n">
        <v>265.64</v>
      </c>
      <c r="R17" s="7" t="n">
        <v>265.64</v>
      </c>
      <c r="S17" s="7" t="n">
        <v>265.64</v>
      </c>
      <c r="T17" s="7" t="n">
        <v>265.64</v>
      </c>
      <c r="U17" s="7" t="n">
        <v>265.64</v>
      </c>
      <c r="V17" s="7" t="n">
        <v>265.64</v>
      </c>
      <c r="W17" s="7" t="n">
        <v>265.64</v>
      </c>
      <c r="X17" s="7" t="n">
        <v>265.64</v>
      </c>
      <c r="Y17" s="7" t="n">
        <v>265.64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127</v>
      </c>
      <c r="B18" s="8" t="s">
        <v>77</v>
      </c>
      <c r="C18" s="8" t="s">
        <v>128</v>
      </c>
      <c r="D18" s="8" t="s">
        <v>129</v>
      </c>
      <c r="E18" s="8" t="n">
        <v>1970</v>
      </c>
      <c r="F18" s="8" t="s">
        <v>80</v>
      </c>
      <c r="G18" s="8" t="s">
        <v>81</v>
      </c>
      <c r="H18" s="8" t="s">
        <v>130</v>
      </c>
      <c r="I18" s="8" t="s">
        <v>47</v>
      </c>
      <c r="J18" s="9" t="n">
        <v>520000</v>
      </c>
      <c r="K18" s="8" t="s">
        <v>131</v>
      </c>
      <c r="L18" s="9" t="n">
        <v>8418.11</v>
      </c>
      <c r="M18" s="9" t="n">
        <v>1052.26</v>
      </c>
      <c r="N18" s="9" t="n">
        <v>1052.26</v>
      </c>
      <c r="O18" s="9" t="n">
        <v>6313.6</v>
      </c>
      <c r="P18" s="9" t="n">
        <v>631.36</v>
      </c>
      <c r="Q18" s="9" t="n">
        <v>631.36</v>
      </c>
      <c r="R18" s="9" t="n">
        <v>631.36</v>
      </c>
      <c r="S18" s="9" t="n">
        <v>631.36</v>
      </c>
      <c r="T18" s="9" t="n">
        <v>631.36</v>
      </c>
      <c r="U18" s="9" t="n">
        <v>631.36</v>
      </c>
      <c r="V18" s="9" t="n">
        <v>631.36</v>
      </c>
      <c r="W18" s="9" t="n">
        <v>631.36</v>
      </c>
      <c r="X18" s="9" t="n">
        <v>631.36</v>
      </c>
      <c r="Y18" s="9" t="n">
        <v>631.36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132</v>
      </c>
      <c r="B19" s="3" t="s">
        <v>133</v>
      </c>
      <c r="C19" s="3" t="s">
        <v>42</v>
      </c>
      <c r="D19" s="3" t="s">
        <v>43</v>
      </c>
      <c r="E19" s="3" t="n">
        <v>2013</v>
      </c>
      <c r="F19" s="3" t="s">
        <v>99</v>
      </c>
      <c r="G19" s="3" t="s">
        <v>134</v>
      </c>
      <c r="H19" s="3" t="s">
        <v>135</v>
      </c>
      <c r="I19" s="3" t="s">
        <v>136</v>
      </c>
      <c r="J19" s="7" t="n">
        <v>180000</v>
      </c>
      <c r="K19" s="3" t="s">
        <v>137</v>
      </c>
      <c r="L19" s="7" t="n">
        <v>2381.09</v>
      </c>
      <c r="M19" s="7" t="n">
        <v>297.64</v>
      </c>
      <c r="N19" s="7" t="n">
        <v>297.64</v>
      </c>
      <c r="O19" s="7" t="n">
        <v>1785.8</v>
      </c>
      <c r="P19" s="7" t="n">
        <v>178.58</v>
      </c>
      <c r="Q19" s="7" t="n">
        <v>178.58</v>
      </c>
      <c r="R19" s="7" t="n">
        <v>178.58</v>
      </c>
      <c r="S19" s="7" t="n">
        <v>178.58</v>
      </c>
      <c r="T19" s="7" t="n">
        <v>178.58</v>
      </c>
      <c r="U19" s="7" t="n">
        <v>178.58</v>
      </c>
      <c r="V19" s="7" t="n">
        <v>178.58</v>
      </c>
      <c r="W19" s="7" t="n">
        <v>178.58</v>
      </c>
      <c r="X19" s="7" t="n">
        <v>178.58</v>
      </c>
      <c r="Y19" s="7" t="n">
        <v>178.58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138</v>
      </c>
      <c r="B20" s="8" t="s">
        <v>139</v>
      </c>
      <c r="C20" s="8" t="s">
        <v>72</v>
      </c>
      <c r="D20" s="8" t="s">
        <v>73</v>
      </c>
      <c r="E20" s="8" t="n">
        <v>1970</v>
      </c>
      <c r="F20" s="8" t="s">
        <v>88</v>
      </c>
      <c r="G20" s="8" t="s">
        <v>89</v>
      </c>
      <c r="H20" s="8" t="s">
        <v>140</v>
      </c>
      <c r="I20" s="8" t="s">
        <v>47</v>
      </c>
      <c r="J20" s="9" t="n">
        <v>225000</v>
      </c>
      <c r="K20" s="8" t="s">
        <v>141</v>
      </c>
      <c r="L20" s="9" t="n">
        <v>4764.91</v>
      </c>
      <c r="M20" s="9" t="n">
        <v>595.61</v>
      </c>
      <c r="N20" s="9" t="n">
        <v>595.61</v>
      </c>
      <c r="O20" s="9" t="n">
        <v>3573.7</v>
      </c>
      <c r="P20" s="9" t="n">
        <v>357.37</v>
      </c>
      <c r="Q20" s="9" t="n">
        <v>357.37</v>
      </c>
      <c r="R20" s="9" t="n">
        <v>357.37</v>
      </c>
      <c r="S20" s="9" t="n">
        <v>357.37</v>
      </c>
      <c r="T20" s="9" t="n">
        <v>357.37</v>
      </c>
      <c r="U20" s="9" t="n">
        <v>357.37</v>
      </c>
      <c r="V20" s="9" t="n">
        <v>357.37</v>
      </c>
      <c r="W20" s="9" t="n">
        <v>357.37</v>
      </c>
      <c r="X20" s="9" t="n">
        <v>357.37</v>
      </c>
      <c r="Y20" s="9" t="n">
        <v>357.37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142</v>
      </c>
      <c r="B21" s="3" t="s">
        <v>143</v>
      </c>
      <c r="C21" s="3" t="s">
        <v>144</v>
      </c>
      <c r="D21" s="3" t="s">
        <v>145</v>
      </c>
      <c r="E21" s="3" t="n">
        <v>2012</v>
      </c>
      <c r="F21" s="3" t="s">
        <v>146</v>
      </c>
      <c r="G21" s="3" t="s">
        <v>147</v>
      </c>
      <c r="H21" s="3" t="s">
        <v>148</v>
      </c>
      <c r="I21" s="3" t="s">
        <v>47</v>
      </c>
      <c r="J21" s="7" t="n">
        <v>215000</v>
      </c>
      <c r="K21" s="3" t="s">
        <v>149</v>
      </c>
      <c r="L21" s="7" t="n">
        <v>3582.79</v>
      </c>
      <c r="M21" s="7" t="n">
        <v>447.85</v>
      </c>
      <c r="N21" s="7" t="n">
        <v>447.85</v>
      </c>
      <c r="O21" s="7" t="n">
        <v>2687.1</v>
      </c>
      <c r="P21" s="7" t="n">
        <v>268.71</v>
      </c>
      <c r="Q21" s="7" t="n">
        <v>268.71</v>
      </c>
      <c r="R21" s="7" t="n">
        <v>268.71</v>
      </c>
      <c r="S21" s="7" t="n">
        <v>268.71</v>
      </c>
      <c r="T21" s="7" t="n">
        <v>268.71</v>
      </c>
      <c r="U21" s="7" t="n">
        <v>268.71</v>
      </c>
      <c r="V21" s="7" t="n">
        <v>268.71</v>
      </c>
      <c r="W21" s="7" t="n">
        <v>268.71</v>
      </c>
      <c r="X21" s="7" t="n">
        <v>268.71</v>
      </c>
      <c r="Y21" s="7" t="n">
        <v>268.71</v>
      </c>
      <c r="Z21" s="7" t="n">
        <v>350</v>
      </c>
      <c r="AA21" s="7" t="n">
        <v>0</v>
      </c>
      <c r="AB21" s="7" t="n">
        <v>350</v>
      </c>
    </row>
    <row r="22" customFormat="false" ht="15" hidden="false" customHeight="false" outlineLevel="0" collapsed="false">
      <c r="A22" s="8" t="s">
        <v>150</v>
      </c>
      <c r="B22" s="8" t="s">
        <v>151</v>
      </c>
      <c r="C22" s="8" t="s">
        <v>152</v>
      </c>
      <c r="D22" s="8" t="s">
        <v>153</v>
      </c>
      <c r="E22" s="8" t="n">
        <v>1979</v>
      </c>
      <c r="F22" s="8" t="s">
        <v>88</v>
      </c>
      <c r="G22" s="8" t="s">
        <v>154</v>
      </c>
      <c r="H22" s="8" t="s">
        <v>155</v>
      </c>
      <c r="I22" s="8" t="s">
        <v>136</v>
      </c>
      <c r="J22" s="9" t="n">
        <v>355000</v>
      </c>
      <c r="K22" s="8" t="s">
        <v>91</v>
      </c>
      <c r="L22" s="9" t="n">
        <v>4115.32</v>
      </c>
      <c r="M22" s="9" t="n">
        <v>514.41</v>
      </c>
      <c r="N22" s="9" t="n">
        <v>514.41</v>
      </c>
      <c r="O22" s="9" t="n">
        <v>3086.5</v>
      </c>
      <c r="P22" s="9" t="n">
        <v>308.65</v>
      </c>
      <c r="Q22" s="9" t="n">
        <v>308.65</v>
      </c>
      <c r="R22" s="9" t="n">
        <v>308.65</v>
      </c>
      <c r="S22" s="9" t="n">
        <v>308.65</v>
      </c>
      <c r="T22" s="9" t="n">
        <v>308.65</v>
      </c>
      <c r="U22" s="9" t="n">
        <v>308.65</v>
      </c>
      <c r="V22" s="9" t="n">
        <v>308.65</v>
      </c>
      <c r="W22" s="9" t="n">
        <v>308.65</v>
      </c>
      <c r="X22" s="9" t="n">
        <v>308.65</v>
      </c>
      <c r="Y22" s="9" t="n">
        <v>308.65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156</v>
      </c>
      <c r="B23" s="3" t="s">
        <v>157</v>
      </c>
      <c r="C23" s="3" t="s">
        <v>158</v>
      </c>
      <c r="D23" s="3" t="s">
        <v>159</v>
      </c>
      <c r="E23" s="3" t="n">
        <v>1975</v>
      </c>
      <c r="F23" s="3" t="s">
        <v>88</v>
      </c>
      <c r="G23" s="3" t="s">
        <v>89</v>
      </c>
      <c r="H23" s="3" t="s">
        <v>160</v>
      </c>
      <c r="I23" s="3" t="s">
        <v>47</v>
      </c>
      <c r="J23" s="7" t="n">
        <v>1045000</v>
      </c>
      <c r="K23" s="3" t="s">
        <v>161</v>
      </c>
      <c r="L23" s="7" t="n">
        <v>10844.34</v>
      </c>
      <c r="M23" s="7" t="n">
        <v>1355.54</v>
      </c>
      <c r="N23" s="7" t="n">
        <v>1355.54</v>
      </c>
      <c r="O23" s="7" t="n">
        <v>8133.3</v>
      </c>
      <c r="P23" s="7" t="n">
        <v>813.33</v>
      </c>
      <c r="Q23" s="7" t="n">
        <v>813.33</v>
      </c>
      <c r="R23" s="7" t="n">
        <v>813.33</v>
      </c>
      <c r="S23" s="7" t="n">
        <v>813.33</v>
      </c>
      <c r="T23" s="7" t="n">
        <v>813.33</v>
      </c>
      <c r="U23" s="7" t="n">
        <v>813.33</v>
      </c>
      <c r="V23" s="7" t="n">
        <v>813.33</v>
      </c>
      <c r="W23" s="7" t="n">
        <v>813.33</v>
      </c>
      <c r="X23" s="7" t="n">
        <v>813.33</v>
      </c>
      <c r="Y23" s="7" t="n">
        <v>813.33</v>
      </c>
      <c r="Z23" s="7" t="n">
        <v>350</v>
      </c>
      <c r="AA23" s="7" t="n">
        <v>250</v>
      </c>
      <c r="AB23" s="7" t="n">
        <v>600</v>
      </c>
    </row>
    <row r="24" customFormat="false" ht="15" hidden="false" customHeight="false" outlineLevel="0" collapsed="false">
      <c r="A24" s="8" t="s">
        <v>162</v>
      </c>
      <c r="B24" s="8" t="s">
        <v>163</v>
      </c>
      <c r="C24" s="8" t="s">
        <v>164</v>
      </c>
      <c r="D24" s="8" t="s">
        <v>165</v>
      </c>
      <c r="E24" s="8" t="n">
        <v>1978</v>
      </c>
      <c r="F24" s="8" t="s">
        <v>166</v>
      </c>
      <c r="G24" s="8" t="s">
        <v>167</v>
      </c>
      <c r="H24" s="8" t="s">
        <v>168</v>
      </c>
      <c r="I24" s="8" t="s">
        <v>169</v>
      </c>
      <c r="J24" s="9" t="n">
        <v>520000</v>
      </c>
      <c r="K24" s="8" t="s">
        <v>149</v>
      </c>
      <c r="L24" s="9" t="n">
        <v>7346.72</v>
      </c>
      <c r="M24" s="9" t="n">
        <v>918.34</v>
      </c>
      <c r="N24" s="9" t="n">
        <v>918.34</v>
      </c>
      <c r="O24" s="9" t="n">
        <v>5510</v>
      </c>
      <c r="P24" s="9" t="n">
        <v>551</v>
      </c>
      <c r="Q24" s="9" t="n">
        <v>551</v>
      </c>
      <c r="R24" s="9" t="n">
        <v>551</v>
      </c>
      <c r="S24" s="9" t="n">
        <v>551</v>
      </c>
      <c r="T24" s="9" t="n">
        <v>551</v>
      </c>
      <c r="U24" s="9" t="n">
        <v>551</v>
      </c>
      <c r="V24" s="9" t="n">
        <v>551</v>
      </c>
      <c r="W24" s="9" t="n">
        <v>551</v>
      </c>
      <c r="X24" s="9" t="n">
        <v>551</v>
      </c>
      <c r="Y24" s="9" t="n">
        <v>551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170</v>
      </c>
      <c r="B25" s="3" t="s">
        <v>171</v>
      </c>
      <c r="C25" s="3" t="s">
        <v>94</v>
      </c>
      <c r="D25" s="3" t="s">
        <v>95</v>
      </c>
      <c r="E25" s="3" t="n">
        <v>1956</v>
      </c>
      <c r="F25" s="3" t="s">
        <v>105</v>
      </c>
      <c r="G25" s="3" t="s">
        <v>106</v>
      </c>
      <c r="H25" s="3" t="s">
        <v>172</v>
      </c>
      <c r="I25" s="3" t="s">
        <v>56</v>
      </c>
      <c r="J25" s="7" t="n">
        <v>465000</v>
      </c>
      <c r="K25" s="3" t="s">
        <v>173</v>
      </c>
      <c r="L25" s="7" t="n">
        <v>11603.07</v>
      </c>
      <c r="M25" s="7" t="n">
        <v>1450.38</v>
      </c>
      <c r="N25" s="7" t="n">
        <v>1450.38</v>
      </c>
      <c r="O25" s="7" t="n">
        <v>8702.3</v>
      </c>
      <c r="P25" s="7" t="n">
        <v>870.23</v>
      </c>
      <c r="Q25" s="7" t="n">
        <v>870.23</v>
      </c>
      <c r="R25" s="7" t="n">
        <v>870.23</v>
      </c>
      <c r="S25" s="7" t="n">
        <v>870.23</v>
      </c>
      <c r="T25" s="7" t="n">
        <v>870.23</v>
      </c>
      <c r="U25" s="7" t="n">
        <v>870.23</v>
      </c>
      <c r="V25" s="7" t="n">
        <v>870.23</v>
      </c>
      <c r="W25" s="7" t="n">
        <v>870.23</v>
      </c>
      <c r="X25" s="7" t="n">
        <v>870.23</v>
      </c>
      <c r="Y25" s="7" t="n">
        <v>870.23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174</v>
      </c>
      <c r="B26" s="8" t="s">
        <v>175</v>
      </c>
      <c r="C26" s="8" t="s">
        <v>72</v>
      </c>
      <c r="D26" s="8" t="s">
        <v>73</v>
      </c>
      <c r="E26" s="8" t="n">
        <v>1985</v>
      </c>
      <c r="F26" s="8" t="s">
        <v>99</v>
      </c>
      <c r="G26" s="8" t="s">
        <v>134</v>
      </c>
      <c r="H26" s="8" t="s">
        <v>176</v>
      </c>
      <c r="I26" s="8" t="s">
        <v>136</v>
      </c>
      <c r="J26" s="9" t="n">
        <v>710000</v>
      </c>
      <c r="K26" s="8" t="s">
        <v>119</v>
      </c>
      <c r="L26" s="9" t="n">
        <v>7200.47</v>
      </c>
      <c r="M26" s="9" t="n">
        <v>900.06</v>
      </c>
      <c r="N26" s="9" t="n">
        <v>900.06</v>
      </c>
      <c r="O26" s="9" t="n">
        <v>5400.4</v>
      </c>
      <c r="P26" s="9" t="n">
        <v>540.04</v>
      </c>
      <c r="Q26" s="9" t="n">
        <v>540.04</v>
      </c>
      <c r="R26" s="9" t="n">
        <v>540.04</v>
      </c>
      <c r="S26" s="9" t="n">
        <v>540.04</v>
      </c>
      <c r="T26" s="9" t="n">
        <v>540.04</v>
      </c>
      <c r="U26" s="9" t="n">
        <v>540.04</v>
      </c>
      <c r="V26" s="9" t="n">
        <v>540.04</v>
      </c>
      <c r="W26" s="9" t="n">
        <v>540.04</v>
      </c>
      <c r="X26" s="9" t="n">
        <v>540.04</v>
      </c>
      <c r="Y26" s="9" t="n">
        <v>540.04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177</v>
      </c>
      <c r="B27" s="3" t="s">
        <v>178</v>
      </c>
      <c r="C27" s="3" t="s">
        <v>179</v>
      </c>
      <c r="D27" s="3" t="s">
        <v>180</v>
      </c>
      <c r="E27" s="3" t="n">
        <v>2013</v>
      </c>
      <c r="F27" s="3" t="s">
        <v>44</v>
      </c>
      <c r="G27" s="3" t="s">
        <v>45</v>
      </c>
      <c r="H27" s="3" t="s">
        <v>181</v>
      </c>
      <c r="I27" s="3" t="s">
        <v>47</v>
      </c>
      <c r="J27" s="7" t="n">
        <v>630000</v>
      </c>
      <c r="K27" s="3" t="s">
        <v>69</v>
      </c>
      <c r="L27" s="7" t="n">
        <v>9889.81</v>
      </c>
      <c r="M27" s="7" t="n">
        <v>1236.23</v>
      </c>
      <c r="N27" s="7" t="n">
        <v>1236.23</v>
      </c>
      <c r="O27" s="7" t="n">
        <v>7417.4</v>
      </c>
      <c r="P27" s="7" t="n">
        <v>741.74</v>
      </c>
      <c r="Q27" s="7" t="n">
        <v>741.74</v>
      </c>
      <c r="R27" s="7" t="n">
        <v>741.74</v>
      </c>
      <c r="S27" s="7" t="n">
        <v>741.74</v>
      </c>
      <c r="T27" s="7" t="n">
        <v>741.74</v>
      </c>
      <c r="U27" s="7" t="n">
        <v>741.74</v>
      </c>
      <c r="V27" s="7" t="n">
        <v>741.74</v>
      </c>
      <c r="W27" s="7" t="n">
        <v>741.74</v>
      </c>
      <c r="X27" s="7" t="n">
        <v>741.74</v>
      </c>
      <c r="Y27" s="7" t="n">
        <v>741.74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182</v>
      </c>
      <c r="B28" s="8" t="s">
        <v>183</v>
      </c>
      <c r="C28" s="8" t="s">
        <v>60</v>
      </c>
      <c r="D28" s="8" t="s">
        <v>61</v>
      </c>
      <c r="E28" s="8" t="n">
        <v>2000</v>
      </c>
      <c r="F28" s="8" t="s">
        <v>99</v>
      </c>
      <c r="G28" s="8" t="s">
        <v>134</v>
      </c>
      <c r="H28" s="8" t="s">
        <v>184</v>
      </c>
      <c r="I28" s="8" t="s">
        <v>136</v>
      </c>
      <c r="J28" s="9" t="n">
        <v>1950000</v>
      </c>
      <c r="K28" s="8" t="s">
        <v>119</v>
      </c>
      <c r="L28" s="9" t="n">
        <v>17476.42</v>
      </c>
      <c r="M28" s="9" t="n">
        <v>2184.55</v>
      </c>
      <c r="N28" s="9" t="n">
        <v>2184.55</v>
      </c>
      <c r="O28" s="9" t="n">
        <v>13107.3</v>
      </c>
      <c r="P28" s="9" t="n">
        <v>1310.73</v>
      </c>
      <c r="Q28" s="9" t="n">
        <v>1310.73</v>
      </c>
      <c r="R28" s="9" t="n">
        <v>1310.73</v>
      </c>
      <c r="S28" s="9" t="n">
        <v>1310.73</v>
      </c>
      <c r="T28" s="9" t="n">
        <v>1310.73</v>
      </c>
      <c r="U28" s="9" t="n">
        <v>1310.73</v>
      </c>
      <c r="V28" s="9" t="n">
        <v>1310.73</v>
      </c>
      <c r="W28" s="9" t="n">
        <v>1310.73</v>
      </c>
      <c r="X28" s="9" t="n">
        <v>1310.73</v>
      </c>
      <c r="Y28" s="9" t="n">
        <v>1310.73</v>
      </c>
      <c r="Z28" s="9" t="n">
        <v>350</v>
      </c>
      <c r="AA28" s="9" t="n">
        <v>250</v>
      </c>
      <c r="AB28" s="9" t="n">
        <v>600</v>
      </c>
    </row>
    <row r="29" customFormat="false" ht="15" hidden="false" customHeight="false" outlineLevel="0" collapsed="false">
      <c r="A29" s="3" t="s">
        <v>185</v>
      </c>
      <c r="B29" s="3" t="s">
        <v>110</v>
      </c>
      <c r="C29" s="3" t="s">
        <v>42</v>
      </c>
      <c r="D29" s="3" t="s">
        <v>43</v>
      </c>
      <c r="E29" s="3" t="n">
        <v>2017</v>
      </c>
      <c r="F29" s="3" t="s">
        <v>146</v>
      </c>
      <c r="G29" s="3" t="s">
        <v>147</v>
      </c>
      <c r="H29" s="3" t="s">
        <v>186</v>
      </c>
      <c r="I29" s="3" t="s">
        <v>47</v>
      </c>
      <c r="J29" s="7" t="n">
        <v>545000</v>
      </c>
      <c r="K29" s="3" t="s">
        <v>187</v>
      </c>
      <c r="L29" s="7" t="n">
        <v>7151.84</v>
      </c>
      <c r="M29" s="7" t="n">
        <v>893.98</v>
      </c>
      <c r="N29" s="7" t="n">
        <v>893.98</v>
      </c>
      <c r="O29" s="7" t="n">
        <v>5363.9</v>
      </c>
      <c r="P29" s="7" t="n">
        <v>536.39</v>
      </c>
      <c r="Q29" s="7" t="n">
        <v>536.39</v>
      </c>
      <c r="R29" s="7" t="n">
        <v>536.39</v>
      </c>
      <c r="S29" s="7" t="n">
        <v>536.39</v>
      </c>
      <c r="T29" s="7" t="n">
        <v>536.39</v>
      </c>
      <c r="U29" s="7" t="n">
        <v>536.39</v>
      </c>
      <c r="V29" s="7" t="n">
        <v>536.39</v>
      </c>
      <c r="W29" s="7" t="n">
        <v>536.39</v>
      </c>
      <c r="X29" s="7" t="n">
        <v>536.39</v>
      </c>
      <c r="Y29" s="7" t="n">
        <v>536.39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188</v>
      </c>
      <c r="B30" s="8" t="s">
        <v>189</v>
      </c>
      <c r="C30" s="8" t="s">
        <v>190</v>
      </c>
      <c r="D30" s="8" t="s">
        <v>191</v>
      </c>
      <c r="E30" s="8" t="n">
        <v>1977</v>
      </c>
      <c r="F30" s="8" t="s">
        <v>166</v>
      </c>
      <c r="G30" s="8" t="s">
        <v>167</v>
      </c>
      <c r="H30" s="8" t="s">
        <v>192</v>
      </c>
      <c r="I30" s="8" t="s">
        <v>169</v>
      </c>
      <c r="J30" s="9" t="n">
        <v>380000</v>
      </c>
      <c r="K30" s="8" t="s">
        <v>149</v>
      </c>
      <c r="L30" s="9" t="n">
        <v>6057.06</v>
      </c>
      <c r="M30" s="9" t="n">
        <v>757.13</v>
      </c>
      <c r="N30" s="9" t="n">
        <v>757.13</v>
      </c>
      <c r="O30" s="9" t="n">
        <v>4542.8</v>
      </c>
      <c r="P30" s="9" t="n">
        <v>454.28</v>
      </c>
      <c r="Q30" s="9" t="n">
        <v>454.28</v>
      </c>
      <c r="R30" s="9" t="n">
        <v>454.28</v>
      </c>
      <c r="S30" s="9" t="n">
        <v>454.28</v>
      </c>
      <c r="T30" s="9" t="n">
        <v>454.28</v>
      </c>
      <c r="U30" s="9" t="n">
        <v>454.28</v>
      </c>
      <c r="V30" s="9" t="n">
        <v>454.28</v>
      </c>
      <c r="W30" s="9" t="n">
        <v>454.28</v>
      </c>
      <c r="X30" s="9" t="n">
        <v>454.28</v>
      </c>
      <c r="Y30" s="9" t="n">
        <v>454.28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193</v>
      </c>
      <c r="B31" s="3" t="s">
        <v>194</v>
      </c>
      <c r="C31" s="3" t="s">
        <v>94</v>
      </c>
      <c r="D31" s="3" t="s">
        <v>95</v>
      </c>
      <c r="E31" s="3" t="n">
        <v>1988</v>
      </c>
      <c r="F31" s="3" t="s">
        <v>146</v>
      </c>
      <c r="G31" s="3" t="s">
        <v>195</v>
      </c>
      <c r="H31" s="3" t="s">
        <v>196</v>
      </c>
      <c r="I31" s="3" t="s">
        <v>125</v>
      </c>
      <c r="J31" s="7" t="n">
        <v>1950000</v>
      </c>
      <c r="K31" s="3" t="s">
        <v>197</v>
      </c>
      <c r="L31" s="7" t="n">
        <v>19389.62</v>
      </c>
      <c r="M31" s="7" t="n">
        <v>2423.7</v>
      </c>
      <c r="N31" s="7" t="n">
        <v>2423.7</v>
      </c>
      <c r="O31" s="7" t="n">
        <v>14542.2</v>
      </c>
      <c r="P31" s="7" t="n">
        <v>1454.22</v>
      </c>
      <c r="Q31" s="7" t="n">
        <v>1454.22</v>
      </c>
      <c r="R31" s="7" t="n">
        <v>1454.22</v>
      </c>
      <c r="S31" s="7" t="n">
        <v>1454.22</v>
      </c>
      <c r="T31" s="7" t="n">
        <v>1454.22</v>
      </c>
      <c r="U31" s="7" t="n">
        <v>1454.22</v>
      </c>
      <c r="V31" s="7" t="n">
        <v>1454.22</v>
      </c>
      <c r="W31" s="7" t="n">
        <v>1454.22</v>
      </c>
      <c r="X31" s="7" t="n">
        <v>1454.22</v>
      </c>
      <c r="Y31" s="7" t="n">
        <v>1454.22</v>
      </c>
      <c r="Z31" s="7" t="n">
        <v>350</v>
      </c>
      <c r="AA31" s="7" t="n">
        <v>250</v>
      </c>
      <c r="AB31" s="7" t="n">
        <v>600</v>
      </c>
    </row>
    <row r="32" customFormat="false" ht="15" hidden="false" customHeight="false" outlineLevel="0" collapsed="false">
      <c r="A32" s="8" t="s">
        <v>198</v>
      </c>
      <c r="B32" s="8" t="s">
        <v>199</v>
      </c>
      <c r="C32" s="8" t="s">
        <v>200</v>
      </c>
      <c r="D32" s="8" t="s">
        <v>201</v>
      </c>
      <c r="E32" s="8" t="n">
        <v>1973</v>
      </c>
      <c r="F32" s="8" t="s">
        <v>88</v>
      </c>
      <c r="G32" s="8" t="s">
        <v>89</v>
      </c>
      <c r="H32" s="8" t="s">
        <v>202</v>
      </c>
      <c r="I32" s="8" t="s">
        <v>47</v>
      </c>
      <c r="J32" s="9" t="n">
        <v>495000</v>
      </c>
      <c r="K32" s="8" t="s">
        <v>203</v>
      </c>
      <c r="L32" s="9" t="n">
        <v>9946.7</v>
      </c>
      <c r="M32" s="9" t="n">
        <v>1243.34</v>
      </c>
      <c r="N32" s="9" t="n">
        <v>1243.34</v>
      </c>
      <c r="O32" s="9" t="n">
        <v>7460</v>
      </c>
      <c r="P32" s="9" t="n">
        <v>746</v>
      </c>
      <c r="Q32" s="9" t="n">
        <v>746</v>
      </c>
      <c r="R32" s="9" t="n">
        <v>746</v>
      </c>
      <c r="S32" s="9" t="n">
        <v>746</v>
      </c>
      <c r="T32" s="9" t="n">
        <v>746</v>
      </c>
      <c r="U32" s="9" t="n">
        <v>746</v>
      </c>
      <c r="V32" s="9" t="n">
        <v>746</v>
      </c>
      <c r="W32" s="9" t="n">
        <v>746</v>
      </c>
      <c r="X32" s="9" t="n">
        <v>746</v>
      </c>
      <c r="Y32" s="9" t="n">
        <v>746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204</v>
      </c>
      <c r="B33" s="3" t="s">
        <v>205</v>
      </c>
      <c r="C33" s="3" t="s">
        <v>206</v>
      </c>
      <c r="D33" s="3" t="s">
        <v>207</v>
      </c>
      <c r="E33" s="3" t="n">
        <v>2001</v>
      </c>
      <c r="F33" s="3" t="s">
        <v>88</v>
      </c>
      <c r="G33" s="3" t="s">
        <v>89</v>
      </c>
      <c r="H33" s="3" t="s">
        <v>208</v>
      </c>
      <c r="I33" s="3" t="s">
        <v>47</v>
      </c>
      <c r="J33" s="7" t="n">
        <v>435000</v>
      </c>
      <c r="K33" s="3" t="s">
        <v>187</v>
      </c>
      <c r="L33" s="7" t="n">
        <v>6586.56</v>
      </c>
      <c r="M33" s="7" t="n">
        <v>823.32</v>
      </c>
      <c r="N33" s="7" t="n">
        <v>823.32</v>
      </c>
      <c r="O33" s="7" t="n">
        <v>4939.9</v>
      </c>
      <c r="P33" s="7" t="n">
        <v>493.99</v>
      </c>
      <c r="Q33" s="7" t="n">
        <v>493.99</v>
      </c>
      <c r="R33" s="7" t="n">
        <v>493.99</v>
      </c>
      <c r="S33" s="7" t="n">
        <v>493.99</v>
      </c>
      <c r="T33" s="7" t="n">
        <v>493.99</v>
      </c>
      <c r="U33" s="7" t="n">
        <v>493.99</v>
      </c>
      <c r="V33" s="7" t="n">
        <v>493.99</v>
      </c>
      <c r="W33" s="7" t="n">
        <v>493.99</v>
      </c>
      <c r="X33" s="7" t="n">
        <v>493.99</v>
      </c>
      <c r="Y33" s="7" t="n">
        <v>493.99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209</v>
      </c>
      <c r="B34" s="8" t="s">
        <v>210</v>
      </c>
      <c r="C34" s="8" t="s">
        <v>164</v>
      </c>
      <c r="D34" s="8" t="s">
        <v>165</v>
      </c>
      <c r="E34" s="8" t="n">
        <v>1987</v>
      </c>
      <c r="F34" s="8" t="s">
        <v>80</v>
      </c>
      <c r="G34" s="8" t="s">
        <v>81</v>
      </c>
      <c r="H34" s="8" t="s">
        <v>211</v>
      </c>
      <c r="I34" s="8" t="s">
        <v>47</v>
      </c>
      <c r="J34" s="9" t="n">
        <v>490000</v>
      </c>
      <c r="K34" s="8" t="s">
        <v>212</v>
      </c>
      <c r="L34" s="9" t="n">
        <v>7072.64</v>
      </c>
      <c r="M34" s="9" t="n">
        <v>884.08</v>
      </c>
      <c r="N34" s="9" t="n">
        <v>884.08</v>
      </c>
      <c r="O34" s="9" t="n">
        <v>5304.5</v>
      </c>
      <c r="P34" s="9" t="n">
        <v>530.45</v>
      </c>
      <c r="Q34" s="9" t="n">
        <v>530.45</v>
      </c>
      <c r="R34" s="9" t="n">
        <v>530.45</v>
      </c>
      <c r="S34" s="9" t="n">
        <v>530.45</v>
      </c>
      <c r="T34" s="9" t="n">
        <v>530.45</v>
      </c>
      <c r="U34" s="9" t="n">
        <v>530.45</v>
      </c>
      <c r="V34" s="9" t="n">
        <v>530.45</v>
      </c>
      <c r="W34" s="9" t="n">
        <v>530.45</v>
      </c>
      <c r="X34" s="9" t="n">
        <v>530.45</v>
      </c>
      <c r="Y34" s="9" t="n">
        <v>530.45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213</v>
      </c>
      <c r="B35" s="3" t="s">
        <v>214</v>
      </c>
      <c r="C35" s="3" t="s">
        <v>66</v>
      </c>
      <c r="D35" s="3" t="s">
        <v>67</v>
      </c>
      <c r="E35" s="3" t="n">
        <v>1965</v>
      </c>
      <c r="F35" s="3" t="s">
        <v>105</v>
      </c>
      <c r="G35" s="3" t="s">
        <v>106</v>
      </c>
      <c r="H35" s="3" t="s">
        <v>215</v>
      </c>
      <c r="I35" s="3" t="s">
        <v>56</v>
      </c>
      <c r="J35" s="7" t="n">
        <v>760000</v>
      </c>
      <c r="K35" s="3" t="s">
        <v>216</v>
      </c>
      <c r="L35" s="7" t="n">
        <v>18390.57</v>
      </c>
      <c r="M35" s="7" t="n">
        <v>2298.82</v>
      </c>
      <c r="N35" s="7" t="n">
        <v>2298.82</v>
      </c>
      <c r="O35" s="7" t="n">
        <v>13792.9</v>
      </c>
      <c r="P35" s="7" t="n">
        <v>1379.29</v>
      </c>
      <c r="Q35" s="7" t="n">
        <v>1379.29</v>
      </c>
      <c r="R35" s="7" t="n">
        <v>1379.29</v>
      </c>
      <c r="S35" s="7" t="n">
        <v>1379.29</v>
      </c>
      <c r="T35" s="7" t="n">
        <v>1379.29</v>
      </c>
      <c r="U35" s="7" t="n">
        <v>1379.29</v>
      </c>
      <c r="V35" s="7" t="n">
        <v>1379.29</v>
      </c>
      <c r="W35" s="7" t="n">
        <v>1379.29</v>
      </c>
      <c r="X35" s="7" t="n">
        <v>1379.29</v>
      </c>
      <c r="Y35" s="7" t="n">
        <v>1379.29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217</v>
      </c>
      <c r="B36" s="8" t="s">
        <v>218</v>
      </c>
      <c r="C36" s="8" t="s">
        <v>219</v>
      </c>
      <c r="D36" s="8" t="s">
        <v>220</v>
      </c>
      <c r="E36" s="8" t="n">
        <v>2001</v>
      </c>
      <c r="F36" s="8" t="s">
        <v>88</v>
      </c>
      <c r="G36" s="8" t="s">
        <v>89</v>
      </c>
      <c r="H36" s="8" t="s">
        <v>221</v>
      </c>
      <c r="I36" s="8" t="s">
        <v>47</v>
      </c>
      <c r="J36" s="9" t="n">
        <v>610000</v>
      </c>
      <c r="K36" s="8" t="s">
        <v>203</v>
      </c>
      <c r="L36" s="9" t="n">
        <v>10623.21</v>
      </c>
      <c r="M36" s="9" t="n">
        <v>1327.9</v>
      </c>
      <c r="N36" s="9" t="n">
        <v>1327.9</v>
      </c>
      <c r="O36" s="9" t="n">
        <v>7967.4</v>
      </c>
      <c r="P36" s="9" t="n">
        <v>796.74</v>
      </c>
      <c r="Q36" s="9" t="n">
        <v>796.74</v>
      </c>
      <c r="R36" s="9" t="n">
        <v>796.74</v>
      </c>
      <c r="S36" s="9" t="n">
        <v>796.74</v>
      </c>
      <c r="T36" s="9" t="n">
        <v>796.74</v>
      </c>
      <c r="U36" s="9" t="n">
        <v>796.74</v>
      </c>
      <c r="V36" s="9" t="n">
        <v>796.74</v>
      </c>
      <c r="W36" s="9" t="n">
        <v>796.74</v>
      </c>
      <c r="X36" s="9" t="n">
        <v>796.74</v>
      </c>
      <c r="Y36" s="9" t="n">
        <v>796.74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222</v>
      </c>
      <c r="B37" s="3" t="s">
        <v>223</v>
      </c>
      <c r="C37" s="3" t="s">
        <v>200</v>
      </c>
      <c r="D37" s="3" t="s">
        <v>201</v>
      </c>
      <c r="E37" s="3" t="n">
        <v>1965</v>
      </c>
      <c r="F37" s="3" t="s">
        <v>99</v>
      </c>
      <c r="G37" s="3" t="s">
        <v>134</v>
      </c>
      <c r="H37" s="3" t="s">
        <v>224</v>
      </c>
      <c r="I37" s="3" t="s">
        <v>136</v>
      </c>
      <c r="J37" s="7" t="n">
        <v>555000</v>
      </c>
      <c r="K37" s="3" t="s">
        <v>225</v>
      </c>
      <c r="L37" s="7" t="n">
        <v>4682.94</v>
      </c>
      <c r="M37" s="7" t="n">
        <v>585.37</v>
      </c>
      <c r="N37" s="7" t="n">
        <v>585.37</v>
      </c>
      <c r="O37" s="7" t="n">
        <v>3512.2</v>
      </c>
      <c r="P37" s="7" t="n">
        <v>351.22</v>
      </c>
      <c r="Q37" s="7" t="n">
        <v>351.22</v>
      </c>
      <c r="R37" s="7" t="n">
        <v>351.22</v>
      </c>
      <c r="S37" s="7" t="n">
        <v>351.22</v>
      </c>
      <c r="T37" s="7" t="n">
        <v>351.22</v>
      </c>
      <c r="U37" s="7" t="n">
        <v>351.22</v>
      </c>
      <c r="V37" s="7" t="n">
        <v>351.22</v>
      </c>
      <c r="W37" s="7" t="n">
        <v>351.22</v>
      </c>
      <c r="X37" s="7" t="n">
        <v>351.22</v>
      </c>
      <c r="Y37" s="7" t="n">
        <v>351.22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226</v>
      </c>
      <c r="B38" s="8" t="s">
        <v>227</v>
      </c>
      <c r="C38" s="8" t="s">
        <v>94</v>
      </c>
      <c r="D38" s="8" t="s">
        <v>95</v>
      </c>
      <c r="E38" s="8" t="n">
        <v>2004</v>
      </c>
      <c r="F38" s="8" t="s">
        <v>44</v>
      </c>
      <c r="G38" s="8" t="s">
        <v>45</v>
      </c>
      <c r="H38" s="8" t="s">
        <v>228</v>
      </c>
      <c r="I38" s="8" t="s">
        <v>47</v>
      </c>
      <c r="J38" s="9" t="n">
        <v>745000</v>
      </c>
      <c r="K38" s="8" t="s">
        <v>91</v>
      </c>
      <c r="L38" s="9" t="n">
        <v>11695.09</v>
      </c>
      <c r="M38" s="9" t="n">
        <v>1461.89</v>
      </c>
      <c r="N38" s="9" t="n">
        <v>1461.89</v>
      </c>
      <c r="O38" s="9" t="n">
        <v>8771.3</v>
      </c>
      <c r="P38" s="9" t="n">
        <v>877.13</v>
      </c>
      <c r="Q38" s="9" t="n">
        <v>877.13</v>
      </c>
      <c r="R38" s="9" t="n">
        <v>877.13</v>
      </c>
      <c r="S38" s="9" t="n">
        <v>877.13</v>
      </c>
      <c r="T38" s="9" t="n">
        <v>877.13</v>
      </c>
      <c r="U38" s="9" t="n">
        <v>877.13</v>
      </c>
      <c r="V38" s="9" t="n">
        <v>877.13</v>
      </c>
      <c r="W38" s="9" t="n">
        <v>877.13</v>
      </c>
      <c r="X38" s="9" t="n">
        <v>877.13</v>
      </c>
      <c r="Y38" s="9" t="n">
        <v>877.13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229</v>
      </c>
      <c r="B39" s="3" t="s">
        <v>230</v>
      </c>
      <c r="C39" s="3" t="s">
        <v>111</v>
      </c>
      <c r="D39" s="3" t="s">
        <v>112</v>
      </c>
      <c r="E39" s="3" t="n">
        <v>2001</v>
      </c>
      <c r="F39" s="3" t="s">
        <v>88</v>
      </c>
      <c r="G39" s="3" t="s">
        <v>154</v>
      </c>
      <c r="H39" s="3" t="s">
        <v>231</v>
      </c>
      <c r="I39" s="3" t="s">
        <v>136</v>
      </c>
      <c r="J39" s="7" t="n">
        <v>810000</v>
      </c>
      <c r="K39" s="3" t="s">
        <v>83</v>
      </c>
      <c r="L39" s="7" t="n">
        <v>8871.79</v>
      </c>
      <c r="M39" s="7" t="n">
        <v>1108.97</v>
      </c>
      <c r="N39" s="7" t="n">
        <v>1108.97</v>
      </c>
      <c r="O39" s="7" t="n">
        <v>6653.8</v>
      </c>
      <c r="P39" s="7" t="n">
        <v>665.38</v>
      </c>
      <c r="Q39" s="7" t="n">
        <v>665.38</v>
      </c>
      <c r="R39" s="7" t="n">
        <v>665.38</v>
      </c>
      <c r="S39" s="7" t="n">
        <v>665.38</v>
      </c>
      <c r="T39" s="7" t="n">
        <v>665.38</v>
      </c>
      <c r="U39" s="7" t="n">
        <v>665.38</v>
      </c>
      <c r="V39" s="7" t="n">
        <v>665.38</v>
      </c>
      <c r="W39" s="7" t="n">
        <v>665.38</v>
      </c>
      <c r="X39" s="7" t="n">
        <v>665.38</v>
      </c>
      <c r="Y39" s="7" t="n">
        <v>665.38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232</v>
      </c>
      <c r="B40" s="8" t="s">
        <v>223</v>
      </c>
      <c r="C40" s="8" t="s">
        <v>72</v>
      </c>
      <c r="D40" s="8" t="s">
        <v>73</v>
      </c>
      <c r="E40" s="8" t="n">
        <v>1958</v>
      </c>
      <c r="F40" s="8" t="s">
        <v>146</v>
      </c>
      <c r="G40" s="8" t="s">
        <v>147</v>
      </c>
      <c r="H40" s="8" t="s">
        <v>233</v>
      </c>
      <c r="I40" s="8" t="s">
        <v>47</v>
      </c>
      <c r="J40" s="9" t="n">
        <v>385000</v>
      </c>
      <c r="K40" s="8" t="s">
        <v>83</v>
      </c>
      <c r="L40" s="9" t="n">
        <v>7354.95</v>
      </c>
      <c r="M40" s="9" t="n">
        <v>919.37</v>
      </c>
      <c r="N40" s="9" t="n">
        <v>919.37</v>
      </c>
      <c r="O40" s="9" t="n">
        <v>5516.2</v>
      </c>
      <c r="P40" s="9" t="n">
        <v>551.62</v>
      </c>
      <c r="Q40" s="9" t="n">
        <v>551.62</v>
      </c>
      <c r="R40" s="9" t="n">
        <v>551.62</v>
      </c>
      <c r="S40" s="9" t="n">
        <v>551.62</v>
      </c>
      <c r="T40" s="9" t="n">
        <v>551.62</v>
      </c>
      <c r="U40" s="9" t="n">
        <v>551.62</v>
      </c>
      <c r="V40" s="9" t="n">
        <v>551.62</v>
      </c>
      <c r="W40" s="9" t="n">
        <v>551.62</v>
      </c>
      <c r="X40" s="9" t="n">
        <v>551.62</v>
      </c>
      <c r="Y40" s="9" t="n">
        <v>551.62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234</v>
      </c>
      <c r="B41" s="3" t="s">
        <v>235</v>
      </c>
      <c r="C41" s="3" t="s">
        <v>144</v>
      </c>
      <c r="D41" s="3" t="s">
        <v>145</v>
      </c>
      <c r="E41" s="3" t="n">
        <v>1972</v>
      </c>
      <c r="F41" s="3" t="s">
        <v>53</v>
      </c>
      <c r="G41" s="3" t="s">
        <v>236</v>
      </c>
      <c r="H41" s="3" t="s">
        <v>237</v>
      </c>
      <c r="I41" s="3" t="s">
        <v>56</v>
      </c>
      <c r="J41" s="7" t="n">
        <v>525000</v>
      </c>
      <c r="K41" s="3" t="s">
        <v>238</v>
      </c>
      <c r="L41" s="7" t="n">
        <v>11386.56</v>
      </c>
      <c r="M41" s="7" t="n">
        <v>1423.32</v>
      </c>
      <c r="N41" s="7" t="n">
        <v>1423.32</v>
      </c>
      <c r="O41" s="7" t="n">
        <v>8539.9</v>
      </c>
      <c r="P41" s="7" t="n">
        <v>853.99</v>
      </c>
      <c r="Q41" s="7" t="n">
        <v>853.99</v>
      </c>
      <c r="R41" s="7" t="n">
        <v>853.99</v>
      </c>
      <c r="S41" s="7" t="n">
        <v>853.99</v>
      </c>
      <c r="T41" s="7" t="n">
        <v>853.99</v>
      </c>
      <c r="U41" s="7" t="n">
        <v>853.99</v>
      </c>
      <c r="V41" s="7" t="n">
        <v>853.99</v>
      </c>
      <c r="W41" s="7" t="n">
        <v>853.99</v>
      </c>
      <c r="X41" s="7" t="n">
        <v>853.99</v>
      </c>
      <c r="Y41" s="7" t="n">
        <v>853.99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239</v>
      </c>
      <c r="B42" s="8" t="s">
        <v>240</v>
      </c>
      <c r="C42" s="8" t="s">
        <v>116</v>
      </c>
      <c r="D42" s="8" t="s">
        <v>117</v>
      </c>
      <c r="E42" s="8" t="n">
        <v>1970</v>
      </c>
      <c r="F42" s="8" t="s">
        <v>241</v>
      </c>
      <c r="G42" s="8" t="s">
        <v>242</v>
      </c>
      <c r="H42" s="8" t="s">
        <v>243</v>
      </c>
      <c r="I42" s="8" t="s">
        <v>169</v>
      </c>
      <c r="J42" s="9" t="n">
        <v>945000</v>
      </c>
      <c r="K42" s="8" t="s">
        <v>48</v>
      </c>
      <c r="L42" s="9" t="n">
        <v>13490.32</v>
      </c>
      <c r="M42" s="9" t="n">
        <v>1686.29</v>
      </c>
      <c r="N42" s="9" t="n">
        <v>1686.29</v>
      </c>
      <c r="O42" s="9" t="n">
        <v>10117.7</v>
      </c>
      <c r="P42" s="9" t="n">
        <v>1011.77</v>
      </c>
      <c r="Q42" s="9" t="n">
        <v>1011.77</v>
      </c>
      <c r="R42" s="9" t="n">
        <v>1011.77</v>
      </c>
      <c r="S42" s="9" t="n">
        <v>1011.77</v>
      </c>
      <c r="T42" s="9" t="n">
        <v>1011.77</v>
      </c>
      <c r="U42" s="9" t="n">
        <v>1011.77</v>
      </c>
      <c r="V42" s="9" t="n">
        <v>1011.77</v>
      </c>
      <c r="W42" s="9" t="n">
        <v>1011.77</v>
      </c>
      <c r="X42" s="9" t="n">
        <v>1011.77</v>
      </c>
      <c r="Y42" s="9" t="n">
        <v>1011.77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244</v>
      </c>
      <c r="B43" s="3" t="s">
        <v>245</v>
      </c>
      <c r="C43" s="3" t="s">
        <v>206</v>
      </c>
      <c r="D43" s="3" t="s">
        <v>207</v>
      </c>
      <c r="E43" s="3" t="n">
        <v>1956</v>
      </c>
      <c r="F43" s="3" t="s">
        <v>53</v>
      </c>
      <c r="G43" s="3" t="s">
        <v>54</v>
      </c>
      <c r="H43" s="3" t="s">
        <v>246</v>
      </c>
      <c r="I43" s="3" t="s">
        <v>56</v>
      </c>
      <c r="J43" s="7" t="n">
        <v>1245000</v>
      </c>
      <c r="K43" s="3" t="s">
        <v>247</v>
      </c>
      <c r="L43" s="7" t="n">
        <v>18980.38</v>
      </c>
      <c r="M43" s="7" t="n">
        <v>2372.55</v>
      </c>
      <c r="N43" s="7" t="n">
        <v>2372.55</v>
      </c>
      <c r="O43" s="7" t="n">
        <v>14235.3</v>
      </c>
      <c r="P43" s="7" t="n">
        <v>1423.53</v>
      </c>
      <c r="Q43" s="7" t="n">
        <v>1423.53</v>
      </c>
      <c r="R43" s="7" t="n">
        <v>1423.53</v>
      </c>
      <c r="S43" s="7" t="n">
        <v>1423.53</v>
      </c>
      <c r="T43" s="7" t="n">
        <v>1423.53</v>
      </c>
      <c r="U43" s="7" t="n">
        <v>1423.53</v>
      </c>
      <c r="V43" s="7" t="n">
        <v>1423.53</v>
      </c>
      <c r="W43" s="7" t="n">
        <v>1423.53</v>
      </c>
      <c r="X43" s="7" t="n">
        <v>1423.53</v>
      </c>
      <c r="Y43" s="7" t="n">
        <v>1423.53</v>
      </c>
      <c r="Z43" s="7" t="n">
        <v>350</v>
      </c>
      <c r="AA43" s="7" t="n">
        <v>250</v>
      </c>
      <c r="AB43" s="7" t="n">
        <v>600</v>
      </c>
    </row>
    <row r="44" customFormat="false" ht="15" hidden="false" customHeight="false" outlineLevel="0" collapsed="false">
      <c r="A44" s="8" t="s">
        <v>248</v>
      </c>
      <c r="B44" s="8" t="s">
        <v>249</v>
      </c>
      <c r="C44" s="8" t="s">
        <v>250</v>
      </c>
      <c r="D44" s="8" t="s">
        <v>251</v>
      </c>
      <c r="E44" s="8" t="n">
        <v>1959</v>
      </c>
      <c r="F44" s="8" t="s">
        <v>99</v>
      </c>
      <c r="G44" s="8" t="s">
        <v>100</v>
      </c>
      <c r="H44" s="8" t="s">
        <v>252</v>
      </c>
      <c r="I44" s="8" t="s">
        <v>47</v>
      </c>
      <c r="J44" s="9" t="n">
        <v>240000</v>
      </c>
      <c r="K44" s="8" t="s">
        <v>253</v>
      </c>
      <c r="L44" s="9" t="n">
        <v>4582.64</v>
      </c>
      <c r="M44" s="9" t="n">
        <v>572.83</v>
      </c>
      <c r="N44" s="9" t="n">
        <v>572.83</v>
      </c>
      <c r="O44" s="9" t="n">
        <v>3437</v>
      </c>
      <c r="P44" s="9" t="n">
        <v>343.7</v>
      </c>
      <c r="Q44" s="9" t="n">
        <v>343.7</v>
      </c>
      <c r="R44" s="9" t="n">
        <v>343.7</v>
      </c>
      <c r="S44" s="9" t="n">
        <v>343.7</v>
      </c>
      <c r="T44" s="9" t="n">
        <v>343.7</v>
      </c>
      <c r="U44" s="9" t="n">
        <v>343.7</v>
      </c>
      <c r="V44" s="9" t="n">
        <v>343.7</v>
      </c>
      <c r="W44" s="9" t="n">
        <v>343.7</v>
      </c>
      <c r="X44" s="9" t="n">
        <v>343.7</v>
      </c>
      <c r="Y44" s="9" t="n">
        <v>343.7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254</v>
      </c>
      <c r="B45" s="3" t="s">
        <v>255</v>
      </c>
      <c r="C45" s="3" t="s">
        <v>256</v>
      </c>
      <c r="D45" s="3" t="s">
        <v>257</v>
      </c>
      <c r="E45" s="3" t="n">
        <v>1979</v>
      </c>
      <c r="F45" s="3" t="s">
        <v>53</v>
      </c>
      <c r="G45" s="3" t="s">
        <v>258</v>
      </c>
      <c r="H45" s="3" t="s">
        <v>259</v>
      </c>
      <c r="I45" s="3" t="s">
        <v>136</v>
      </c>
      <c r="J45" s="7" t="n">
        <v>445000</v>
      </c>
      <c r="K45" s="3" t="s">
        <v>260</v>
      </c>
      <c r="L45" s="7" t="n">
        <v>5037.74</v>
      </c>
      <c r="M45" s="7" t="n">
        <v>629.72</v>
      </c>
      <c r="N45" s="7" t="n">
        <v>629.72</v>
      </c>
      <c r="O45" s="7" t="n">
        <v>3778.3</v>
      </c>
      <c r="P45" s="7" t="n">
        <v>377.83</v>
      </c>
      <c r="Q45" s="7" t="n">
        <v>377.83</v>
      </c>
      <c r="R45" s="7" t="n">
        <v>377.83</v>
      </c>
      <c r="S45" s="7" t="n">
        <v>377.83</v>
      </c>
      <c r="T45" s="7" t="n">
        <v>377.83</v>
      </c>
      <c r="U45" s="7" t="n">
        <v>377.83</v>
      </c>
      <c r="V45" s="7" t="n">
        <v>377.83</v>
      </c>
      <c r="W45" s="7" t="n">
        <v>377.83</v>
      </c>
      <c r="X45" s="7" t="n">
        <v>377.83</v>
      </c>
      <c r="Y45" s="7" t="n">
        <v>377.83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261</v>
      </c>
      <c r="B46" s="8" t="s">
        <v>262</v>
      </c>
      <c r="C46" s="8" t="s">
        <v>263</v>
      </c>
      <c r="D46" s="8" t="s">
        <v>264</v>
      </c>
      <c r="E46" s="8" t="n">
        <v>1958</v>
      </c>
      <c r="F46" s="8" t="s">
        <v>265</v>
      </c>
      <c r="G46" s="8" t="s">
        <v>266</v>
      </c>
      <c r="H46" s="8" t="s">
        <v>267</v>
      </c>
      <c r="I46" s="8" t="s">
        <v>47</v>
      </c>
      <c r="J46" s="9" t="n">
        <v>685000</v>
      </c>
      <c r="K46" s="8" t="s">
        <v>268</v>
      </c>
      <c r="L46" s="9" t="n">
        <v>9157.03</v>
      </c>
      <c r="M46" s="9" t="n">
        <v>1144.63</v>
      </c>
      <c r="N46" s="9" t="n">
        <v>1144.63</v>
      </c>
      <c r="O46" s="9" t="n">
        <v>6867.8</v>
      </c>
      <c r="P46" s="9" t="n">
        <v>686.78</v>
      </c>
      <c r="Q46" s="9" t="n">
        <v>686.78</v>
      </c>
      <c r="R46" s="9" t="n">
        <v>686.78</v>
      </c>
      <c r="S46" s="9" t="n">
        <v>686.78</v>
      </c>
      <c r="T46" s="9" t="n">
        <v>686.78</v>
      </c>
      <c r="U46" s="9" t="n">
        <v>686.78</v>
      </c>
      <c r="V46" s="9" t="n">
        <v>686.78</v>
      </c>
      <c r="W46" s="9" t="n">
        <v>686.78</v>
      </c>
      <c r="X46" s="9" t="n">
        <v>686.78</v>
      </c>
      <c r="Y46" s="9" t="n">
        <v>686.78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269</v>
      </c>
      <c r="B47" s="3" t="s">
        <v>270</v>
      </c>
      <c r="C47" s="3" t="s">
        <v>206</v>
      </c>
      <c r="D47" s="3" t="s">
        <v>207</v>
      </c>
      <c r="E47" s="3" t="n">
        <v>1965</v>
      </c>
      <c r="F47" s="3" t="s">
        <v>80</v>
      </c>
      <c r="G47" s="3" t="s">
        <v>81</v>
      </c>
      <c r="H47" s="3" t="s">
        <v>271</v>
      </c>
      <c r="I47" s="3" t="s">
        <v>47</v>
      </c>
      <c r="J47" s="7" t="n">
        <v>1850000</v>
      </c>
      <c r="K47" s="3" t="s">
        <v>161</v>
      </c>
      <c r="L47" s="7" t="n">
        <v>19198.11</v>
      </c>
      <c r="M47" s="7" t="n">
        <v>2399.76</v>
      </c>
      <c r="N47" s="7" t="n">
        <v>2399.76</v>
      </c>
      <c r="O47" s="7" t="n">
        <v>14398.6</v>
      </c>
      <c r="P47" s="7" t="n">
        <v>1439.86</v>
      </c>
      <c r="Q47" s="7" t="n">
        <v>1439.86</v>
      </c>
      <c r="R47" s="7" t="n">
        <v>1439.86</v>
      </c>
      <c r="S47" s="7" t="n">
        <v>1439.86</v>
      </c>
      <c r="T47" s="7" t="n">
        <v>1439.86</v>
      </c>
      <c r="U47" s="7" t="n">
        <v>1439.86</v>
      </c>
      <c r="V47" s="7" t="n">
        <v>1439.86</v>
      </c>
      <c r="W47" s="7" t="n">
        <v>1439.86</v>
      </c>
      <c r="X47" s="7" t="n">
        <v>1439.86</v>
      </c>
      <c r="Y47" s="7" t="n">
        <v>1439.86</v>
      </c>
      <c r="Z47" s="7" t="n">
        <v>350</v>
      </c>
      <c r="AA47" s="7" t="n">
        <v>250</v>
      </c>
      <c r="AB47" s="7" t="n">
        <v>600</v>
      </c>
    </row>
    <row r="48" customFormat="false" ht="15" hidden="false" customHeight="false" outlineLevel="0" collapsed="false">
      <c r="A48" s="8" t="s">
        <v>272</v>
      </c>
      <c r="B48" s="8" t="s">
        <v>273</v>
      </c>
      <c r="C48" s="8" t="s">
        <v>274</v>
      </c>
      <c r="D48" s="8" t="s">
        <v>275</v>
      </c>
      <c r="E48" s="8" t="n">
        <v>1982</v>
      </c>
      <c r="F48" s="8" t="s">
        <v>276</v>
      </c>
      <c r="G48" s="8" t="s">
        <v>277</v>
      </c>
      <c r="H48" s="8" t="s">
        <v>278</v>
      </c>
      <c r="I48" s="8" t="s">
        <v>136</v>
      </c>
      <c r="J48" s="9" t="n">
        <v>280000</v>
      </c>
      <c r="K48" s="8" t="s">
        <v>279</v>
      </c>
      <c r="L48" s="9" t="n">
        <v>2890.87</v>
      </c>
      <c r="M48" s="9" t="n">
        <v>361.36</v>
      </c>
      <c r="N48" s="9" t="n">
        <v>361.36</v>
      </c>
      <c r="O48" s="9" t="n">
        <v>2168.2</v>
      </c>
      <c r="P48" s="9" t="n">
        <v>216.82</v>
      </c>
      <c r="Q48" s="9" t="n">
        <v>216.82</v>
      </c>
      <c r="R48" s="9" t="n">
        <v>216.82</v>
      </c>
      <c r="S48" s="9" t="n">
        <v>216.82</v>
      </c>
      <c r="T48" s="9" t="n">
        <v>216.82</v>
      </c>
      <c r="U48" s="9" t="n">
        <v>216.82</v>
      </c>
      <c r="V48" s="9" t="n">
        <v>216.82</v>
      </c>
      <c r="W48" s="9" t="n">
        <v>216.82</v>
      </c>
      <c r="X48" s="9" t="n">
        <v>216.82</v>
      </c>
      <c r="Y48" s="9" t="n">
        <v>216.82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280</v>
      </c>
      <c r="B49" s="3" t="s">
        <v>281</v>
      </c>
      <c r="C49" s="3" t="s">
        <v>282</v>
      </c>
      <c r="D49" s="3" t="s">
        <v>283</v>
      </c>
      <c r="E49" s="3" t="n">
        <v>1998</v>
      </c>
      <c r="F49" s="3" t="s">
        <v>99</v>
      </c>
      <c r="G49" s="3" t="s">
        <v>100</v>
      </c>
      <c r="H49" s="3" t="s">
        <v>284</v>
      </c>
      <c r="I49" s="3" t="s">
        <v>47</v>
      </c>
      <c r="J49" s="7" t="n">
        <v>430000</v>
      </c>
      <c r="K49" s="3" t="s">
        <v>83</v>
      </c>
      <c r="L49" s="7" t="n">
        <v>8214.62</v>
      </c>
      <c r="M49" s="7" t="n">
        <v>1026.83</v>
      </c>
      <c r="N49" s="7" t="n">
        <v>1026.83</v>
      </c>
      <c r="O49" s="7" t="n">
        <v>6161</v>
      </c>
      <c r="P49" s="7" t="n">
        <v>616.1</v>
      </c>
      <c r="Q49" s="7" t="n">
        <v>616.1</v>
      </c>
      <c r="R49" s="7" t="n">
        <v>616.1</v>
      </c>
      <c r="S49" s="7" t="n">
        <v>616.1</v>
      </c>
      <c r="T49" s="7" t="n">
        <v>616.1</v>
      </c>
      <c r="U49" s="7" t="n">
        <v>616.1</v>
      </c>
      <c r="V49" s="7" t="n">
        <v>616.1</v>
      </c>
      <c r="W49" s="7" t="n">
        <v>616.1</v>
      </c>
      <c r="X49" s="7" t="n">
        <v>616.1</v>
      </c>
      <c r="Y49" s="7" t="n">
        <v>616.1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285</v>
      </c>
      <c r="B50" s="8" t="s">
        <v>210</v>
      </c>
      <c r="C50" s="8" t="s">
        <v>42</v>
      </c>
      <c r="D50" s="8" t="s">
        <v>43</v>
      </c>
      <c r="E50" s="8" t="n">
        <v>1976</v>
      </c>
      <c r="F50" s="8" t="s">
        <v>99</v>
      </c>
      <c r="G50" s="8" t="s">
        <v>100</v>
      </c>
      <c r="H50" s="8" t="s">
        <v>286</v>
      </c>
      <c r="I50" s="8" t="s">
        <v>47</v>
      </c>
      <c r="J50" s="9" t="n">
        <v>795000</v>
      </c>
      <c r="K50" s="8" t="s">
        <v>287</v>
      </c>
      <c r="L50" s="9" t="n">
        <v>12675</v>
      </c>
      <c r="M50" s="9" t="n">
        <v>1584.38</v>
      </c>
      <c r="N50" s="9" t="n">
        <v>1584.38</v>
      </c>
      <c r="O50" s="9" t="n">
        <v>9506.2</v>
      </c>
      <c r="P50" s="9" t="n">
        <v>950.62</v>
      </c>
      <c r="Q50" s="9" t="n">
        <v>950.62</v>
      </c>
      <c r="R50" s="9" t="n">
        <v>950.62</v>
      </c>
      <c r="S50" s="9" t="n">
        <v>950.62</v>
      </c>
      <c r="T50" s="9" t="n">
        <v>950.62</v>
      </c>
      <c r="U50" s="9" t="n">
        <v>950.62</v>
      </c>
      <c r="V50" s="9" t="n">
        <v>950.62</v>
      </c>
      <c r="W50" s="9" t="n">
        <v>950.62</v>
      </c>
      <c r="X50" s="9" t="n">
        <v>950.62</v>
      </c>
      <c r="Y50" s="9" t="n">
        <v>950.62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288</v>
      </c>
      <c r="B51" s="3" t="s">
        <v>270</v>
      </c>
      <c r="C51" s="3" t="s">
        <v>250</v>
      </c>
      <c r="D51" s="3" t="s">
        <v>251</v>
      </c>
      <c r="E51" s="3" t="n">
        <v>1988</v>
      </c>
      <c r="F51" s="3" t="s">
        <v>276</v>
      </c>
      <c r="G51" s="3" t="s">
        <v>277</v>
      </c>
      <c r="H51" s="3" t="s">
        <v>289</v>
      </c>
      <c r="I51" s="3" t="s">
        <v>136</v>
      </c>
      <c r="J51" s="7" t="n">
        <v>1075000</v>
      </c>
      <c r="K51" s="3" t="s">
        <v>119</v>
      </c>
      <c r="L51" s="7" t="n">
        <v>9634.43</v>
      </c>
      <c r="M51" s="7" t="n">
        <v>1204.3</v>
      </c>
      <c r="N51" s="7" t="n">
        <v>1204.3</v>
      </c>
      <c r="O51" s="7" t="n">
        <v>7225.8</v>
      </c>
      <c r="P51" s="7" t="n">
        <v>722.58</v>
      </c>
      <c r="Q51" s="7" t="n">
        <v>722.58</v>
      </c>
      <c r="R51" s="7" t="n">
        <v>722.58</v>
      </c>
      <c r="S51" s="7" t="n">
        <v>722.58</v>
      </c>
      <c r="T51" s="7" t="n">
        <v>722.58</v>
      </c>
      <c r="U51" s="7" t="n">
        <v>722.58</v>
      </c>
      <c r="V51" s="7" t="n">
        <v>722.58</v>
      </c>
      <c r="W51" s="7" t="n">
        <v>722.58</v>
      </c>
      <c r="X51" s="7" t="n">
        <v>722.58</v>
      </c>
      <c r="Y51" s="7" t="n">
        <v>722.58</v>
      </c>
      <c r="Z51" s="7" t="n">
        <v>350</v>
      </c>
      <c r="AA51" s="7" t="n">
        <v>250</v>
      </c>
      <c r="AB51" s="7" t="n">
        <v>600</v>
      </c>
    </row>
    <row r="52" customFormat="false" ht="15" hidden="false" customHeight="false" outlineLevel="0" collapsed="false">
      <c r="A52" s="8" t="s">
        <v>290</v>
      </c>
      <c r="B52" s="8" t="s">
        <v>291</v>
      </c>
      <c r="C52" s="8" t="s">
        <v>263</v>
      </c>
      <c r="D52" s="8" t="s">
        <v>264</v>
      </c>
      <c r="E52" s="8" t="n">
        <v>1962</v>
      </c>
      <c r="F52" s="8" t="s">
        <v>292</v>
      </c>
      <c r="G52" s="8" t="s">
        <v>293</v>
      </c>
      <c r="H52" s="8" t="s">
        <v>294</v>
      </c>
      <c r="I52" s="8" t="s">
        <v>125</v>
      </c>
      <c r="J52" s="9" t="n">
        <v>1950000</v>
      </c>
      <c r="K52" s="8" t="s">
        <v>187</v>
      </c>
      <c r="L52" s="9" t="n">
        <v>13385.09</v>
      </c>
      <c r="M52" s="9" t="n">
        <v>1673.14</v>
      </c>
      <c r="N52" s="9" t="n">
        <v>1673.14</v>
      </c>
      <c r="O52" s="9" t="n">
        <v>10038.8</v>
      </c>
      <c r="P52" s="9" t="n">
        <v>1003.88</v>
      </c>
      <c r="Q52" s="9" t="n">
        <v>1003.88</v>
      </c>
      <c r="R52" s="9" t="n">
        <v>1003.88</v>
      </c>
      <c r="S52" s="9" t="n">
        <v>1003.88</v>
      </c>
      <c r="T52" s="9" t="n">
        <v>1003.88</v>
      </c>
      <c r="U52" s="9" t="n">
        <v>1003.88</v>
      </c>
      <c r="V52" s="9" t="n">
        <v>1003.88</v>
      </c>
      <c r="W52" s="9" t="n">
        <v>1003.88</v>
      </c>
      <c r="X52" s="9" t="n">
        <v>1003.88</v>
      </c>
      <c r="Y52" s="9" t="n">
        <v>1003.88</v>
      </c>
      <c r="Z52" s="9" t="n">
        <v>350</v>
      </c>
      <c r="AA52" s="9" t="n">
        <v>250</v>
      </c>
      <c r="AB52" s="9" t="n">
        <v>600</v>
      </c>
    </row>
    <row r="53" customFormat="false" ht="15" hidden="false" customHeight="false" outlineLevel="0" collapsed="false">
      <c r="A53" s="3" t="s">
        <v>295</v>
      </c>
      <c r="B53" s="3" t="s">
        <v>296</v>
      </c>
      <c r="C53" s="3" t="s">
        <v>144</v>
      </c>
      <c r="D53" s="3" t="s">
        <v>145</v>
      </c>
      <c r="E53" s="3" t="n">
        <v>1993</v>
      </c>
      <c r="F53" s="3" t="s">
        <v>265</v>
      </c>
      <c r="G53" s="3" t="s">
        <v>266</v>
      </c>
      <c r="H53" s="3" t="s">
        <v>297</v>
      </c>
      <c r="I53" s="3" t="s">
        <v>47</v>
      </c>
      <c r="J53" s="7" t="n">
        <v>1945000</v>
      </c>
      <c r="K53" s="3" t="s">
        <v>161</v>
      </c>
      <c r="L53" s="7" t="n">
        <v>20183.96</v>
      </c>
      <c r="M53" s="7" t="n">
        <v>2522.99</v>
      </c>
      <c r="N53" s="7" t="n">
        <v>2522.99</v>
      </c>
      <c r="O53" s="7" t="n">
        <v>15138</v>
      </c>
      <c r="P53" s="7" t="n">
        <v>1513.8</v>
      </c>
      <c r="Q53" s="7" t="n">
        <v>1513.8</v>
      </c>
      <c r="R53" s="7" t="n">
        <v>1513.8</v>
      </c>
      <c r="S53" s="7" t="n">
        <v>1513.8</v>
      </c>
      <c r="T53" s="7" t="n">
        <v>1513.8</v>
      </c>
      <c r="U53" s="7" t="n">
        <v>1513.8</v>
      </c>
      <c r="V53" s="7" t="n">
        <v>1513.8</v>
      </c>
      <c r="W53" s="7" t="n">
        <v>1513.8</v>
      </c>
      <c r="X53" s="7" t="n">
        <v>1513.8</v>
      </c>
      <c r="Y53" s="7" t="n">
        <v>1513.8</v>
      </c>
      <c r="Z53" s="7" t="n">
        <v>350</v>
      </c>
      <c r="AA53" s="7" t="n">
        <v>250</v>
      </c>
      <c r="AB53" s="7" t="n">
        <v>600</v>
      </c>
    </row>
    <row r="54" customFormat="false" ht="15" hidden="false" customHeight="false" outlineLevel="0" collapsed="false">
      <c r="A54" s="8" t="s">
        <v>298</v>
      </c>
      <c r="B54" s="8" t="s">
        <v>299</v>
      </c>
      <c r="C54" s="8" t="s">
        <v>66</v>
      </c>
      <c r="D54" s="8" t="s">
        <v>67</v>
      </c>
      <c r="E54" s="8" t="n">
        <v>2009</v>
      </c>
      <c r="F54" s="8" t="s">
        <v>44</v>
      </c>
      <c r="G54" s="8" t="s">
        <v>45</v>
      </c>
      <c r="H54" s="8" t="s">
        <v>300</v>
      </c>
      <c r="I54" s="8" t="s">
        <v>47</v>
      </c>
      <c r="J54" s="9" t="n">
        <v>735000</v>
      </c>
      <c r="K54" s="8" t="s">
        <v>203</v>
      </c>
      <c r="L54" s="9" t="n">
        <v>12800.09</v>
      </c>
      <c r="M54" s="9" t="n">
        <v>1600.01</v>
      </c>
      <c r="N54" s="9" t="n">
        <v>1600.01</v>
      </c>
      <c r="O54" s="9" t="n">
        <v>9600.1</v>
      </c>
      <c r="P54" s="9" t="n">
        <v>960.01</v>
      </c>
      <c r="Q54" s="9" t="n">
        <v>960.01</v>
      </c>
      <c r="R54" s="9" t="n">
        <v>960.01</v>
      </c>
      <c r="S54" s="9" t="n">
        <v>960.01</v>
      </c>
      <c r="T54" s="9" t="n">
        <v>960.01</v>
      </c>
      <c r="U54" s="9" t="n">
        <v>960.01</v>
      </c>
      <c r="V54" s="9" t="n">
        <v>960.01</v>
      </c>
      <c r="W54" s="9" t="n">
        <v>960.01</v>
      </c>
      <c r="X54" s="9" t="n">
        <v>960.01</v>
      </c>
      <c r="Y54" s="9" t="n">
        <v>960.01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301</v>
      </c>
      <c r="B55" s="3" t="s">
        <v>302</v>
      </c>
      <c r="C55" s="3" t="s">
        <v>219</v>
      </c>
      <c r="D55" s="3" t="s">
        <v>220</v>
      </c>
      <c r="E55" s="3" t="n">
        <v>1995</v>
      </c>
      <c r="F55" s="3" t="s">
        <v>303</v>
      </c>
      <c r="G55" s="3" t="s">
        <v>304</v>
      </c>
      <c r="H55" s="3" t="s">
        <v>305</v>
      </c>
      <c r="I55" s="3" t="s">
        <v>169</v>
      </c>
      <c r="J55" s="7" t="n">
        <v>595000</v>
      </c>
      <c r="K55" s="3" t="s">
        <v>203</v>
      </c>
      <c r="L55" s="7" t="n">
        <v>12434.38</v>
      </c>
      <c r="M55" s="7" t="n">
        <v>1554.3</v>
      </c>
      <c r="N55" s="7" t="n">
        <v>1554.3</v>
      </c>
      <c r="O55" s="7" t="n">
        <v>9325.8</v>
      </c>
      <c r="P55" s="7" t="n">
        <v>932.58</v>
      </c>
      <c r="Q55" s="7" t="n">
        <v>932.58</v>
      </c>
      <c r="R55" s="7" t="n">
        <v>932.58</v>
      </c>
      <c r="S55" s="7" t="n">
        <v>932.58</v>
      </c>
      <c r="T55" s="7" t="n">
        <v>932.58</v>
      </c>
      <c r="U55" s="7" t="n">
        <v>932.58</v>
      </c>
      <c r="V55" s="7" t="n">
        <v>932.58</v>
      </c>
      <c r="W55" s="7" t="n">
        <v>932.58</v>
      </c>
      <c r="X55" s="7" t="n">
        <v>932.58</v>
      </c>
      <c r="Y55" s="7" t="n">
        <v>932.58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306</v>
      </c>
      <c r="B56" s="8" t="s">
        <v>307</v>
      </c>
      <c r="C56" s="8" t="s">
        <v>42</v>
      </c>
      <c r="D56" s="8" t="s">
        <v>43</v>
      </c>
      <c r="E56" s="8" t="n">
        <v>1961</v>
      </c>
      <c r="F56" s="8" t="s">
        <v>53</v>
      </c>
      <c r="G56" s="8" t="s">
        <v>258</v>
      </c>
      <c r="H56" s="8" t="s">
        <v>308</v>
      </c>
      <c r="I56" s="8" t="s">
        <v>136</v>
      </c>
      <c r="J56" s="9" t="n">
        <v>725000</v>
      </c>
      <c r="K56" s="8" t="s">
        <v>91</v>
      </c>
      <c r="L56" s="9" t="n">
        <v>7529.06</v>
      </c>
      <c r="M56" s="9" t="n">
        <v>941.13</v>
      </c>
      <c r="N56" s="9" t="n">
        <v>941.13</v>
      </c>
      <c r="O56" s="9" t="n">
        <v>5646.8</v>
      </c>
      <c r="P56" s="9" t="n">
        <v>564.68</v>
      </c>
      <c r="Q56" s="9" t="n">
        <v>564.68</v>
      </c>
      <c r="R56" s="9" t="n">
        <v>564.68</v>
      </c>
      <c r="S56" s="9" t="n">
        <v>564.68</v>
      </c>
      <c r="T56" s="9" t="n">
        <v>564.68</v>
      </c>
      <c r="U56" s="9" t="n">
        <v>564.68</v>
      </c>
      <c r="V56" s="9" t="n">
        <v>564.68</v>
      </c>
      <c r="W56" s="9" t="n">
        <v>564.68</v>
      </c>
      <c r="X56" s="9" t="n">
        <v>564.68</v>
      </c>
      <c r="Y56" s="9" t="n">
        <v>564.68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309</v>
      </c>
      <c r="B57" s="3" t="s">
        <v>310</v>
      </c>
      <c r="C57" s="3" t="s">
        <v>111</v>
      </c>
      <c r="D57" s="3" t="s">
        <v>112</v>
      </c>
      <c r="E57" s="3" t="n">
        <v>1957</v>
      </c>
      <c r="F57" s="3" t="s">
        <v>265</v>
      </c>
      <c r="G57" s="3" t="s">
        <v>266</v>
      </c>
      <c r="H57" s="3" t="s">
        <v>311</v>
      </c>
      <c r="I57" s="3" t="s">
        <v>47</v>
      </c>
      <c r="J57" s="7" t="n">
        <v>190000</v>
      </c>
      <c r="K57" s="3" t="s">
        <v>312</v>
      </c>
      <c r="L57" s="7" t="n">
        <v>3627.92</v>
      </c>
      <c r="M57" s="7" t="n">
        <v>453.49</v>
      </c>
      <c r="N57" s="7" t="n">
        <v>453.49</v>
      </c>
      <c r="O57" s="7" t="n">
        <v>2720.9</v>
      </c>
      <c r="P57" s="7" t="n">
        <v>272.09</v>
      </c>
      <c r="Q57" s="7" t="n">
        <v>272.09</v>
      </c>
      <c r="R57" s="7" t="n">
        <v>272.09</v>
      </c>
      <c r="S57" s="7" t="n">
        <v>272.09</v>
      </c>
      <c r="T57" s="7" t="n">
        <v>272.09</v>
      </c>
      <c r="U57" s="7" t="n">
        <v>272.09</v>
      </c>
      <c r="V57" s="7" t="n">
        <v>272.09</v>
      </c>
      <c r="W57" s="7" t="n">
        <v>272.09</v>
      </c>
      <c r="X57" s="7" t="n">
        <v>272.09</v>
      </c>
      <c r="Y57" s="7" t="n">
        <v>272.09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313</v>
      </c>
      <c r="B58" s="8" t="s">
        <v>314</v>
      </c>
      <c r="C58" s="8" t="s">
        <v>315</v>
      </c>
      <c r="D58" s="8" t="s">
        <v>316</v>
      </c>
      <c r="E58" s="8" t="n">
        <v>2001</v>
      </c>
      <c r="F58" s="8" t="s">
        <v>80</v>
      </c>
      <c r="G58" s="8" t="s">
        <v>81</v>
      </c>
      <c r="H58" s="8" t="s">
        <v>317</v>
      </c>
      <c r="I58" s="8" t="s">
        <v>47</v>
      </c>
      <c r="J58" s="9" t="n">
        <v>970000</v>
      </c>
      <c r="K58" s="8" t="s">
        <v>137</v>
      </c>
      <c r="L58" s="9" t="n">
        <v>14632.36</v>
      </c>
      <c r="M58" s="9" t="n">
        <v>1829.05</v>
      </c>
      <c r="N58" s="9" t="n">
        <v>1829.05</v>
      </c>
      <c r="O58" s="9" t="n">
        <v>10974.3</v>
      </c>
      <c r="P58" s="9" t="n">
        <v>1097.43</v>
      </c>
      <c r="Q58" s="9" t="n">
        <v>1097.43</v>
      </c>
      <c r="R58" s="9" t="n">
        <v>1097.43</v>
      </c>
      <c r="S58" s="9" t="n">
        <v>1097.43</v>
      </c>
      <c r="T58" s="9" t="n">
        <v>1097.43</v>
      </c>
      <c r="U58" s="9" t="n">
        <v>1097.43</v>
      </c>
      <c r="V58" s="9" t="n">
        <v>1097.43</v>
      </c>
      <c r="W58" s="9" t="n">
        <v>1097.43</v>
      </c>
      <c r="X58" s="9" t="n">
        <v>1097.43</v>
      </c>
      <c r="Y58" s="9" t="n">
        <v>1097.43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318</v>
      </c>
      <c r="B59" s="3" t="s">
        <v>319</v>
      </c>
      <c r="C59" s="3" t="s">
        <v>128</v>
      </c>
      <c r="D59" s="3" t="s">
        <v>129</v>
      </c>
      <c r="E59" s="3" t="n">
        <v>2022</v>
      </c>
      <c r="F59" s="3" t="s">
        <v>53</v>
      </c>
      <c r="G59" s="3" t="s">
        <v>54</v>
      </c>
      <c r="H59" s="3" t="s">
        <v>320</v>
      </c>
      <c r="I59" s="3" t="s">
        <v>56</v>
      </c>
      <c r="J59" s="7" t="n">
        <v>780000</v>
      </c>
      <c r="K59" s="3" t="s">
        <v>75</v>
      </c>
      <c r="L59" s="7" t="n">
        <v>19433.77</v>
      </c>
      <c r="M59" s="7" t="n">
        <v>2429.22</v>
      </c>
      <c r="N59" s="7" t="n">
        <v>2429.22</v>
      </c>
      <c r="O59" s="7" t="n">
        <v>14575.3</v>
      </c>
      <c r="P59" s="7" t="n">
        <v>1457.53</v>
      </c>
      <c r="Q59" s="7" t="n">
        <v>1457.53</v>
      </c>
      <c r="R59" s="7" t="n">
        <v>1457.53</v>
      </c>
      <c r="S59" s="7" t="n">
        <v>1457.53</v>
      </c>
      <c r="T59" s="7" t="n">
        <v>1457.53</v>
      </c>
      <c r="U59" s="7" t="n">
        <v>1457.53</v>
      </c>
      <c r="V59" s="7" t="n">
        <v>1457.53</v>
      </c>
      <c r="W59" s="7" t="n">
        <v>1457.53</v>
      </c>
      <c r="X59" s="7" t="n">
        <v>1457.53</v>
      </c>
      <c r="Y59" s="7" t="n">
        <v>1457.53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321</v>
      </c>
      <c r="B60" s="8" t="s">
        <v>322</v>
      </c>
      <c r="C60" s="8" t="s">
        <v>315</v>
      </c>
      <c r="D60" s="8" t="s">
        <v>316</v>
      </c>
      <c r="E60" s="8" t="n">
        <v>1994</v>
      </c>
      <c r="F60" s="8" t="s">
        <v>99</v>
      </c>
      <c r="G60" s="8" t="s">
        <v>100</v>
      </c>
      <c r="H60" s="8" t="s">
        <v>323</v>
      </c>
      <c r="I60" s="8" t="s">
        <v>47</v>
      </c>
      <c r="J60" s="9" t="n">
        <v>1030000</v>
      </c>
      <c r="K60" s="8" t="s">
        <v>324</v>
      </c>
      <c r="L60" s="9" t="n">
        <v>12719.53</v>
      </c>
      <c r="M60" s="9" t="n">
        <v>1589.94</v>
      </c>
      <c r="N60" s="9" t="n">
        <v>1589.94</v>
      </c>
      <c r="O60" s="9" t="n">
        <v>9539.6</v>
      </c>
      <c r="P60" s="9" t="n">
        <v>953.96</v>
      </c>
      <c r="Q60" s="9" t="n">
        <v>953.96</v>
      </c>
      <c r="R60" s="9" t="n">
        <v>953.96</v>
      </c>
      <c r="S60" s="9" t="n">
        <v>953.96</v>
      </c>
      <c r="T60" s="9" t="n">
        <v>953.96</v>
      </c>
      <c r="U60" s="9" t="n">
        <v>953.96</v>
      </c>
      <c r="V60" s="9" t="n">
        <v>953.96</v>
      </c>
      <c r="W60" s="9" t="n">
        <v>953.96</v>
      </c>
      <c r="X60" s="9" t="n">
        <v>953.96</v>
      </c>
      <c r="Y60" s="9" t="n">
        <v>953.96</v>
      </c>
      <c r="Z60" s="9" t="n">
        <v>350</v>
      </c>
      <c r="AA60" s="9" t="n">
        <v>250</v>
      </c>
      <c r="AB60" s="9" t="n">
        <v>600</v>
      </c>
    </row>
    <row r="61" customFormat="false" ht="15" hidden="false" customHeight="false" outlineLevel="0" collapsed="false">
      <c r="A61" s="3" t="s">
        <v>325</v>
      </c>
      <c r="B61" s="3" t="s">
        <v>326</v>
      </c>
      <c r="C61" s="3" t="s">
        <v>66</v>
      </c>
      <c r="D61" s="3" t="s">
        <v>67</v>
      </c>
      <c r="E61" s="3" t="n">
        <v>1989</v>
      </c>
      <c r="F61" s="3" t="s">
        <v>105</v>
      </c>
      <c r="G61" s="3" t="s">
        <v>106</v>
      </c>
      <c r="H61" s="3" t="s">
        <v>327</v>
      </c>
      <c r="I61" s="3" t="s">
        <v>56</v>
      </c>
      <c r="J61" s="7" t="n">
        <v>1950000</v>
      </c>
      <c r="K61" s="3" t="s">
        <v>328</v>
      </c>
      <c r="L61" s="7" t="n">
        <v>28845.28</v>
      </c>
      <c r="M61" s="7" t="n">
        <v>3605.66</v>
      </c>
      <c r="N61" s="7" t="n">
        <v>3605.66</v>
      </c>
      <c r="O61" s="7" t="n">
        <v>21634</v>
      </c>
      <c r="P61" s="7" t="n">
        <v>2163.4</v>
      </c>
      <c r="Q61" s="7" t="n">
        <v>2163.4</v>
      </c>
      <c r="R61" s="7" t="n">
        <v>2163.4</v>
      </c>
      <c r="S61" s="7" t="n">
        <v>2163.4</v>
      </c>
      <c r="T61" s="7" t="n">
        <v>2163.4</v>
      </c>
      <c r="U61" s="7" t="n">
        <v>2163.4</v>
      </c>
      <c r="V61" s="7" t="n">
        <v>2163.4</v>
      </c>
      <c r="W61" s="7" t="n">
        <v>2163.4</v>
      </c>
      <c r="X61" s="7" t="n">
        <v>2163.4</v>
      </c>
      <c r="Y61" s="7" t="n">
        <v>2163.4</v>
      </c>
      <c r="Z61" s="7" t="n">
        <v>350</v>
      </c>
      <c r="AA61" s="7" t="n">
        <v>250</v>
      </c>
      <c r="AB61" s="7" t="n">
        <v>600</v>
      </c>
    </row>
    <row r="62" customFormat="false" ht="15" hidden="false" customHeight="false" outlineLevel="0" collapsed="false">
      <c r="A62" s="8" t="s">
        <v>329</v>
      </c>
      <c r="B62" s="8" t="s">
        <v>330</v>
      </c>
      <c r="C62" s="8" t="s">
        <v>315</v>
      </c>
      <c r="D62" s="8" t="s">
        <v>316</v>
      </c>
      <c r="E62" s="8" t="n">
        <v>1985</v>
      </c>
      <c r="F62" s="8" t="s">
        <v>44</v>
      </c>
      <c r="G62" s="8" t="s">
        <v>45</v>
      </c>
      <c r="H62" s="8" t="s">
        <v>331</v>
      </c>
      <c r="I62" s="8" t="s">
        <v>47</v>
      </c>
      <c r="J62" s="9" t="n">
        <v>965000</v>
      </c>
      <c r="K62" s="8" t="s">
        <v>173</v>
      </c>
      <c r="L62" s="9" t="n">
        <v>13610.14</v>
      </c>
      <c r="M62" s="9" t="n">
        <v>1701.27</v>
      </c>
      <c r="N62" s="9" t="n">
        <v>1701.27</v>
      </c>
      <c r="O62" s="9" t="n">
        <v>10207.6</v>
      </c>
      <c r="P62" s="9" t="n">
        <v>1020.76</v>
      </c>
      <c r="Q62" s="9" t="n">
        <v>1020.76</v>
      </c>
      <c r="R62" s="9" t="n">
        <v>1020.76</v>
      </c>
      <c r="S62" s="9" t="n">
        <v>1020.76</v>
      </c>
      <c r="T62" s="9" t="n">
        <v>1020.76</v>
      </c>
      <c r="U62" s="9" t="n">
        <v>1020.76</v>
      </c>
      <c r="V62" s="9" t="n">
        <v>1020.76</v>
      </c>
      <c r="W62" s="9" t="n">
        <v>1020.76</v>
      </c>
      <c r="X62" s="9" t="n">
        <v>1020.76</v>
      </c>
      <c r="Y62" s="9" t="n">
        <v>1020.76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332</v>
      </c>
      <c r="B63" s="3" t="s">
        <v>333</v>
      </c>
      <c r="C63" s="3" t="s">
        <v>179</v>
      </c>
      <c r="D63" s="3" t="s">
        <v>180</v>
      </c>
      <c r="E63" s="3" t="n">
        <v>2019</v>
      </c>
      <c r="F63" s="3" t="s">
        <v>88</v>
      </c>
      <c r="G63" s="3" t="s">
        <v>89</v>
      </c>
      <c r="H63" s="3" t="s">
        <v>334</v>
      </c>
      <c r="I63" s="3" t="s">
        <v>47</v>
      </c>
      <c r="J63" s="7" t="n">
        <v>870000</v>
      </c>
      <c r="K63" s="3" t="s">
        <v>131</v>
      </c>
      <c r="L63" s="7" t="n">
        <v>14084.15</v>
      </c>
      <c r="M63" s="7" t="n">
        <v>1760.52</v>
      </c>
      <c r="N63" s="7" t="n">
        <v>1760.52</v>
      </c>
      <c r="O63" s="7" t="n">
        <v>10563.1</v>
      </c>
      <c r="P63" s="7" t="n">
        <v>1056.31</v>
      </c>
      <c r="Q63" s="7" t="n">
        <v>1056.31</v>
      </c>
      <c r="R63" s="7" t="n">
        <v>1056.31</v>
      </c>
      <c r="S63" s="7" t="n">
        <v>1056.31</v>
      </c>
      <c r="T63" s="7" t="n">
        <v>1056.31</v>
      </c>
      <c r="U63" s="7" t="n">
        <v>1056.31</v>
      </c>
      <c r="V63" s="7" t="n">
        <v>1056.31</v>
      </c>
      <c r="W63" s="7" t="n">
        <v>1056.31</v>
      </c>
      <c r="X63" s="7" t="n">
        <v>1056.31</v>
      </c>
      <c r="Y63" s="7" t="n">
        <v>1056.31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335</v>
      </c>
      <c r="B64" s="8" t="s">
        <v>336</v>
      </c>
      <c r="C64" s="8" t="s">
        <v>282</v>
      </c>
      <c r="D64" s="8" t="s">
        <v>283</v>
      </c>
      <c r="E64" s="8" t="n">
        <v>1984</v>
      </c>
      <c r="F64" s="8" t="s">
        <v>146</v>
      </c>
      <c r="G64" s="8" t="s">
        <v>147</v>
      </c>
      <c r="H64" s="8" t="s">
        <v>337</v>
      </c>
      <c r="I64" s="8" t="s">
        <v>47</v>
      </c>
      <c r="J64" s="9" t="n">
        <v>1045000</v>
      </c>
      <c r="K64" s="8" t="s">
        <v>63</v>
      </c>
      <c r="L64" s="9" t="n">
        <v>13772.31</v>
      </c>
      <c r="M64" s="9" t="n">
        <v>1721.54</v>
      </c>
      <c r="N64" s="9" t="n">
        <v>1721.54</v>
      </c>
      <c r="O64" s="9" t="n">
        <v>10329.2</v>
      </c>
      <c r="P64" s="9" t="n">
        <v>1032.92</v>
      </c>
      <c r="Q64" s="9" t="n">
        <v>1032.92</v>
      </c>
      <c r="R64" s="9" t="n">
        <v>1032.92</v>
      </c>
      <c r="S64" s="9" t="n">
        <v>1032.92</v>
      </c>
      <c r="T64" s="9" t="n">
        <v>1032.92</v>
      </c>
      <c r="U64" s="9" t="n">
        <v>1032.92</v>
      </c>
      <c r="V64" s="9" t="n">
        <v>1032.92</v>
      </c>
      <c r="W64" s="9" t="n">
        <v>1032.92</v>
      </c>
      <c r="X64" s="9" t="n">
        <v>1032.92</v>
      </c>
      <c r="Y64" s="9" t="n">
        <v>1032.92</v>
      </c>
      <c r="Z64" s="9" t="n">
        <v>350</v>
      </c>
      <c r="AA64" s="9" t="n">
        <v>250</v>
      </c>
      <c r="AB64" s="9" t="n">
        <v>600</v>
      </c>
    </row>
    <row r="65" customFormat="false" ht="15" hidden="false" customHeight="false" outlineLevel="0" collapsed="false">
      <c r="A65" s="3" t="s">
        <v>338</v>
      </c>
      <c r="B65" s="3" t="s">
        <v>299</v>
      </c>
      <c r="C65" s="3" t="s">
        <v>116</v>
      </c>
      <c r="D65" s="3" t="s">
        <v>117</v>
      </c>
      <c r="E65" s="3" t="n">
        <v>1999</v>
      </c>
      <c r="F65" s="3" t="s">
        <v>53</v>
      </c>
      <c r="G65" s="3" t="s">
        <v>236</v>
      </c>
      <c r="H65" s="3" t="s">
        <v>339</v>
      </c>
      <c r="I65" s="3" t="s">
        <v>56</v>
      </c>
      <c r="J65" s="7" t="n">
        <v>800000</v>
      </c>
      <c r="K65" s="3" t="s">
        <v>203</v>
      </c>
      <c r="L65" s="7" t="n">
        <v>20362.26</v>
      </c>
      <c r="M65" s="7" t="n">
        <v>2545.28</v>
      </c>
      <c r="N65" s="7" t="n">
        <v>2545.28</v>
      </c>
      <c r="O65" s="7" t="n">
        <v>15271.7</v>
      </c>
      <c r="P65" s="7" t="n">
        <v>1527.17</v>
      </c>
      <c r="Q65" s="7" t="n">
        <v>1527.17</v>
      </c>
      <c r="R65" s="7" t="n">
        <v>1527.17</v>
      </c>
      <c r="S65" s="7" t="n">
        <v>1527.17</v>
      </c>
      <c r="T65" s="7" t="n">
        <v>1527.17</v>
      </c>
      <c r="U65" s="7" t="n">
        <v>1527.17</v>
      </c>
      <c r="V65" s="7" t="n">
        <v>1527.17</v>
      </c>
      <c r="W65" s="7" t="n">
        <v>1527.17</v>
      </c>
      <c r="X65" s="7" t="n">
        <v>1527.17</v>
      </c>
      <c r="Y65" s="7" t="n">
        <v>1527.17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340</v>
      </c>
      <c r="B66" s="8" t="s">
        <v>341</v>
      </c>
      <c r="C66" s="8" t="s">
        <v>342</v>
      </c>
      <c r="D66" s="8" t="s">
        <v>343</v>
      </c>
      <c r="E66" s="8" t="n">
        <v>1961</v>
      </c>
      <c r="F66" s="8" t="s">
        <v>44</v>
      </c>
      <c r="G66" s="8" t="s">
        <v>45</v>
      </c>
      <c r="H66" s="8" t="s">
        <v>344</v>
      </c>
      <c r="I66" s="8" t="s">
        <v>47</v>
      </c>
      <c r="J66" s="9" t="n">
        <v>1400000</v>
      </c>
      <c r="K66" s="8" t="s">
        <v>173</v>
      </c>
      <c r="L66" s="9" t="n">
        <v>16707.55</v>
      </c>
      <c r="M66" s="9" t="n">
        <v>2088.44</v>
      </c>
      <c r="N66" s="9" t="n">
        <v>2088.44</v>
      </c>
      <c r="O66" s="9" t="n">
        <v>12530.7</v>
      </c>
      <c r="P66" s="9" t="n">
        <v>1253.07</v>
      </c>
      <c r="Q66" s="9" t="n">
        <v>1253.07</v>
      </c>
      <c r="R66" s="9" t="n">
        <v>1253.07</v>
      </c>
      <c r="S66" s="9" t="n">
        <v>1253.07</v>
      </c>
      <c r="T66" s="9" t="n">
        <v>1253.07</v>
      </c>
      <c r="U66" s="9" t="n">
        <v>1253.07</v>
      </c>
      <c r="V66" s="9" t="n">
        <v>1253.07</v>
      </c>
      <c r="W66" s="9" t="n">
        <v>1253.07</v>
      </c>
      <c r="X66" s="9" t="n">
        <v>1253.07</v>
      </c>
      <c r="Y66" s="9" t="n">
        <v>1253.07</v>
      </c>
      <c r="Z66" s="9" t="n">
        <v>350</v>
      </c>
      <c r="AA66" s="9" t="n">
        <v>250</v>
      </c>
      <c r="AB66" s="9" t="n">
        <v>600</v>
      </c>
    </row>
    <row r="67" customFormat="false" ht="15" hidden="false" customHeight="false" outlineLevel="0" collapsed="false">
      <c r="A67" s="3" t="s">
        <v>345</v>
      </c>
      <c r="B67" s="3" t="s">
        <v>346</v>
      </c>
      <c r="C67" s="3" t="s">
        <v>315</v>
      </c>
      <c r="D67" s="3" t="s">
        <v>316</v>
      </c>
      <c r="E67" s="3" t="n">
        <v>2004</v>
      </c>
      <c r="F67" s="3" t="s">
        <v>53</v>
      </c>
      <c r="G67" s="3" t="s">
        <v>258</v>
      </c>
      <c r="H67" s="3" t="s">
        <v>347</v>
      </c>
      <c r="I67" s="3" t="s">
        <v>136</v>
      </c>
      <c r="J67" s="7" t="n">
        <v>830000</v>
      </c>
      <c r="K67" s="3" t="s">
        <v>348</v>
      </c>
      <c r="L67" s="7" t="n">
        <v>8080.75</v>
      </c>
      <c r="M67" s="7" t="n">
        <v>1010.09</v>
      </c>
      <c r="N67" s="7" t="n">
        <v>1010.09</v>
      </c>
      <c r="O67" s="7" t="n">
        <v>6060.6</v>
      </c>
      <c r="P67" s="7" t="n">
        <v>606.06</v>
      </c>
      <c r="Q67" s="7" t="n">
        <v>606.06</v>
      </c>
      <c r="R67" s="7" t="n">
        <v>606.06</v>
      </c>
      <c r="S67" s="7" t="n">
        <v>606.06</v>
      </c>
      <c r="T67" s="7" t="n">
        <v>606.06</v>
      </c>
      <c r="U67" s="7" t="n">
        <v>606.06</v>
      </c>
      <c r="V67" s="7" t="n">
        <v>606.06</v>
      </c>
      <c r="W67" s="7" t="n">
        <v>606.06</v>
      </c>
      <c r="X67" s="7" t="n">
        <v>606.06</v>
      </c>
      <c r="Y67" s="7" t="n">
        <v>606.06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349</v>
      </c>
      <c r="B68" s="8" t="s">
        <v>350</v>
      </c>
      <c r="C68" s="8" t="s">
        <v>263</v>
      </c>
      <c r="D68" s="8" t="s">
        <v>264</v>
      </c>
      <c r="E68" s="8" t="n">
        <v>1965</v>
      </c>
      <c r="F68" s="8" t="s">
        <v>146</v>
      </c>
      <c r="G68" s="8" t="s">
        <v>147</v>
      </c>
      <c r="H68" s="8" t="s">
        <v>351</v>
      </c>
      <c r="I68" s="8" t="s">
        <v>47</v>
      </c>
      <c r="J68" s="9" t="n">
        <v>705000</v>
      </c>
      <c r="K68" s="8" t="s">
        <v>203</v>
      </c>
      <c r="L68" s="9" t="n">
        <v>12277.64</v>
      </c>
      <c r="M68" s="9" t="n">
        <v>1534.7</v>
      </c>
      <c r="N68" s="9" t="n">
        <v>1534.7</v>
      </c>
      <c r="O68" s="9" t="n">
        <v>9208.2</v>
      </c>
      <c r="P68" s="9" t="n">
        <v>920.82</v>
      </c>
      <c r="Q68" s="9" t="n">
        <v>920.82</v>
      </c>
      <c r="R68" s="9" t="n">
        <v>920.82</v>
      </c>
      <c r="S68" s="9" t="n">
        <v>920.82</v>
      </c>
      <c r="T68" s="9" t="n">
        <v>920.82</v>
      </c>
      <c r="U68" s="9" t="n">
        <v>920.82</v>
      </c>
      <c r="V68" s="9" t="n">
        <v>920.82</v>
      </c>
      <c r="W68" s="9" t="n">
        <v>920.82</v>
      </c>
      <c r="X68" s="9" t="n">
        <v>920.82</v>
      </c>
      <c r="Y68" s="9" t="n">
        <v>920.82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352</v>
      </c>
      <c r="B69" s="3" t="s">
        <v>353</v>
      </c>
      <c r="C69" s="3" t="s">
        <v>116</v>
      </c>
      <c r="D69" s="3" t="s">
        <v>117</v>
      </c>
      <c r="E69" s="3" t="n">
        <v>1999</v>
      </c>
      <c r="F69" s="3" t="s">
        <v>265</v>
      </c>
      <c r="G69" s="3" t="s">
        <v>266</v>
      </c>
      <c r="H69" s="3" t="s">
        <v>354</v>
      </c>
      <c r="I69" s="3" t="s">
        <v>47</v>
      </c>
      <c r="J69" s="7" t="n">
        <v>190000</v>
      </c>
      <c r="K69" s="3" t="s">
        <v>355</v>
      </c>
      <c r="L69" s="7" t="n">
        <v>3693.89</v>
      </c>
      <c r="M69" s="7" t="n">
        <v>461.74</v>
      </c>
      <c r="N69" s="7" t="n">
        <v>461.74</v>
      </c>
      <c r="O69" s="7" t="n">
        <v>2770.4</v>
      </c>
      <c r="P69" s="7" t="n">
        <v>277.04</v>
      </c>
      <c r="Q69" s="7" t="n">
        <v>277.04</v>
      </c>
      <c r="R69" s="7" t="n">
        <v>277.04</v>
      </c>
      <c r="S69" s="7" t="n">
        <v>277.04</v>
      </c>
      <c r="T69" s="7" t="n">
        <v>277.04</v>
      </c>
      <c r="U69" s="7" t="n">
        <v>277.04</v>
      </c>
      <c r="V69" s="7" t="n">
        <v>277.04</v>
      </c>
      <c r="W69" s="7" t="n">
        <v>277.04</v>
      </c>
      <c r="X69" s="7" t="n">
        <v>277.04</v>
      </c>
      <c r="Y69" s="7" t="n">
        <v>277.04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356</v>
      </c>
      <c r="B70" s="8" t="s">
        <v>357</v>
      </c>
      <c r="C70" s="8" t="s">
        <v>274</v>
      </c>
      <c r="D70" s="8" t="s">
        <v>275</v>
      </c>
      <c r="E70" s="8" t="n">
        <v>2016</v>
      </c>
      <c r="F70" s="8" t="s">
        <v>99</v>
      </c>
      <c r="G70" s="8" t="s">
        <v>100</v>
      </c>
      <c r="H70" s="8" t="s">
        <v>358</v>
      </c>
      <c r="I70" s="8" t="s">
        <v>47</v>
      </c>
      <c r="J70" s="9" t="n">
        <v>695000</v>
      </c>
      <c r="K70" s="8" t="s">
        <v>149</v>
      </c>
      <c r="L70" s="9" t="n">
        <v>8182.64</v>
      </c>
      <c r="M70" s="9" t="n">
        <v>1022.83</v>
      </c>
      <c r="N70" s="9" t="n">
        <v>1022.83</v>
      </c>
      <c r="O70" s="9" t="n">
        <v>6137</v>
      </c>
      <c r="P70" s="9" t="n">
        <v>613.7</v>
      </c>
      <c r="Q70" s="9" t="n">
        <v>613.7</v>
      </c>
      <c r="R70" s="9" t="n">
        <v>613.7</v>
      </c>
      <c r="S70" s="9" t="n">
        <v>613.7</v>
      </c>
      <c r="T70" s="9" t="n">
        <v>613.7</v>
      </c>
      <c r="U70" s="9" t="n">
        <v>613.7</v>
      </c>
      <c r="V70" s="9" t="n">
        <v>613.7</v>
      </c>
      <c r="W70" s="9" t="n">
        <v>613.7</v>
      </c>
      <c r="X70" s="9" t="n">
        <v>613.7</v>
      </c>
      <c r="Y70" s="9" t="n">
        <v>613.7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359</v>
      </c>
      <c r="B71" s="3" t="s">
        <v>360</v>
      </c>
      <c r="C71" s="3" t="s">
        <v>78</v>
      </c>
      <c r="D71" s="3" t="s">
        <v>79</v>
      </c>
      <c r="E71" s="3" t="n">
        <v>1994</v>
      </c>
      <c r="F71" s="3" t="s">
        <v>105</v>
      </c>
      <c r="G71" s="3" t="s">
        <v>106</v>
      </c>
      <c r="H71" s="3" t="s">
        <v>361</v>
      </c>
      <c r="I71" s="3" t="s">
        <v>56</v>
      </c>
      <c r="J71" s="7" t="n">
        <v>980000</v>
      </c>
      <c r="K71" s="3" t="s">
        <v>362</v>
      </c>
      <c r="L71" s="7" t="n">
        <v>23362.83</v>
      </c>
      <c r="M71" s="7" t="n">
        <v>2920.35</v>
      </c>
      <c r="N71" s="7" t="n">
        <v>2920.35</v>
      </c>
      <c r="O71" s="7" t="n">
        <v>17522.1</v>
      </c>
      <c r="P71" s="7" t="n">
        <v>1752.21</v>
      </c>
      <c r="Q71" s="7" t="n">
        <v>1752.21</v>
      </c>
      <c r="R71" s="7" t="n">
        <v>1752.21</v>
      </c>
      <c r="S71" s="7" t="n">
        <v>1752.21</v>
      </c>
      <c r="T71" s="7" t="n">
        <v>1752.21</v>
      </c>
      <c r="U71" s="7" t="n">
        <v>1752.21</v>
      </c>
      <c r="V71" s="7" t="n">
        <v>1752.21</v>
      </c>
      <c r="W71" s="7" t="n">
        <v>1752.21</v>
      </c>
      <c r="X71" s="7" t="n">
        <v>1752.21</v>
      </c>
      <c r="Y71" s="7" t="n">
        <v>1752.21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363</v>
      </c>
      <c r="B72" s="8" t="s">
        <v>364</v>
      </c>
      <c r="C72" s="8" t="s">
        <v>94</v>
      </c>
      <c r="D72" s="8" t="s">
        <v>95</v>
      </c>
      <c r="E72" s="8" t="n">
        <v>2005</v>
      </c>
      <c r="F72" s="8" t="s">
        <v>44</v>
      </c>
      <c r="G72" s="8" t="s">
        <v>45</v>
      </c>
      <c r="H72" s="8" t="s">
        <v>365</v>
      </c>
      <c r="I72" s="8" t="s">
        <v>47</v>
      </c>
      <c r="J72" s="9" t="n">
        <v>875000</v>
      </c>
      <c r="K72" s="8" t="s">
        <v>203</v>
      </c>
      <c r="L72" s="9" t="n">
        <v>15238.21</v>
      </c>
      <c r="M72" s="9" t="n">
        <v>1904.78</v>
      </c>
      <c r="N72" s="9" t="n">
        <v>1904.78</v>
      </c>
      <c r="O72" s="9" t="n">
        <v>11428.7</v>
      </c>
      <c r="P72" s="9" t="n">
        <v>1142.87</v>
      </c>
      <c r="Q72" s="9" t="n">
        <v>1142.87</v>
      </c>
      <c r="R72" s="9" t="n">
        <v>1142.87</v>
      </c>
      <c r="S72" s="9" t="n">
        <v>1142.87</v>
      </c>
      <c r="T72" s="9" t="n">
        <v>1142.87</v>
      </c>
      <c r="U72" s="9" t="n">
        <v>1142.87</v>
      </c>
      <c r="V72" s="9" t="n">
        <v>1142.87</v>
      </c>
      <c r="W72" s="9" t="n">
        <v>1142.87</v>
      </c>
      <c r="X72" s="9" t="n">
        <v>1142.87</v>
      </c>
      <c r="Y72" s="9" t="n">
        <v>1142.87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366</v>
      </c>
      <c r="B73" s="3" t="s">
        <v>367</v>
      </c>
      <c r="C73" s="3" t="s">
        <v>368</v>
      </c>
      <c r="D73" s="3" t="s">
        <v>369</v>
      </c>
      <c r="E73" s="3" t="n">
        <v>1965</v>
      </c>
      <c r="F73" s="3" t="s">
        <v>166</v>
      </c>
      <c r="G73" s="3" t="s">
        <v>167</v>
      </c>
      <c r="H73" s="3" t="s">
        <v>370</v>
      </c>
      <c r="I73" s="3" t="s">
        <v>169</v>
      </c>
      <c r="J73" s="7" t="n">
        <v>550000</v>
      </c>
      <c r="K73" s="3" t="s">
        <v>63</v>
      </c>
      <c r="L73" s="7" t="n">
        <v>10279.81</v>
      </c>
      <c r="M73" s="7" t="n">
        <v>1284.98</v>
      </c>
      <c r="N73" s="7" t="n">
        <v>1284.98</v>
      </c>
      <c r="O73" s="7" t="n">
        <v>7709.9</v>
      </c>
      <c r="P73" s="7" t="n">
        <v>770.99</v>
      </c>
      <c r="Q73" s="7" t="n">
        <v>770.99</v>
      </c>
      <c r="R73" s="7" t="n">
        <v>770.99</v>
      </c>
      <c r="S73" s="7" t="n">
        <v>770.99</v>
      </c>
      <c r="T73" s="7" t="n">
        <v>770.99</v>
      </c>
      <c r="U73" s="7" t="n">
        <v>770.99</v>
      </c>
      <c r="V73" s="7" t="n">
        <v>770.99</v>
      </c>
      <c r="W73" s="7" t="n">
        <v>770.99</v>
      </c>
      <c r="X73" s="7" t="n">
        <v>770.99</v>
      </c>
      <c r="Y73" s="7" t="n">
        <v>770.99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371</v>
      </c>
      <c r="B74" s="8" t="s">
        <v>372</v>
      </c>
      <c r="C74" s="8" t="s">
        <v>111</v>
      </c>
      <c r="D74" s="8" t="s">
        <v>112</v>
      </c>
      <c r="E74" s="8" t="n">
        <v>2010</v>
      </c>
      <c r="F74" s="8" t="s">
        <v>99</v>
      </c>
      <c r="G74" s="8" t="s">
        <v>100</v>
      </c>
      <c r="H74" s="8" t="s">
        <v>373</v>
      </c>
      <c r="I74" s="8" t="s">
        <v>47</v>
      </c>
      <c r="J74" s="9" t="n">
        <v>385000</v>
      </c>
      <c r="K74" s="8" t="s">
        <v>238</v>
      </c>
      <c r="L74" s="9" t="n">
        <v>6592.22</v>
      </c>
      <c r="M74" s="9" t="n">
        <v>824.03</v>
      </c>
      <c r="N74" s="9" t="n">
        <v>824.03</v>
      </c>
      <c r="O74" s="9" t="n">
        <v>4944.2</v>
      </c>
      <c r="P74" s="9" t="n">
        <v>494.42</v>
      </c>
      <c r="Q74" s="9" t="n">
        <v>494.42</v>
      </c>
      <c r="R74" s="9" t="n">
        <v>494.42</v>
      </c>
      <c r="S74" s="9" t="n">
        <v>494.42</v>
      </c>
      <c r="T74" s="9" t="n">
        <v>494.42</v>
      </c>
      <c r="U74" s="9" t="n">
        <v>494.42</v>
      </c>
      <c r="V74" s="9" t="n">
        <v>494.42</v>
      </c>
      <c r="W74" s="9" t="n">
        <v>494.42</v>
      </c>
      <c r="X74" s="9" t="n">
        <v>494.42</v>
      </c>
      <c r="Y74" s="9" t="n">
        <v>494.42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374</v>
      </c>
      <c r="B75" s="3" t="s">
        <v>375</v>
      </c>
      <c r="C75" s="3" t="s">
        <v>116</v>
      </c>
      <c r="D75" s="3" t="s">
        <v>117</v>
      </c>
      <c r="E75" s="3" t="n">
        <v>1987</v>
      </c>
      <c r="F75" s="3" t="s">
        <v>88</v>
      </c>
      <c r="G75" s="3" t="s">
        <v>89</v>
      </c>
      <c r="H75" s="3" t="s">
        <v>376</v>
      </c>
      <c r="I75" s="3" t="s">
        <v>47</v>
      </c>
      <c r="J75" s="7" t="n">
        <v>530000</v>
      </c>
      <c r="K75" s="3" t="s">
        <v>173</v>
      </c>
      <c r="L75" s="7" t="n">
        <v>7475</v>
      </c>
      <c r="M75" s="7" t="n">
        <v>934.38</v>
      </c>
      <c r="N75" s="7" t="n">
        <v>934.38</v>
      </c>
      <c r="O75" s="7" t="n">
        <v>5606.2</v>
      </c>
      <c r="P75" s="7" t="n">
        <v>560.62</v>
      </c>
      <c r="Q75" s="7" t="n">
        <v>560.62</v>
      </c>
      <c r="R75" s="7" t="n">
        <v>560.62</v>
      </c>
      <c r="S75" s="7" t="n">
        <v>560.62</v>
      </c>
      <c r="T75" s="7" t="n">
        <v>560.62</v>
      </c>
      <c r="U75" s="7" t="n">
        <v>560.62</v>
      </c>
      <c r="V75" s="7" t="n">
        <v>560.62</v>
      </c>
      <c r="W75" s="7" t="n">
        <v>560.62</v>
      </c>
      <c r="X75" s="7" t="n">
        <v>560.62</v>
      </c>
      <c r="Y75" s="7" t="n">
        <v>560.62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377</v>
      </c>
      <c r="B76" s="8" t="s">
        <v>378</v>
      </c>
      <c r="C76" s="8" t="s">
        <v>190</v>
      </c>
      <c r="D76" s="8" t="s">
        <v>191</v>
      </c>
      <c r="E76" s="8" t="n">
        <v>2005</v>
      </c>
      <c r="F76" s="8" t="s">
        <v>146</v>
      </c>
      <c r="G76" s="8" t="s">
        <v>195</v>
      </c>
      <c r="H76" s="8" t="s">
        <v>379</v>
      </c>
      <c r="I76" s="8" t="s">
        <v>125</v>
      </c>
      <c r="J76" s="9" t="n">
        <v>1950000</v>
      </c>
      <c r="K76" s="8" t="s">
        <v>268</v>
      </c>
      <c r="L76" s="9" t="n">
        <v>13635.28</v>
      </c>
      <c r="M76" s="9" t="n">
        <v>1704.41</v>
      </c>
      <c r="N76" s="9" t="n">
        <v>1704.41</v>
      </c>
      <c r="O76" s="9" t="n">
        <v>10226.5</v>
      </c>
      <c r="P76" s="9" t="n">
        <v>1022.65</v>
      </c>
      <c r="Q76" s="9" t="n">
        <v>1022.65</v>
      </c>
      <c r="R76" s="9" t="n">
        <v>1022.65</v>
      </c>
      <c r="S76" s="9" t="n">
        <v>1022.65</v>
      </c>
      <c r="T76" s="9" t="n">
        <v>1022.65</v>
      </c>
      <c r="U76" s="9" t="n">
        <v>1022.65</v>
      </c>
      <c r="V76" s="9" t="n">
        <v>1022.65</v>
      </c>
      <c r="W76" s="9" t="n">
        <v>1022.65</v>
      </c>
      <c r="X76" s="9" t="n">
        <v>1022.65</v>
      </c>
      <c r="Y76" s="9" t="n">
        <v>1022.65</v>
      </c>
      <c r="Z76" s="9" t="n">
        <v>350</v>
      </c>
      <c r="AA76" s="9" t="n">
        <v>250</v>
      </c>
      <c r="AB76" s="9" t="n">
        <v>600</v>
      </c>
    </row>
    <row r="77" customFormat="false" ht="15" hidden="false" customHeight="false" outlineLevel="0" collapsed="false">
      <c r="A77" s="3" t="s">
        <v>380</v>
      </c>
      <c r="B77" s="3" t="s">
        <v>381</v>
      </c>
      <c r="C77" s="3" t="s">
        <v>152</v>
      </c>
      <c r="D77" s="3" t="s">
        <v>153</v>
      </c>
      <c r="E77" s="3" t="n">
        <v>1985</v>
      </c>
      <c r="F77" s="3" t="s">
        <v>146</v>
      </c>
      <c r="G77" s="3" t="s">
        <v>147</v>
      </c>
      <c r="H77" s="3" t="s">
        <v>382</v>
      </c>
      <c r="I77" s="3" t="s">
        <v>47</v>
      </c>
      <c r="J77" s="7" t="n">
        <v>595000</v>
      </c>
      <c r="K77" s="3" t="s">
        <v>253</v>
      </c>
      <c r="L77" s="7" t="n">
        <v>8026.89</v>
      </c>
      <c r="M77" s="7" t="n">
        <v>1003.36</v>
      </c>
      <c r="N77" s="7" t="n">
        <v>1003.36</v>
      </c>
      <c r="O77" s="7" t="n">
        <v>6020.2</v>
      </c>
      <c r="P77" s="7" t="n">
        <v>602.02</v>
      </c>
      <c r="Q77" s="7" t="n">
        <v>602.02</v>
      </c>
      <c r="R77" s="7" t="n">
        <v>602.02</v>
      </c>
      <c r="S77" s="7" t="n">
        <v>602.02</v>
      </c>
      <c r="T77" s="7" t="n">
        <v>602.02</v>
      </c>
      <c r="U77" s="7" t="n">
        <v>602.02</v>
      </c>
      <c r="V77" s="7" t="n">
        <v>602.02</v>
      </c>
      <c r="W77" s="7" t="n">
        <v>602.02</v>
      </c>
      <c r="X77" s="7" t="n">
        <v>602.02</v>
      </c>
      <c r="Y77" s="7" t="n">
        <v>602.02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383</v>
      </c>
      <c r="B78" s="8" t="s">
        <v>384</v>
      </c>
      <c r="C78" s="8" t="s">
        <v>385</v>
      </c>
      <c r="D78" s="8" t="s">
        <v>386</v>
      </c>
      <c r="E78" s="8" t="n">
        <v>2011</v>
      </c>
      <c r="F78" s="8" t="s">
        <v>387</v>
      </c>
      <c r="G78" s="8" t="s">
        <v>388</v>
      </c>
      <c r="H78" s="8" t="s">
        <v>389</v>
      </c>
      <c r="I78" s="8" t="s">
        <v>56</v>
      </c>
      <c r="J78" s="9" t="n">
        <v>595000</v>
      </c>
      <c r="K78" s="8" t="s">
        <v>83</v>
      </c>
      <c r="L78" s="9" t="n">
        <v>14397.88</v>
      </c>
      <c r="M78" s="9" t="n">
        <v>1799.73</v>
      </c>
      <c r="N78" s="9" t="n">
        <v>1799.73</v>
      </c>
      <c r="O78" s="9" t="n">
        <v>10798.4</v>
      </c>
      <c r="P78" s="9" t="n">
        <v>1079.84</v>
      </c>
      <c r="Q78" s="9" t="n">
        <v>1079.84</v>
      </c>
      <c r="R78" s="9" t="n">
        <v>1079.84</v>
      </c>
      <c r="S78" s="9" t="n">
        <v>1079.84</v>
      </c>
      <c r="T78" s="9" t="n">
        <v>1079.84</v>
      </c>
      <c r="U78" s="9" t="n">
        <v>1079.84</v>
      </c>
      <c r="V78" s="9" t="n">
        <v>1079.84</v>
      </c>
      <c r="W78" s="9" t="n">
        <v>1079.84</v>
      </c>
      <c r="X78" s="9" t="n">
        <v>1079.84</v>
      </c>
      <c r="Y78" s="9" t="n">
        <v>1079.84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390</v>
      </c>
      <c r="B79" s="3" t="s">
        <v>391</v>
      </c>
      <c r="C79" s="3" t="s">
        <v>206</v>
      </c>
      <c r="D79" s="3" t="s">
        <v>207</v>
      </c>
      <c r="E79" s="3" t="n">
        <v>2017</v>
      </c>
      <c r="F79" s="3" t="s">
        <v>53</v>
      </c>
      <c r="G79" s="3" t="s">
        <v>54</v>
      </c>
      <c r="H79" s="3" t="s">
        <v>392</v>
      </c>
      <c r="I79" s="3" t="s">
        <v>56</v>
      </c>
      <c r="J79" s="7" t="n">
        <v>335000</v>
      </c>
      <c r="K79" s="3" t="s">
        <v>203</v>
      </c>
      <c r="L79" s="7" t="n">
        <v>10321.79</v>
      </c>
      <c r="M79" s="7" t="n">
        <v>1290.22</v>
      </c>
      <c r="N79" s="7" t="n">
        <v>1290.22</v>
      </c>
      <c r="O79" s="7" t="n">
        <v>7741.3</v>
      </c>
      <c r="P79" s="7" t="n">
        <v>774.13</v>
      </c>
      <c r="Q79" s="7" t="n">
        <v>774.13</v>
      </c>
      <c r="R79" s="7" t="n">
        <v>774.13</v>
      </c>
      <c r="S79" s="7" t="n">
        <v>774.13</v>
      </c>
      <c r="T79" s="7" t="n">
        <v>774.13</v>
      </c>
      <c r="U79" s="7" t="n">
        <v>774.13</v>
      </c>
      <c r="V79" s="7" t="n">
        <v>774.13</v>
      </c>
      <c r="W79" s="7" t="n">
        <v>774.13</v>
      </c>
      <c r="X79" s="7" t="n">
        <v>774.13</v>
      </c>
      <c r="Y79" s="7" t="n">
        <v>774.13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393</v>
      </c>
      <c r="B80" s="8" t="s">
        <v>394</v>
      </c>
      <c r="C80" s="8" t="s">
        <v>51</v>
      </c>
      <c r="D80" s="8" t="s">
        <v>52</v>
      </c>
      <c r="E80" s="8" t="n">
        <v>1957</v>
      </c>
      <c r="F80" s="8" t="s">
        <v>88</v>
      </c>
      <c r="G80" s="8" t="s">
        <v>89</v>
      </c>
      <c r="H80" s="8" t="s">
        <v>395</v>
      </c>
      <c r="I80" s="8" t="s">
        <v>47</v>
      </c>
      <c r="J80" s="9" t="n">
        <v>760000</v>
      </c>
      <c r="K80" s="8" t="s">
        <v>253</v>
      </c>
      <c r="L80" s="9" t="n">
        <v>10252.83</v>
      </c>
      <c r="M80" s="9" t="n">
        <v>1281.6</v>
      </c>
      <c r="N80" s="9" t="n">
        <v>1281.6</v>
      </c>
      <c r="O80" s="9" t="n">
        <v>7689.6</v>
      </c>
      <c r="P80" s="9" t="n">
        <v>768.96</v>
      </c>
      <c r="Q80" s="9" t="n">
        <v>768.96</v>
      </c>
      <c r="R80" s="9" t="n">
        <v>768.96</v>
      </c>
      <c r="S80" s="9" t="n">
        <v>768.96</v>
      </c>
      <c r="T80" s="9" t="n">
        <v>768.96</v>
      </c>
      <c r="U80" s="9" t="n">
        <v>768.96</v>
      </c>
      <c r="V80" s="9" t="n">
        <v>768.96</v>
      </c>
      <c r="W80" s="9" t="n">
        <v>768.96</v>
      </c>
      <c r="X80" s="9" t="n">
        <v>768.96</v>
      </c>
      <c r="Y80" s="9" t="n">
        <v>768.96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396</v>
      </c>
      <c r="B81" s="3" t="s">
        <v>397</v>
      </c>
      <c r="C81" s="3" t="s">
        <v>219</v>
      </c>
      <c r="D81" s="3" t="s">
        <v>220</v>
      </c>
      <c r="E81" s="3" t="n">
        <v>1977</v>
      </c>
      <c r="F81" s="3" t="s">
        <v>387</v>
      </c>
      <c r="G81" s="3" t="s">
        <v>388</v>
      </c>
      <c r="H81" s="3" t="s">
        <v>398</v>
      </c>
      <c r="I81" s="3" t="s">
        <v>56</v>
      </c>
      <c r="J81" s="7" t="n">
        <v>610000</v>
      </c>
      <c r="K81" s="3" t="s">
        <v>399</v>
      </c>
      <c r="L81" s="7" t="n">
        <v>9949.91</v>
      </c>
      <c r="M81" s="7" t="n">
        <v>1243.74</v>
      </c>
      <c r="N81" s="7" t="n">
        <v>1243.74</v>
      </c>
      <c r="O81" s="7" t="n">
        <v>7462.4</v>
      </c>
      <c r="P81" s="7" t="n">
        <v>746.24</v>
      </c>
      <c r="Q81" s="7" t="n">
        <v>746.24</v>
      </c>
      <c r="R81" s="7" t="n">
        <v>746.24</v>
      </c>
      <c r="S81" s="7" t="n">
        <v>746.24</v>
      </c>
      <c r="T81" s="7" t="n">
        <v>746.24</v>
      </c>
      <c r="U81" s="7" t="n">
        <v>746.24</v>
      </c>
      <c r="V81" s="7" t="n">
        <v>746.24</v>
      </c>
      <c r="W81" s="7" t="n">
        <v>746.24</v>
      </c>
      <c r="X81" s="7" t="n">
        <v>746.24</v>
      </c>
      <c r="Y81" s="7" t="n">
        <v>746.24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400</v>
      </c>
      <c r="B82" s="8" t="s">
        <v>401</v>
      </c>
      <c r="C82" s="8" t="s">
        <v>179</v>
      </c>
      <c r="D82" s="8" t="s">
        <v>180</v>
      </c>
      <c r="E82" s="8" t="n">
        <v>1977</v>
      </c>
      <c r="F82" s="8" t="s">
        <v>44</v>
      </c>
      <c r="G82" s="8" t="s">
        <v>45</v>
      </c>
      <c r="H82" s="8" t="s">
        <v>402</v>
      </c>
      <c r="I82" s="8" t="s">
        <v>47</v>
      </c>
      <c r="J82" s="9" t="n">
        <v>410000</v>
      </c>
      <c r="K82" s="8" t="s">
        <v>83</v>
      </c>
      <c r="L82" s="9" t="n">
        <v>7832.55</v>
      </c>
      <c r="M82" s="9" t="n">
        <v>979.07</v>
      </c>
      <c r="N82" s="9" t="n">
        <v>979.07</v>
      </c>
      <c r="O82" s="9" t="n">
        <v>5874.4</v>
      </c>
      <c r="P82" s="9" t="n">
        <v>587.44</v>
      </c>
      <c r="Q82" s="9" t="n">
        <v>587.44</v>
      </c>
      <c r="R82" s="9" t="n">
        <v>587.44</v>
      </c>
      <c r="S82" s="9" t="n">
        <v>587.44</v>
      </c>
      <c r="T82" s="9" t="n">
        <v>587.44</v>
      </c>
      <c r="U82" s="9" t="n">
        <v>587.44</v>
      </c>
      <c r="V82" s="9" t="n">
        <v>587.44</v>
      </c>
      <c r="W82" s="9" t="n">
        <v>587.44</v>
      </c>
      <c r="X82" s="9" t="n">
        <v>587.44</v>
      </c>
      <c r="Y82" s="9" t="n">
        <v>587.44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403</v>
      </c>
      <c r="B83" s="3" t="s">
        <v>404</v>
      </c>
      <c r="C83" s="3" t="s">
        <v>179</v>
      </c>
      <c r="D83" s="3" t="s">
        <v>180</v>
      </c>
      <c r="E83" s="3" t="n">
        <v>1981</v>
      </c>
      <c r="F83" s="3" t="s">
        <v>53</v>
      </c>
      <c r="G83" s="3" t="s">
        <v>54</v>
      </c>
      <c r="H83" s="3" t="s">
        <v>405</v>
      </c>
      <c r="I83" s="3" t="s">
        <v>56</v>
      </c>
      <c r="J83" s="7" t="n">
        <v>1045000</v>
      </c>
      <c r="K83" s="3" t="s">
        <v>83</v>
      </c>
      <c r="L83" s="7" t="n">
        <v>21294.34</v>
      </c>
      <c r="M83" s="7" t="n">
        <v>2661.79</v>
      </c>
      <c r="N83" s="7" t="n">
        <v>2661.79</v>
      </c>
      <c r="O83" s="7" t="n">
        <v>15970.8</v>
      </c>
      <c r="P83" s="7" t="n">
        <v>1597.08</v>
      </c>
      <c r="Q83" s="7" t="n">
        <v>1597.08</v>
      </c>
      <c r="R83" s="7" t="n">
        <v>1597.08</v>
      </c>
      <c r="S83" s="7" t="n">
        <v>1597.08</v>
      </c>
      <c r="T83" s="7" t="n">
        <v>1597.08</v>
      </c>
      <c r="U83" s="7" t="n">
        <v>1597.08</v>
      </c>
      <c r="V83" s="7" t="n">
        <v>1597.08</v>
      </c>
      <c r="W83" s="7" t="n">
        <v>1597.08</v>
      </c>
      <c r="X83" s="7" t="n">
        <v>1597.08</v>
      </c>
      <c r="Y83" s="7" t="n">
        <v>1597.08</v>
      </c>
      <c r="Z83" s="7" t="n">
        <v>350</v>
      </c>
      <c r="AA83" s="7" t="n">
        <v>250</v>
      </c>
      <c r="AB83" s="7" t="n">
        <v>600</v>
      </c>
    </row>
    <row r="84" customFormat="false" ht="15" hidden="false" customHeight="false" outlineLevel="0" collapsed="false">
      <c r="A84" s="8" t="s">
        <v>406</v>
      </c>
      <c r="B84" s="8" t="s">
        <v>407</v>
      </c>
      <c r="C84" s="8" t="s">
        <v>190</v>
      </c>
      <c r="D84" s="8" t="s">
        <v>191</v>
      </c>
      <c r="E84" s="8" t="n">
        <v>1992</v>
      </c>
      <c r="F84" s="8" t="s">
        <v>122</v>
      </c>
      <c r="G84" s="8" t="s">
        <v>123</v>
      </c>
      <c r="H84" s="8" t="s">
        <v>408</v>
      </c>
      <c r="I84" s="8" t="s">
        <v>125</v>
      </c>
      <c r="J84" s="9" t="n">
        <v>365000</v>
      </c>
      <c r="K84" s="8" t="s">
        <v>173</v>
      </c>
      <c r="L84" s="9" t="n">
        <v>3326.32</v>
      </c>
      <c r="M84" s="9" t="n">
        <v>415.79</v>
      </c>
      <c r="N84" s="9" t="n">
        <v>415.79</v>
      </c>
      <c r="O84" s="9" t="n">
        <v>2494.7</v>
      </c>
      <c r="P84" s="9" t="n">
        <v>249.47</v>
      </c>
      <c r="Q84" s="9" t="n">
        <v>249.47</v>
      </c>
      <c r="R84" s="9" t="n">
        <v>249.47</v>
      </c>
      <c r="S84" s="9" t="n">
        <v>249.47</v>
      </c>
      <c r="T84" s="9" t="n">
        <v>249.47</v>
      </c>
      <c r="U84" s="9" t="n">
        <v>249.47</v>
      </c>
      <c r="V84" s="9" t="n">
        <v>249.47</v>
      </c>
      <c r="W84" s="9" t="n">
        <v>249.47</v>
      </c>
      <c r="X84" s="9" t="n">
        <v>249.47</v>
      </c>
      <c r="Y84" s="9" t="n">
        <v>249.47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409</v>
      </c>
      <c r="B85" s="3" t="s">
        <v>410</v>
      </c>
      <c r="C85" s="3" t="s">
        <v>256</v>
      </c>
      <c r="D85" s="3" t="s">
        <v>257</v>
      </c>
      <c r="E85" s="3" t="n">
        <v>2004</v>
      </c>
      <c r="F85" s="3" t="s">
        <v>387</v>
      </c>
      <c r="G85" s="3" t="s">
        <v>388</v>
      </c>
      <c r="H85" s="3" t="s">
        <v>411</v>
      </c>
      <c r="I85" s="3" t="s">
        <v>56</v>
      </c>
      <c r="J85" s="7" t="n">
        <v>1665000</v>
      </c>
      <c r="K85" s="3" t="s">
        <v>75</v>
      </c>
      <c r="L85" s="7" t="n">
        <v>34933.58</v>
      </c>
      <c r="M85" s="7" t="n">
        <v>4366.7</v>
      </c>
      <c r="N85" s="7" t="n">
        <v>4366.7</v>
      </c>
      <c r="O85" s="7" t="n">
        <v>26200.2</v>
      </c>
      <c r="P85" s="7" t="n">
        <v>2620.02</v>
      </c>
      <c r="Q85" s="7" t="n">
        <v>2620.02</v>
      </c>
      <c r="R85" s="7" t="n">
        <v>2620.02</v>
      </c>
      <c r="S85" s="7" t="n">
        <v>2620.02</v>
      </c>
      <c r="T85" s="7" t="n">
        <v>2620.02</v>
      </c>
      <c r="U85" s="7" t="n">
        <v>2620.02</v>
      </c>
      <c r="V85" s="7" t="n">
        <v>2620.02</v>
      </c>
      <c r="W85" s="7" t="n">
        <v>2620.02</v>
      </c>
      <c r="X85" s="7" t="n">
        <v>2620.02</v>
      </c>
      <c r="Y85" s="7" t="n">
        <v>2620.02</v>
      </c>
      <c r="Z85" s="7" t="n">
        <v>350</v>
      </c>
      <c r="AA85" s="7" t="n">
        <v>250</v>
      </c>
      <c r="AB85" s="7" t="n">
        <v>600</v>
      </c>
    </row>
    <row r="86" customFormat="false" ht="15" hidden="false" customHeight="false" outlineLevel="0" collapsed="false">
      <c r="A86" s="8" t="s">
        <v>412</v>
      </c>
      <c r="B86" s="8" t="s">
        <v>413</v>
      </c>
      <c r="C86" s="8" t="s">
        <v>250</v>
      </c>
      <c r="D86" s="8" t="s">
        <v>251</v>
      </c>
      <c r="E86" s="8" t="n">
        <v>2017</v>
      </c>
      <c r="F86" s="8" t="s">
        <v>99</v>
      </c>
      <c r="G86" s="8" t="s">
        <v>134</v>
      </c>
      <c r="H86" s="8" t="s">
        <v>414</v>
      </c>
      <c r="I86" s="8" t="s">
        <v>136</v>
      </c>
      <c r="J86" s="9" t="n">
        <v>1025000</v>
      </c>
      <c r="K86" s="8" t="s">
        <v>131</v>
      </c>
      <c r="L86" s="9" t="n">
        <v>9700.75</v>
      </c>
      <c r="M86" s="9" t="n">
        <v>1212.59</v>
      </c>
      <c r="N86" s="9" t="n">
        <v>1212.59</v>
      </c>
      <c r="O86" s="9" t="n">
        <v>7275.6</v>
      </c>
      <c r="P86" s="9" t="n">
        <v>727.56</v>
      </c>
      <c r="Q86" s="9" t="n">
        <v>727.56</v>
      </c>
      <c r="R86" s="9" t="n">
        <v>727.56</v>
      </c>
      <c r="S86" s="9" t="n">
        <v>727.56</v>
      </c>
      <c r="T86" s="9" t="n">
        <v>727.56</v>
      </c>
      <c r="U86" s="9" t="n">
        <v>727.56</v>
      </c>
      <c r="V86" s="9" t="n">
        <v>727.56</v>
      </c>
      <c r="W86" s="9" t="n">
        <v>727.56</v>
      </c>
      <c r="X86" s="9" t="n">
        <v>727.56</v>
      </c>
      <c r="Y86" s="9" t="n">
        <v>727.56</v>
      </c>
      <c r="Z86" s="9" t="n">
        <v>350</v>
      </c>
      <c r="AA86" s="9" t="n">
        <v>250</v>
      </c>
      <c r="AB86" s="9" t="n">
        <v>600</v>
      </c>
    </row>
    <row r="87" customFormat="false" ht="15" hidden="false" customHeight="false" outlineLevel="0" collapsed="false">
      <c r="A87" s="3" t="s">
        <v>415</v>
      </c>
      <c r="B87" s="3" t="s">
        <v>205</v>
      </c>
      <c r="C87" s="3" t="s">
        <v>315</v>
      </c>
      <c r="D87" s="3" t="s">
        <v>316</v>
      </c>
      <c r="E87" s="3" t="n">
        <v>1990</v>
      </c>
      <c r="F87" s="3" t="s">
        <v>265</v>
      </c>
      <c r="G87" s="3" t="s">
        <v>266</v>
      </c>
      <c r="H87" s="3" t="s">
        <v>416</v>
      </c>
      <c r="I87" s="3" t="s">
        <v>47</v>
      </c>
      <c r="J87" s="7" t="n">
        <v>635000</v>
      </c>
      <c r="K87" s="3" t="s">
        <v>102</v>
      </c>
      <c r="L87" s="7" t="n">
        <v>10591.32</v>
      </c>
      <c r="M87" s="7" t="n">
        <v>1323.91</v>
      </c>
      <c r="N87" s="7" t="n">
        <v>1323.91</v>
      </c>
      <c r="O87" s="7" t="n">
        <v>7943.5</v>
      </c>
      <c r="P87" s="7" t="n">
        <v>794.35</v>
      </c>
      <c r="Q87" s="7" t="n">
        <v>794.35</v>
      </c>
      <c r="R87" s="7" t="n">
        <v>794.35</v>
      </c>
      <c r="S87" s="7" t="n">
        <v>794.35</v>
      </c>
      <c r="T87" s="7" t="n">
        <v>794.35</v>
      </c>
      <c r="U87" s="7" t="n">
        <v>794.35</v>
      </c>
      <c r="V87" s="7" t="n">
        <v>794.35</v>
      </c>
      <c r="W87" s="7" t="n">
        <v>794.35</v>
      </c>
      <c r="X87" s="7" t="n">
        <v>794.35</v>
      </c>
      <c r="Y87" s="7" t="n">
        <v>794.35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417</v>
      </c>
      <c r="B88" s="8" t="s">
        <v>418</v>
      </c>
      <c r="C88" s="8" t="s">
        <v>200</v>
      </c>
      <c r="D88" s="8" t="s">
        <v>201</v>
      </c>
      <c r="E88" s="8" t="n">
        <v>2013</v>
      </c>
      <c r="F88" s="8" t="s">
        <v>276</v>
      </c>
      <c r="G88" s="8" t="s">
        <v>277</v>
      </c>
      <c r="H88" s="8" t="s">
        <v>419</v>
      </c>
      <c r="I88" s="8" t="s">
        <v>136</v>
      </c>
      <c r="J88" s="9" t="n">
        <v>215000</v>
      </c>
      <c r="K88" s="8" t="s">
        <v>63</v>
      </c>
      <c r="L88" s="9" t="n">
        <v>2936.58</v>
      </c>
      <c r="M88" s="9" t="n">
        <v>367.07</v>
      </c>
      <c r="N88" s="9" t="n">
        <v>367.07</v>
      </c>
      <c r="O88" s="9" t="n">
        <v>2202.4</v>
      </c>
      <c r="P88" s="9" t="n">
        <v>220.24</v>
      </c>
      <c r="Q88" s="9" t="n">
        <v>220.24</v>
      </c>
      <c r="R88" s="9" t="n">
        <v>220.24</v>
      </c>
      <c r="S88" s="9" t="n">
        <v>220.24</v>
      </c>
      <c r="T88" s="9" t="n">
        <v>220.24</v>
      </c>
      <c r="U88" s="9" t="n">
        <v>220.24</v>
      </c>
      <c r="V88" s="9" t="n">
        <v>220.24</v>
      </c>
      <c r="W88" s="9" t="n">
        <v>220.24</v>
      </c>
      <c r="X88" s="9" t="n">
        <v>220.24</v>
      </c>
      <c r="Y88" s="9" t="n">
        <v>220.24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420</v>
      </c>
      <c r="B89" s="3" t="s">
        <v>421</v>
      </c>
      <c r="C89" s="3" t="s">
        <v>60</v>
      </c>
      <c r="D89" s="3" t="s">
        <v>61</v>
      </c>
      <c r="E89" s="3" t="n">
        <v>1988</v>
      </c>
      <c r="F89" s="3" t="s">
        <v>99</v>
      </c>
      <c r="G89" s="3" t="s">
        <v>100</v>
      </c>
      <c r="H89" s="3" t="s">
        <v>422</v>
      </c>
      <c r="I89" s="3" t="s">
        <v>47</v>
      </c>
      <c r="J89" s="7" t="n">
        <v>205000</v>
      </c>
      <c r="K89" s="3" t="s">
        <v>399</v>
      </c>
      <c r="L89" s="7" t="n">
        <v>3238.23</v>
      </c>
      <c r="M89" s="7" t="n">
        <v>404.78</v>
      </c>
      <c r="N89" s="7" t="n">
        <v>404.78</v>
      </c>
      <c r="O89" s="7" t="n">
        <v>2428.7</v>
      </c>
      <c r="P89" s="7" t="n">
        <v>242.87</v>
      </c>
      <c r="Q89" s="7" t="n">
        <v>242.87</v>
      </c>
      <c r="R89" s="7" t="n">
        <v>242.87</v>
      </c>
      <c r="S89" s="7" t="n">
        <v>242.87</v>
      </c>
      <c r="T89" s="7" t="n">
        <v>242.87</v>
      </c>
      <c r="U89" s="7" t="n">
        <v>242.87</v>
      </c>
      <c r="V89" s="7" t="n">
        <v>242.87</v>
      </c>
      <c r="W89" s="7" t="n">
        <v>242.87</v>
      </c>
      <c r="X89" s="7" t="n">
        <v>242.87</v>
      </c>
      <c r="Y89" s="7" t="n">
        <v>242.87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423</v>
      </c>
      <c r="B90" s="8" t="s">
        <v>424</v>
      </c>
      <c r="C90" s="8" t="s">
        <v>368</v>
      </c>
      <c r="D90" s="8" t="s">
        <v>369</v>
      </c>
      <c r="E90" s="8" t="n">
        <v>1972</v>
      </c>
      <c r="F90" s="8" t="s">
        <v>44</v>
      </c>
      <c r="G90" s="8" t="s">
        <v>45</v>
      </c>
      <c r="H90" s="8" t="s">
        <v>425</v>
      </c>
      <c r="I90" s="8" t="s">
        <v>47</v>
      </c>
      <c r="J90" s="9" t="n">
        <v>220000</v>
      </c>
      <c r="K90" s="8" t="s">
        <v>279</v>
      </c>
      <c r="L90" s="9" t="n">
        <v>4353.51</v>
      </c>
      <c r="M90" s="9" t="n">
        <v>544.19</v>
      </c>
      <c r="N90" s="9" t="n">
        <v>544.19</v>
      </c>
      <c r="O90" s="9" t="n">
        <v>3265.1</v>
      </c>
      <c r="P90" s="9" t="n">
        <v>326.51</v>
      </c>
      <c r="Q90" s="9" t="n">
        <v>326.51</v>
      </c>
      <c r="R90" s="9" t="n">
        <v>326.51</v>
      </c>
      <c r="S90" s="9" t="n">
        <v>326.51</v>
      </c>
      <c r="T90" s="9" t="n">
        <v>326.51</v>
      </c>
      <c r="U90" s="9" t="n">
        <v>326.51</v>
      </c>
      <c r="V90" s="9" t="n">
        <v>326.51</v>
      </c>
      <c r="W90" s="9" t="n">
        <v>326.51</v>
      </c>
      <c r="X90" s="9" t="n">
        <v>326.51</v>
      </c>
      <c r="Y90" s="9" t="n">
        <v>326.51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426</v>
      </c>
      <c r="B91" s="3" t="s">
        <v>104</v>
      </c>
      <c r="C91" s="3" t="s">
        <v>51</v>
      </c>
      <c r="D91" s="3" t="s">
        <v>52</v>
      </c>
      <c r="E91" s="3" t="n">
        <v>2002</v>
      </c>
      <c r="F91" s="3" t="s">
        <v>44</v>
      </c>
      <c r="G91" s="3" t="s">
        <v>45</v>
      </c>
      <c r="H91" s="3" t="s">
        <v>427</v>
      </c>
      <c r="I91" s="3" t="s">
        <v>47</v>
      </c>
      <c r="J91" s="7" t="n">
        <v>495000</v>
      </c>
      <c r="K91" s="3" t="s">
        <v>428</v>
      </c>
      <c r="L91" s="7" t="n">
        <v>8825.94</v>
      </c>
      <c r="M91" s="7" t="n">
        <v>1103.24</v>
      </c>
      <c r="N91" s="7" t="n">
        <v>1103.24</v>
      </c>
      <c r="O91" s="7" t="n">
        <v>6619.5</v>
      </c>
      <c r="P91" s="7" t="n">
        <v>661.95</v>
      </c>
      <c r="Q91" s="7" t="n">
        <v>661.95</v>
      </c>
      <c r="R91" s="7" t="n">
        <v>661.95</v>
      </c>
      <c r="S91" s="7" t="n">
        <v>661.95</v>
      </c>
      <c r="T91" s="7" t="n">
        <v>661.95</v>
      </c>
      <c r="U91" s="7" t="n">
        <v>661.95</v>
      </c>
      <c r="V91" s="7" t="n">
        <v>661.95</v>
      </c>
      <c r="W91" s="7" t="n">
        <v>661.95</v>
      </c>
      <c r="X91" s="7" t="n">
        <v>661.95</v>
      </c>
      <c r="Y91" s="7" t="n">
        <v>661.95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429</v>
      </c>
      <c r="B92" s="8" t="s">
        <v>430</v>
      </c>
      <c r="C92" s="8" t="s">
        <v>256</v>
      </c>
      <c r="D92" s="8" t="s">
        <v>257</v>
      </c>
      <c r="E92" s="8" t="n">
        <v>2008</v>
      </c>
      <c r="F92" s="8" t="s">
        <v>99</v>
      </c>
      <c r="G92" s="8" t="s">
        <v>134</v>
      </c>
      <c r="H92" s="8" t="s">
        <v>431</v>
      </c>
      <c r="I92" s="8" t="s">
        <v>136</v>
      </c>
      <c r="J92" s="9" t="n">
        <v>1145000</v>
      </c>
      <c r="K92" s="8" t="s">
        <v>149</v>
      </c>
      <c r="L92" s="9" t="n">
        <v>7881.06</v>
      </c>
      <c r="M92" s="9" t="n">
        <v>985.13</v>
      </c>
      <c r="N92" s="9" t="n">
        <v>985.13</v>
      </c>
      <c r="O92" s="9" t="n">
        <v>5910.8</v>
      </c>
      <c r="P92" s="9" t="n">
        <v>591.08</v>
      </c>
      <c r="Q92" s="9" t="n">
        <v>591.08</v>
      </c>
      <c r="R92" s="9" t="n">
        <v>591.08</v>
      </c>
      <c r="S92" s="9" t="n">
        <v>591.08</v>
      </c>
      <c r="T92" s="9" t="n">
        <v>591.08</v>
      </c>
      <c r="U92" s="9" t="n">
        <v>591.08</v>
      </c>
      <c r="V92" s="9" t="n">
        <v>591.08</v>
      </c>
      <c r="W92" s="9" t="n">
        <v>591.08</v>
      </c>
      <c r="X92" s="9" t="n">
        <v>591.08</v>
      </c>
      <c r="Y92" s="9" t="n">
        <v>591.08</v>
      </c>
      <c r="Z92" s="9" t="n">
        <v>350</v>
      </c>
      <c r="AA92" s="9" t="n">
        <v>250</v>
      </c>
      <c r="AB92" s="9" t="n">
        <v>600</v>
      </c>
    </row>
    <row r="93" customFormat="false" ht="15" hidden="false" customHeight="false" outlineLevel="0" collapsed="false">
      <c r="A93" s="3" t="s">
        <v>432</v>
      </c>
      <c r="B93" s="3" t="s">
        <v>223</v>
      </c>
      <c r="C93" s="3" t="s">
        <v>315</v>
      </c>
      <c r="D93" s="3" t="s">
        <v>316</v>
      </c>
      <c r="E93" s="3" t="n">
        <v>2008</v>
      </c>
      <c r="F93" s="3" t="s">
        <v>105</v>
      </c>
      <c r="G93" s="3" t="s">
        <v>106</v>
      </c>
      <c r="H93" s="3" t="s">
        <v>433</v>
      </c>
      <c r="I93" s="3" t="s">
        <v>56</v>
      </c>
      <c r="J93" s="7" t="n">
        <v>1195000</v>
      </c>
      <c r="K93" s="3" t="s">
        <v>83</v>
      </c>
      <c r="L93" s="7" t="n">
        <v>24350.94</v>
      </c>
      <c r="M93" s="7" t="n">
        <v>3043.87</v>
      </c>
      <c r="N93" s="7" t="n">
        <v>3043.87</v>
      </c>
      <c r="O93" s="7" t="n">
        <v>18263.2</v>
      </c>
      <c r="P93" s="7" t="n">
        <v>1826.32</v>
      </c>
      <c r="Q93" s="7" t="n">
        <v>1826.32</v>
      </c>
      <c r="R93" s="7" t="n">
        <v>1826.32</v>
      </c>
      <c r="S93" s="7" t="n">
        <v>1826.32</v>
      </c>
      <c r="T93" s="7" t="n">
        <v>1826.32</v>
      </c>
      <c r="U93" s="7" t="n">
        <v>1826.32</v>
      </c>
      <c r="V93" s="7" t="n">
        <v>1826.32</v>
      </c>
      <c r="W93" s="7" t="n">
        <v>1826.32</v>
      </c>
      <c r="X93" s="7" t="n">
        <v>1826.32</v>
      </c>
      <c r="Y93" s="7" t="n">
        <v>1826.32</v>
      </c>
      <c r="Z93" s="7" t="n">
        <v>350</v>
      </c>
      <c r="AA93" s="7" t="n">
        <v>250</v>
      </c>
      <c r="AB93" s="7" t="n">
        <v>600</v>
      </c>
    </row>
    <row r="94" customFormat="false" ht="15" hidden="false" customHeight="false" outlineLevel="0" collapsed="false">
      <c r="A94" s="8" t="s">
        <v>434</v>
      </c>
      <c r="B94" s="8" t="s">
        <v>435</v>
      </c>
      <c r="C94" s="8" t="s">
        <v>158</v>
      </c>
      <c r="D94" s="8" t="s">
        <v>159</v>
      </c>
      <c r="E94" s="8" t="n">
        <v>1956</v>
      </c>
      <c r="F94" s="8" t="s">
        <v>53</v>
      </c>
      <c r="G94" s="8" t="s">
        <v>258</v>
      </c>
      <c r="H94" s="8" t="s">
        <v>436</v>
      </c>
      <c r="I94" s="8" t="s">
        <v>136</v>
      </c>
      <c r="J94" s="9" t="n">
        <v>685000</v>
      </c>
      <c r="K94" s="8" t="s">
        <v>108</v>
      </c>
      <c r="L94" s="9" t="n">
        <v>6391.18</v>
      </c>
      <c r="M94" s="9" t="n">
        <v>798.9</v>
      </c>
      <c r="N94" s="9" t="n">
        <v>798.9</v>
      </c>
      <c r="O94" s="9" t="n">
        <v>4793.4</v>
      </c>
      <c r="P94" s="9" t="n">
        <v>479.34</v>
      </c>
      <c r="Q94" s="9" t="n">
        <v>479.34</v>
      </c>
      <c r="R94" s="9" t="n">
        <v>479.34</v>
      </c>
      <c r="S94" s="9" t="n">
        <v>479.34</v>
      </c>
      <c r="T94" s="9" t="n">
        <v>479.34</v>
      </c>
      <c r="U94" s="9" t="n">
        <v>479.34</v>
      </c>
      <c r="V94" s="9" t="n">
        <v>479.34</v>
      </c>
      <c r="W94" s="9" t="n">
        <v>479.34</v>
      </c>
      <c r="X94" s="9" t="n">
        <v>479.34</v>
      </c>
      <c r="Y94" s="9" t="n">
        <v>479.34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437</v>
      </c>
      <c r="B95" s="3" t="s">
        <v>438</v>
      </c>
      <c r="C95" s="3" t="s">
        <v>144</v>
      </c>
      <c r="D95" s="3" t="s">
        <v>145</v>
      </c>
      <c r="E95" s="3" t="n">
        <v>2007</v>
      </c>
      <c r="F95" s="3" t="s">
        <v>146</v>
      </c>
      <c r="G95" s="3" t="s">
        <v>147</v>
      </c>
      <c r="H95" s="3" t="s">
        <v>439</v>
      </c>
      <c r="I95" s="3" t="s">
        <v>47</v>
      </c>
      <c r="J95" s="7" t="n">
        <v>325000</v>
      </c>
      <c r="K95" s="3" t="s">
        <v>149</v>
      </c>
      <c r="L95" s="7" t="n">
        <v>4415.09</v>
      </c>
      <c r="M95" s="7" t="n">
        <v>551.89</v>
      </c>
      <c r="N95" s="7" t="n">
        <v>551.89</v>
      </c>
      <c r="O95" s="7" t="n">
        <v>3311.3</v>
      </c>
      <c r="P95" s="7" t="n">
        <v>331.13</v>
      </c>
      <c r="Q95" s="7" t="n">
        <v>331.13</v>
      </c>
      <c r="R95" s="7" t="n">
        <v>331.13</v>
      </c>
      <c r="S95" s="7" t="n">
        <v>331.13</v>
      </c>
      <c r="T95" s="7" t="n">
        <v>331.13</v>
      </c>
      <c r="U95" s="7" t="n">
        <v>331.13</v>
      </c>
      <c r="V95" s="7" t="n">
        <v>331.13</v>
      </c>
      <c r="W95" s="7" t="n">
        <v>331.13</v>
      </c>
      <c r="X95" s="7" t="n">
        <v>331.13</v>
      </c>
      <c r="Y95" s="7" t="n">
        <v>331.13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440</v>
      </c>
      <c r="B96" s="8" t="s">
        <v>178</v>
      </c>
      <c r="C96" s="8" t="s">
        <v>164</v>
      </c>
      <c r="D96" s="8" t="s">
        <v>165</v>
      </c>
      <c r="E96" s="8" t="n">
        <v>1991</v>
      </c>
      <c r="F96" s="8" t="s">
        <v>99</v>
      </c>
      <c r="G96" s="8" t="s">
        <v>100</v>
      </c>
      <c r="H96" s="8" t="s">
        <v>441</v>
      </c>
      <c r="I96" s="8" t="s">
        <v>47</v>
      </c>
      <c r="J96" s="9" t="n">
        <v>410000</v>
      </c>
      <c r="K96" s="8" t="s">
        <v>119</v>
      </c>
      <c r="L96" s="9" t="n">
        <v>7252.36</v>
      </c>
      <c r="M96" s="9" t="n">
        <v>906.54</v>
      </c>
      <c r="N96" s="9" t="n">
        <v>906.54</v>
      </c>
      <c r="O96" s="9" t="n">
        <v>5439.3</v>
      </c>
      <c r="P96" s="9" t="n">
        <v>543.93</v>
      </c>
      <c r="Q96" s="9" t="n">
        <v>543.93</v>
      </c>
      <c r="R96" s="9" t="n">
        <v>543.93</v>
      </c>
      <c r="S96" s="9" t="n">
        <v>543.93</v>
      </c>
      <c r="T96" s="9" t="n">
        <v>543.93</v>
      </c>
      <c r="U96" s="9" t="n">
        <v>543.93</v>
      </c>
      <c r="V96" s="9" t="n">
        <v>543.93</v>
      </c>
      <c r="W96" s="9" t="n">
        <v>543.93</v>
      </c>
      <c r="X96" s="9" t="n">
        <v>543.93</v>
      </c>
      <c r="Y96" s="9" t="n">
        <v>543.93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442</v>
      </c>
      <c r="B97" s="3" t="s">
        <v>205</v>
      </c>
      <c r="C97" s="3" t="s">
        <v>443</v>
      </c>
      <c r="D97" s="3" t="s">
        <v>444</v>
      </c>
      <c r="E97" s="3" t="n">
        <v>1962</v>
      </c>
      <c r="F97" s="3" t="s">
        <v>53</v>
      </c>
      <c r="G97" s="3" t="s">
        <v>258</v>
      </c>
      <c r="H97" s="3" t="s">
        <v>445</v>
      </c>
      <c r="I97" s="3" t="s">
        <v>136</v>
      </c>
      <c r="J97" s="7" t="n">
        <v>530000</v>
      </c>
      <c r="K97" s="3" t="s">
        <v>279</v>
      </c>
      <c r="L97" s="7" t="n">
        <v>4902</v>
      </c>
      <c r="M97" s="7" t="n">
        <v>612.75</v>
      </c>
      <c r="N97" s="7" t="n">
        <v>612.75</v>
      </c>
      <c r="O97" s="7" t="n">
        <v>3676.5</v>
      </c>
      <c r="P97" s="7" t="n">
        <v>367.65</v>
      </c>
      <c r="Q97" s="7" t="n">
        <v>367.65</v>
      </c>
      <c r="R97" s="7" t="n">
        <v>367.65</v>
      </c>
      <c r="S97" s="7" t="n">
        <v>367.65</v>
      </c>
      <c r="T97" s="7" t="n">
        <v>367.65</v>
      </c>
      <c r="U97" s="7" t="n">
        <v>367.65</v>
      </c>
      <c r="V97" s="7" t="n">
        <v>367.65</v>
      </c>
      <c r="W97" s="7" t="n">
        <v>367.65</v>
      </c>
      <c r="X97" s="7" t="n">
        <v>367.65</v>
      </c>
      <c r="Y97" s="7" t="n">
        <v>367.65</v>
      </c>
      <c r="Z97" s="7" t="n">
        <v>350</v>
      </c>
      <c r="AA97" s="7" t="n">
        <v>0</v>
      </c>
      <c r="AB97" s="7" t="n">
        <v>350</v>
      </c>
    </row>
    <row r="98" customFormat="false" ht="15" hidden="false" customHeight="false" outlineLevel="0" collapsed="false">
      <c r="A98" s="8" t="s">
        <v>446</v>
      </c>
      <c r="B98" s="8" t="s">
        <v>447</v>
      </c>
      <c r="C98" s="8" t="s">
        <v>250</v>
      </c>
      <c r="D98" s="8" t="s">
        <v>251</v>
      </c>
      <c r="E98" s="8" t="n">
        <v>1966</v>
      </c>
      <c r="F98" s="8" t="s">
        <v>105</v>
      </c>
      <c r="G98" s="8" t="s">
        <v>106</v>
      </c>
      <c r="H98" s="8" t="s">
        <v>448</v>
      </c>
      <c r="I98" s="8" t="s">
        <v>56</v>
      </c>
      <c r="J98" s="9" t="n">
        <v>1495000</v>
      </c>
      <c r="K98" s="8" t="s">
        <v>57</v>
      </c>
      <c r="L98" s="9" t="n">
        <v>26402.26</v>
      </c>
      <c r="M98" s="9" t="n">
        <v>3300.28</v>
      </c>
      <c r="N98" s="9" t="n">
        <v>3300.28</v>
      </c>
      <c r="O98" s="9" t="n">
        <v>19801.7</v>
      </c>
      <c r="P98" s="9" t="n">
        <v>1980.17</v>
      </c>
      <c r="Q98" s="9" t="n">
        <v>1980.17</v>
      </c>
      <c r="R98" s="9" t="n">
        <v>1980.17</v>
      </c>
      <c r="S98" s="9" t="n">
        <v>1980.17</v>
      </c>
      <c r="T98" s="9" t="n">
        <v>1980.17</v>
      </c>
      <c r="U98" s="9" t="n">
        <v>1980.17</v>
      </c>
      <c r="V98" s="9" t="n">
        <v>1980.17</v>
      </c>
      <c r="W98" s="9" t="n">
        <v>1980.17</v>
      </c>
      <c r="X98" s="9" t="n">
        <v>1980.17</v>
      </c>
      <c r="Y98" s="9" t="n">
        <v>1980.17</v>
      </c>
      <c r="Z98" s="9" t="n">
        <v>350</v>
      </c>
      <c r="AA98" s="9" t="n">
        <v>250</v>
      </c>
      <c r="AB98" s="9" t="n">
        <v>600</v>
      </c>
    </row>
    <row r="99" customFormat="false" ht="15" hidden="false" customHeight="false" outlineLevel="0" collapsed="false">
      <c r="A99" s="3" t="s">
        <v>449</v>
      </c>
      <c r="B99" s="3" t="s">
        <v>381</v>
      </c>
      <c r="C99" s="3" t="s">
        <v>78</v>
      </c>
      <c r="D99" s="3" t="s">
        <v>79</v>
      </c>
      <c r="E99" s="3" t="n">
        <v>1993</v>
      </c>
      <c r="F99" s="3" t="s">
        <v>80</v>
      </c>
      <c r="G99" s="3" t="s">
        <v>81</v>
      </c>
      <c r="H99" s="3" t="s">
        <v>450</v>
      </c>
      <c r="I99" s="3" t="s">
        <v>47</v>
      </c>
      <c r="J99" s="7" t="n">
        <v>335000</v>
      </c>
      <c r="K99" s="3" t="s">
        <v>451</v>
      </c>
      <c r="L99" s="7" t="n">
        <v>5262.03</v>
      </c>
      <c r="M99" s="7" t="n">
        <v>657.75</v>
      </c>
      <c r="N99" s="7" t="n">
        <v>657.75</v>
      </c>
      <c r="O99" s="7" t="n">
        <v>3946.5</v>
      </c>
      <c r="P99" s="7" t="n">
        <v>394.65</v>
      </c>
      <c r="Q99" s="7" t="n">
        <v>394.65</v>
      </c>
      <c r="R99" s="7" t="n">
        <v>394.65</v>
      </c>
      <c r="S99" s="7" t="n">
        <v>394.65</v>
      </c>
      <c r="T99" s="7" t="n">
        <v>394.65</v>
      </c>
      <c r="U99" s="7" t="n">
        <v>394.65</v>
      </c>
      <c r="V99" s="7" t="n">
        <v>394.65</v>
      </c>
      <c r="W99" s="7" t="n">
        <v>394.65</v>
      </c>
      <c r="X99" s="7" t="n">
        <v>394.65</v>
      </c>
      <c r="Y99" s="7" t="n">
        <v>394.65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452</v>
      </c>
      <c r="B100" s="8" t="s">
        <v>453</v>
      </c>
      <c r="C100" s="8" t="s">
        <v>111</v>
      </c>
      <c r="D100" s="8" t="s">
        <v>112</v>
      </c>
      <c r="E100" s="8" t="n">
        <v>1995</v>
      </c>
      <c r="F100" s="8" t="s">
        <v>387</v>
      </c>
      <c r="G100" s="8" t="s">
        <v>388</v>
      </c>
      <c r="H100" s="8" t="s">
        <v>454</v>
      </c>
      <c r="I100" s="8" t="s">
        <v>56</v>
      </c>
      <c r="J100" s="9" t="n">
        <v>1950000</v>
      </c>
      <c r="K100" s="8" t="s">
        <v>451</v>
      </c>
      <c r="L100" s="9" t="n">
        <v>32671.7</v>
      </c>
      <c r="M100" s="9" t="n">
        <v>4083.96</v>
      </c>
      <c r="N100" s="9" t="n">
        <v>4083.96</v>
      </c>
      <c r="O100" s="9" t="n">
        <v>24503.8</v>
      </c>
      <c r="P100" s="9" t="n">
        <v>2450.38</v>
      </c>
      <c r="Q100" s="9" t="n">
        <v>2450.38</v>
      </c>
      <c r="R100" s="9" t="n">
        <v>2450.38</v>
      </c>
      <c r="S100" s="9" t="n">
        <v>2450.38</v>
      </c>
      <c r="T100" s="9" t="n">
        <v>2450.38</v>
      </c>
      <c r="U100" s="9" t="n">
        <v>2450.38</v>
      </c>
      <c r="V100" s="9" t="n">
        <v>2450.38</v>
      </c>
      <c r="W100" s="9" t="n">
        <v>2450.38</v>
      </c>
      <c r="X100" s="9" t="n">
        <v>2450.38</v>
      </c>
      <c r="Y100" s="9" t="n">
        <v>2450.38</v>
      </c>
      <c r="Z100" s="9" t="n">
        <v>350</v>
      </c>
      <c r="AA100" s="9" t="n">
        <v>250</v>
      </c>
      <c r="AB100" s="9" t="n">
        <v>600</v>
      </c>
    </row>
    <row r="101" customFormat="false" ht="15" hidden="false" customHeight="false" outlineLevel="0" collapsed="false">
      <c r="A101" s="3" t="s">
        <v>455</v>
      </c>
      <c r="B101" s="3" t="s">
        <v>456</v>
      </c>
      <c r="C101" s="3" t="s">
        <v>72</v>
      </c>
      <c r="D101" s="3" t="s">
        <v>73</v>
      </c>
      <c r="E101" s="3" t="n">
        <v>2006</v>
      </c>
      <c r="F101" s="3" t="s">
        <v>387</v>
      </c>
      <c r="G101" s="3" t="s">
        <v>388</v>
      </c>
      <c r="H101" s="3" t="s">
        <v>457</v>
      </c>
      <c r="I101" s="3" t="s">
        <v>56</v>
      </c>
      <c r="J101" s="7" t="n">
        <v>1950000</v>
      </c>
      <c r="K101" s="3" t="s">
        <v>187</v>
      </c>
      <c r="L101" s="7" t="n">
        <v>31494.34</v>
      </c>
      <c r="M101" s="7" t="n">
        <v>3936.79</v>
      </c>
      <c r="N101" s="7" t="n">
        <v>3936.79</v>
      </c>
      <c r="O101" s="7" t="n">
        <v>23620.8</v>
      </c>
      <c r="P101" s="7" t="n">
        <v>2362.08</v>
      </c>
      <c r="Q101" s="7" t="n">
        <v>2362.08</v>
      </c>
      <c r="R101" s="7" t="n">
        <v>2362.08</v>
      </c>
      <c r="S101" s="7" t="n">
        <v>2362.08</v>
      </c>
      <c r="T101" s="7" t="n">
        <v>2362.08</v>
      </c>
      <c r="U101" s="7" t="n">
        <v>2362.08</v>
      </c>
      <c r="V101" s="7" t="n">
        <v>2362.08</v>
      </c>
      <c r="W101" s="7" t="n">
        <v>2362.08</v>
      </c>
      <c r="X101" s="7" t="n">
        <v>2362.08</v>
      </c>
      <c r="Y101" s="7" t="n">
        <v>2362.08</v>
      </c>
      <c r="Z101" s="7" t="n">
        <v>350</v>
      </c>
      <c r="AA101" s="7" t="n">
        <v>250</v>
      </c>
      <c r="AB101" s="7" t="n">
        <v>600</v>
      </c>
    </row>
    <row r="102" customFormat="false" ht="15" hidden="false" customHeight="false" outlineLevel="0" collapsed="false">
      <c r="A102" s="8" t="s">
        <v>458</v>
      </c>
      <c r="B102" s="8" t="s">
        <v>459</v>
      </c>
      <c r="C102" s="8" t="s">
        <v>72</v>
      </c>
      <c r="D102" s="8" t="s">
        <v>73</v>
      </c>
      <c r="E102" s="8" t="n">
        <v>1975</v>
      </c>
      <c r="F102" s="8" t="s">
        <v>276</v>
      </c>
      <c r="G102" s="8" t="s">
        <v>277</v>
      </c>
      <c r="H102" s="8" t="s">
        <v>460</v>
      </c>
      <c r="I102" s="8" t="s">
        <v>136</v>
      </c>
      <c r="J102" s="9" t="n">
        <v>525000</v>
      </c>
      <c r="K102" s="8" t="s">
        <v>399</v>
      </c>
      <c r="L102" s="9" t="n">
        <v>3876.08</v>
      </c>
      <c r="M102" s="9" t="n">
        <v>484.51</v>
      </c>
      <c r="N102" s="9" t="n">
        <v>484.51</v>
      </c>
      <c r="O102" s="9" t="n">
        <v>2907.1</v>
      </c>
      <c r="P102" s="9" t="n">
        <v>290.71</v>
      </c>
      <c r="Q102" s="9" t="n">
        <v>290.71</v>
      </c>
      <c r="R102" s="9" t="n">
        <v>290.71</v>
      </c>
      <c r="S102" s="9" t="n">
        <v>290.71</v>
      </c>
      <c r="T102" s="9" t="n">
        <v>290.71</v>
      </c>
      <c r="U102" s="9" t="n">
        <v>290.71</v>
      </c>
      <c r="V102" s="9" t="n">
        <v>290.71</v>
      </c>
      <c r="W102" s="9" t="n">
        <v>290.71</v>
      </c>
      <c r="X102" s="9" t="n">
        <v>290.71</v>
      </c>
      <c r="Y102" s="9" t="n">
        <v>290.71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461</v>
      </c>
      <c r="B103" s="3" t="s">
        <v>223</v>
      </c>
      <c r="C103" s="3" t="s">
        <v>111</v>
      </c>
      <c r="D103" s="3" t="s">
        <v>112</v>
      </c>
      <c r="E103" s="3" t="n">
        <v>1982</v>
      </c>
      <c r="F103" s="3" t="s">
        <v>265</v>
      </c>
      <c r="G103" s="3" t="s">
        <v>266</v>
      </c>
      <c r="H103" s="3" t="s">
        <v>462</v>
      </c>
      <c r="I103" s="3" t="s">
        <v>47</v>
      </c>
      <c r="J103" s="7" t="n">
        <v>540000</v>
      </c>
      <c r="K103" s="3" t="s">
        <v>63</v>
      </c>
      <c r="L103" s="7" t="n">
        <v>8410.75</v>
      </c>
      <c r="M103" s="7" t="n">
        <v>1051.34</v>
      </c>
      <c r="N103" s="7" t="n">
        <v>1051.34</v>
      </c>
      <c r="O103" s="7" t="n">
        <v>6308.1</v>
      </c>
      <c r="P103" s="7" t="n">
        <v>630.81</v>
      </c>
      <c r="Q103" s="7" t="n">
        <v>630.81</v>
      </c>
      <c r="R103" s="7" t="n">
        <v>630.81</v>
      </c>
      <c r="S103" s="7" t="n">
        <v>630.81</v>
      </c>
      <c r="T103" s="7" t="n">
        <v>630.81</v>
      </c>
      <c r="U103" s="7" t="n">
        <v>630.81</v>
      </c>
      <c r="V103" s="7" t="n">
        <v>630.81</v>
      </c>
      <c r="W103" s="7" t="n">
        <v>630.81</v>
      </c>
      <c r="X103" s="7" t="n">
        <v>630.81</v>
      </c>
      <c r="Y103" s="7" t="n">
        <v>630.81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463</v>
      </c>
      <c r="B104" s="8" t="s">
        <v>464</v>
      </c>
      <c r="C104" s="8" t="s">
        <v>42</v>
      </c>
      <c r="D104" s="8" t="s">
        <v>43</v>
      </c>
      <c r="E104" s="8" t="n">
        <v>1993</v>
      </c>
      <c r="F104" s="8" t="s">
        <v>44</v>
      </c>
      <c r="G104" s="8" t="s">
        <v>45</v>
      </c>
      <c r="H104" s="8" t="s">
        <v>465</v>
      </c>
      <c r="I104" s="8" t="s">
        <v>47</v>
      </c>
      <c r="J104" s="9" t="n">
        <v>590000</v>
      </c>
      <c r="K104" s="8" t="s">
        <v>355</v>
      </c>
      <c r="L104" s="9" t="n">
        <v>8104.15</v>
      </c>
      <c r="M104" s="9" t="n">
        <v>1013.02</v>
      </c>
      <c r="N104" s="9" t="n">
        <v>1013.02</v>
      </c>
      <c r="O104" s="9" t="n">
        <v>6078.1</v>
      </c>
      <c r="P104" s="9" t="n">
        <v>607.81</v>
      </c>
      <c r="Q104" s="9" t="n">
        <v>607.81</v>
      </c>
      <c r="R104" s="9" t="n">
        <v>607.81</v>
      </c>
      <c r="S104" s="9" t="n">
        <v>607.81</v>
      </c>
      <c r="T104" s="9" t="n">
        <v>607.81</v>
      </c>
      <c r="U104" s="9" t="n">
        <v>607.81</v>
      </c>
      <c r="V104" s="9" t="n">
        <v>607.81</v>
      </c>
      <c r="W104" s="9" t="n">
        <v>607.81</v>
      </c>
      <c r="X104" s="9" t="n">
        <v>607.81</v>
      </c>
      <c r="Y104" s="9" t="n">
        <v>607.81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466</v>
      </c>
      <c r="B105" s="3" t="s">
        <v>467</v>
      </c>
      <c r="C105" s="3" t="s">
        <v>78</v>
      </c>
      <c r="D105" s="3" t="s">
        <v>79</v>
      </c>
      <c r="E105" s="3" t="n">
        <v>1956</v>
      </c>
      <c r="F105" s="3" t="s">
        <v>53</v>
      </c>
      <c r="G105" s="3" t="s">
        <v>54</v>
      </c>
      <c r="H105" s="3" t="s">
        <v>468</v>
      </c>
      <c r="I105" s="3" t="s">
        <v>56</v>
      </c>
      <c r="J105" s="7" t="n">
        <v>400000</v>
      </c>
      <c r="K105" s="3" t="s">
        <v>173</v>
      </c>
      <c r="L105" s="7" t="n">
        <v>9981.13</v>
      </c>
      <c r="M105" s="7" t="n">
        <v>1247.64</v>
      </c>
      <c r="N105" s="7" t="n">
        <v>1247.64</v>
      </c>
      <c r="O105" s="7" t="n">
        <v>7485.8</v>
      </c>
      <c r="P105" s="7" t="n">
        <v>748.58</v>
      </c>
      <c r="Q105" s="7" t="n">
        <v>748.58</v>
      </c>
      <c r="R105" s="7" t="n">
        <v>748.58</v>
      </c>
      <c r="S105" s="7" t="n">
        <v>748.58</v>
      </c>
      <c r="T105" s="7" t="n">
        <v>748.58</v>
      </c>
      <c r="U105" s="7" t="n">
        <v>748.58</v>
      </c>
      <c r="V105" s="7" t="n">
        <v>748.58</v>
      </c>
      <c r="W105" s="7" t="n">
        <v>748.58</v>
      </c>
      <c r="X105" s="7" t="n">
        <v>748.58</v>
      </c>
      <c r="Y105" s="7" t="n">
        <v>748.58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469</v>
      </c>
      <c r="B106" s="8" t="s">
        <v>404</v>
      </c>
      <c r="C106" s="8" t="s">
        <v>342</v>
      </c>
      <c r="D106" s="8" t="s">
        <v>343</v>
      </c>
      <c r="E106" s="8" t="n">
        <v>1996</v>
      </c>
      <c r="F106" s="8" t="s">
        <v>80</v>
      </c>
      <c r="G106" s="8" t="s">
        <v>81</v>
      </c>
      <c r="H106" s="8" t="s">
        <v>470</v>
      </c>
      <c r="I106" s="8" t="s">
        <v>47</v>
      </c>
      <c r="J106" s="9" t="n">
        <v>380000</v>
      </c>
      <c r="K106" s="8" t="s">
        <v>471</v>
      </c>
      <c r="L106" s="9" t="n">
        <v>7420.75</v>
      </c>
      <c r="M106" s="9" t="n">
        <v>927.59</v>
      </c>
      <c r="N106" s="9" t="n">
        <v>927.59</v>
      </c>
      <c r="O106" s="9" t="n">
        <v>5565.6</v>
      </c>
      <c r="P106" s="9" t="n">
        <v>556.56</v>
      </c>
      <c r="Q106" s="9" t="n">
        <v>556.56</v>
      </c>
      <c r="R106" s="9" t="n">
        <v>556.56</v>
      </c>
      <c r="S106" s="9" t="n">
        <v>556.56</v>
      </c>
      <c r="T106" s="9" t="n">
        <v>556.56</v>
      </c>
      <c r="U106" s="9" t="n">
        <v>556.56</v>
      </c>
      <c r="V106" s="9" t="n">
        <v>556.56</v>
      </c>
      <c r="W106" s="9" t="n">
        <v>556.56</v>
      </c>
      <c r="X106" s="9" t="n">
        <v>556.56</v>
      </c>
      <c r="Y106" s="9" t="n">
        <v>556.56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472</v>
      </c>
      <c r="B107" s="3" t="s">
        <v>473</v>
      </c>
      <c r="C107" s="3" t="s">
        <v>190</v>
      </c>
      <c r="D107" s="3" t="s">
        <v>191</v>
      </c>
      <c r="E107" s="3" t="n">
        <v>1972</v>
      </c>
      <c r="F107" s="3" t="s">
        <v>44</v>
      </c>
      <c r="G107" s="3" t="s">
        <v>45</v>
      </c>
      <c r="H107" s="3" t="s">
        <v>474</v>
      </c>
      <c r="I107" s="3" t="s">
        <v>47</v>
      </c>
      <c r="J107" s="7" t="n">
        <v>435000</v>
      </c>
      <c r="K107" s="3" t="s">
        <v>475</v>
      </c>
      <c r="L107" s="7" t="n">
        <v>8002.36</v>
      </c>
      <c r="M107" s="7" t="n">
        <v>1000.29</v>
      </c>
      <c r="N107" s="7" t="n">
        <v>1000.29</v>
      </c>
      <c r="O107" s="7" t="n">
        <v>6001.8</v>
      </c>
      <c r="P107" s="7" t="n">
        <v>600.18</v>
      </c>
      <c r="Q107" s="7" t="n">
        <v>600.18</v>
      </c>
      <c r="R107" s="7" t="n">
        <v>600.18</v>
      </c>
      <c r="S107" s="7" t="n">
        <v>600.18</v>
      </c>
      <c r="T107" s="7" t="n">
        <v>600.18</v>
      </c>
      <c r="U107" s="7" t="n">
        <v>600.18</v>
      </c>
      <c r="V107" s="7" t="n">
        <v>600.18</v>
      </c>
      <c r="W107" s="7" t="n">
        <v>600.18</v>
      </c>
      <c r="X107" s="7" t="n">
        <v>600.18</v>
      </c>
      <c r="Y107" s="7" t="n">
        <v>600.18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476</v>
      </c>
      <c r="B108" s="8" t="s">
        <v>477</v>
      </c>
      <c r="C108" s="8" t="s">
        <v>342</v>
      </c>
      <c r="D108" s="8" t="s">
        <v>343</v>
      </c>
      <c r="E108" s="8" t="n">
        <v>1995</v>
      </c>
      <c r="F108" s="8" t="s">
        <v>387</v>
      </c>
      <c r="G108" s="8" t="s">
        <v>388</v>
      </c>
      <c r="H108" s="8" t="s">
        <v>478</v>
      </c>
      <c r="I108" s="8" t="s">
        <v>56</v>
      </c>
      <c r="J108" s="9" t="n">
        <v>295000</v>
      </c>
      <c r="K108" s="8" t="s">
        <v>83</v>
      </c>
      <c r="L108" s="9" t="n">
        <v>8641.27</v>
      </c>
      <c r="M108" s="9" t="n">
        <v>1080.16</v>
      </c>
      <c r="N108" s="9" t="n">
        <v>1080.16</v>
      </c>
      <c r="O108" s="9" t="n">
        <v>6481</v>
      </c>
      <c r="P108" s="9" t="n">
        <v>648.1</v>
      </c>
      <c r="Q108" s="9" t="n">
        <v>648.1</v>
      </c>
      <c r="R108" s="9" t="n">
        <v>648.1</v>
      </c>
      <c r="S108" s="9" t="n">
        <v>648.1</v>
      </c>
      <c r="T108" s="9" t="n">
        <v>648.1</v>
      </c>
      <c r="U108" s="9" t="n">
        <v>648.1</v>
      </c>
      <c r="V108" s="9" t="n">
        <v>648.1</v>
      </c>
      <c r="W108" s="9" t="n">
        <v>648.1</v>
      </c>
      <c r="X108" s="9" t="n">
        <v>648.1</v>
      </c>
      <c r="Y108" s="9" t="n">
        <v>648.1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479</v>
      </c>
      <c r="B109" s="3" t="s">
        <v>333</v>
      </c>
      <c r="C109" s="3" t="s">
        <v>282</v>
      </c>
      <c r="D109" s="3" t="s">
        <v>283</v>
      </c>
      <c r="E109" s="3" t="n">
        <v>2018</v>
      </c>
      <c r="F109" s="3" t="s">
        <v>88</v>
      </c>
      <c r="G109" s="3" t="s">
        <v>154</v>
      </c>
      <c r="H109" s="3" t="s">
        <v>480</v>
      </c>
      <c r="I109" s="3" t="s">
        <v>136</v>
      </c>
      <c r="J109" s="7" t="n">
        <v>405000</v>
      </c>
      <c r="K109" s="3" t="s">
        <v>197</v>
      </c>
      <c r="L109" s="7" t="n">
        <v>5685.28</v>
      </c>
      <c r="M109" s="7" t="n">
        <v>710.66</v>
      </c>
      <c r="N109" s="7" t="n">
        <v>710.66</v>
      </c>
      <c r="O109" s="7" t="n">
        <v>4264</v>
      </c>
      <c r="P109" s="7" t="n">
        <v>426.4</v>
      </c>
      <c r="Q109" s="7" t="n">
        <v>426.4</v>
      </c>
      <c r="R109" s="7" t="n">
        <v>426.4</v>
      </c>
      <c r="S109" s="7" t="n">
        <v>426.4</v>
      </c>
      <c r="T109" s="7" t="n">
        <v>426.4</v>
      </c>
      <c r="U109" s="7" t="n">
        <v>426.4</v>
      </c>
      <c r="V109" s="7" t="n">
        <v>426.4</v>
      </c>
      <c r="W109" s="7" t="n">
        <v>426.4</v>
      </c>
      <c r="X109" s="7" t="n">
        <v>426.4</v>
      </c>
      <c r="Y109" s="7" t="n">
        <v>426.4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481</v>
      </c>
      <c r="B110" s="8" t="s">
        <v>482</v>
      </c>
      <c r="C110" s="8" t="s">
        <v>111</v>
      </c>
      <c r="D110" s="8" t="s">
        <v>112</v>
      </c>
      <c r="E110" s="8" t="n">
        <v>1993</v>
      </c>
      <c r="F110" s="8" t="s">
        <v>265</v>
      </c>
      <c r="G110" s="8" t="s">
        <v>266</v>
      </c>
      <c r="H110" s="8" t="s">
        <v>483</v>
      </c>
      <c r="I110" s="8" t="s">
        <v>47</v>
      </c>
      <c r="J110" s="9" t="n">
        <v>290000</v>
      </c>
      <c r="K110" s="8" t="s">
        <v>137</v>
      </c>
      <c r="L110" s="9" t="n">
        <v>5047.64</v>
      </c>
      <c r="M110" s="9" t="n">
        <v>630.96</v>
      </c>
      <c r="N110" s="9" t="n">
        <v>630.96</v>
      </c>
      <c r="O110" s="9" t="n">
        <v>3785.7</v>
      </c>
      <c r="P110" s="9" t="n">
        <v>378.57</v>
      </c>
      <c r="Q110" s="9" t="n">
        <v>378.57</v>
      </c>
      <c r="R110" s="9" t="n">
        <v>378.57</v>
      </c>
      <c r="S110" s="9" t="n">
        <v>378.57</v>
      </c>
      <c r="T110" s="9" t="n">
        <v>378.57</v>
      </c>
      <c r="U110" s="9" t="n">
        <v>378.57</v>
      </c>
      <c r="V110" s="9" t="n">
        <v>378.57</v>
      </c>
      <c r="W110" s="9" t="n">
        <v>378.57</v>
      </c>
      <c r="X110" s="9" t="n">
        <v>378.57</v>
      </c>
      <c r="Y110" s="9" t="n">
        <v>378.57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484</v>
      </c>
      <c r="B111" s="3" t="s">
        <v>485</v>
      </c>
      <c r="C111" s="3" t="s">
        <v>144</v>
      </c>
      <c r="D111" s="3" t="s">
        <v>145</v>
      </c>
      <c r="E111" s="3" t="n">
        <v>2024</v>
      </c>
      <c r="F111" s="3" t="s">
        <v>80</v>
      </c>
      <c r="G111" s="3" t="s">
        <v>81</v>
      </c>
      <c r="H111" s="3" t="s">
        <v>486</v>
      </c>
      <c r="I111" s="3" t="s">
        <v>47</v>
      </c>
      <c r="J111" s="7" t="n">
        <v>460000</v>
      </c>
      <c r="K111" s="3" t="s">
        <v>362</v>
      </c>
      <c r="L111" s="7" t="n">
        <v>8657.55</v>
      </c>
      <c r="M111" s="7" t="n">
        <v>1082.19</v>
      </c>
      <c r="N111" s="7" t="n">
        <v>1082.19</v>
      </c>
      <c r="O111" s="7" t="n">
        <v>6493.2</v>
      </c>
      <c r="P111" s="7" t="n">
        <v>649.32</v>
      </c>
      <c r="Q111" s="7" t="n">
        <v>649.32</v>
      </c>
      <c r="R111" s="7" t="n">
        <v>649.32</v>
      </c>
      <c r="S111" s="7" t="n">
        <v>649.32</v>
      </c>
      <c r="T111" s="7" t="n">
        <v>649.32</v>
      </c>
      <c r="U111" s="7" t="n">
        <v>649.32</v>
      </c>
      <c r="V111" s="7" t="n">
        <v>649.32</v>
      </c>
      <c r="W111" s="7" t="n">
        <v>649.32</v>
      </c>
      <c r="X111" s="7" t="n">
        <v>649.32</v>
      </c>
      <c r="Y111" s="7" t="n">
        <v>649.32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487</v>
      </c>
      <c r="B112" s="8" t="s">
        <v>488</v>
      </c>
      <c r="C112" s="8" t="s">
        <v>219</v>
      </c>
      <c r="D112" s="8" t="s">
        <v>220</v>
      </c>
      <c r="E112" s="8" t="n">
        <v>1957</v>
      </c>
      <c r="F112" s="8" t="s">
        <v>265</v>
      </c>
      <c r="G112" s="8" t="s">
        <v>266</v>
      </c>
      <c r="H112" s="8" t="s">
        <v>489</v>
      </c>
      <c r="I112" s="8" t="s">
        <v>47</v>
      </c>
      <c r="J112" s="9" t="n">
        <v>780000</v>
      </c>
      <c r="K112" s="8" t="s">
        <v>490</v>
      </c>
      <c r="L112" s="9" t="n">
        <v>11861.89</v>
      </c>
      <c r="M112" s="9" t="n">
        <v>1482.74</v>
      </c>
      <c r="N112" s="9" t="n">
        <v>1482.74</v>
      </c>
      <c r="O112" s="9" t="n">
        <v>8896.4</v>
      </c>
      <c r="P112" s="9" t="n">
        <v>889.64</v>
      </c>
      <c r="Q112" s="9" t="n">
        <v>889.64</v>
      </c>
      <c r="R112" s="9" t="n">
        <v>889.64</v>
      </c>
      <c r="S112" s="9" t="n">
        <v>889.64</v>
      </c>
      <c r="T112" s="9" t="n">
        <v>889.64</v>
      </c>
      <c r="U112" s="9" t="n">
        <v>889.64</v>
      </c>
      <c r="V112" s="9" t="n">
        <v>889.64</v>
      </c>
      <c r="W112" s="9" t="n">
        <v>889.64</v>
      </c>
      <c r="X112" s="9" t="n">
        <v>889.64</v>
      </c>
      <c r="Y112" s="9" t="n">
        <v>889.64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491</v>
      </c>
      <c r="B113" s="3" t="s">
        <v>492</v>
      </c>
      <c r="C113" s="3" t="s">
        <v>111</v>
      </c>
      <c r="D113" s="3" t="s">
        <v>112</v>
      </c>
      <c r="E113" s="3" t="n">
        <v>1997</v>
      </c>
      <c r="F113" s="3" t="s">
        <v>88</v>
      </c>
      <c r="G113" s="3" t="s">
        <v>89</v>
      </c>
      <c r="H113" s="3" t="s">
        <v>493</v>
      </c>
      <c r="I113" s="3" t="s">
        <v>47</v>
      </c>
      <c r="J113" s="7" t="n">
        <v>1355000</v>
      </c>
      <c r="K113" s="3" t="s">
        <v>428</v>
      </c>
      <c r="L113" s="7" t="n">
        <v>17717.26</v>
      </c>
      <c r="M113" s="7" t="n">
        <v>2214.66</v>
      </c>
      <c r="N113" s="7" t="n">
        <v>2214.66</v>
      </c>
      <c r="O113" s="7" t="n">
        <v>13287.9</v>
      </c>
      <c r="P113" s="7" t="n">
        <v>1328.79</v>
      </c>
      <c r="Q113" s="7" t="n">
        <v>1328.79</v>
      </c>
      <c r="R113" s="7" t="n">
        <v>1328.79</v>
      </c>
      <c r="S113" s="7" t="n">
        <v>1328.79</v>
      </c>
      <c r="T113" s="7" t="n">
        <v>1328.79</v>
      </c>
      <c r="U113" s="7" t="n">
        <v>1328.79</v>
      </c>
      <c r="V113" s="7" t="n">
        <v>1328.79</v>
      </c>
      <c r="W113" s="7" t="n">
        <v>1328.79</v>
      </c>
      <c r="X113" s="7" t="n">
        <v>1328.79</v>
      </c>
      <c r="Y113" s="7" t="n">
        <v>1328.79</v>
      </c>
      <c r="Z113" s="7" t="n">
        <v>350</v>
      </c>
      <c r="AA113" s="7" t="n">
        <v>250</v>
      </c>
      <c r="AB113" s="7" t="n">
        <v>600</v>
      </c>
    </row>
    <row r="114" customFormat="false" ht="15" hidden="false" customHeight="false" outlineLevel="0" collapsed="false">
      <c r="A114" s="8" t="s">
        <v>494</v>
      </c>
      <c r="B114" s="8" t="s">
        <v>495</v>
      </c>
      <c r="C114" s="8" t="s">
        <v>116</v>
      </c>
      <c r="D114" s="8" t="s">
        <v>117</v>
      </c>
      <c r="E114" s="8" t="n">
        <v>1999</v>
      </c>
      <c r="F114" s="8" t="s">
        <v>80</v>
      </c>
      <c r="G114" s="8" t="s">
        <v>81</v>
      </c>
      <c r="H114" s="8" t="s">
        <v>496</v>
      </c>
      <c r="I114" s="8" t="s">
        <v>47</v>
      </c>
      <c r="J114" s="9" t="n">
        <v>395000</v>
      </c>
      <c r="K114" s="8" t="s">
        <v>91</v>
      </c>
      <c r="L114" s="9" t="n">
        <v>7154.72</v>
      </c>
      <c r="M114" s="9" t="n">
        <v>894.34</v>
      </c>
      <c r="N114" s="9" t="n">
        <v>894.34</v>
      </c>
      <c r="O114" s="9" t="n">
        <v>5366</v>
      </c>
      <c r="P114" s="9" t="n">
        <v>536.6</v>
      </c>
      <c r="Q114" s="9" t="n">
        <v>536.6</v>
      </c>
      <c r="R114" s="9" t="n">
        <v>536.6</v>
      </c>
      <c r="S114" s="9" t="n">
        <v>536.6</v>
      </c>
      <c r="T114" s="9" t="n">
        <v>536.6</v>
      </c>
      <c r="U114" s="9" t="n">
        <v>536.6</v>
      </c>
      <c r="V114" s="9" t="n">
        <v>536.6</v>
      </c>
      <c r="W114" s="9" t="n">
        <v>536.6</v>
      </c>
      <c r="X114" s="9" t="n">
        <v>536.6</v>
      </c>
      <c r="Y114" s="9" t="n">
        <v>536.6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497</v>
      </c>
      <c r="B115" s="3" t="s">
        <v>171</v>
      </c>
      <c r="C115" s="3" t="s">
        <v>116</v>
      </c>
      <c r="D115" s="3" t="s">
        <v>117</v>
      </c>
      <c r="E115" s="3" t="n">
        <v>2009</v>
      </c>
      <c r="F115" s="3" t="s">
        <v>276</v>
      </c>
      <c r="G115" s="3" t="s">
        <v>277</v>
      </c>
      <c r="H115" s="3" t="s">
        <v>498</v>
      </c>
      <c r="I115" s="3" t="s">
        <v>136</v>
      </c>
      <c r="J115" s="7" t="n">
        <v>380000</v>
      </c>
      <c r="K115" s="3" t="s">
        <v>91</v>
      </c>
      <c r="L115" s="7" t="n">
        <v>4405.13</v>
      </c>
      <c r="M115" s="7" t="n">
        <v>550.64</v>
      </c>
      <c r="N115" s="7" t="n">
        <v>550.64</v>
      </c>
      <c r="O115" s="7" t="n">
        <v>3303.8</v>
      </c>
      <c r="P115" s="7" t="n">
        <v>330.38</v>
      </c>
      <c r="Q115" s="7" t="n">
        <v>330.38</v>
      </c>
      <c r="R115" s="7" t="n">
        <v>330.38</v>
      </c>
      <c r="S115" s="7" t="n">
        <v>330.38</v>
      </c>
      <c r="T115" s="7" t="n">
        <v>330.38</v>
      </c>
      <c r="U115" s="7" t="n">
        <v>330.38</v>
      </c>
      <c r="V115" s="7" t="n">
        <v>330.38</v>
      </c>
      <c r="W115" s="7" t="n">
        <v>330.38</v>
      </c>
      <c r="X115" s="7" t="n">
        <v>330.38</v>
      </c>
      <c r="Y115" s="7" t="n">
        <v>330.38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499</v>
      </c>
      <c r="B116" s="8" t="s">
        <v>500</v>
      </c>
      <c r="C116" s="8" t="s">
        <v>179</v>
      </c>
      <c r="D116" s="8" t="s">
        <v>180</v>
      </c>
      <c r="E116" s="8" t="n">
        <v>2006</v>
      </c>
      <c r="F116" s="8" t="s">
        <v>80</v>
      </c>
      <c r="G116" s="8" t="s">
        <v>81</v>
      </c>
      <c r="H116" s="8" t="s">
        <v>501</v>
      </c>
      <c r="I116" s="8" t="s">
        <v>47</v>
      </c>
      <c r="J116" s="9" t="n">
        <v>590000</v>
      </c>
      <c r="K116" s="8" t="s">
        <v>91</v>
      </c>
      <c r="L116" s="9" t="n">
        <v>9261.89</v>
      </c>
      <c r="M116" s="9" t="n">
        <v>1157.74</v>
      </c>
      <c r="N116" s="9" t="n">
        <v>1157.74</v>
      </c>
      <c r="O116" s="9" t="n">
        <v>6946.4</v>
      </c>
      <c r="P116" s="9" t="n">
        <v>694.64</v>
      </c>
      <c r="Q116" s="9" t="n">
        <v>694.64</v>
      </c>
      <c r="R116" s="9" t="n">
        <v>694.64</v>
      </c>
      <c r="S116" s="9" t="n">
        <v>694.64</v>
      </c>
      <c r="T116" s="9" t="n">
        <v>694.64</v>
      </c>
      <c r="U116" s="9" t="n">
        <v>694.64</v>
      </c>
      <c r="V116" s="9" t="n">
        <v>694.64</v>
      </c>
      <c r="W116" s="9" t="n">
        <v>694.64</v>
      </c>
      <c r="X116" s="9" t="n">
        <v>694.64</v>
      </c>
      <c r="Y116" s="9" t="n">
        <v>694.64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502</v>
      </c>
      <c r="B117" s="3" t="s">
        <v>503</v>
      </c>
      <c r="C117" s="3" t="s">
        <v>190</v>
      </c>
      <c r="D117" s="3" t="s">
        <v>191</v>
      </c>
      <c r="E117" s="3" t="n">
        <v>1973</v>
      </c>
      <c r="F117" s="3" t="s">
        <v>99</v>
      </c>
      <c r="G117" s="3" t="s">
        <v>100</v>
      </c>
      <c r="H117" s="3" t="s">
        <v>504</v>
      </c>
      <c r="I117" s="3" t="s">
        <v>47</v>
      </c>
      <c r="J117" s="7" t="n">
        <v>590000</v>
      </c>
      <c r="K117" s="3" t="s">
        <v>173</v>
      </c>
      <c r="L117" s="7" t="n">
        <v>8321.23</v>
      </c>
      <c r="M117" s="7" t="n">
        <v>1040.15</v>
      </c>
      <c r="N117" s="7" t="n">
        <v>1040.15</v>
      </c>
      <c r="O117" s="7" t="n">
        <v>6240.9</v>
      </c>
      <c r="P117" s="7" t="n">
        <v>624.09</v>
      </c>
      <c r="Q117" s="7" t="n">
        <v>624.09</v>
      </c>
      <c r="R117" s="7" t="n">
        <v>624.09</v>
      </c>
      <c r="S117" s="7" t="n">
        <v>624.09</v>
      </c>
      <c r="T117" s="7" t="n">
        <v>624.09</v>
      </c>
      <c r="U117" s="7" t="n">
        <v>624.09</v>
      </c>
      <c r="V117" s="7" t="n">
        <v>624.09</v>
      </c>
      <c r="W117" s="7" t="n">
        <v>624.09</v>
      </c>
      <c r="X117" s="7" t="n">
        <v>624.09</v>
      </c>
      <c r="Y117" s="7" t="n">
        <v>624.09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505</v>
      </c>
      <c r="B118" s="8" t="s">
        <v>506</v>
      </c>
      <c r="C118" s="8" t="s">
        <v>250</v>
      </c>
      <c r="D118" s="8" t="s">
        <v>251</v>
      </c>
      <c r="E118" s="8" t="n">
        <v>2005</v>
      </c>
      <c r="F118" s="8" t="s">
        <v>80</v>
      </c>
      <c r="G118" s="8" t="s">
        <v>81</v>
      </c>
      <c r="H118" s="8" t="s">
        <v>507</v>
      </c>
      <c r="I118" s="8" t="s">
        <v>47</v>
      </c>
      <c r="J118" s="9" t="n">
        <v>285000</v>
      </c>
      <c r="K118" s="8" t="s">
        <v>428</v>
      </c>
      <c r="L118" s="9" t="n">
        <v>5081.6</v>
      </c>
      <c r="M118" s="9" t="n">
        <v>635.2</v>
      </c>
      <c r="N118" s="9" t="n">
        <v>635.2</v>
      </c>
      <c r="O118" s="9" t="n">
        <v>3811.2</v>
      </c>
      <c r="P118" s="9" t="n">
        <v>381.12</v>
      </c>
      <c r="Q118" s="9" t="n">
        <v>381.12</v>
      </c>
      <c r="R118" s="9" t="n">
        <v>381.12</v>
      </c>
      <c r="S118" s="9" t="n">
        <v>381.12</v>
      </c>
      <c r="T118" s="9" t="n">
        <v>381.12</v>
      </c>
      <c r="U118" s="9" t="n">
        <v>381.12</v>
      </c>
      <c r="V118" s="9" t="n">
        <v>381.12</v>
      </c>
      <c r="W118" s="9" t="n">
        <v>381.12</v>
      </c>
      <c r="X118" s="9" t="n">
        <v>381.12</v>
      </c>
      <c r="Y118" s="9" t="n">
        <v>381.12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508</v>
      </c>
      <c r="B119" s="3" t="s">
        <v>509</v>
      </c>
      <c r="C119" s="3" t="s">
        <v>60</v>
      </c>
      <c r="D119" s="3" t="s">
        <v>61</v>
      </c>
      <c r="E119" s="3" t="n">
        <v>1958</v>
      </c>
      <c r="F119" s="3" t="s">
        <v>146</v>
      </c>
      <c r="G119" s="3" t="s">
        <v>195</v>
      </c>
      <c r="H119" s="3" t="s">
        <v>510</v>
      </c>
      <c r="I119" s="3" t="s">
        <v>125</v>
      </c>
      <c r="J119" s="7" t="n">
        <v>515000</v>
      </c>
      <c r="K119" s="3" t="s">
        <v>511</v>
      </c>
      <c r="L119" s="7" t="n">
        <v>4172.47</v>
      </c>
      <c r="M119" s="7" t="n">
        <v>521.56</v>
      </c>
      <c r="N119" s="7" t="n">
        <v>521.56</v>
      </c>
      <c r="O119" s="7" t="n">
        <v>3129.4</v>
      </c>
      <c r="P119" s="7" t="n">
        <v>312.94</v>
      </c>
      <c r="Q119" s="7" t="n">
        <v>312.94</v>
      </c>
      <c r="R119" s="7" t="n">
        <v>312.94</v>
      </c>
      <c r="S119" s="7" t="n">
        <v>312.94</v>
      </c>
      <c r="T119" s="7" t="n">
        <v>312.94</v>
      </c>
      <c r="U119" s="7" t="n">
        <v>312.94</v>
      </c>
      <c r="V119" s="7" t="n">
        <v>312.94</v>
      </c>
      <c r="W119" s="7" t="n">
        <v>312.94</v>
      </c>
      <c r="X119" s="7" t="n">
        <v>312.94</v>
      </c>
      <c r="Y119" s="7" t="n">
        <v>312.94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512</v>
      </c>
      <c r="B120" s="8" t="s">
        <v>513</v>
      </c>
      <c r="C120" s="8" t="s">
        <v>368</v>
      </c>
      <c r="D120" s="8" t="s">
        <v>369</v>
      </c>
      <c r="E120" s="8" t="n">
        <v>2013</v>
      </c>
      <c r="F120" s="8" t="s">
        <v>99</v>
      </c>
      <c r="G120" s="8" t="s">
        <v>134</v>
      </c>
      <c r="H120" s="8" t="s">
        <v>514</v>
      </c>
      <c r="I120" s="8" t="s">
        <v>136</v>
      </c>
      <c r="J120" s="9" t="n">
        <v>405000</v>
      </c>
      <c r="K120" s="8" t="s">
        <v>91</v>
      </c>
      <c r="L120" s="9" t="n">
        <v>4694.94</v>
      </c>
      <c r="M120" s="9" t="n">
        <v>586.87</v>
      </c>
      <c r="N120" s="9" t="n">
        <v>586.87</v>
      </c>
      <c r="O120" s="9" t="n">
        <v>3521.2</v>
      </c>
      <c r="P120" s="9" t="n">
        <v>352.12</v>
      </c>
      <c r="Q120" s="9" t="n">
        <v>352.12</v>
      </c>
      <c r="R120" s="9" t="n">
        <v>352.12</v>
      </c>
      <c r="S120" s="9" t="n">
        <v>352.12</v>
      </c>
      <c r="T120" s="9" t="n">
        <v>352.12</v>
      </c>
      <c r="U120" s="9" t="n">
        <v>352.12</v>
      </c>
      <c r="V120" s="9" t="n">
        <v>352.12</v>
      </c>
      <c r="W120" s="9" t="n">
        <v>352.12</v>
      </c>
      <c r="X120" s="9" t="n">
        <v>352.12</v>
      </c>
      <c r="Y120" s="9" t="n">
        <v>352.12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515</v>
      </c>
      <c r="B121" s="3" t="s">
        <v>516</v>
      </c>
      <c r="C121" s="3" t="s">
        <v>263</v>
      </c>
      <c r="D121" s="3" t="s">
        <v>264</v>
      </c>
      <c r="E121" s="3" t="n">
        <v>1969</v>
      </c>
      <c r="F121" s="3" t="s">
        <v>265</v>
      </c>
      <c r="G121" s="3" t="s">
        <v>266</v>
      </c>
      <c r="H121" s="3" t="s">
        <v>517</v>
      </c>
      <c r="I121" s="3" t="s">
        <v>47</v>
      </c>
      <c r="J121" s="7" t="n">
        <v>1595000</v>
      </c>
      <c r="K121" s="3" t="s">
        <v>137</v>
      </c>
      <c r="L121" s="7" t="n">
        <v>20358.82</v>
      </c>
      <c r="M121" s="7" t="n">
        <v>2544.85</v>
      </c>
      <c r="N121" s="7" t="n">
        <v>2544.85</v>
      </c>
      <c r="O121" s="7" t="n">
        <v>15269.1</v>
      </c>
      <c r="P121" s="7" t="n">
        <v>1526.91</v>
      </c>
      <c r="Q121" s="7" t="n">
        <v>1526.91</v>
      </c>
      <c r="R121" s="7" t="n">
        <v>1526.91</v>
      </c>
      <c r="S121" s="7" t="n">
        <v>1526.91</v>
      </c>
      <c r="T121" s="7" t="n">
        <v>1526.91</v>
      </c>
      <c r="U121" s="7" t="n">
        <v>1526.91</v>
      </c>
      <c r="V121" s="7" t="n">
        <v>1526.91</v>
      </c>
      <c r="W121" s="7" t="n">
        <v>1526.91</v>
      </c>
      <c r="X121" s="7" t="n">
        <v>1526.91</v>
      </c>
      <c r="Y121" s="7" t="n">
        <v>1526.91</v>
      </c>
      <c r="Z121" s="7" t="n">
        <v>350</v>
      </c>
      <c r="AA121" s="7" t="n">
        <v>250</v>
      </c>
      <c r="AB121" s="7" t="n">
        <v>600</v>
      </c>
    </row>
    <row r="122" customFormat="false" ht="15" hidden="false" customHeight="false" outlineLevel="0" collapsed="false">
      <c r="A122" s="8" t="s">
        <v>518</v>
      </c>
      <c r="B122" s="8" t="s">
        <v>519</v>
      </c>
      <c r="C122" s="8" t="s">
        <v>94</v>
      </c>
      <c r="D122" s="8" t="s">
        <v>95</v>
      </c>
      <c r="E122" s="8" t="n">
        <v>1964</v>
      </c>
      <c r="F122" s="8" t="s">
        <v>53</v>
      </c>
      <c r="G122" s="8" t="s">
        <v>236</v>
      </c>
      <c r="H122" s="8" t="s">
        <v>520</v>
      </c>
      <c r="I122" s="8" t="s">
        <v>56</v>
      </c>
      <c r="J122" s="9" t="n">
        <v>325000</v>
      </c>
      <c r="K122" s="8" t="s">
        <v>203</v>
      </c>
      <c r="L122" s="9" t="n">
        <v>10013.68</v>
      </c>
      <c r="M122" s="9" t="n">
        <v>1251.71</v>
      </c>
      <c r="N122" s="9" t="n">
        <v>1251.71</v>
      </c>
      <c r="O122" s="9" t="n">
        <v>7510.3</v>
      </c>
      <c r="P122" s="9" t="n">
        <v>751.03</v>
      </c>
      <c r="Q122" s="9" t="n">
        <v>751.03</v>
      </c>
      <c r="R122" s="9" t="n">
        <v>751.03</v>
      </c>
      <c r="S122" s="9" t="n">
        <v>751.03</v>
      </c>
      <c r="T122" s="9" t="n">
        <v>751.03</v>
      </c>
      <c r="U122" s="9" t="n">
        <v>751.03</v>
      </c>
      <c r="V122" s="9" t="n">
        <v>751.03</v>
      </c>
      <c r="W122" s="9" t="n">
        <v>751.03</v>
      </c>
      <c r="X122" s="9" t="n">
        <v>751.03</v>
      </c>
      <c r="Y122" s="9" t="n">
        <v>751.03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521</v>
      </c>
      <c r="B123" s="3" t="s">
        <v>218</v>
      </c>
      <c r="C123" s="3" t="s">
        <v>86</v>
      </c>
      <c r="D123" s="3" t="s">
        <v>87</v>
      </c>
      <c r="E123" s="3" t="n">
        <v>2014</v>
      </c>
      <c r="F123" s="3" t="s">
        <v>99</v>
      </c>
      <c r="G123" s="3" t="s">
        <v>100</v>
      </c>
      <c r="H123" s="3" t="s">
        <v>522</v>
      </c>
      <c r="I123" s="3" t="s">
        <v>47</v>
      </c>
      <c r="J123" s="7" t="n">
        <v>1265000</v>
      </c>
      <c r="K123" s="3" t="s">
        <v>141</v>
      </c>
      <c r="L123" s="7" t="n">
        <v>16015.38</v>
      </c>
      <c r="M123" s="7" t="n">
        <v>2001.92</v>
      </c>
      <c r="N123" s="7" t="n">
        <v>2001.92</v>
      </c>
      <c r="O123" s="7" t="n">
        <v>12011.5</v>
      </c>
      <c r="P123" s="7" t="n">
        <v>1201.15</v>
      </c>
      <c r="Q123" s="7" t="n">
        <v>1201.15</v>
      </c>
      <c r="R123" s="7" t="n">
        <v>1201.15</v>
      </c>
      <c r="S123" s="7" t="n">
        <v>1201.15</v>
      </c>
      <c r="T123" s="7" t="n">
        <v>1201.15</v>
      </c>
      <c r="U123" s="7" t="n">
        <v>1201.15</v>
      </c>
      <c r="V123" s="7" t="n">
        <v>1201.15</v>
      </c>
      <c r="W123" s="7" t="n">
        <v>1201.15</v>
      </c>
      <c r="X123" s="7" t="n">
        <v>1201.15</v>
      </c>
      <c r="Y123" s="7" t="n">
        <v>1201.15</v>
      </c>
      <c r="Z123" s="7" t="n">
        <v>350</v>
      </c>
      <c r="AA123" s="7" t="n">
        <v>250</v>
      </c>
      <c r="AB123" s="7" t="n">
        <v>600</v>
      </c>
    </row>
    <row r="124" customFormat="false" ht="15" hidden="false" customHeight="false" outlineLevel="0" collapsed="false">
      <c r="A124" s="8" t="s">
        <v>523</v>
      </c>
      <c r="B124" s="8" t="s">
        <v>314</v>
      </c>
      <c r="C124" s="8" t="s">
        <v>368</v>
      </c>
      <c r="D124" s="8" t="s">
        <v>369</v>
      </c>
      <c r="E124" s="8" t="n">
        <v>1976</v>
      </c>
      <c r="F124" s="8" t="s">
        <v>80</v>
      </c>
      <c r="G124" s="8" t="s">
        <v>81</v>
      </c>
      <c r="H124" s="8" t="s">
        <v>524</v>
      </c>
      <c r="I124" s="8" t="s">
        <v>47</v>
      </c>
      <c r="J124" s="9" t="n">
        <v>645000</v>
      </c>
      <c r="K124" s="8" t="s">
        <v>260</v>
      </c>
      <c r="L124" s="9" t="n">
        <v>9887.97</v>
      </c>
      <c r="M124" s="9" t="n">
        <v>1236</v>
      </c>
      <c r="N124" s="9" t="n">
        <v>1236</v>
      </c>
      <c r="O124" s="9" t="n">
        <v>7416</v>
      </c>
      <c r="P124" s="9" t="n">
        <v>741.6</v>
      </c>
      <c r="Q124" s="9" t="n">
        <v>741.6</v>
      </c>
      <c r="R124" s="9" t="n">
        <v>741.6</v>
      </c>
      <c r="S124" s="9" t="n">
        <v>741.6</v>
      </c>
      <c r="T124" s="9" t="n">
        <v>741.6</v>
      </c>
      <c r="U124" s="9" t="n">
        <v>741.6</v>
      </c>
      <c r="V124" s="9" t="n">
        <v>741.6</v>
      </c>
      <c r="W124" s="9" t="n">
        <v>741.6</v>
      </c>
      <c r="X124" s="9" t="n">
        <v>741.6</v>
      </c>
      <c r="Y124" s="9" t="n">
        <v>741.6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525</v>
      </c>
      <c r="B125" s="3" t="s">
        <v>526</v>
      </c>
      <c r="C125" s="3" t="s">
        <v>42</v>
      </c>
      <c r="D125" s="3" t="s">
        <v>43</v>
      </c>
      <c r="E125" s="3" t="n">
        <v>2022</v>
      </c>
      <c r="F125" s="3" t="s">
        <v>387</v>
      </c>
      <c r="G125" s="3" t="s">
        <v>388</v>
      </c>
      <c r="H125" s="3" t="s">
        <v>527</v>
      </c>
      <c r="I125" s="3" t="s">
        <v>56</v>
      </c>
      <c r="J125" s="7" t="n">
        <v>735000</v>
      </c>
      <c r="K125" s="3" t="s">
        <v>131</v>
      </c>
      <c r="L125" s="7" t="n">
        <v>17390.38</v>
      </c>
      <c r="M125" s="7" t="n">
        <v>2173.8</v>
      </c>
      <c r="N125" s="7" t="n">
        <v>2173.8</v>
      </c>
      <c r="O125" s="7" t="n">
        <v>13042.8</v>
      </c>
      <c r="P125" s="7" t="n">
        <v>1304.28</v>
      </c>
      <c r="Q125" s="7" t="n">
        <v>1304.28</v>
      </c>
      <c r="R125" s="7" t="n">
        <v>1304.28</v>
      </c>
      <c r="S125" s="7" t="n">
        <v>1304.28</v>
      </c>
      <c r="T125" s="7" t="n">
        <v>1304.28</v>
      </c>
      <c r="U125" s="7" t="n">
        <v>1304.28</v>
      </c>
      <c r="V125" s="7" t="n">
        <v>1304.28</v>
      </c>
      <c r="W125" s="7" t="n">
        <v>1304.28</v>
      </c>
      <c r="X125" s="7" t="n">
        <v>1304.28</v>
      </c>
      <c r="Y125" s="7" t="n">
        <v>1304.28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528</v>
      </c>
      <c r="B126" s="8" t="s">
        <v>529</v>
      </c>
      <c r="C126" s="8" t="s">
        <v>158</v>
      </c>
      <c r="D126" s="8" t="s">
        <v>159</v>
      </c>
      <c r="E126" s="8" t="n">
        <v>1972</v>
      </c>
      <c r="F126" s="8" t="s">
        <v>53</v>
      </c>
      <c r="G126" s="8" t="s">
        <v>54</v>
      </c>
      <c r="H126" s="8" t="s">
        <v>530</v>
      </c>
      <c r="I126" s="8" t="s">
        <v>56</v>
      </c>
      <c r="J126" s="9" t="n">
        <v>960000</v>
      </c>
      <c r="K126" s="8" t="s">
        <v>287</v>
      </c>
      <c r="L126" s="9" t="n">
        <v>22369.81</v>
      </c>
      <c r="M126" s="9" t="n">
        <v>2796.23</v>
      </c>
      <c r="N126" s="9" t="n">
        <v>2796.23</v>
      </c>
      <c r="O126" s="9" t="n">
        <v>16777.4</v>
      </c>
      <c r="P126" s="9" t="n">
        <v>1677.74</v>
      </c>
      <c r="Q126" s="9" t="n">
        <v>1677.74</v>
      </c>
      <c r="R126" s="9" t="n">
        <v>1677.74</v>
      </c>
      <c r="S126" s="9" t="n">
        <v>1677.74</v>
      </c>
      <c r="T126" s="9" t="n">
        <v>1677.74</v>
      </c>
      <c r="U126" s="9" t="n">
        <v>1677.74</v>
      </c>
      <c r="V126" s="9" t="n">
        <v>1677.74</v>
      </c>
      <c r="W126" s="9" t="n">
        <v>1677.74</v>
      </c>
      <c r="X126" s="9" t="n">
        <v>1677.74</v>
      </c>
      <c r="Y126" s="9" t="n">
        <v>1677.74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531</v>
      </c>
      <c r="B127" s="3" t="s">
        <v>532</v>
      </c>
      <c r="C127" s="3" t="s">
        <v>86</v>
      </c>
      <c r="D127" s="3" t="s">
        <v>87</v>
      </c>
      <c r="E127" s="3" t="n">
        <v>2011</v>
      </c>
      <c r="F127" s="3" t="s">
        <v>80</v>
      </c>
      <c r="G127" s="3" t="s">
        <v>81</v>
      </c>
      <c r="H127" s="3" t="s">
        <v>533</v>
      </c>
      <c r="I127" s="3" t="s">
        <v>47</v>
      </c>
      <c r="J127" s="7" t="n">
        <v>620000</v>
      </c>
      <c r="K127" s="3" t="s">
        <v>149</v>
      </c>
      <c r="L127" s="7" t="n">
        <v>7299.62</v>
      </c>
      <c r="M127" s="7" t="n">
        <v>912.45</v>
      </c>
      <c r="N127" s="7" t="n">
        <v>912.45</v>
      </c>
      <c r="O127" s="7" t="n">
        <v>5474.7</v>
      </c>
      <c r="P127" s="7" t="n">
        <v>547.47</v>
      </c>
      <c r="Q127" s="7" t="n">
        <v>547.47</v>
      </c>
      <c r="R127" s="7" t="n">
        <v>547.47</v>
      </c>
      <c r="S127" s="7" t="n">
        <v>547.47</v>
      </c>
      <c r="T127" s="7" t="n">
        <v>547.47</v>
      </c>
      <c r="U127" s="7" t="n">
        <v>547.47</v>
      </c>
      <c r="V127" s="7" t="n">
        <v>547.47</v>
      </c>
      <c r="W127" s="7" t="n">
        <v>547.47</v>
      </c>
      <c r="X127" s="7" t="n">
        <v>547.47</v>
      </c>
      <c r="Y127" s="7" t="n">
        <v>547.47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534</v>
      </c>
      <c r="B128" s="8" t="s">
        <v>535</v>
      </c>
      <c r="C128" s="8" t="s">
        <v>86</v>
      </c>
      <c r="D128" s="8" t="s">
        <v>87</v>
      </c>
      <c r="E128" s="8" t="n">
        <v>2004</v>
      </c>
      <c r="F128" s="8" t="s">
        <v>276</v>
      </c>
      <c r="G128" s="8" t="s">
        <v>277</v>
      </c>
      <c r="H128" s="8" t="s">
        <v>536</v>
      </c>
      <c r="I128" s="8" t="s">
        <v>136</v>
      </c>
      <c r="J128" s="9" t="n">
        <v>1115000</v>
      </c>
      <c r="K128" s="8" t="s">
        <v>428</v>
      </c>
      <c r="L128" s="9" t="n">
        <v>10072.87</v>
      </c>
      <c r="M128" s="9" t="n">
        <v>1259.11</v>
      </c>
      <c r="N128" s="9" t="n">
        <v>1259.11</v>
      </c>
      <c r="O128" s="9" t="n">
        <v>7554.7</v>
      </c>
      <c r="P128" s="9" t="n">
        <v>755.47</v>
      </c>
      <c r="Q128" s="9" t="n">
        <v>755.47</v>
      </c>
      <c r="R128" s="9" t="n">
        <v>755.47</v>
      </c>
      <c r="S128" s="9" t="n">
        <v>755.47</v>
      </c>
      <c r="T128" s="9" t="n">
        <v>755.47</v>
      </c>
      <c r="U128" s="9" t="n">
        <v>755.47</v>
      </c>
      <c r="V128" s="9" t="n">
        <v>755.47</v>
      </c>
      <c r="W128" s="9" t="n">
        <v>755.47</v>
      </c>
      <c r="X128" s="9" t="n">
        <v>755.47</v>
      </c>
      <c r="Y128" s="9" t="n">
        <v>755.47</v>
      </c>
      <c r="Z128" s="9" t="n">
        <v>350</v>
      </c>
      <c r="AA128" s="9" t="n">
        <v>250</v>
      </c>
      <c r="AB128" s="9" t="n">
        <v>600</v>
      </c>
    </row>
    <row r="129" customFormat="false" ht="15" hidden="false" customHeight="false" outlineLevel="0" collapsed="false">
      <c r="A129" s="3" t="s">
        <v>537</v>
      </c>
      <c r="B129" s="3" t="s">
        <v>538</v>
      </c>
      <c r="C129" s="3" t="s">
        <v>116</v>
      </c>
      <c r="D129" s="3" t="s">
        <v>117</v>
      </c>
      <c r="E129" s="3" t="n">
        <v>1962</v>
      </c>
      <c r="F129" s="3" t="s">
        <v>146</v>
      </c>
      <c r="G129" s="3" t="s">
        <v>147</v>
      </c>
      <c r="H129" s="3" t="s">
        <v>539</v>
      </c>
      <c r="I129" s="3" t="s">
        <v>47</v>
      </c>
      <c r="J129" s="7" t="n">
        <v>1080000</v>
      </c>
      <c r="K129" s="3" t="s">
        <v>212</v>
      </c>
      <c r="L129" s="7" t="n">
        <v>11431.7</v>
      </c>
      <c r="M129" s="7" t="n">
        <v>1428.96</v>
      </c>
      <c r="N129" s="7" t="n">
        <v>1428.96</v>
      </c>
      <c r="O129" s="7" t="n">
        <v>8573.8</v>
      </c>
      <c r="P129" s="7" t="n">
        <v>857.38</v>
      </c>
      <c r="Q129" s="7" t="n">
        <v>857.38</v>
      </c>
      <c r="R129" s="7" t="n">
        <v>857.38</v>
      </c>
      <c r="S129" s="7" t="n">
        <v>857.38</v>
      </c>
      <c r="T129" s="7" t="n">
        <v>857.38</v>
      </c>
      <c r="U129" s="7" t="n">
        <v>857.38</v>
      </c>
      <c r="V129" s="7" t="n">
        <v>857.38</v>
      </c>
      <c r="W129" s="7" t="n">
        <v>857.38</v>
      </c>
      <c r="X129" s="7" t="n">
        <v>857.38</v>
      </c>
      <c r="Y129" s="7" t="n">
        <v>857.38</v>
      </c>
      <c r="Z129" s="7" t="n">
        <v>350</v>
      </c>
      <c r="AA129" s="7" t="n">
        <v>250</v>
      </c>
      <c r="AB129" s="7" t="n">
        <v>600</v>
      </c>
    </row>
    <row r="130" customFormat="false" ht="15" hidden="false" customHeight="false" outlineLevel="0" collapsed="false">
      <c r="A130" s="8" t="s">
        <v>540</v>
      </c>
      <c r="B130" s="8" t="s">
        <v>541</v>
      </c>
      <c r="C130" s="8" t="s">
        <v>116</v>
      </c>
      <c r="D130" s="8" t="s">
        <v>117</v>
      </c>
      <c r="E130" s="8" t="n">
        <v>2004</v>
      </c>
      <c r="F130" s="8" t="s">
        <v>44</v>
      </c>
      <c r="G130" s="8" t="s">
        <v>45</v>
      </c>
      <c r="H130" s="8" t="s">
        <v>542</v>
      </c>
      <c r="I130" s="8" t="s">
        <v>47</v>
      </c>
      <c r="J130" s="9" t="n">
        <v>1205000</v>
      </c>
      <c r="K130" s="8" t="s">
        <v>490</v>
      </c>
      <c r="L130" s="9" t="n">
        <v>15505.85</v>
      </c>
      <c r="M130" s="9" t="n">
        <v>1938.23</v>
      </c>
      <c r="N130" s="9" t="n">
        <v>1938.23</v>
      </c>
      <c r="O130" s="9" t="n">
        <v>11629.4</v>
      </c>
      <c r="P130" s="9" t="n">
        <v>1162.94</v>
      </c>
      <c r="Q130" s="9" t="n">
        <v>1162.94</v>
      </c>
      <c r="R130" s="9" t="n">
        <v>1162.94</v>
      </c>
      <c r="S130" s="9" t="n">
        <v>1162.94</v>
      </c>
      <c r="T130" s="9" t="n">
        <v>1162.94</v>
      </c>
      <c r="U130" s="9" t="n">
        <v>1162.94</v>
      </c>
      <c r="V130" s="9" t="n">
        <v>1162.94</v>
      </c>
      <c r="W130" s="9" t="n">
        <v>1162.94</v>
      </c>
      <c r="X130" s="9" t="n">
        <v>1162.94</v>
      </c>
      <c r="Y130" s="9" t="n">
        <v>1162.94</v>
      </c>
      <c r="Z130" s="9" t="n">
        <v>350</v>
      </c>
      <c r="AA130" s="9" t="n">
        <v>250</v>
      </c>
      <c r="AB130" s="9" t="n">
        <v>600</v>
      </c>
    </row>
    <row r="131" customFormat="false" ht="15" hidden="false" customHeight="false" outlineLevel="0" collapsed="false">
      <c r="A131" s="3" t="s">
        <v>543</v>
      </c>
      <c r="B131" s="3" t="s">
        <v>544</v>
      </c>
      <c r="C131" s="3" t="s">
        <v>116</v>
      </c>
      <c r="D131" s="3" t="s">
        <v>117</v>
      </c>
      <c r="E131" s="3" t="n">
        <v>2005</v>
      </c>
      <c r="F131" s="3" t="s">
        <v>99</v>
      </c>
      <c r="G131" s="3" t="s">
        <v>100</v>
      </c>
      <c r="H131" s="3" t="s">
        <v>545</v>
      </c>
      <c r="I131" s="3" t="s">
        <v>47</v>
      </c>
      <c r="J131" s="7" t="n">
        <v>1205000</v>
      </c>
      <c r="K131" s="3" t="s">
        <v>212</v>
      </c>
      <c r="L131" s="7" t="n">
        <v>12754.81</v>
      </c>
      <c r="M131" s="7" t="n">
        <v>1594.35</v>
      </c>
      <c r="N131" s="7" t="n">
        <v>1594.35</v>
      </c>
      <c r="O131" s="7" t="n">
        <v>9566.1</v>
      </c>
      <c r="P131" s="7" t="n">
        <v>956.61</v>
      </c>
      <c r="Q131" s="7" t="n">
        <v>956.61</v>
      </c>
      <c r="R131" s="7" t="n">
        <v>956.61</v>
      </c>
      <c r="S131" s="7" t="n">
        <v>956.61</v>
      </c>
      <c r="T131" s="7" t="n">
        <v>956.61</v>
      </c>
      <c r="U131" s="7" t="n">
        <v>956.61</v>
      </c>
      <c r="V131" s="7" t="n">
        <v>956.61</v>
      </c>
      <c r="W131" s="7" t="n">
        <v>956.61</v>
      </c>
      <c r="X131" s="7" t="n">
        <v>956.61</v>
      </c>
      <c r="Y131" s="7" t="n">
        <v>956.61</v>
      </c>
      <c r="Z131" s="7" t="n">
        <v>350</v>
      </c>
      <c r="AA131" s="7" t="n">
        <v>250</v>
      </c>
      <c r="AB131" s="7" t="n">
        <v>600</v>
      </c>
    </row>
    <row r="132" customFormat="false" ht="15" hidden="false" customHeight="false" outlineLevel="0" collapsed="false">
      <c r="A132" s="8" t="s">
        <v>546</v>
      </c>
      <c r="B132" s="8" t="s">
        <v>547</v>
      </c>
      <c r="C132" s="8" t="s">
        <v>42</v>
      </c>
      <c r="D132" s="8" t="s">
        <v>43</v>
      </c>
      <c r="E132" s="8" t="n">
        <v>1988</v>
      </c>
      <c r="F132" s="8" t="s">
        <v>80</v>
      </c>
      <c r="G132" s="8" t="s">
        <v>81</v>
      </c>
      <c r="H132" s="8" t="s">
        <v>548</v>
      </c>
      <c r="I132" s="8" t="s">
        <v>47</v>
      </c>
      <c r="J132" s="9" t="n">
        <v>310000</v>
      </c>
      <c r="K132" s="8" t="s">
        <v>549</v>
      </c>
      <c r="L132" s="9" t="n">
        <v>5878.3</v>
      </c>
      <c r="M132" s="9" t="n">
        <v>734.79</v>
      </c>
      <c r="N132" s="9" t="n">
        <v>734.79</v>
      </c>
      <c r="O132" s="9" t="n">
        <v>4408.7</v>
      </c>
      <c r="P132" s="9" t="n">
        <v>440.87</v>
      </c>
      <c r="Q132" s="9" t="n">
        <v>440.87</v>
      </c>
      <c r="R132" s="9" t="n">
        <v>440.87</v>
      </c>
      <c r="S132" s="9" t="n">
        <v>440.87</v>
      </c>
      <c r="T132" s="9" t="n">
        <v>440.87</v>
      </c>
      <c r="U132" s="9" t="n">
        <v>440.87</v>
      </c>
      <c r="V132" s="9" t="n">
        <v>440.87</v>
      </c>
      <c r="W132" s="9" t="n">
        <v>440.87</v>
      </c>
      <c r="X132" s="9" t="n">
        <v>440.87</v>
      </c>
      <c r="Y132" s="9" t="n">
        <v>440.87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550</v>
      </c>
      <c r="B133" s="3" t="s">
        <v>551</v>
      </c>
      <c r="C133" s="3" t="s">
        <v>152</v>
      </c>
      <c r="D133" s="3" t="s">
        <v>153</v>
      </c>
      <c r="E133" s="3" t="n">
        <v>2007</v>
      </c>
      <c r="F133" s="3" t="s">
        <v>105</v>
      </c>
      <c r="G133" s="3" t="s">
        <v>106</v>
      </c>
      <c r="H133" s="3" t="s">
        <v>552</v>
      </c>
      <c r="I133" s="3" t="s">
        <v>56</v>
      </c>
      <c r="J133" s="7" t="n">
        <v>790000</v>
      </c>
      <c r="K133" s="3" t="s">
        <v>355</v>
      </c>
      <c r="L133" s="7" t="n">
        <v>15859.62</v>
      </c>
      <c r="M133" s="7" t="n">
        <v>1982.45</v>
      </c>
      <c r="N133" s="7" t="n">
        <v>1982.45</v>
      </c>
      <c r="O133" s="7" t="n">
        <v>11894.7</v>
      </c>
      <c r="P133" s="7" t="n">
        <v>1189.47</v>
      </c>
      <c r="Q133" s="7" t="n">
        <v>1189.47</v>
      </c>
      <c r="R133" s="7" t="n">
        <v>1189.47</v>
      </c>
      <c r="S133" s="7" t="n">
        <v>1189.47</v>
      </c>
      <c r="T133" s="7" t="n">
        <v>1189.47</v>
      </c>
      <c r="U133" s="7" t="n">
        <v>1189.47</v>
      </c>
      <c r="V133" s="7" t="n">
        <v>1189.47</v>
      </c>
      <c r="W133" s="7" t="n">
        <v>1189.47</v>
      </c>
      <c r="X133" s="7" t="n">
        <v>1189.47</v>
      </c>
      <c r="Y133" s="7" t="n">
        <v>1189.47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553</v>
      </c>
      <c r="B134" s="8" t="s">
        <v>554</v>
      </c>
      <c r="C134" s="8" t="s">
        <v>342</v>
      </c>
      <c r="D134" s="8" t="s">
        <v>343</v>
      </c>
      <c r="E134" s="8" t="n">
        <v>1970</v>
      </c>
      <c r="F134" s="8" t="s">
        <v>88</v>
      </c>
      <c r="G134" s="8" t="s">
        <v>89</v>
      </c>
      <c r="H134" s="8" t="s">
        <v>555</v>
      </c>
      <c r="I134" s="8" t="s">
        <v>47</v>
      </c>
      <c r="J134" s="9" t="n">
        <v>310000</v>
      </c>
      <c r="K134" s="8" t="s">
        <v>556</v>
      </c>
      <c r="L134" s="9" t="n">
        <v>4913.21</v>
      </c>
      <c r="M134" s="9" t="n">
        <v>614.15</v>
      </c>
      <c r="N134" s="9" t="n">
        <v>614.15</v>
      </c>
      <c r="O134" s="9" t="n">
        <v>3684.9</v>
      </c>
      <c r="P134" s="9" t="n">
        <v>368.49</v>
      </c>
      <c r="Q134" s="9" t="n">
        <v>368.49</v>
      </c>
      <c r="R134" s="9" t="n">
        <v>368.49</v>
      </c>
      <c r="S134" s="9" t="n">
        <v>368.49</v>
      </c>
      <c r="T134" s="9" t="n">
        <v>368.49</v>
      </c>
      <c r="U134" s="9" t="n">
        <v>368.49</v>
      </c>
      <c r="V134" s="9" t="n">
        <v>368.49</v>
      </c>
      <c r="W134" s="9" t="n">
        <v>368.49</v>
      </c>
      <c r="X134" s="9" t="n">
        <v>368.49</v>
      </c>
      <c r="Y134" s="9" t="n">
        <v>368.49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557</v>
      </c>
      <c r="B135" s="3" t="s">
        <v>558</v>
      </c>
      <c r="C135" s="3" t="s">
        <v>559</v>
      </c>
      <c r="D135" s="3" t="s">
        <v>560</v>
      </c>
      <c r="E135" s="3" t="n">
        <v>1962</v>
      </c>
      <c r="F135" s="3" t="s">
        <v>88</v>
      </c>
      <c r="G135" s="3" t="s">
        <v>154</v>
      </c>
      <c r="H135" s="3" t="s">
        <v>561</v>
      </c>
      <c r="I135" s="3" t="s">
        <v>136</v>
      </c>
      <c r="J135" s="7" t="n">
        <v>485000</v>
      </c>
      <c r="K135" s="3" t="s">
        <v>203</v>
      </c>
      <c r="L135" s="7" t="n">
        <v>6237.28</v>
      </c>
      <c r="M135" s="7" t="n">
        <v>779.66</v>
      </c>
      <c r="N135" s="7" t="n">
        <v>779.66</v>
      </c>
      <c r="O135" s="7" t="n">
        <v>4678</v>
      </c>
      <c r="P135" s="7" t="n">
        <v>467.8</v>
      </c>
      <c r="Q135" s="7" t="n">
        <v>467.8</v>
      </c>
      <c r="R135" s="7" t="n">
        <v>467.8</v>
      </c>
      <c r="S135" s="7" t="n">
        <v>467.8</v>
      </c>
      <c r="T135" s="7" t="n">
        <v>467.8</v>
      </c>
      <c r="U135" s="7" t="n">
        <v>467.8</v>
      </c>
      <c r="V135" s="7" t="n">
        <v>467.8</v>
      </c>
      <c r="W135" s="7" t="n">
        <v>467.8</v>
      </c>
      <c r="X135" s="7" t="n">
        <v>467.8</v>
      </c>
      <c r="Y135" s="7" t="n">
        <v>467.8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562</v>
      </c>
      <c r="B136" s="8" t="s">
        <v>563</v>
      </c>
      <c r="C136" s="8" t="s">
        <v>152</v>
      </c>
      <c r="D136" s="8" t="s">
        <v>153</v>
      </c>
      <c r="E136" s="8" t="n">
        <v>2024</v>
      </c>
      <c r="F136" s="8" t="s">
        <v>88</v>
      </c>
      <c r="G136" s="8" t="s">
        <v>154</v>
      </c>
      <c r="H136" s="8" t="s">
        <v>564</v>
      </c>
      <c r="I136" s="8" t="s">
        <v>136</v>
      </c>
      <c r="J136" s="9" t="n">
        <v>660000</v>
      </c>
      <c r="K136" s="8" t="s">
        <v>556</v>
      </c>
      <c r="L136" s="9" t="n">
        <v>5997.28</v>
      </c>
      <c r="M136" s="9" t="n">
        <v>749.66</v>
      </c>
      <c r="N136" s="9" t="n">
        <v>749.66</v>
      </c>
      <c r="O136" s="9" t="n">
        <v>4498</v>
      </c>
      <c r="P136" s="9" t="n">
        <v>449.8</v>
      </c>
      <c r="Q136" s="9" t="n">
        <v>449.8</v>
      </c>
      <c r="R136" s="9" t="n">
        <v>449.8</v>
      </c>
      <c r="S136" s="9" t="n">
        <v>449.8</v>
      </c>
      <c r="T136" s="9" t="n">
        <v>449.8</v>
      </c>
      <c r="U136" s="9" t="n">
        <v>449.8</v>
      </c>
      <c r="V136" s="9" t="n">
        <v>449.8</v>
      </c>
      <c r="W136" s="9" t="n">
        <v>449.8</v>
      </c>
      <c r="X136" s="9" t="n">
        <v>449.8</v>
      </c>
      <c r="Y136" s="9" t="n">
        <v>449.8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565</v>
      </c>
      <c r="B137" s="3" t="s">
        <v>566</v>
      </c>
      <c r="C137" s="3" t="s">
        <v>111</v>
      </c>
      <c r="D137" s="3" t="s">
        <v>112</v>
      </c>
      <c r="E137" s="3" t="n">
        <v>1986</v>
      </c>
      <c r="F137" s="3" t="s">
        <v>80</v>
      </c>
      <c r="G137" s="3" t="s">
        <v>81</v>
      </c>
      <c r="H137" s="3" t="s">
        <v>567</v>
      </c>
      <c r="I137" s="3" t="s">
        <v>47</v>
      </c>
      <c r="J137" s="7" t="n">
        <v>1900000</v>
      </c>
      <c r="K137" s="3" t="s">
        <v>91</v>
      </c>
      <c r="L137" s="7" t="n">
        <v>25237.74</v>
      </c>
      <c r="M137" s="7" t="n">
        <v>3154.72</v>
      </c>
      <c r="N137" s="7" t="n">
        <v>3154.72</v>
      </c>
      <c r="O137" s="7" t="n">
        <v>18928.3</v>
      </c>
      <c r="P137" s="7" t="n">
        <v>1892.83</v>
      </c>
      <c r="Q137" s="7" t="n">
        <v>1892.83</v>
      </c>
      <c r="R137" s="7" t="n">
        <v>1892.83</v>
      </c>
      <c r="S137" s="7" t="n">
        <v>1892.83</v>
      </c>
      <c r="T137" s="7" t="n">
        <v>1892.83</v>
      </c>
      <c r="U137" s="7" t="n">
        <v>1892.83</v>
      </c>
      <c r="V137" s="7" t="n">
        <v>1892.83</v>
      </c>
      <c r="W137" s="7" t="n">
        <v>1892.83</v>
      </c>
      <c r="X137" s="7" t="n">
        <v>1892.83</v>
      </c>
      <c r="Y137" s="7" t="n">
        <v>1892.83</v>
      </c>
      <c r="Z137" s="7" t="n">
        <v>350</v>
      </c>
      <c r="AA137" s="7" t="n">
        <v>250</v>
      </c>
      <c r="AB137" s="7" t="n">
        <v>600</v>
      </c>
    </row>
    <row r="138" customFormat="false" ht="15" hidden="false" customHeight="false" outlineLevel="0" collapsed="false">
      <c r="A138" s="8" t="s">
        <v>568</v>
      </c>
      <c r="B138" s="8" t="s">
        <v>569</v>
      </c>
      <c r="C138" s="8" t="s">
        <v>250</v>
      </c>
      <c r="D138" s="8" t="s">
        <v>251</v>
      </c>
      <c r="E138" s="8" t="n">
        <v>1984</v>
      </c>
      <c r="F138" s="8" t="s">
        <v>146</v>
      </c>
      <c r="G138" s="8" t="s">
        <v>147</v>
      </c>
      <c r="H138" s="8" t="s">
        <v>570</v>
      </c>
      <c r="I138" s="8" t="s">
        <v>47</v>
      </c>
      <c r="J138" s="9" t="n">
        <v>620000</v>
      </c>
      <c r="K138" s="8" t="s">
        <v>141</v>
      </c>
      <c r="L138" s="9" t="n">
        <v>9276.6</v>
      </c>
      <c r="M138" s="9" t="n">
        <v>1159.58</v>
      </c>
      <c r="N138" s="9" t="n">
        <v>1159.58</v>
      </c>
      <c r="O138" s="9" t="n">
        <v>6957.5</v>
      </c>
      <c r="P138" s="9" t="n">
        <v>695.75</v>
      </c>
      <c r="Q138" s="9" t="n">
        <v>695.75</v>
      </c>
      <c r="R138" s="9" t="n">
        <v>695.75</v>
      </c>
      <c r="S138" s="9" t="n">
        <v>695.75</v>
      </c>
      <c r="T138" s="9" t="n">
        <v>695.75</v>
      </c>
      <c r="U138" s="9" t="n">
        <v>695.75</v>
      </c>
      <c r="V138" s="9" t="n">
        <v>695.75</v>
      </c>
      <c r="W138" s="9" t="n">
        <v>695.75</v>
      </c>
      <c r="X138" s="9" t="n">
        <v>695.75</v>
      </c>
      <c r="Y138" s="9" t="n">
        <v>695.75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571</v>
      </c>
      <c r="B139" s="3" t="s">
        <v>572</v>
      </c>
      <c r="C139" s="3" t="s">
        <v>86</v>
      </c>
      <c r="D139" s="3" t="s">
        <v>87</v>
      </c>
      <c r="E139" s="3" t="n">
        <v>2020</v>
      </c>
      <c r="F139" s="3" t="s">
        <v>80</v>
      </c>
      <c r="G139" s="3" t="s">
        <v>81</v>
      </c>
      <c r="H139" s="3" t="s">
        <v>573</v>
      </c>
      <c r="I139" s="3" t="s">
        <v>47</v>
      </c>
      <c r="J139" s="7" t="n">
        <v>775000</v>
      </c>
      <c r="K139" s="3" t="s">
        <v>161</v>
      </c>
      <c r="L139" s="7" t="n">
        <v>9504.72</v>
      </c>
      <c r="M139" s="7" t="n">
        <v>1188.09</v>
      </c>
      <c r="N139" s="7" t="n">
        <v>1188.09</v>
      </c>
      <c r="O139" s="7" t="n">
        <v>7128.5</v>
      </c>
      <c r="P139" s="7" t="n">
        <v>712.85</v>
      </c>
      <c r="Q139" s="7" t="n">
        <v>712.85</v>
      </c>
      <c r="R139" s="7" t="n">
        <v>712.85</v>
      </c>
      <c r="S139" s="7" t="n">
        <v>712.85</v>
      </c>
      <c r="T139" s="7" t="n">
        <v>712.85</v>
      </c>
      <c r="U139" s="7" t="n">
        <v>712.85</v>
      </c>
      <c r="V139" s="7" t="n">
        <v>712.85</v>
      </c>
      <c r="W139" s="7" t="n">
        <v>712.85</v>
      </c>
      <c r="X139" s="7" t="n">
        <v>712.85</v>
      </c>
      <c r="Y139" s="7" t="n">
        <v>712.85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574</v>
      </c>
      <c r="B140" s="8" t="s">
        <v>575</v>
      </c>
      <c r="C140" s="8" t="s">
        <v>94</v>
      </c>
      <c r="D140" s="8" t="s">
        <v>95</v>
      </c>
      <c r="E140" s="8" t="n">
        <v>1967</v>
      </c>
      <c r="F140" s="8" t="s">
        <v>99</v>
      </c>
      <c r="G140" s="8" t="s">
        <v>100</v>
      </c>
      <c r="H140" s="8" t="s">
        <v>576</v>
      </c>
      <c r="I140" s="8" t="s">
        <v>47</v>
      </c>
      <c r="J140" s="9" t="n">
        <v>1525000</v>
      </c>
      <c r="K140" s="8" t="s">
        <v>69</v>
      </c>
      <c r="L140" s="9" t="n">
        <v>20256.6</v>
      </c>
      <c r="M140" s="9" t="n">
        <v>2532.07</v>
      </c>
      <c r="N140" s="9" t="n">
        <v>2532.07</v>
      </c>
      <c r="O140" s="9" t="n">
        <v>15192.4</v>
      </c>
      <c r="P140" s="9" t="n">
        <v>1519.24</v>
      </c>
      <c r="Q140" s="9" t="n">
        <v>1519.24</v>
      </c>
      <c r="R140" s="9" t="n">
        <v>1519.24</v>
      </c>
      <c r="S140" s="9" t="n">
        <v>1519.24</v>
      </c>
      <c r="T140" s="9" t="n">
        <v>1519.24</v>
      </c>
      <c r="U140" s="9" t="n">
        <v>1519.24</v>
      </c>
      <c r="V140" s="9" t="n">
        <v>1519.24</v>
      </c>
      <c r="W140" s="9" t="n">
        <v>1519.24</v>
      </c>
      <c r="X140" s="9" t="n">
        <v>1519.24</v>
      </c>
      <c r="Y140" s="9" t="n">
        <v>1519.24</v>
      </c>
      <c r="Z140" s="9" t="n">
        <v>350</v>
      </c>
      <c r="AA140" s="9" t="n">
        <v>250</v>
      </c>
      <c r="AB140" s="9" t="n">
        <v>600</v>
      </c>
    </row>
    <row r="141" customFormat="false" ht="15" hidden="false" customHeight="false" outlineLevel="0" collapsed="false">
      <c r="A141" s="3" t="s">
        <v>577</v>
      </c>
      <c r="B141" s="3" t="s">
        <v>255</v>
      </c>
      <c r="C141" s="3" t="s">
        <v>200</v>
      </c>
      <c r="D141" s="3" t="s">
        <v>201</v>
      </c>
      <c r="E141" s="3" t="n">
        <v>1988</v>
      </c>
      <c r="F141" s="3" t="s">
        <v>99</v>
      </c>
      <c r="G141" s="3" t="s">
        <v>134</v>
      </c>
      <c r="H141" s="3" t="s">
        <v>578</v>
      </c>
      <c r="I141" s="3" t="s">
        <v>136</v>
      </c>
      <c r="J141" s="7" t="n">
        <v>1315000</v>
      </c>
      <c r="K141" s="3" t="s">
        <v>312</v>
      </c>
      <c r="L141" s="7" t="n">
        <v>10371.13</v>
      </c>
      <c r="M141" s="7" t="n">
        <v>1296.39</v>
      </c>
      <c r="N141" s="7" t="n">
        <v>1296.39</v>
      </c>
      <c r="O141" s="7" t="n">
        <v>7778.3</v>
      </c>
      <c r="P141" s="7" t="n">
        <v>777.83</v>
      </c>
      <c r="Q141" s="7" t="n">
        <v>777.83</v>
      </c>
      <c r="R141" s="7" t="n">
        <v>777.83</v>
      </c>
      <c r="S141" s="7" t="n">
        <v>777.83</v>
      </c>
      <c r="T141" s="7" t="n">
        <v>777.83</v>
      </c>
      <c r="U141" s="7" t="n">
        <v>777.83</v>
      </c>
      <c r="V141" s="7" t="n">
        <v>777.83</v>
      </c>
      <c r="W141" s="7" t="n">
        <v>777.83</v>
      </c>
      <c r="X141" s="7" t="n">
        <v>777.83</v>
      </c>
      <c r="Y141" s="7" t="n">
        <v>777.83</v>
      </c>
      <c r="Z141" s="7" t="n">
        <v>350</v>
      </c>
      <c r="AA141" s="7" t="n">
        <v>250</v>
      </c>
      <c r="AB141" s="7" t="n">
        <v>600</v>
      </c>
    </row>
    <row r="142" customFormat="false" ht="15" hidden="false" customHeight="false" outlineLevel="0" collapsed="false">
      <c r="A142" s="8" t="s">
        <v>579</v>
      </c>
      <c r="B142" s="8" t="s">
        <v>580</v>
      </c>
      <c r="C142" s="8" t="s">
        <v>111</v>
      </c>
      <c r="D142" s="8" t="s">
        <v>112</v>
      </c>
      <c r="E142" s="8" t="n">
        <v>1986</v>
      </c>
      <c r="F142" s="8" t="s">
        <v>292</v>
      </c>
      <c r="G142" s="8" t="s">
        <v>293</v>
      </c>
      <c r="H142" s="8" t="s">
        <v>581</v>
      </c>
      <c r="I142" s="8" t="s">
        <v>125</v>
      </c>
      <c r="J142" s="9" t="n">
        <v>1015000</v>
      </c>
      <c r="K142" s="8" t="s">
        <v>131</v>
      </c>
      <c r="L142" s="9" t="n">
        <v>8594.94</v>
      </c>
      <c r="M142" s="9" t="n">
        <v>1074.37</v>
      </c>
      <c r="N142" s="9" t="n">
        <v>1074.37</v>
      </c>
      <c r="O142" s="9" t="n">
        <v>6446.2</v>
      </c>
      <c r="P142" s="9" t="n">
        <v>644.62</v>
      </c>
      <c r="Q142" s="9" t="n">
        <v>644.62</v>
      </c>
      <c r="R142" s="9" t="n">
        <v>644.62</v>
      </c>
      <c r="S142" s="9" t="n">
        <v>644.62</v>
      </c>
      <c r="T142" s="9" t="n">
        <v>644.62</v>
      </c>
      <c r="U142" s="9" t="n">
        <v>644.62</v>
      </c>
      <c r="V142" s="9" t="n">
        <v>644.62</v>
      </c>
      <c r="W142" s="9" t="n">
        <v>644.62</v>
      </c>
      <c r="X142" s="9" t="n">
        <v>644.62</v>
      </c>
      <c r="Y142" s="9" t="n">
        <v>644.62</v>
      </c>
      <c r="Z142" s="9" t="n">
        <v>350</v>
      </c>
      <c r="AA142" s="9" t="n">
        <v>250</v>
      </c>
      <c r="AB142" s="9" t="n">
        <v>600</v>
      </c>
    </row>
    <row r="143" customFormat="false" ht="15" hidden="false" customHeight="false" outlineLevel="0" collapsed="false">
      <c r="A143" s="3" t="s">
        <v>582</v>
      </c>
      <c r="B143" s="3" t="s">
        <v>249</v>
      </c>
      <c r="C143" s="3" t="s">
        <v>443</v>
      </c>
      <c r="D143" s="3" t="s">
        <v>444</v>
      </c>
      <c r="E143" s="3" t="n">
        <v>2016</v>
      </c>
      <c r="F143" s="3" t="s">
        <v>146</v>
      </c>
      <c r="G143" s="3" t="s">
        <v>147</v>
      </c>
      <c r="H143" s="3" t="s">
        <v>583</v>
      </c>
      <c r="I143" s="3" t="s">
        <v>47</v>
      </c>
      <c r="J143" s="7" t="n">
        <v>485000</v>
      </c>
      <c r="K143" s="3" t="s">
        <v>91</v>
      </c>
      <c r="L143" s="7" t="n">
        <v>8784.91</v>
      </c>
      <c r="M143" s="7" t="n">
        <v>1098.11</v>
      </c>
      <c r="N143" s="7" t="n">
        <v>1098.11</v>
      </c>
      <c r="O143" s="7" t="n">
        <v>6588.7</v>
      </c>
      <c r="P143" s="7" t="n">
        <v>658.87</v>
      </c>
      <c r="Q143" s="7" t="n">
        <v>658.87</v>
      </c>
      <c r="R143" s="7" t="n">
        <v>658.87</v>
      </c>
      <c r="S143" s="7" t="n">
        <v>658.87</v>
      </c>
      <c r="T143" s="7" t="n">
        <v>658.87</v>
      </c>
      <c r="U143" s="7" t="n">
        <v>658.87</v>
      </c>
      <c r="V143" s="7" t="n">
        <v>658.87</v>
      </c>
      <c r="W143" s="7" t="n">
        <v>658.87</v>
      </c>
      <c r="X143" s="7" t="n">
        <v>658.87</v>
      </c>
      <c r="Y143" s="7" t="n">
        <v>658.87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584</v>
      </c>
      <c r="B144" s="8" t="s">
        <v>585</v>
      </c>
      <c r="C144" s="8" t="s">
        <v>443</v>
      </c>
      <c r="D144" s="8" t="s">
        <v>444</v>
      </c>
      <c r="E144" s="8" t="n">
        <v>2010</v>
      </c>
      <c r="F144" s="8" t="s">
        <v>146</v>
      </c>
      <c r="G144" s="8" t="s">
        <v>147</v>
      </c>
      <c r="H144" s="8" t="s">
        <v>586</v>
      </c>
      <c r="I144" s="8" t="s">
        <v>47</v>
      </c>
      <c r="J144" s="9" t="n">
        <v>315000</v>
      </c>
      <c r="K144" s="8" t="s">
        <v>268</v>
      </c>
      <c r="L144" s="9" t="n">
        <v>4858.73</v>
      </c>
      <c r="M144" s="9" t="n">
        <v>607.34</v>
      </c>
      <c r="N144" s="9" t="n">
        <v>607.34</v>
      </c>
      <c r="O144" s="9" t="n">
        <v>3644</v>
      </c>
      <c r="P144" s="9" t="n">
        <v>364.4</v>
      </c>
      <c r="Q144" s="9" t="n">
        <v>364.4</v>
      </c>
      <c r="R144" s="9" t="n">
        <v>364.4</v>
      </c>
      <c r="S144" s="9" t="n">
        <v>364.4</v>
      </c>
      <c r="T144" s="9" t="n">
        <v>364.4</v>
      </c>
      <c r="U144" s="9" t="n">
        <v>364.4</v>
      </c>
      <c r="V144" s="9" t="n">
        <v>364.4</v>
      </c>
      <c r="W144" s="9" t="n">
        <v>364.4</v>
      </c>
      <c r="X144" s="9" t="n">
        <v>364.4</v>
      </c>
      <c r="Y144" s="9" t="n">
        <v>364.4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587</v>
      </c>
      <c r="B145" s="3" t="s">
        <v>588</v>
      </c>
      <c r="C145" s="3" t="s">
        <v>250</v>
      </c>
      <c r="D145" s="3" t="s">
        <v>251</v>
      </c>
      <c r="E145" s="3" t="n">
        <v>2016</v>
      </c>
      <c r="F145" s="3" t="s">
        <v>276</v>
      </c>
      <c r="G145" s="3" t="s">
        <v>277</v>
      </c>
      <c r="H145" s="3" t="s">
        <v>589</v>
      </c>
      <c r="I145" s="3" t="s">
        <v>136</v>
      </c>
      <c r="J145" s="7" t="n">
        <v>480000</v>
      </c>
      <c r="K145" s="3" t="s">
        <v>131</v>
      </c>
      <c r="L145" s="7" t="n">
        <v>5738.26</v>
      </c>
      <c r="M145" s="7" t="n">
        <v>717.28</v>
      </c>
      <c r="N145" s="7" t="n">
        <v>717.28</v>
      </c>
      <c r="O145" s="7" t="n">
        <v>4303.7</v>
      </c>
      <c r="P145" s="7" t="n">
        <v>430.37</v>
      </c>
      <c r="Q145" s="7" t="n">
        <v>430.37</v>
      </c>
      <c r="R145" s="7" t="n">
        <v>430.37</v>
      </c>
      <c r="S145" s="7" t="n">
        <v>430.37</v>
      </c>
      <c r="T145" s="7" t="n">
        <v>430.37</v>
      </c>
      <c r="U145" s="7" t="n">
        <v>430.37</v>
      </c>
      <c r="V145" s="7" t="n">
        <v>430.37</v>
      </c>
      <c r="W145" s="7" t="n">
        <v>430.37</v>
      </c>
      <c r="X145" s="7" t="n">
        <v>430.37</v>
      </c>
      <c r="Y145" s="7" t="n">
        <v>430.37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590</v>
      </c>
      <c r="B146" s="8" t="s">
        <v>591</v>
      </c>
      <c r="C146" s="8" t="s">
        <v>111</v>
      </c>
      <c r="D146" s="8" t="s">
        <v>112</v>
      </c>
      <c r="E146" s="8" t="n">
        <v>2000</v>
      </c>
      <c r="F146" s="8" t="s">
        <v>146</v>
      </c>
      <c r="G146" s="8" t="s">
        <v>147</v>
      </c>
      <c r="H146" s="8" t="s">
        <v>592</v>
      </c>
      <c r="I146" s="8" t="s">
        <v>47</v>
      </c>
      <c r="J146" s="9" t="n">
        <v>265000</v>
      </c>
      <c r="K146" s="8" t="s">
        <v>593</v>
      </c>
      <c r="L146" s="9" t="n">
        <v>3487.5</v>
      </c>
      <c r="M146" s="9" t="n">
        <v>435.94</v>
      </c>
      <c r="N146" s="9" t="n">
        <v>435.94</v>
      </c>
      <c r="O146" s="9" t="n">
        <v>2615.6</v>
      </c>
      <c r="P146" s="9" t="n">
        <v>261.56</v>
      </c>
      <c r="Q146" s="9" t="n">
        <v>261.56</v>
      </c>
      <c r="R146" s="9" t="n">
        <v>261.56</v>
      </c>
      <c r="S146" s="9" t="n">
        <v>261.56</v>
      </c>
      <c r="T146" s="9" t="n">
        <v>261.56</v>
      </c>
      <c r="U146" s="9" t="n">
        <v>261.56</v>
      </c>
      <c r="V146" s="9" t="n">
        <v>261.56</v>
      </c>
      <c r="W146" s="9" t="n">
        <v>261.56</v>
      </c>
      <c r="X146" s="9" t="n">
        <v>261.56</v>
      </c>
      <c r="Y146" s="9" t="n">
        <v>261.56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594</v>
      </c>
      <c r="B147" s="3" t="s">
        <v>595</v>
      </c>
      <c r="C147" s="3" t="s">
        <v>94</v>
      </c>
      <c r="D147" s="3" t="s">
        <v>95</v>
      </c>
      <c r="E147" s="3" t="n">
        <v>2002</v>
      </c>
      <c r="F147" s="3" t="s">
        <v>80</v>
      </c>
      <c r="G147" s="3" t="s">
        <v>81</v>
      </c>
      <c r="H147" s="3" t="s">
        <v>596</v>
      </c>
      <c r="I147" s="3" t="s">
        <v>47</v>
      </c>
      <c r="J147" s="7" t="n">
        <v>500000</v>
      </c>
      <c r="K147" s="3" t="s">
        <v>83</v>
      </c>
      <c r="L147" s="7" t="n">
        <v>8278.3</v>
      </c>
      <c r="M147" s="7" t="n">
        <v>1034.79</v>
      </c>
      <c r="N147" s="7" t="n">
        <v>1034.79</v>
      </c>
      <c r="O147" s="7" t="n">
        <v>6208.7</v>
      </c>
      <c r="P147" s="7" t="n">
        <v>620.87</v>
      </c>
      <c r="Q147" s="7" t="n">
        <v>620.87</v>
      </c>
      <c r="R147" s="7" t="n">
        <v>620.87</v>
      </c>
      <c r="S147" s="7" t="n">
        <v>620.87</v>
      </c>
      <c r="T147" s="7" t="n">
        <v>620.87</v>
      </c>
      <c r="U147" s="7" t="n">
        <v>620.87</v>
      </c>
      <c r="V147" s="7" t="n">
        <v>620.87</v>
      </c>
      <c r="W147" s="7" t="n">
        <v>620.87</v>
      </c>
      <c r="X147" s="7" t="n">
        <v>620.87</v>
      </c>
      <c r="Y147" s="7" t="n">
        <v>620.87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597</v>
      </c>
      <c r="B148" s="8" t="s">
        <v>598</v>
      </c>
      <c r="C148" s="8" t="s">
        <v>66</v>
      </c>
      <c r="D148" s="8" t="s">
        <v>67</v>
      </c>
      <c r="E148" s="8" t="n">
        <v>2020</v>
      </c>
      <c r="F148" s="8" t="s">
        <v>44</v>
      </c>
      <c r="G148" s="8" t="s">
        <v>45</v>
      </c>
      <c r="H148" s="8" t="s">
        <v>599</v>
      </c>
      <c r="I148" s="8" t="s">
        <v>47</v>
      </c>
      <c r="J148" s="9" t="n">
        <v>485000</v>
      </c>
      <c r="K148" s="8" t="s">
        <v>216</v>
      </c>
      <c r="L148" s="9" t="n">
        <v>9265.33</v>
      </c>
      <c r="M148" s="9" t="n">
        <v>1158.17</v>
      </c>
      <c r="N148" s="9" t="n">
        <v>1158.17</v>
      </c>
      <c r="O148" s="9" t="n">
        <v>6949</v>
      </c>
      <c r="P148" s="9" t="n">
        <v>694.9</v>
      </c>
      <c r="Q148" s="9" t="n">
        <v>694.9</v>
      </c>
      <c r="R148" s="9" t="n">
        <v>694.9</v>
      </c>
      <c r="S148" s="9" t="n">
        <v>694.9</v>
      </c>
      <c r="T148" s="9" t="n">
        <v>694.9</v>
      </c>
      <c r="U148" s="9" t="n">
        <v>694.9</v>
      </c>
      <c r="V148" s="9" t="n">
        <v>694.9</v>
      </c>
      <c r="W148" s="9" t="n">
        <v>694.9</v>
      </c>
      <c r="X148" s="9" t="n">
        <v>694.9</v>
      </c>
      <c r="Y148" s="9" t="n">
        <v>694.9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600</v>
      </c>
      <c r="B149" s="3" t="s">
        <v>601</v>
      </c>
      <c r="C149" s="3" t="s">
        <v>164</v>
      </c>
      <c r="D149" s="3" t="s">
        <v>165</v>
      </c>
      <c r="E149" s="3" t="n">
        <v>1964</v>
      </c>
      <c r="F149" s="3" t="s">
        <v>105</v>
      </c>
      <c r="G149" s="3" t="s">
        <v>106</v>
      </c>
      <c r="H149" s="3" t="s">
        <v>602</v>
      </c>
      <c r="I149" s="3" t="s">
        <v>56</v>
      </c>
      <c r="J149" s="7" t="n">
        <v>1100000</v>
      </c>
      <c r="K149" s="3" t="s">
        <v>83</v>
      </c>
      <c r="L149" s="7" t="n">
        <v>22415.09</v>
      </c>
      <c r="M149" s="7" t="n">
        <v>2801.89</v>
      </c>
      <c r="N149" s="7" t="n">
        <v>2801.89</v>
      </c>
      <c r="O149" s="7" t="n">
        <v>16811.3</v>
      </c>
      <c r="P149" s="7" t="n">
        <v>1681.13</v>
      </c>
      <c r="Q149" s="7" t="n">
        <v>1681.13</v>
      </c>
      <c r="R149" s="7" t="n">
        <v>1681.13</v>
      </c>
      <c r="S149" s="7" t="n">
        <v>1681.13</v>
      </c>
      <c r="T149" s="7" t="n">
        <v>1681.13</v>
      </c>
      <c r="U149" s="7" t="n">
        <v>1681.13</v>
      </c>
      <c r="V149" s="7" t="n">
        <v>1681.13</v>
      </c>
      <c r="W149" s="7" t="n">
        <v>1681.13</v>
      </c>
      <c r="X149" s="7" t="n">
        <v>1681.13</v>
      </c>
      <c r="Y149" s="7" t="n">
        <v>1681.13</v>
      </c>
      <c r="Z149" s="7" t="n">
        <v>350</v>
      </c>
      <c r="AA149" s="7" t="n">
        <v>250</v>
      </c>
      <c r="AB149" s="7" t="n">
        <v>600</v>
      </c>
    </row>
    <row r="150" customFormat="false" ht="15" hidden="false" customHeight="false" outlineLevel="0" collapsed="false">
      <c r="A150" s="8" t="s">
        <v>603</v>
      </c>
      <c r="B150" s="8" t="s">
        <v>604</v>
      </c>
      <c r="C150" s="8" t="s">
        <v>179</v>
      </c>
      <c r="D150" s="8" t="s">
        <v>180</v>
      </c>
      <c r="E150" s="8" t="n">
        <v>2003</v>
      </c>
      <c r="F150" s="8" t="s">
        <v>80</v>
      </c>
      <c r="G150" s="8" t="s">
        <v>81</v>
      </c>
      <c r="H150" s="8" t="s">
        <v>605</v>
      </c>
      <c r="I150" s="8" t="s">
        <v>47</v>
      </c>
      <c r="J150" s="9" t="n">
        <v>345000</v>
      </c>
      <c r="K150" s="8" t="s">
        <v>593</v>
      </c>
      <c r="L150" s="9" t="n">
        <v>4540.33</v>
      </c>
      <c r="M150" s="9" t="n">
        <v>567.54</v>
      </c>
      <c r="N150" s="9" t="n">
        <v>567.54</v>
      </c>
      <c r="O150" s="9" t="n">
        <v>3405.2</v>
      </c>
      <c r="P150" s="9" t="n">
        <v>340.52</v>
      </c>
      <c r="Q150" s="9" t="n">
        <v>340.52</v>
      </c>
      <c r="R150" s="9" t="n">
        <v>340.52</v>
      </c>
      <c r="S150" s="9" t="n">
        <v>340.52</v>
      </c>
      <c r="T150" s="9" t="n">
        <v>340.52</v>
      </c>
      <c r="U150" s="9" t="n">
        <v>340.52</v>
      </c>
      <c r="V150" s="9" t="n">
        <v>340.52</v>
      </c>
      <c r="W150" s="9" t="n">
        <v>340.52</v>
      </c>
      <c r="X150" s="9" t="n">
        <v>340.52</v>
      </c>
      <c r="Y150" s="9" t="n">
        <v>340.52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606</v>
      </c>
      <c r="B151" s="3" t="s">
        <v>572</v>
      </c>
      <c r="C151" s="3" t="s">
        <v>385</v>
      </c>
      <c r="D151" s="3" t="s">
        <v>386</v>
      </c>
      <c r="E151" s="3" t="n">
        <v>1982</v>
      </c>
      <c r="F151" s="3" t="s">
        <v>265</v>
      </c>
      <c r="G151" s="3" t="s">
        <v>266</v>
      </c>
      <c r="H151" s="3" t="s">
        <v>607</v>
      </c>
      <c r="I151" s="3" t="s">
        <v>47</v>
      </c>
      <c r="J151" s="7" t="n">
        <v>1090000</v>
      </c>
      <c r="K151" s="3" t="s">
        <v>91</v>
      </c>
      <c r="L151" s="7" t="n">
        <v>14478.49</v>
      </c>
      <c r="M151" s="7" t="n">
        <v>1809.81</v>
      </c>
      <c r="N151" s="7" t="n">
        <v>1809.81</v>
      </c>
      <c r="O151" s="7" t="n">
        <v>10858.9</v>
      </c>
      <c r="P151" s="7" t="n">
        <v>1085.89</v>
      </c>
      <c r="Q151" s="7" t="n">
        <v>1085.89</v>
      </c>
      <c r="R151" s="7" t="n">
        <v>1085.89</v>
      </c>
      <c r="S151" s="7" t="n">
        <v>1085.89</v>
      </c>
      <c r="T151" s="7" t="n">
        <v>1085.89</v>
      </c>
      <c r="U151" s="7" t="n">
        <v>1085.89</v>
      </c>
      <c r="V151" s="7" t="n">
        <v>1085.89</v>
      </c>
      <c r="W151" s="7" t="n">
        <v>1085.89</v>
      </c>
      <c r="X151" s="7" t="n">
        <v>1085.89</v>
      </c>
      <c r="Y151" s="7" t="n">
        <v>1085.89</v>
      </c>
      <c r="Z151" s="7" t="n">
        <v>350</v>
      </c>
      <c r="AA151" s="7" t="n">
        <v>250</v>
      </c>
      <c r="AB151" s="7" t="n">
        <v>600</v>
      </c>
    </row>
    <row r="152" customFormat="false" ht="15" hidden="false" customHeight="false" outlineLevel="0" collapsed="false">
      <c r="A152" s="8" t="s">
        <v>608</v>
      </c>
      <c r="B152" s="8" t="s">
        <v>609</v>
      </c>
      <c r="C152" s="8" t="s">
        <v>164</v>
      </c>
      <c r="D152" s="8" t="s">
        <v>165</v>
      </c>
      <c r="E152" s="8" t="n">
        <v>1997</v>
      </c>
      <c r="F152" s="8" t="s">
        <v>99</v>
      </c>
      <c r="G152" s="8" t="s">
        <v>134</v>
      </c>
      <c r="H152" s="8" t="s">
        <v>610</v>
      </c>
      <c r="I152" s="8" t="s">
        <v>136</v>
      </c>
      <c r="J152" s="9" t="n">
        <v>510000</v>
      </c>
      <c r="K152" s="8" t="s">
        <v>187</v>
      </c>
      <c r="L152" s="9" t="n">
        <v>4427.38</v>
      </c>
      <c r="M152" s="9" t="n">
        <v>553.42</v>
      </c>
      <c r="N152" s="9" t="n">
        <v>553.42</v>
      </c>
      <c r="O152" s="9" t="n">
        <v>3320.5</v>
      </c>
      <c r="P152" s="9" t="n">
        <v>332.05</v>
      </c>
      <c r="Q152" s="9" t="n">
        <v>332.05</v>
      </c>
      <c r="R152" s="9" t="n">
        <v>332.05</v>
      </c>
      <c r="S152" s="9" t="n">
        <v>332.05</v>
      </c>
      <c r="T152" s="9" t="n">
        <v>332.05</v>
      </c>
      <c r="U152" s="9" t="n">
        <v>332.05</v>
      </c>
      <c r="V152" s="9" t="n">
        <v>332.05</v>
      </c>
      <c r="W152" s="9" t="n">
        <v>332.05</v>
      </c>
      <c r="X152" s="9" t="n">
        <v>332.05</v>
      </c>
      <c r="Y152" s="9" t="n">
        <v>332.05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611</v>
      </c>
      <c r="B153" s="3" t="s">
        <v>612</v>
      </c>
      <c r="C153" s="3" t="s">
        <v>42</v>
      </c>
      <c r="D153" s="3" t="s">
        <v>43</v>
      </c>
      <c r="E153" s="3" t="n">
        <v>1999</v>
      </c>
      <c r="F153" s="3" t="s">
        <v>146</v>
      </c>
      <c r="G153" s="3" t="s">
        <v>147</v>
      </c>
      <c r="H153" s="3" t="s">
        <v>613</v>
      </c>
      <c r="I153" s="3" t="s">
        <v>47</v>
      </c>
      <c r="J153" s="7" t="n">
        <v>1900000</v>
      </c>
      <c r="K153" s="3" t="s">
        <v>108</v>
      </c>
      <c r="L153" s="7" t="n">
        <v>22674.53</v>
      </c>
      <c r="M153" s="7" t="n">
        <v>2834.32</v>
      </c>
      <c r="N153" s="7" t="n">
        <v>2834.32</v>
      </c>
      <c r="O153" s="7" t="n">
        <v>17005.9</v>
      </c>
      <c r="P153" s="7" t="n">
        <v>1700.59</v>
      </c>
      <c r="Q153" s="7" t="n">
        <v>1700.59</v>
      </c>
      <c r="R153" s="7" t="n">
        <v>1700.59</v>
      </c>
      <c r="S153" s="7" t="n">
        <v>1700.59</v>
      </c>
      <c r="T153" s="7" t="n">
        <v>1700.59</v>
      </c>
      <c r="U153" s="7" t="n">
        <v>1700.59</v>
      </c>
      <c r="V153" s="7" t="n">
        <v>1700.59</v>
      </c>
      <c r="W153" s="7" t="n">
        <v>1700.59</v>
      </c>
      <c r="X153" s="7" t="n">
        <v>1700.59</v>
      </c>
      <c r="Y153" s="7" t="n">
        <v>1700.59</v>
      </c>
      <c r="Z153" s="7" t="n">
        <v>350</v>
      </c>
      <c r="AA153" s="7" t="n">
        <v>250</v>
      </c>
      <c r="AB153" s="7" t="n">
        <v>600</v>
      </c>
    </row>
    <row r="154" customFormat="false" ht="15" hidden="false" customHeight="false" outlineLevel="0" collapsed="false">
      <c r="A154" s="8" t="s">
        <v>614</v>
      </c>
      <c r="B154" s="8" t="s">
        <v>615</v>
      </c>
      <c r="C154" s="8" t="s">
        <v>164</v>
      </c>
      <c r="D154" s="8" t="s">
        <v>165</v>
      </c>
      <c r="E154" s="8" t="n">
        <v>2013</v>
      </c>
      <c r="F154" s="8" t="s">
        <v>88</v>
      </c>
      <c r="G154" s="8" t="s">
        <v>89</v>
      </c>
      <c r="H154" s="8" t="s">
        <v>616</v>
      </c>
      <c r="I154" s="8" t="s">
        <v>47</v>
      </c>
      <c r="J154" s="9" t="n">
        <v>1215000</v>
      </c>
      <c r="K154" s="8" t="s">
        <v>511</v>
      </c>
      <c r="L154" s="9" t="n">
        <v>14247.59</v>
      </c>
      <c r="M154" s="9" t="n">
        <v>1780.95</v>
      </c>
      <c r="N154" s="9" t="n">
        <v>1780.95</v>
      </c>
      <c r="O154" s="9" t="n">
        <v>10685.7</v>
      </c>
      <c r="P154" s="9" t="n">
        <v>1068.57</v>
      </c>
      <c r="Q154" s="9" t="n">
        <v>1068.57</v>
      </c>
      <c r="R154" s="9" t="n">
        <v>1068.57</v>
      </c>
      <c r="S154" s="9" t="n">
        <v>1068.57</v>
      </c>
      <c r="T154" s="9" t="n">
        <v>1068.57</v>
      </c>
      <c r="U154" s="9" t="n">
        <v>1068.57</v>
      </c>
      <c r="V154" s="9" t="n">
        <v>1068.57</v>
      </c>
      <c r="W154" s="9" t="n">
        <v>1068.57</v>
      </c>
      <c r="X154" s="9" t="n">
        <v>1068.57</v>
      </c>
      <c r="Y154" s="9" t="n">
        <v>1068.57</v>
      </c>
      <c r="Z154" s="9" t="n">
        <v>350</v>
      </c>
      <c r="AA154" s="9" t="n">
        <v>250</v>
      </c>
      <c r="AB154" s="9" t="n">
        <v>600</v>
      </c>
    </row>
    <row r="155" customFormat="false" ht="15" hidden="false" customHeight="false" outlineLevel="0" collapsed="false">
      <c r="A155" s="3" t="s">
        <v>617</v>
      </c>
      <c r="B155" s="3" t="s">
        <v>618</v>
      </c>
      <c r="C155" s="3" t="s">
        <v>42</v>
      </c>
      <c r="D155" s="3" t="s">
        <v>43</v>
      </c>
      <c r="E155" s="3" t="n">
        <v>1990</v>
      </c>
      <c r="F155" s="3" t="s">
        <v>387</v>
      </c>
      <c r="G155" s="3" t="s">
        <v>388</v>
      </c>
      <c r="H155" s="3" t="s">
        <v>619</v>
      </c>
      <c r="I155" s="3" t="s">
        <v>56</v>
      </c>
      <c r="J155" s="7" t="n">
        <v>825000</v>
      </c>
      <c r="K155" s="3" t="s">
        <v>75</v>
      </c>
      <c r="L155" s="7" t="n">
        <v>20554.95</v>
      </c>
      <c r="M155" s="7" t="n">
        <v>2569.37</v>
      </c>
      <c r="N155" s="7" t="n">
        <v>2569.37</v>
      </c>
      <c r="O155" s="7" t="n">
        <v>15416.2</v>
      </c>
      <c r="P155" s="7" t="n">
        <v>1541.62</v>
      </c>
      <c r="Q155" s="7" t="n">
        <v>1541.62</v>
      </c>
      <c r="R155" s="7" t="n">
        <v>1541.62</v>
      </c>
      <c r="S155" s="7" t="n">
        <v>1541.62</v>
      </c>
      <c r="T155" s="7" t="n">
        <v>1541.62</v>
      </c>
      <c r="U155" s="7" t="n">
        <v>1541.62</v>
      </c>
      <c r="V155" s="7" t="n">
        <v>1541.62</v>
      </c>
      <c r="W155" s="7" t="n">
        <v>1541.62</v>
      </c>
      <c r="X155" s="7" t="n">
        <v>1541.62</v>
      </c>
      <c r="Y155" s="7" t="n">
        <v>1541.62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620</v>
      </c>
      <c r="B156" s="8" t="s">
        <v>621</v>
      </c>
      <c r="C156" s="8" t="s">
        <v>42</v>
      </c>
      <c r="D156" s="8" t="s">
        <v>43</v>
      </c>
      <c r="E156" s="8" t="n">
        <v>2011</v>
      </c>
      <c r="F156" s="8" t="s">
        <v>99</v>
      </c>
      <c r="G156" s="8" t="s">
        <v>134</v>
      </c>
      <c r="H156" s="8" t="s">
        <v>622</v>
      </c>
      <c r="I156" s="8" t="s">
        <v>136</v>
      </c>
      <c r="J156" s="9" t="n">
        <v>1345000</v>
      </c>
      <c r="K156" s="8" t="s">
        <v>91</v>
      </c>
      <c r="L156" s="9" t="n">
        <v>12343.55</v>
      </c>
      <c r="M156" s="9" t="n">
        <v>1542.94</v>
      </c>
      <c r="N156" s="9" t="n">
        <v>1542.94</v>
      </c>
      <c r="O156" s="9" t="n">
        <v>9257.7</v>
      </c>
      <c r="P156" s="9" t="n">
        <v>925.77</v>
      </c>
      <c r="Q156" s="9" t="n">
        <v>925.77</v>
      </c>
      <c r="R156" s="9" t="n">
        <v>925.77</v>
      </c>
      <c r="S156" s="9" t="n">
        <v>925.77</v>
      </c>
      <c r="T156" s="9" t="n">
        <v>925.77</v>
      </c>
      <c r="U156" s="9" t="n">
        <v>925.77</v>
      </c>
      <c r="V156" s="9" t="n">
        <v>925.77</v>
      </c>
      <c r="W156" s="9" t="n">
        <v>925.77</v>
      </c>
      <c r="X156" s="9" t="n">
        <v>925.77</v>
      </c>
      <c r="Y156" s="9" t="n">
        <v>925.77</v>
      </c>
      <c r="Z156" s="9" t="n">
        <v>350</v>
      </c>
      <c r="AA156" s="9" t="n">
        <v>250</v>
      </c>
      <c r="AB156" s="9" t="n">
        <v>600</v>
      </c>
    </row>
    <row r="157" customFormat="false" ht="15" hidden="false" customHeight="false" outlineLevel="0" collapsed="false">
      <c r="A157" s="3" t="s">
        <v>623</v>
      </c>
      <c r="B157" s="3" t="s">
        <v>624</v>
      </c>
      <c r="C157" s="3" t="s">
        <v>263</v>
      </c>
      <c r="D157" s="3" t="s">
        <v>264</v>
      </c>
      <c r="E157" s="3" t="n">
        <v>2012</v>
      </c>
      <c r="F157" s="3" t="s">
        <v>276</v>
      </c>
      <c r="G157" s="3" t="s">
        <v>277</v>
      </c>
      <c r="H157" s="3" t="s">
        <v>625</v>
      </c>
      <c r="I157" s="3" t="s">
        <v>136</v>
      </c>
      <c r="J157" s="7" t="n">
        <v>635000</v>
      </c>
      <c r="K157" s="3" t="s">
        <v>161</v>
      </c>
      <c r="L157" s="7" t="n">
        <v>5151.89</v>
      </c>
      <c r="M157" s="7" t="n">
        <v>643.99</v>
      </c>
      <c r="N157" s="7" t="n">
        <v>643.99</v>
      </c>
      <c r="O157" s="7" t="n">
        <v>3863.9</v>
      </c>
      <c r="P157" s="7" t="n">
        <v>386.39</v>
      </c>
      <c r="Q157" s="7" t="n">
        <v>386.39</v>
      </c>
      <c r="R157" s="7" t="n">
        <v>386.39</v>
      </c>
      <c r="S157" s="7" t="n">
        <v>386.39</v>
      </c>
      <c r="T157" s="7" t="n">
        <v>386.39</v>
      </c>
      <c r="U157" s="7" t="n">
        <v>386.39</v>
      </c>
      <c r="V157" s="7" t="n">
        <v>386.39</v>
      </c>
      <c r="W157" s="7" t="n">
        <v>386.39</v>
      </c>
      <c r="X157" s="7" t="n">
        <v>386.39</v>
      </c>
      <c r="Y157" s="7" t="n">
        <v>386.39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626</v>
      </c>
      <c r="B158" s="8" t="s">
        <v>627</v>
      </c>
      <c r="C158" s="8" t="s">
        <v>66</v>
      </c>
      <c r="D158" s="8" t="s">
        <v>67</v>
      </c>
      <c r="E158" s="8" t="n">
        <v>1955</v>
      </c>
      <c r="F158" s="8" t="s">
        <v>105</v>
      </c>
      <c r="G158" s="8" t="s">
        <v>106</v>
      </c>
      <c r="H158" s="8" t="s">
        <v>628</v>
      </c>
      <c r="I158" s="8" t="s">
        <v>56</v>
      </c>
      <c r="J158" s="9" t="n">
        <v>1950000</v>
      </c>
      <c r="K158" s="8" t="s">
        <v>629</v>
      </c>
      <c r="L158" s="9" t="n">
        <v>29139.62</v>
      </c>
      <c r="M158" s="9" t="n">
        <v>3642.45</v>
      </c>
      <c r="N158" s="9" t="n">
        <v>3642.45</v>
      </c>
      <c r="O158" s="9" t="n">
        <v>21854.7</v>
      </c>
      <c r="P158" s="9" t="n">
        <v>2185.47</v>
      </c>
      <c r="Q158" s="9" t="n">
        <v>2185.47</v>
      </c>
      <c r="R158" s="9" t="n">
        <v>2185.47</v>
      </c>
      <c r="S158" s="9" t="n">
        <v>2185.47</v>
      </c>
      <c r="T158" s="9" t="n">
        <v>2185.47</v>
      </c>
      <c r="U158" s="9" t="n">
        <v>2185.47</v>
      </c>
      <c r="V158" s="9" t="n">
        <v>2185.47</v>
      </c>
      <c r="W158" s="9" t="n">
        <v>2185.47</v>
      </c>
      <c r="X158" s="9" t="n">
        <v>2185.47</v>
      </c>
      <c r="Y158" s="9" t="n">
        <v>2185.47</v>
      </c>
      <c r="Z158" s="9" t="n">
        <v>350</v>
      </c>
      <c r="AA158" s="9" t="n">
        <v>250</v>
      </c>
      <c r="AB158" s="9" t="n">
        <v>600</v>
      </c>
    </row>
    <row r="159" customFormat="false" ht="15" hidden="false" customHeight="false" outlineLevel="0" collapsed="false">
      <c r="A159" s="3" t="s">
        <v>630</v>
      </c>
      <c r="B159" s="3" t="s">
        <v>631</v>
      </c>
      <c r="C159" s="3" t="s">
        <v>315</v>
      </c>
      <c r="D159" s="3" t="s">
        <v>316</v>
      </c>
      <c r="E159" s="3" t="n">
        <v>1977</v>
      </c>
      <c r="F159" s="3" t="s">
        <v>276</v>
      </c>
      <c r="G159" s="3" t="s">
        <v>277</v>
      </c>
      <c r="H159" s="3" t="s">
        <v>632</v>
      </c>
      <c r="I159" s="3" t="s">
        <v>136</v>
      </c>
      <c r="J159" s="7" t="n">
        <v>725000</v>
      </c>
      <c r="K159" s="3" t="s">
        <v>149</v>
      </c>
      <c r="L159" s="7" t="n">
        <v>5646.79</v>
      </c>
      <c r="M159" s="7" t="n">
        <v>705.85</v>
      </c>
      <c r="N159" s="7" t="n">
        <v>705.85</v>
      </c>
      <c r="O159" s="7" t="n">
        <v>4235.1</v>
      </c>
      <c r="P159" s="7" t="n">
        <v>423.51</v>
      </c>
      <c r="Q159" s="7" t="n">
        <v>423.51</v>
      </c>
      <c r="R159" s="7" t="n">
        <v>423.51</v>
      </c>
      <c r="S159" s="7" t="n">
        <v>423.51</v>
      </c>
      <c r="T159" s="7" t="n">
        <v>423.51</v>
      </c>
      <c r="U159" s="7" t="n">
        <v>423.51</v>
      </c>
      <c r="V159" s="7" t="n">
        <v>423.51</v>
      </c>
      <c r="W159" s="7" t="n">
        <v>423.51</v>
      </c>
      <c r="X159" s="7" t="n">
        <v>423.51</v>
      </c>
      <c r="Y159" s="7" t="n">
        <v>423.51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633</v>
      </c>
      <c r="B160" s="8" t="s">
        <v>634</v>
      </c>
      <c r="C160" s="8" t="s">
        <v>274</v>
      </c>
      <c r="D160" s="8" t="s">
        <v>275</v>
      </c>
      <c r="E160" s="8" t="n">
        <v>1962</v>
      </c>
      <c r="F160" s="8" t="s">
        <v>88</v>
      </c>
      <c r="G160" s="8" t="s">
        <v>154</v>
      </c>
      <c r="H160" s="8" t="s">
        <v>635</v>
      </c>
      <c r="I160" s="8" t="s">
        <v>136</v>
      </c>
      <c r="J160" s="9" t="n">
        <v>510000</v>
      </c>
      <c r="K160" s="8" t="s">
        <v>556</v>
      </c>
      <c r="L160" s="9" t="n">
        <v>4634.26</v>
      </c>
      <c r="M160" s="9" t="n">
        <v>579.28</v>
      </c>
      <c r="N160" s="9" t="n">
        <v>579.28</v>
      </c>
      <c r="O160" s="9" t="n">
        <v>3475.7</v>
      </c>
      <c r="P160" s="9" t="n">
        <v>347.57</v>
      </c>
      <c r="Q160" s="9" t="n">
        <v>347.57</v>
      </c>
      <c r="R160" s="9" t="n">
        <v>347.57</v>
      </c>
      <c r="S160" s="9" t="n">
        <v>347.57</v>
      </c>
      <c r="T160" s="9" t="n">
        <v>347.57</v>
      </c>
      <c r="U160" s="9" t="n">
        <v>347.57</v>
      </c>
      <c r="V160" s="9" t="n">
        <v>347.57</v>
      </c>
      <c r="W160" s="9" t="n">
        <v>347.57</v>
      </c>
      <c r="X160" s="9" t="n">
        <v>347.57</v>
      </c>
      <c r="Y160" s="9" t="n">
        <v>347.57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636</v>
      </c>
      <c r="B161" s="3" t="s">
        <v>637</v>
      </c>
      <c r="C161" s="3" t="s">
        <v>179</v>
      </c>
      <c r="D161" s="3" t="s">
        <v>180</v>
      </c>
      <c r="E161" s="3" t="n">
        <v>1959</v>
      </c>
      <c r="F161" s="3" t="s">
        <v>99</v>
      </c>
      <c r="G161" s="3" t="s">
        <v>100</v>
      </c>
      <c r="H161" s="3" t="s">
        <v>638</v>
      </c>
      <c r="I161" s="3" t="s">
        <v>47</v>
      </c>
      <c r="J161" s="7" t="n">
        <v>415000</v>
      </c>
      <c r="K161" s="3" t="s">
        <v>471</v>
      </c>
      <c r="L161" s="7" t="n">
        <v>8104.25</v>
      </c>
      <c r="M161" s="7" t="n">
        <v>1013.03</v>
      </c>
      <c r="N161" s="7" t="n">
        <v>1013.03</v>
      </c>
      <c r="O161" s="7" t="n">
        <v>6078.2</v>
      </c>
      <c r="P161" s="7" t="n">
        <v>607.82</v>
      </c>
      <c r="Q161" s="7" t="n">
        <v>607.82</v>
      </c>
      <c r="R161" s="7" t="n">
        <v>607.82</v>
      </c>
      <c r="S161" s="7" t="n">
        <v>607.82</v>
      </c>
      <c r="T161" s="7" t="n">
        <v>607.82</v>
      </c>
      <c r="U161" s="7" t="n">
        <v>607.82</v>
      </c>
      <c r="V161" s="7" t="n">
        <v>607.82</v>
      </c>
      <c r="W161" s="7" t="n">
        <v>607.82</v>
      </c>
      <c r="X161" s="7" t="n">
        <v>607.82</v>
      </c>
      <c r="Y161" s="7" t="n">
        <v>607.82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639</v>
      </c>
      <c r="B162" s="8" t="s">
        <v>640</v>
      </c>
      <c r="C162" s="8" t="s">
        <v>72</v>
      </c>
      <c r="D162" s="8" t="s">
        <v>73</v>
      </c>
      <c r="E162" s="8" t="n">
        <v>2006</v>
      </c>
      <c r="F162" s="8" t="s">
        <v>44</v>
      </c>
      <c r="G162" s="8" t="s">
        <v>45</v>
      </c>
      <c r="H162" s="8" t="s">
        <v>641</v>
      </c>
      <c r="I162" s="8" t="s">
        <v>47</v>
      </c>
      <c r="J162" s="9" t="n">
        <v>590000</v>
      </c>
      <c r="K162" s="8" t="s">
        <v>549</v>
      </c>
      <c r="L162" s="9" t="n">
        <v>9696.04</v>
      </c>
      <c r="M162" s="9" t="n">
        <v>1212.01</v>
      </c>
      <c r="N162" s="9" t="n">
        <v>1212.01</v>
      </c>
      <c r="O162" s="9" t="n">
        <v>7272</v>
      </c>
      <c r="P162" s="9" t="n">
        <v>727.2</v>
      </c>
      <c r="Q162" s="9" t="n">
        <v>727.2</v>
      </c>
      <c r="R162" s="9" t="n">
        <v>727.2</v>
      </c>
      <c r="S162" s="9" t="n">
        <v>727.2</v>
      </c>
      <c r="T162" s="9" t="n">
        <v>727.2</v>
      </c>
      <c r="U162" s="9" t="n">
        <v>727.2</v>
      </c>
      <c r="V162" s="9" t="n">
        <v>727.2</v>
      </c>
      <c r="W162" s="9" t="n">
        <v>727.2</v>
      </c>
      <c r="X162" s="9" t="n">
        <v>727.2</v>
      </c>
      <c r="Y162" s="9" t="n">
        <v>727.2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642</v>
      </c>
      <c r="B163" s="3" t="s">
        <v>643</v>
      </c>
      <c r="C163" s="3" t="s">
        <v>51</v>
      </c>
      <c r="D163" s="3" t="s">
        <v>52</v>
      </c>
      <c r="E163" s="3" t="n">
        <v>1966</v>
      </c>
      <c r="F163" s="3" t="s">
        <v>146</v>
      </c>
      <c r="G163" s="3" t="s">
        <v>147</v>
      </c>
      <c r="H163" s="3" t="s">
        <v>644</v>
      </c>
      <c r="I163" s="3" t="s">
        <v>47</v>
      </c>
      <c r="J163" s="7" t="n">
        <v>600000</v>
      </c>
      <c r="K163" s="3" t="s">
        <v>348</v>
      </c>
      <c r="L163" s="7" t="n">
        <v>8830.19</v>
      </c>
      <c r="M163" s="7" t="n">
        <v>1103.77</v>
      </c>
      <c r="N163" s="7" t="n">
        <v>1103.77</v>
      </c>
      <c r="O163" s="7" t="n">
        <v>6622.6</v>
      </c>
      <c r="P163" s="7" t="n">
        <v>662.26</v>
      </c>
      <c r="Q163" s="7" t="n">
        <v>662.26</v>
      </c>
      <c r="R163" s="7" t="n">
        <v>662.26</v>
      </c>
      <c r="S163" s="7" t="n">
        <v>662.26</v>
      </c>
      <c r="T163" s="7" t="n">
        <v>662.26</v>
      </c>
      <c r="U163" s="7" t="n">
        <v>662.26</v>
      </c>
      <c r="V163" s="7" t="n">
        <v>662.26</v>
      </c>
      <c r="W163" s="7" t="n">
        <v>662.26</v>
      </c>
      <c r="X163" s="7" t="n">
        <v>662.26</v>
      </c>
      <c r="Y163" s="7" t="n">
        <v>662.26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645</v>
      </c>
      <c r="B164" s="8" t="s">
        <v>447</v>
      </c>
      <c r="C164" s="8" t="s">
        <v>250</v>
      </c>
      <c r="D164" s="8" t="s">
        <v>251</v>
      </c>
      <c r="E164" s="8" t="n">
        <v>1963</v>
      </c>
      <c r="F164" s="8" t="s">
        <v>99</v>
      </c>
      <c r="G164" s="8" t="s">
        <v>100</v>
      </c>
      <c r="H164" s="8" t="s">
        <v>646</v>
      </c>
      <c r="I164" s="8" t="s">
        <v>47</v>
      </c>
      <c r="J164" s="9" t="n">
        <v>300000</v>
      </c>
      <c r="K164" s="8" t="s">
        <v>238</v>
      </c>
      <c r="L164" s="9" t="n">
        <v>5136.79</v>
      </c>
      <c r="M164" s="9" t="n">
        <v>642.1</v>
      </c>
      <c r="N164" s="9" t="n">
        <v>642.1</v>
      </c>
      <c r="O164" s="9" t="n">
        <v>3852.6</v>
      </c>
      <c r="P164" s="9" t="n">
        <v>385.26</v>
      </c>
      <c r="Q164" s="9" t="n">
        <v>385.26</v>
      </c>
      <c r="R164" s="9" t="n">
        <v>385.26</v>
      </c>
      <c r="S164" s="9" t="n">
        <v>385.26</v>
      </c>
      <c r="T164" s="9" t="n">
        <v>385.26</v>
      </c>
      <c r="U164" s="9" t="n">
        <v>385.26</v>
      </c>
      <c r="V164" s="9" t="n">
        <v>385.26</v>
      </c>
      <c r="W164" s="9" t="n">
        <v>385.26</v>
      </c>
      <c r="X164" s="9" t="n">
        <v>385.26</v>
      </c>
      <c r="Y164" s="9" t="n">
        <v>385.26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647</v>
      </c>
      <c r="B165" s="3" t="s">
        <v>648</v>
      </c>
      <c r="C165" s="3" t="s">
        <v>190</v>
      </c>
      <c r="D165" s="3" t="s">
        <v>191</v>
      </c>
      <c r="E165" s="3" t="n">
        <v>2022</v>
      </c>
      <c r="F165" s="3" t="s">
        <v>265</v>
      </c>
      <c r="G165" s="3" t="s">
        <v>266</v>
      </c>
      <c r="H165" s="3" t="s">
        <v>649</v>
      </c>
      <c r="I165" s="3" t="s">
        <v>47</v>
      </c>
      <c r="J165" s="7" t="n">
        <v>675000</v>
      </c>
      <c r="K165" s="3" t="s">
        <v>108</v>
      </c>
      <c r="L165" s="7" t="n">
        <v>9520.05</v>
      </c>
      <c r="M165" s="7" t="n">
        <v>1190.01</v>
      </c>
      <c r="N165" s="7" t="n">
        <v>1190.01</v>
      </c>
      <c r="O165" s="7" t="n">
        <v>7140</v>
      </c>
      <c r="P165" s="7" t="n">
        <v>714</v>
      </c>
      <c r="Q165" s="7" t="n">
        <v>714</v>
      </c>
      <c r="R165" s="7" t="n">
        <v>714</v>
      </c>
      <c r="S165" s="7" t="n">
        <v>714</v>
      </c>
      <c r="T165" s="7" t="n">
        <v>714</v>
      </c>
      <c r="U165" s="7" t="n">
        <v>714</v>
      </c>
      <c r="V165" s="7" t="n">
        <v>714</v>
      </c>
      <c r="W165" s="7" t="n">
        <v>714</v>
      </c>
      <c r="X165" s="7" t="n">
        <v>714</v>
      </c>
      <c r="Y165" s="7" t="n">
        <v>714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650</v>
      </c>
      <c r="B166" s="8" t="s">
        <v>651</v>
      </c>
      <c r="C166" s="8" t="s">
        <v>282</v>
      </c>
      <c r="D166" s="8" t="s">
        <v>283</v>
      </c>
      <c r="E166" s="8" t="n">
        <v>1996</v>
      </c>
      <c r="F166" s="8" t="s">
        <v>53</v>
      </c>
      <c r="G166" s="8" t="s">
        <v>258</v>
      </c>
      <c r="H166" s="8" t="s">
        <v>652</v>
      </c>
      <c r="I166" s="8" t="s">
        <v>136</v>
      </c>
      <c r="J166" s="9" t="n">
        <v>640000</v>
      </c>
      <c r="K166" s="8" t="s">
        <v>108</v>
      </c>
      <c r="L166" s="9" t="n">
        <v>5971.32</v>
      </c>
      <c r="M166" s="9" t="n">
        <v>746.41</v>
      </c>
      <c r="N166" s="9" t="n">
        <v>746.41</v>
      </c>
      <c r="O166" s="9" t="n">
        <v>4478.5</v>
      </c>
      <c r="P166" s="9" t="n">
        <v>447.85</v>
      </c>
      <c r="Q166" s="9" t="n">
        <v>447.85</v>
      </c>
      <c r="R166" s="9" t="n">
        <v>447.85</v>
      </c>
      <c r="S166" s="9" t="n">
        <v>447.85</v>
      </c>
      <c r="T166" s="9" t="n">
        <v>447.85</v>
      </c>
      <c r="U166" s="9" t="n">
        <v>447.85</v>
      </c>
      <c r="V166" s="9" t="n">
        <v>447.85</v>
      </c>
      <c r="W166" s="9" t="n">
        <v>447.85</v>
      </c>
      <c r="X166" s="9" t="n">
        <v>447.85</v>
      </c>
      <c r="Y166" s="9" t="n">
        <v>447.85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653</v>
      </c>
      <c r="B167" s="3" t="s">
        <v>654</v>
      </c>
      <c r="C167" s="3" t="s">
        <v>158</v>
      </c>
      <c r="D167" s="3" t="s">
        <v>159</v>
      </c>
      <c r="E167" s="3" t="n">
        <v>1998</v>
      </c>
      <c r="F167" s="3" t="s">
        <v>99</v>
      </c>
      <c r="G167" s="3" t="s">
        <v>100</v>
      </c>
      <c r="H167" s="3" t="s">
        <v>655</v>
      </c>
      <c r="I167" s="3" t="s">
        <v>47</v>
      </c>
      <c r="J167" s="7" t="n">
        <v>555000</v>
      </c>
      <c r="K167" s="3" t="s">
        <v>656</v>
      </c>
      <c r="L167" s="7" t="n">
        <v>7215</v>
      </c>
      <c r="M167" s="7" t="n">
        <v>901.88</v>
      </c>
      <c r="N167" s="7" t="n">
        <v>901.88</v>
      </c>
      <c r="O167" s="7" t="n">
        <v>5411.2</v>
      </c>
      <c r="P167" s="7" t="n">
        <v>541.12</v>
      </c>
      <c r="Q167" s="7" t="n">
        <v>541.12</v>
      </c>
      <c r="R167" s="7" t="n">
        <v>541.12</v>
      </c>
      <c r="S167" s="7" t="n">
        <v>541.12</v>
      </c>
      <c r="T167" s="7" t="n">
        <v>541.12</v>
      </c>
      <c r="U167" s="7" t="n">
        <v>541.12</v>
      </c>
      <c r="V167" s="7" t="n">
        <v>541.12</v>
      </c>
      <c r="W167" s="7" t="n">
        <v>541.12</v>
      </c>
      <c r="X167" s="7" t="n">
        <v>541.12</v>
      </c>
      <c r="Y167" s="7" t="n">
        <v>541.12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657</v>
      </c>
      <c r="B168" s="8" t="s">
        <v>658</v>
      </c>
      <c r="C168" s="8" t="s">
        <v>94</v>
      </c>
      <c r="D168" s="8" t="s">
        <v>95</v>
      </c>
      <c r="E168" s="8" t="n">
        <v>1978</v>
      </c>
      <c r="F168" s="8" t="s">
        <v>146</v>
      </c>
      <c r="G168" s="8" t="s">
        <v>147</v>
      </c>
      <c r="H168" s="8" t="s">
        <v>659</v>
      </c>
      <c r="I168" s="8" t="s">
        <v>47</v>
      </c>
      <c r="J168" s="9" t="n">
        <v>610000</v>
      </c>
      <c r="K168" s="8" t="s">
        <v>212</v>
      </c>
      <c r="L168" s="9" t="n">
        <v>7630.75</v>
      </c>
      <c r="M168" s="9" t="n">
        <v>953.84</v>
      </c>
      <c r="N168" s="9" t="n">
        <v>953.84</v>
      </c>
      <c r="O168" s="9" t="n">
        <v>5723.1</v>
      </c>
      <c r="P168" s="9" t="n">
        <v>572.31</v>
      </c>
      <c r="Q168" s="9" t="n">
        <v>572.31</v>
      </c>
      <c r="R168" s="9" t="n">
        <v>572.31</v>
      </c>
      <c r="S168" s="9" t="n">
        <v>572.31</v>
      </c>
      <c r="T168" s="9" t="n">
        <v>572.31</v>
      </c>
      <c r="U168" s="9" t="n">
        <v>572.31</v>
      </c>
      <c r="V168" s="9" t="n">
        <v>572.31</v>
      </c>
      <c r="W168" s="9" t="n">
        <v>572.31</v>
      </c>
      <c r="X168" s="9" t="n">
        <v>572.31</v>
      </c>
      <c r="Y168" s="9" t="n">
        <v>572.31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660</v>
      </c>
      <c r="B169" s="3" t="s">
        <v>661</v>
      </c>
      <c r="C169" s="3" t="s">
        <v>559</v>
      </c>
      <c r="D169" s="3" t="s">
        <v>560</v>
      </c>
      <c r="E169" s="3" t="n">
        <v>2019</v>
      </c>
      <c r="F169" s="3" t="s">
        <v>105</v>
      </c>
      <c r="G169" s="3" t="s">
        <v>106</v>
      </c>
      <c r="H169" s="3" t="s">
        <v>662</v>
      </c>
      <c r="I169" s="3" t="s">
        <v>56</v>
      </c>
      <c r="J169" s="7" t="n">
        <v>1040000</v>
      </c>
      <c r="K169" s="3" t="s">
        <v>451</v>
      </c>
      <c r="L169" s="7" t="n">
        <v>17424.91</v>
      </c>
      <c r="M169" s="7" t="n">
        <v>2178.11</v>
      </c>
      <c r="N169" s="7" t="n">
        <v>2178.11</v>
      </c>
      <c r="O169" s="7" t="n">
        <v>13068.7</v>
      </c>
      <c r="P169" s="7" t="n">
        <v>1306.87</v>
      </c>
      <c r="Q169" s="7" t="n">
        <v>1306.87</v>
      </c>
      <c r="R169" s="7" t="n">
        <v>1306.87</v>
      </c>
      <c r="S169" s="7" t="n">
        <v>1306.87</v>
      </c>
      <c r="T169" s="7" t="n">
        <v>1306.87</v>
      </c>
      <c r="U169" s="7" t="n">
        <v>1306.87</v>
      </c>
      <c r="V169" s="7" t="n">
        <v>1306.87</v>
      </c>
      <c r="W169" s="7" t="n">
        <v>1306.87</v>
      </c>
      <c r="X169" s="7" t="n">
        <v>1306.87</v>
      </c>
      <c r="Y169" s="7" t="n">
        <v>1306.87</v>
      </c>
      <c r="Z169" s="7" t="n">
        <v>350</v>
      </c>
      <c r="AA169" s="7" t="n">
        <v>250</v>
      </c>
      <c r="AB169" s="7" t="n">
        <v>600</v>
      </c>
    </row>
    <row r="170" customFormat="false" ht="15" hidden="false" customHeight="false" outlineLevel="0" collapsed="false">
      <c r="A170" s="8" t="s">
        <v>663</v>
      </c>
      <c r="B170" s="8" t="s">
        <v>664</v>
      </c>
      <c r="C170" s="8" t="s">
        <v>152</v>
      </c>
      <c r="D170" s="8" t="s">
        <v>153</v>
      </c>
      <c r="E170" s="8" t="n">
        <v>1995</v>
      </c>
      <c r="F170" s="8" t="s">
        <v>146</v>
      </c>
      <c r="G170" s="8" t="s">
        <v>195</v>
      </c>
      <c r="H170" s="8" t="s">
        <v>665</v>
      </c>
      <c r="I170" s="8" t="s">
        <v>125</v>
      </c>
      <c r="J170" s="9" t="n">
        <v>710000</v>
      </c>
      <c r="K170" s="8" t="s">
        <v>48</v>
      </c>
      <c r="L170" s="9" t="n">
        <v>4937.85</v>
      </c>
      <c r="M170" s="9" t="n">
        <v>617.23</v>
      </c>
      <c r="N170" s="9" t="n">
        <v>617.23</v>
      </c>
      <c r="O170" s="9" t="n">
        <v>3703.4</v>
      </c>
      <c r="P170" s="9" t="n">
        <v>370.34</v>
      </c>
      <c r="Q170" s="9" t="n">
        <v>370.34</v>
      </c>
      <c r="R170" s="9" t="n">
        <v>370.34</v>
      </c>
      <c r="S170" s="9" t="n">
        <v>370.34</v>
      </c>
      <c r="T170" s="9" t="n">
        <v>370.34</v>
      </c>
      <c r="U170" s="9" t="n">
        <v>370.34</v>
      </c>
      <c r="V170" s="9" t="n">
        <v>370.34</v>
      </c>
      <c r="W170" s="9" t="n">
        <v>370.34</v>
      </c>
      <c r="X170" s="9" t="n">
        <v>370.34</v>
      </c>
      <c r="Y170" s="9" t="n">
        <v>370.34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666</v>
      </c>
      <c r="B171" s="3" t="s">
        <v>667</v>
      </c>
      <c r="C171" s="3" t="s">
        <v>179</v>
      </c>
      <c r="D171" s="3" t="s">
        <v>180</v>
      </c>
      <c r="E171" s="3" t="n">
        <v>2002</v>
      </c>
      <c r="F171" s="3" t="s">
        <v>146</v>
      </c>
      <c r="G171" s="3" t="s">
        <v>147</v>
      </c>
      <c r="H171" s="3" t="s">
        <v>668</v>
      </c>
      <c r="I171" s="3" t="s">
        <v>47</v>
      </c>
      <c r="J171" s="7" t="n">
        <v>270000</v>
      </c>
      <c r="K171" s="3" t="s">
        <v>102</v>
      </c>
      <c r="L171" s="7" t="n">
        <v>5196.23</v>
      </c>
      <c r="M171" s="7" t="n">
        <v>649.53</v>
      </c>
      <c r="N171" s="7" t="n">
        <v>649.53</v>
      </c>
      <c r="O171" s="7" t="n">
        <v>3897.2</v>
      </c>
      <c r="P171" s="7" t="n">
        <v>389.72</v>
      </c>
      <c r="Q171" s="7" t="n">
        <v>389.72</v>
      </c>
      <c r="R171" s="7" t="n">
        <v>389.72</v>
      </c>
      <c r="S171" s="7" t="n">
        <v>389.72</v>
      </c>
      <c r="T171" s="7" t="n">
        <v>389.72</v>
      </c>
      <c r="U171" s="7" t="n">
        <v>389.72</v>
      </c>
      <c r="V171" s="7" t="n">
        <v>389.72</v>
      </c>
      <c r="W171" s="7" t="n">
        <v>389.72</v>
      </c>
      <c r="X171" s="7" t="n">
        <v>389.72</v>
      </c>
      <c r="Y171" s="7" t="n">
        <v>389.72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669</v>
      </c>
      <c r="B172" s="8" t="s">
        <v>670</v>
      </c>
      <c r="C172" s="8" t="s">
        <v>128</v>
      </c>
      <c r="D172" s="8" t="s">
        <v>129</v>
      </c>
      <c r="E172" s="8" t="n">
        <v>2019</v>
      </c>
      <c r="F172" s="8" t="s">
        <v>80</v>
      </c>
      <c r="G172" s="8" t="s">
        <v>81</v>
      </c>
      <c r="H172" s="8" t="s">
        <v>671</v>
      </c>
      <c r="I172" s="8" t="s">
        <v>47</v>
      </c>
      <c r="J172" s="9" t="n">
        <v>235000</v>
      </c>
      <c r="K172" s="8" t="s">
        <v>268</v>
      </c>
      <c r="L172" s="9" t="n">
        <v>4446.38</v>
      </c>
      <c r="M172" s="9" t="n">
        <v>555.8</v>
      </c>
      <c r="N172" s="9" t="n">
        <v>555.8</v>
      </c>
      <c r="O172" s="9" t="n">
        <v>3334.8</v>
      </c>
      <c r="P172" s="9" t="n">
        <v>333.48</v>
      </c>
      <c r="Q172" s="9" t="n">
        <v>333.48</v>
      </c>
      <c r="R172" s="9" t="n">
        <v>333.48</v>
      </c>
      <c r="S172" s="9" t="n">
        <v>333.48</v>
      </c>
      <c r="T172" s="9" t="n">
        <v>333.48</v>
      </c>
      <c r="U172" s="9" t="n">
        <v>333.48</v>
      </c>
      <c r="V172" s="9" t="n">
        <v>333.48</v>
      </c>
      <c r="W172" s="9" t="n">
        <v>333.48</v>
      </c>
      <c r="X172" s="9" t="n">
        <v>333.48</v>
      </c>
      <c r="Y172" s="9" t="n">
        <v>333.48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672</v>
      </c>
      <c r="B173" s="3" t="s">
        <v>115</v>
      </c>
      <c r="C173" s="3" t="s">
        <v>86</v>
      </c>
      <c r="D173" s="3" t="s">
        <v>87</v>
      </c>
      <c r="E173" s="3" t="n">
        <v>1996</v>
      </c>
      <c r="F173" s="3" t="s">
        <v>241</v>
      </c>
      <c r="G173" s="3" t="s">
        <v>242</v>
      </c>
      <c r="H173" s="3" t="s">
        <v>673</v>
      </c>
      <c r="I173" s="3" t="s">
        <v>169</v>
      </c>
      <c r="J173" s="7" t="n">
        <v>855000</v>
      </c>
      <c r="K173" s="3" t="s">
        <v>203</v>
      </c>
      <c r="L173" s="7" t="n">
        <v>17867.89</v>
      </c>
      <c r="M173" s="7" t="n">
        <v>2233.49</v>
      </c>
      <c r="N173" s="7" t="n">
        <v>2233.49</v>
      </c>
      <c r="O173" s="7" t="n">
        <v>13400.9</v>
      </c>
      <c r="P173" s="7" t="n">
        <v>1340.09</v>
      </c>
      <c r="Q173" s="7" t="n">
        <v>1340.09</v>
      </c>
      <c r="R173" s="7" t="n">
        <v>1340.09</v>
      </c>
      <c r="S173" s="7" t="n">
        <v>1340.09</v>
      </c>
      <c r="T173" s="7" t="n">
        <v>1340.09</v>
      </c>
      <c r="U173" s="7" t="n">
        <v>1340.09</v>
      </c>
      <c r="V173" s="7" t="n">
        <v>1340.09</v>
      </c>
      <c r="W173" s="7" t="n">
        <v>1340.09</v>
      </c>
      <c r="X173" s="7" t="n">
        <v>1340.09</v>
      </c>
      <c r="Y173" s="7" t="n">
        <v>1340.09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674</v>
      </c>
      <c r="B174" s="8" t="s">
        <v>65</v>
      </c>
      <c r="C174" s="8" t="s">
        <v>256</v>
      </c>
      <c r="D174" s="8" t="s">
        <v>257</v>
      </c>
      <c r="E174" s="8" t="n">
        <v>2001</v>
      </c>
      <c r="F174" s="8" t="s">
        <v>265</v>
      </c>
      <c r="G174" s="8" t="s">
        <v>266</v>
      </c>
      <c r="H174" s="8" t="s">
        <v>675</v>
      </c>
      <c r="I174" s="8" t="s">
        <v>47</v>
      </c>
      <c r="J174" s="9" t="n">
        <v>690000</v>
      </c>
      <c r="K174" s="8" t="s">
        <v>629</v>
      </c>
      <c r="L174" s="9" t="n">
        <v>8377.64</v>
      </c>
      <c r="M174" s="9" t="n">
        <v>1047.2</v>
      </c>
      <c r="N174" s="9" t="n">
        <v>1047.2</v>
      </c>
      <c r="O174" s="9" t="n">
        <v>6283.2</v>
      </c>
      <c r="P174" s="9" t="n">
        <v>628.32</v>
      </c>
      <c r="Q174" s="9" t="n">
        <v>628.32</v>
      </c>
      <c r="R174" s="9" t="n">
        <v>628.32</v>
      </c>
      <c r="S174" s="9" t="n">
        <v>628.32</v>
      </c>
      <c r="T174" s="9" t="n">
        <v>628.32</v>
      </c>
      <c r="U174" s="9" t="n">
        <v>628.32</v>
      </c>
      <c r="V174" s="9" t="n">
        <v>628.32</v>
      </c>
      <c r="W174" s="9" t="n">
        <v>628.32</v>
      </c>
      <c r="X174" s="9" t="n">
        <v>628.32</v>
      </c>
      <c r="Y174" s="9" t="n">
        <v>628.32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676</v>
      </c>
      <c r="B175" s="3" t="s">
        <v>143</v>
      </c>
      <c r="C175" s="3" t="s">
        <v>66</v>
      </c>
      <c r="D175" s="3" t="s">
        <v>67</v>
      </c>
      <c r="E175" s="3" t="n">
        <v>2023</v>
      </c>
      <c r="F175" s="3" t="s">
        <v>105</v>
      </c>
      <c r="G175" s="3" t="s">
        <v>106</v>
      </c>
      <c r="H175" s="3" t="s">
        <v>677</v>
      </c>
      <c r="I175" s="3" t="s">
        <v>56</v>
      </c>
      <c r="J175" s="7" t="n">
        <v>1270000</v>
      </c>
      <c r="K175" s="3" t="s">
        <v>131</v>
      </c>
      <c r="L175" s="7" t="n">
        <v>25304.15</v>
      </c>
      <c r="M175" s="7" t="n">
        <v>3163.02</v>
      </c>
      <c r="N175" s="7" t="n">
        <v>3163.02</v>
      </c>
      <c r="O175" s="7" t="n">
        <v>18978.1</v>
      </c>
      <c r="P175" s="7" t="n">
        <v>1897.81</v>
      </c>
      <c r="Q175" s="7" t="n">
        <v>1897.81</v>
      </c>
      <c r="R175" s="7" t="n">
        <v>1897.81</v>
      </c>
      <c r="S175" s="7" t="n">
        <v>1897.81</v>
      </c>
      <c r="T175" s="7" t="n">
        <v>1897.81</v>
      </c>
      <c r="U175" s="7" t="n">
        <v>1897.81</v>
      </c>
      <c r="V175" s="7" t="n">
        <v>1897.81</v>
      </c>
      <c r="W175" s="7" t="n">
        <v>1897.81</v>
      </c>
      <c r="X175" s="7" t="n">
        <v>1897.81</v>
      </c>
      <c r="Y175" s="7" t="n">
        <v>1897.81</v>
      </c>
      <c r="Z175" s="7" t="n">
        <v>350</v>
      </c>
      <c r="AA175" s="7" t="n">
        <v>250</v>
      </c>
      <c r="AB175" s="7" t="n">
        <v>600</v>
      </c>
    </row>
    <row r="176" customFormat="false" ht="15" hidden="false" customHeight="false" outlineLevel="0" collapsed="false">
      <c r="A176" s="8" t="s">
        <v>678</v>
      </c>
      <c r="B176" s="8" t="s">
        <v>679</v>
      </c>
      <c r="C176" s="8" t="s">
        <v>144</v>
      </c>
      <c r="D176" s="8" t="s">
        <v>145</v>
      </c>
      <c r="E176" s="8" t="n">
        <v>1986</v>
      </c>
      <c r="F176" s="8" t="s">
        <v>146</v>
      </c>
      <c r="G176" s="8" t="s">
        <v>147</v>
      </c>
      <c r="H176" s="8" t="s">
        <v>680</v>
      </c>
      <c r="I176" s="8" t="s">
        <v>47</v>
      </c>
      <c r="J176" s="9" t="n">
        <v>350000</v>
      </c>
      <c r="K176" s="8" t="s">
        <v>324</v>
      </c>
      <c r="L176" s="9" t="n">
        <v>5893.87</v>
      </c>
      <c r="M176" s="9" t="n">
        <v>736.73</v>
      </c>
      <c r="N176" s="9" t="n">
        <v>736.73</v>
      </c>
      <c r="O176" s="9" t="n">
        <v>4420.4</v>
      </c>
      <c r="P176" s="9" t="n">
        <v>442.04</v>
      </c>
      <c r="Q176" s="9" t="n">
        <v>442.04</v>
      </c>
      <c r="R176" s="9" t="n">
        <v>442.04</v>
      </c>
      <c r="S176" s="9" t="n">
        <v>442.04</v>
      </c>
      <c r="T176" s="9" t="n">
        <v>442.04</v>
      </c>
      <c r="U176" s="9" t="n">
        <v>442.04</v>
      </c>
      <c r="V176" s="9" t="n">
        <v>442.04</v>
      </c>
      <c r="W176" s="9" t="n">
        <v>442.04</v>
      </c>
      <c r="X176" s="9" t="n">
        <v>442.04</v>
      </c>
      <c r="Y176" s="9" t="n">
        <v>442.04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681</v>
      </c>
      <c r="B177" s="3" t="s">
        <v>682</v>
      </c>
      <c r="C177" s="3" t="s">
        <v>158</v>
      </c>
      <c r="D177" s="3" t="s">
        <v>159</v>
      </c>
      <c r="E177" s="3" t="n">
        <v>1975</v>
      </c>
      <c r="F177" s="3" t="s">
        <v>44</v>
      </c>
      <c r="G177" s="3" t="s">
        <v>45</v>
      </c>
      <c r="H177" s="3" t="s">
        <v>683</v>
      </c>
      <c r="I177" s="3" t="s">
        <v>47</v>
      </c>
      <c r="J177" s="7" t="n">
        <v>915000</v>
      </c>
      <c r="K177" s="3" t="s">
        <v>83</v>
      </c>
      <c r="L177" s="7" t="n">
        <v>15149.29</v>
      </c>
      <c r="M177" s="7" t="n">
        <v>1893.66</v>
      </c>
      <c r="N177" s="7" t="n">
        <v>1893.66</v>
      </c>
      <c r="O177" s="7" t="n">
        <v>11362</v>
      </c>
      <c r="P177" s="7" t="n">
        <v>1136.2</v>
      </c>
      <c r="Q177" s="7" t="n">
        <v>1136.2</v>
      </c>
      <c r="R177" s="7" t="n">
        <v>1136.2</v>
      </c>
      <c r="S177" s="7" t="n">
        <v>1136.2</v>
      </c>
      <c r="T177" s="7" t="n">
        <v>1136.2</v>
      </c>
      <c r="U177" s="7" t="n">
        <v>1136.2</v>
      </c>
      <c r="V177" s="7" t="n">
        <v>1136.2</v>
      </c>
      <c r="W177" s="7" t="n">
        <v>1136.2</v>
      </c>
      <c r="X177" s="7" t="n">
        <v>1136.2</v>
      </c>
      <c r="Y177" s="7" t="n">
        <v>1136.2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684</v>
      </c>
      <c r="B178" s="8" t="s">
        <v>685</v>
      </c>
      <c r="C178" s="8" t="s">
        <v>128</v>
      </c>
      <c r="D178" s="8" t="s">
        <v>129</v>
      </c>
      <c r="E178" s="8" t="n">
        <v>1972</v>
      </c>
      <c r="F178" s="8" t="s">
        <v>44</v>
      </c>
      <c r="G178" s="8" t="s">
        <v>45</v>
      </c>
      <c r="H178" s="8" t="s">
        <v>686</v>
      </c>
      <c r="I178" s="8" t="s">
        <v>47</v>
      </c>
      <c r="J178" s="9" t="n">
        <v>660000</v>
      </c>
      <c r="K178" s="8" t="s">
        <v>161</v>
      </c>
      <c r="L178" s="9" t="n">
        <v>8094.34</v>
      </c>
      <c r="M178" s="9" t="n">
        <v>1011.79</v>
      </c>
      <c r="N178" s="9" t="n">
        <v>1011.79</v>
      </c>
      <c r="O178" s="9" t="n">
        <v>6070.8</v>
      </c>
      <c r="P178" s="9" t="n">
        <v>607.08</v>
      </c>
      <c r="Q178" s="9" t="n">
        <v>607.08</v>
      </c>
      <c r="R178" s="9" t="n">
        <v>607.08</v>
      </c>
      <c r="S178" s="9" t="n">
        <v>607.08</v>
      </c>
      <c r="T178" s="9" t="n">
        <v>607.08</v>
      </c>
      <c r="U178" s="9" t="n">
        <v>607.08</v>
      </c>
      <c r="V178" s="9" t="n">
        <v>607.08</v>
      </c>
      <c r="W178" s="9" t="n">
        <v>607.08</v>
      </c>
      <c r="X178" s="9" t="n">
        <v>607.08</v>
      </c>
      <c r="Y178" s="9" t="n">
        <v>607.08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687</v>
      </c>
      <c r="B179" s="3" t="s">
        <v>353</v>
      </c>
      <c r="C179" s="3" t="s">
        <v>200</v>
      </c>
      <c r="D179" s="3" t="s">
        <v>201</v>
      </c>
      <c r="E179" s="3" t="n">
        <v>2004</v>
      </c>
      <c r="F179" s="3" t="s">
        <v>44</v>
      </c>
      <c r="G179" s="3" t="s">
        <v>45</v>
      </c>
      <c r="H179" s="3" t="s">
        <v>688</v>
      </c>
      <c r="I179" s="3" t="s">
        <v>47</v>
      </c>
      <c r="J179" s="7" t="n">
        <v>1055000</v>
      </c>
      <c r="K179" s="3" t="s">
        <v>355</v>
      </c>
      <c r="L179" s="7" t="n">
        <v>12261.89</v>
      </c>
      <c r="M179" s="7" t="n">
        <v>1532.74</v>
      </c>
      <c r="N179" s="7" t="n">
        <v>1532.74</v>
      </c>
      <c r="O179" s="7" t="n">
        <v>9196.4</v>
      </c>
      <c r="P179" s="7" t="n">
        <v>919.64</v>
      </c>
      <c r="Q179" s="7" t="n">
        <v>919.64</v>
      </c>
      <c r="R179" s="7" t="n">
        <v>919.64</v>
      </c>
      <c r="S179" s="7" t="n">
        <v>919.64</v>
      </c>
      <c r="T179" s="7" t="n">
        <v>919.64</v>
      </c>
      <c r="U179" s="7" t="n">
        <v>919.64</v>
      </c>
      <c r="V179" s="7" t="n">
        <v>919.64</v>
      </c>
      <c r="W179" s="7" t="n">
        <v>919.64</v>
      </c>
      <c r="X179" s="7" t="n">
        <v>919.64</v>
      </c>
      <c r="Y179" s="7" t="n">
        <v>919.64</v>
      </c>
      <c r="Z179" s="7" t="n">
        <v>350</v>
      </c>
      <c r="AA179" s="7" t="n">
        <v>250</v>
      </c>
      <c r="AB179" s="7" t="n">
        <v>600</v>
      </c>
    </row>
    <row r="180" customFormat="false" ht="15" hidden="false" customHeight="false" outlineLevel="0" collapsed="false">
      <c r="A180" s="8" t="s">
        <v>689</v>
      </c>
      <c r="B180" s="8" t="s">
        <v>310</v>
      </c>
      <c r="C180" s="8" t="s">
        <v>72</v>
      </c>
      <c r="D180" s="8" t="s">
        <v>73</v>
      </c>
      <c r="E180" s="8" t="n">
        <v>1973</v>
      </c>
      <c r="F180" s="8" t="s">
        <v>387</v>
      </c>
      <c r="G180" s="8" t="s">
        <v>388</v>
      </c>
      <c r="H180" s="8" t="s">
        <v>690</v>
      </c>
      <c r="I180" s="8" t="s">
        <v>56</v>
      </c>
      <c r="J180" s="9" t="n">
        <v>360000</v>
      </c>
      <c r="K180" s="8" t="s">
        <v>149</v>
      </c>
      <c r="L180" s="9" t="n">
        <v>7498.87</v>
      </c>
      <c r="M180" s="9" t="n">
        <v>937.36</v>
      </c>
      <c r="N180" s="9" t="n">
        <v>937.36</v>
      </c>
      <c r="O180" s="9" t="n">
        <v>5624.2</v>
      </c>
      <c r="P180" s="9" t="n">
        <v>562.42</v>
      </c>
      <c r="Q180" s="9" t="n">
        <v>562.42</v>
      </c>
      <c r="R180" s="9" t="n">
        <v>562.42</v>
      </c>
      <c r="S180" s="9" t="n">
        <v>562.42</v>
      </c>
      <c r="T180" s="9" t="n">
        <v>562.42</v>
      </c>
      <c r="U180" s="9" t="n">
        <v>562.42</v>
      </c>
      <c r="V180" s="9" t="n">
        <v>562.42</v>
      </c>
      <c r="W180" s="9" t="n">
        <v>562.42</v>
      </c>
      <c r="X180" s="9" t="n">
        <v>562.42</v>
      </c>
      <c r="Y180" s="9" t="n">
        <v>562.42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691</v>
      </c>
      <c r="B181" s="3" t="s">
        <v>692</v>
      </c>
      <c r="C181" s="3" t="s">
        <v>42</v>
      </c>
      <c r="D181" s="3" t="s">
        <v>43</v>
      </c>
      <c r="E181" s="3" t="n">
        <v>1983</v>
      </c>
      <c r="F181" s="3" t="s">
        <v>80</v>
      </c>
      <c r="G181" s="3" t="s">
        <v>81</v>
      </c>
      <c r="H181" s="3" t="s">
        <v>693</v>
      </c>
      <c r="I181" s="3" t="s">
        <v>47</v>
      </c>
      <c r="J181" s="7" t="n">
        <v>670000</v>
      </c>
      <c r="K181" s="3" t="s">
        <v>471</v>
      </c>
      <c r="L181" s="7" t="n">
        <v>11339.43</v>
      </c>
      <c r="M181" s="7" t="n">
        <v>1417.43</v>
      </c>
      <c r="N181" s="7" t="n">
        <v>1417.43</v>
      </c>
      <c r="O181" s="7" t="n">
        <v>8504.6</v>
      </c>
      <c r="P181" s="7" t="n">
        <v>850.46</v>
      </c>
      <c r="Q181" s="7" t="n">
        <v>850.46</v>
      </c>
      <c r="R181" s="7" t="n">
        <v>850.46</v>
      </c>
      <c r="S181" s="7" t="n">
        <v>850.46</v>
      </c>
      <c r="T181" s="7" t="n">
        <v>850.46</v>
      </c>
      <c r="U181" s="7" t="n">
        <v>850.46</v>
      </c>
      <c r="V181" s="7" t="n">
        <v>850.46</v>
      </c>
      <c r="W181" s="7" t="n">
        <v>850.46</v>
      </c>
      <c r="X181" s="7" t="n">
        <v>850.46</v>
      </c>
      <c r="Y181" s="7" t="n">
        <v>850.46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694</v>
      </c>
      <c r="B182" s="8" t="s">
        <v>695</v>
      </c>
      <c r="C182" s="8" t="s">
        <v>111</v>
      </c>
      <c r="D182" s="8" t="s">
        <v>112</v>
      </c>
      <c r="E182" s="8" t="n">
        <v>1992</v>
      </c>
      <c r="F182" s="8" t="s">
        <v>88</v>
      </c>
      <c r="G182" s="8" t="s">
        <v>89</v>
      </c>
      <c r="H182" s="8" t="s">
        <v>696</v>
      </c>
      <c r="I182" s="8" t="s">
        <v>47</v>
      </c>
      <c r="J182" s="9" t="n">
        <v>380000</v>
      </c>
      <c r="K182" s="8" t="s">
        <v>399</v>
      </c>
      <c r="L182" s="9" t="n">
        <v>4893.4</v>
      </c>
      <c r="M182" s="9" t="n">
        <v>611.67</v>
      </c>
      <c r="N182" s="9" t="n">
        <v>611.67</v>
      </c>
      <c r="O182" s="9" t="n">
        <v>3670</v>
      </c>
      <c r="P182" s="9" t="n">
        <v>367</v>
      </c>
      <c r="Q182" s="9" t="n">
        <v>367</v>
      </c>
      <c r="R182" s="9" t="n">
        <v>367</v>
      </c>
      <c r="S182" s="9" t="n">
        <v>367</v>
      </c>
      <c r="T182" s="9" t="n">
        <v>367</v>
      </c>
      <c r="U182" s="9" t="n">
        <v>367</v>
      </c>
      <c r="V182" s="9" t="n">
        <v>367</v>
      </c>
      <c r="W182" s="9" t="n">
        <v>367</v>
      </c>
      <c r="X182" s="9" t="n">
        <v>367</v>
      </c>
      <c r="Y182" s="9" t="n">
        <v>367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697</v>
      </c>
      <c r="B183" s="3" t="s">
        <v>698</v>
      </c>
      <c r="C183" s="3" t="s">
        <v>66</v>
      </c>
      <c r="D183" s="3" t="s">
        <v>67</v>
      </c>
      <c r="E183" s="3" t="n">
        <v>1987</v>
      </c>
      <c r="F183" s="3" t="s">
        <v>99</v>
      </c>
      <c r="G183" s="3" t="s">
        <v>100</v>
      </c>
      <c r="H183" s="3" t="s">
        <v>699</v>
      </c>
      <c r="I183" s="3" t="s">
        <v>47</v>
      </c>
      <c r="J183" s="7" t="n">
        <v>890000</v>
      </c>
      <c r="K183" s="3" t="s">
        <v>399</v>
      </c>
      <c r="L183" s="7" t="n">
        <v>9932.74</v>
      </c>
      <c r="M183" s="7" t="n">
        <v>1241.59</v>
      </c>
      <c r="N183" s="7" t="n">
        <v>1241.59</v>
      </c>
      <c r="O183" s="7" t="n">
        <v>7449.6</v>
      </c>
      <c r="P183" s="7" t="n">
        <v>744.96</v>
      </c>
      <c r="Q183" s="7" t="n">
        <v>744.96</v>
      </c>
      <c r="R183" s="7" t="n">
        <v>744.96</v>
      </c>
      <c r="S183" s="7" t="n">
        <v>744.96</v>
      </c>
      <c r="T183" s="7" t="n">
        <v>744.96</v>
      </c>
      <c r="U183" s="7" t="n">
        <v>744.96</v>
      </c>
      <c r="V183" s="7" t="n">
        <v>744.96</v>
      </c>
      <c r="W183" s="7" t="n">
        <v>744.96</v>
      </c>
      <c r="X183" s="7" t="n">
        <v>744.96</v>
      </c>
      <c r="Y183" s="7" t="n">
        <v>744.96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700</v>
      </c>
      <c r="B184" s="8" t="s">
        <v>701</v>
      </c>
      <c r="C184" s="8" t="s">
        <v>256</v>
      </c>
      <c r="D184" s="8" t="s">
        <v>257</v>
      </c>
      <c r="E184" s="8" t="n">
        <v>1971</v>
      </c>
      <c r="F184" s="8" t="s">
        <v>166</v>
      </c>
      <c r="G184" s="8" t="s">
        <v>167</v>
      </c>
      <c r="H184" s="8" t="s">
        <v>702</v>
      </c>
      <c r="I184" s="8" t="s">
        <v>169</v>
      </c>
      <c r="J184" s="9" t="n">
        <v>460000</v>
      </c>
      <c r="K184" s="8" t="s">
        <v>102</v>
      </c>
      <c r="L184" s="9" t="n">
        <v>10387.32</v>
      </c>
      <c r="M184" s="9" t="n">
        <v>1298.41</v>
      </c>
      <c r="N184" s="9" t="n">
        <v>1298.41</v>
      </c>
      <c r="O184" s="9" t="n">
        <v>7790.5</v>
      </c>
      <c r="P184" s="9" t="n">
        <v>779.05</v>
      </c>
      <c r="Q184" s="9" t="n">
        <v>779.05</v>
      </c>
      <c r="R184" s="9" t="n">
        <v>779.05</v>
      </c>
      <c r="S184" s="9" t="n">
        <v>779.05</v>
      </c>
      <c r="T184" s="9" t="n">
        <v>779.05</v>
      </c>
      <c r="U184" s="9" t="n">
        <v>779.05</v>
      </c>
      <c r="V184" s="9" t="n">
        <v>779.05</v>
      </c>
      <c r="W184" s="9" t="n">
        <v>779.05</v>
      </c>
      <c r="X184" s="9" t="n">
        <v>779.05</v>
      </c>
      <c r="Y184" s="9" t="n">
        <v>779.05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703</v>
      </c>
      <c r="B185" s="3" t="s">
        <v>609</v>
      </c>
      <c r="C185" s="3" t="s">
        <v>116</v>
      </c>
      <c r="D185" s="3" t="s">
        <v>117</v>
      </c>
      <c r="E185" s="3" t="n">
        <v>2002</v>
      </c>
      <c r="F185" s="3" t="s">
        <v>44</v>
      </c>
      <c r="G185" s="3" t="s">
        <v>45</v>
      </c>
      <c r="H185" s="3" t="s">
        <v>704</v>
      </c>
      <c r="I185" s="3" t="s">
        <v>47</v>
      </c>
      <c r="J185" s="7" t="n">
        <v>1440000</v>
      </c>
      <c r="K185" s="3" t="s">
        <v>471</v>
      </c>
      <c r="L185" s="7" t="n">
        <v>20621.89</v>
      </c>
      <c r="M185" s="7" t="n">
        <v>2577.74</v>
      </c>
      <c r="N185" s="7" t="n">
        <v>2577.74</v>
      </c>
      <c r="O185" s="7" t="n">
        <v>15466.4</v>
      </c>
      <c r="P185" s="7" t="n">
        <v>1546.64</v>
      </c>
      <c r="Q185" s="7" t="n">
        <v>1546.64</v>
      </c>
      <c r="R185" s="7" t="n">
        <v>1546.64</v>
      </c>
      <c r="S185" s="7" t="n">
        <v>1546.64</v>
      </c>
      <c r="T185" s="7" t="n">
        <v>1546.64</v>
      </c>
      <c r="U185" s="7" t="n">
        <v>1546.64</v>
      </c>
      <c r="V185" s="7" t="n">
        <v>1546.64</v>
      </c>
      <c r="W185" s="7" t="n">
        <v>1546.64</v>
      </c>
      <c r="X185" s="7" t="n">
        <v>1546.64</v>
      </c>
      <c r="Y185" s="7" t="n">
        <v>1546.64</v>
      </c>
      <c r="Z185" s="7" t="n">
        <v>350</v>
      </c>
      <c r="AA185" s="7" t="n">
        <v>250</v>
      </c>
      <c r="AB185" s="7" t="n">
        <v>600</v>
      </c>
    </row>
    <row r="186" customFormat="false" ht="15" hidden="false" customHeight="false" outlineLevel="0" collapsed="false">
      <c r="A186" s="8" t="s">
        <v>705</v>
      </c>
      <c r="B186" s="8" t="s">
        <v>706</v>
      </c>
      <c r="C186" s="8" t="s">
        <v>158</v>
      </c>
      <c r="D186" s="8" t="s">
        <v>159</v>
      </c>
      <c r="E186" s="8" t="n">
        <v>1997</v>
      </c>
      <c r="F186" s="8" t="s">
        <v>80</v>
      </c>
      <c r="G186" s="8" t="s">
        <v>81</v>
      </c>
      <c r="H186" s="8" t="s">
        <v>707</v>
      </c>
      <c r="I186" s="8" t="s">
        <v>47</v>
      </c>
      <c r="J186" s="9" t="n">
        <v>795000</v>
      </c>
      <c r="K186" s="8" t="s">
        <v>328</v>
      </c>
      <c r="L186" s="9" t="n">
        <v>9555</v>
      </c>
      <c r="M186" s="9" t="n">
        <v>1194.38</v>
      </c>
      <c r="N186" s="9" t="n">
        <v>1194.38</v>
      </c>
      <c r="O186" s="9" t="n">
        <v>7166.2</v>
      </c>
      <c r="P186" s="9" t="n">
        <v>716.62</v>
      </c>
      <c r="Q186" s="9" t="n">
        <v>716.62</v>
      </c>
      <c r="R186" s="9" t="n">
        <v>716.62</v>
      </c>
      <c r="S186" s="9" t="n">
        <v>716.62</v>
      </c>
      <c r="T186" s="9" t="n">
        <v>716.62</v>
      </c>
      <c r="U186" s="9" t="n">
        <v>716.62</v>
      </c>
      <c r="V186" s="9" t="n">
        <v>716.62</v>
      </c>
      <c r="W186" s="9" t="n">
        <v>716.62</v>
      </c>
      <c r="X186" s="9" t="n">
        <v>716.62</v>
      </c>
      <c r="Y186" s="9" t="n">
        <v>716.62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708</v>
      </c>
      <c r="B187" s="3" t="s">
        <v>627</v>
      </c>
      <c r="C187" s="3" t="s">
        <v>164</v>
      </c>
      <c r="D187" s="3" t="s">
        <v>165</v>
      </c>
      <c r="E187" s="3" t="n">
        <v>1987</v>
      </c>
      <c r="F187" s="3" t="s">
        <v>80</v>
      </c>
      <c r="G187" s="3" t="s">
        <v>81</v>
      </c>
      <c r="H187" s="3" t="s">
        <v>709</v>
      </c>
      <c r="I187" s="3" t="s">
        <v>47</v>
      </c>
      <c r="J187" s="7" t="n">
        <v>265000</v>
      </c>
      <c r="K187" s="3" t="s">
        <v>91</v>
      </c>
      <c r="L187" s="7" t="n">
        <v>4800</v>
      </c>
      <c r="M187" s="7" t="n">
        <v>600</v>
      </c>
      <c r="N187" s="7" t="n">
        <v>600</v>
      </c>
      <c r="O187" s="7" t="n">
        <v>3600</v>
      </c>
      <c r="P187" s="7" t="n">
        <v>360</v>
      </c>
      <c r="Q187" s="7" t="n">
        <v>360</v>
      </c>
      <c r="R187" s="7" t="n">
        <v>360</v>
      </c>
      <c r="S187" s="7" t="n">
        <v>360</v>
      </c>
      <c r="T187" s="7" t="n">
        <v>360</v>
      </c>
      <c r="U187" s="7" t="n">
        <v>360</v>
      </c>
      <c r="V187" s="7" t="n">
        <v>360</v>
      </c>
      <c r="W187" s="7" t="n">
        <v>360</v>
      </c>
      <c r="X187" s="7" t="n">
        <v>360</v>
      </c>
      <c r="Y187" s="7" t="n">
        <v>360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710</v>
      </c>
      <c r="B188" s="8" t="s">
        <v>711</v>
      </c>
      <c r="C188" s="8" t="s">
        <v>78</v>
      </c>
      <c r="D188" s="8" t="s">
        <v>79</v>
      </c>
      <c r="E188" s="8" t="n">
        <v>1998</v>
      </c>
      <c r="F188" s="8" t="s">
        <v>88</v>
      </c>
      <c r="G188" s="8" t="s">
        <v>89</v>
      </c>
      <c r="H188" s="8" t="s">
        <v>712</v>
      </c>
      <c r="I188" s="8" t="s">
        <v>47</v>
      </c>
      <c r="J188" s="9" t="n">
        <v>765000</v>
      </c>
      <c r="K188" s="8" t="s">
        <v>119</v>
      </c>
      <c r="L188" s="9" t="n">
        <v>11727.59</v>
      </c>
      <c r="M188" s="9" t="n">
        <v>1465.95</v>
      </c>
      <c r="N188" s="9" t="n">
        <v>1465.95</v>
      </c>
      <c r="O188" s="9" t="n">
        <v>8795.7</v>
      </c>
      <c r="P188" s="9" t="n">
        <v>879.57</v>
      </c>
      <c r="Q188" s="9" t="n">
        <v>879.57</v>
      </c>
      <c r="R188" s="9" t="n">
        <v>879.57</v>
      </c>
      <c r="S188" s="9" t="n">
        <v>879.57</v>
      </c>
      <c r="T188" s="9" t="n">
        <v>879.57</v>
      </c>
      <c r="U188" s="9" t="n">
        <v>879.57</v>
      </c>
      <c r="V188" s="9" t="n">
        <v>879.57</v>
      </c>
      <c r="W188" s="9" t="n">
        <v>879.57</v>
      </c>
      <c r="X188" s="9" t="n">
        <v>879.57</v>
      </c>
      <c r="Y188" s="9" t="n">
        <v>879.57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713</v>
      </c>
      <c r="B189" s="3" t="s">
        <v>714</v>
      </c>
      <c r="C189" s="3" t="s">
        <v>60</v>
      </c>
      <c r="D189" s="3" t="s">
        <v>61</v>
      </c>
      <c r="E189" s="3" t="n">
        <v>1997</v>
      </c>
      <c r="F189" s="3" t="s">
        <v>265</v>
      </c>
      <c r="G189" s="3" t="s">
        <v>266</v>
      </c>
      <c r="H189" s="3" t="s">
        <v>715</v>
      </c>
      <c r="I189" s="3" t="s">
        <v>47</v>
      </c>
      <c r="J189" s="7" t="n">
        <v>640000</v>
      </c>
      <c r="K189" s="3" t="s">
        <v>238</v>
      </c>
      <c r="L189" s="7" t="n">
        <v>9497.36</v>
      </c>
      <c r="M189" s="7" t="n">
        <v>1187.17</v>
      </c>
      <c r="N189" s="7" t="n">
        <v>1187.17</v>
      </c>
      <c r="O189" s="7" t="n">
        <v>7123</v>
      </c>
      <c r="P189" s="7" t="n">
        <v>712.3</v>
      </c>
      <c r="Q189" s="7" t="n">
        <v>712.3</v>
      </c>
      <c r="R189" s="7" t="n">
        <v>712.3</v>
      </c>
      <c r="S189" s="7" t="n">
        <v>712.3</v>
      </c>
      <c r="T189" s="7" t="n">
        <v>712.3</v>
      </c>
      <c r="U189" s="7" t="n">
        <v>712.3</v>
      </c>
      <c r="V189" s="7" t="n">
        <v>712.3</v>
      </c>
      <c r="W189" s="7" t="n">
        <v>712.3</v>
      </c>
      <c r="X189" s="7" t="n">
        <v>712.3</v>
      </c>
      <c r="Y189" s="7" t="n">
        <v>712.3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716</v>
      </c>
      <c r="B190" s="8" t="s">
        <v>717</v>
      </c>
      <c r="C190" s="8" t="s">
        <v>51</v>
      </c>
      <c r="D190" s="8" t="s">
        <v>52</v>
      </c>
      <c r="E190" s="8" t="n">
        <v>2017</v>
      </c>
      <c r="F190" s="8" t="s">
        <v>146</v>
      </c>
      <c r="G190" s="8" t="s">
        <v>147</v>
      </c>
      <c r="H190" s="8" t="s">
        <v>718</v>
      </c>
      <c r="I190" s="8" t="s">
        <v>47</v>
      </c>
      <c r="J190" s="9" t="n">
        <v>450000</v>
      </c>
      <c r="K190" s="8" t="s">
        <v>399</v>
      </c>
      <c r="L190" s="9" t="n">
        <v>5794.81</v>
      </c>
      <c r="M190" s="9" t="n">
        <v>724.35</v>
      </c>
      <c r="N190" s="9" t="n">
        <v>724.35</v>
      </c>
      <c r="O190" s="9" t="n">
        <v>4346.1</v>
      </c>
      <c r="P190" s="9" t="n">
        <v>434.61</v>
      </c>
      <c r="Q190" s="9" t="n">
        <v>434.61</v>
      </c>
      <c r="R190" s="9" t="n">
        <v>434.61</v>
      </c>
      <c r="S190" s="9" t="n">
        <v>434.61</v>
      </c>
      <c r="T190" s="9" t="n">
        <v>434.61</v>
      </c>
      <c r="U190" s="9" t="n">
        <v>434.61</v>
      </c>
      <c r="V190" s="9" t="n">
        <v>434.61</v>
      </c>
      <c r="W190" s="9" t="n">
        <v>434.61</v>
      </c>
      <c r="X190" s="9" t="n">
        <v>434.61</v>
      </c>
      <c r="Y190" s="9" t="n">
        <v>434.61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719</v>
      </c>
      <c r="B191" s="3" t="s">
        <v>720</v>
      </c>
      <c r="C191" s="3" t="s">
        <v>443</v>
      </c>
      <c r="D191" s="3" t="s">
        <v>444</v>
      </c>
      <c r="E191" s="3" t="n">
        <v>1987</v>
      </c>
      <c r="F191" s="3" t="s">
        <v>265</v>
      </c>
      <c r="G191" s="3" t="s">
        <v>266</v>
      </c>
      <c r="H191" s="3" t="s">
        <v>721</v>
      </c>
      <c r="I191" s="3" t="s">
        <v>47</v>
      </c>
      <c r="J191" s="7" t="n">
        <v>385000</v>
      </c>
      <c r="K191" s="3" t="s">
        <v>91</v>
      </c>
      <c r="L191" s="7" t="n">
        <v>6973.58</v>
      </c>
      <c r="M191" s="7" t="n">
        <v>871.7</v>
      </c>
      <c r="N191" s="7" t="n">
        <v>871.7</v>
      </c>
      <c r="O191" s="7" t="n">
        <v>5230.2</v>
      </c>
      <c r="P191" s="7" t="n">
        <v>523.02</v>
      </c>
      <c r="Q191" s="7" t="n">
        <v>523.02</v>
      </c>
      <c r="R191" s="7" t="n">
        <v>523.02</v>
      </c>
      <c r="S191" s="7" t="n">
        <v>523.02</v>
      </c>
      <c r="T191" s="7" t="n">
        <v>523.02</v>
      </c>
      <c r="U191" s="7" t="n">
        <v>523.02</v>
      </c>
      <c r="V191" s="7" t="n">
        <v>523.02</v>
      </c>
      <c r="W191" s="7" t="n">
        <v>523.02</v>
      </c>
      <c r="X191" s="7" t="n">
        <v>523.02</v>
      </c>
      <c r="Y191" s="7" t="n">
        <v>523.02</v>
      </c>
      <c r="Z191" s="7" t="n">
        <v>350</v>
      </c>
      <c r="AA191" s="7" t="n">
        <v>0</v>
      </c>
      <c r="AB191" s="7" t="n">
        <v>350</v>
      </c>
    </row>
    <row r="192" customFormat="false" ht="15" hidden="false" customHeight="false" outlineLevel="0" collapsed="false">
      <c r="A192" s="8" t="s">
        <v>722</v>
      </c>
      <c r="B192" s="8" t="s">
        <v>85</v>
      </c>
      <c r="C192" s="8" t="s">
        <v>206</v>
      </c>
      <c r="D192" s="8" t="s">
        <v>207</v>
      </c>
      <c r="E192" s="8" t="n">
        <v>1966</v>
      </c>
      <c r="F192" s="8" t="s">
        <v>88</v>
      </c>
      <c r="G192" s="8" t="s">
        <v>89</v>
      </c>
      <c r="H192" s="8" t="s">
        <v>723</v>
      </c>
      <c r="I192" s="8" t="s">
        <v>47</v>
      </c>
      <c r="J192" s="9" t="n">
        <v>395000</v>
      </c>
      <c r="K192" s="8" t="s">
        <v>173</v>
      </c>
      <c r="L192" s="9" t="n">
        <v>6428.07</v>
      </c>
      <c r="M192" s="9" t="n">
        <v>803.51</v>
      </c>
      <c r="N192" s="9" t="n">
        <v>803.51</v>
      </c>
      <c r="O192" s="9" t="n">
        <v>4821.1</v>
      </c>
      <c r="P192" s="9" t="n">
        <v>482.11</v>
      </c>
      <c r="Q192" s="9" t="n">
        <v>482.11</v>
      </c>
      <c r="R192" s="9" t="n">
        <v>482.11</v>
      </c>
      <c r="S192" s="9" t="n">
        <v>482.11</v>
      </c>
      <c r="T192" s="9" t="n">
        <v>482.11</v>
      </c>
      <c r="U192" s="9" t="n">
        <v>482.11</v>
      </c>
      <c r="V192" s="9" t="n">
        <v>482.11</v>
      </c>
      <c r="W192" s="9" t="n">
        <v>482.11</v>
      </c>
      <c r="X192" s="9" t="n">
        <v>482.11</v>
      </c>
      <c r="Y192" s="9" t="n">
        <v>482.11</v>
      </c>
      <c r="Z192" s="9" t="n">
        <v>350</v>
      </c>
      <c r="AA192" s="9" t="n">
        <v>0</v>
      </c>
      <c r="AB192" s="9" t="n">
        <v>350</v>
      </c>
    </row>
    <row r="193" customFormat="false" ht="15" hidden="false" customHeight="false" outlineLevel="0" collapsed="false">
      <c r="A193" s="3" t="s">
        <v>724</v>
      </c>
      <c r="B193" s="3" t="s">
        <v>725</v>
      </c>
      <c r="C193" s="3" t="s">
        <v>66</v>
      </c>
      <c r="D193" s="3" t="s">
        <v>67</v>
      </c>
      <c r="E193" s="3" t="n">
        <v>1981</v>
      </c>
      <c r="F193" s="3" t="s">
        <v>146</v>
      </c>
      <c r="G193" s="3" t="s">
        <v>147</v>
      </c>
      <c r="H193" s="3" t="s">
        <v>726</v>
      </c>
      <c r="I193" s="3" t="s">
        <v>47</v>
      </c>
      <c r="J193" s="7" t="n">
        <v>155000</v>
      </c>
      <c r="K193" s="3" t="s">
        <v>238</v>
      </c>
      <c r="L193" s="7" t="n">
        <v>3255.58</v>
      </c>
      <c r="M193" s="7" t="n">
        <v>406.95</v>
      </c>
      <c r="N193" s="7" t="n">
        <v>406.95</v>
      </c>
      <c r="O193" s="7" t="n">
        <v>2441.7</v>
      </c>
      <c r="P193" s="7" t="n">
        <v>244.17</v>
      </c>
      <c r="Q193" s="7" t="n">
        <v>244.17</v>
      </c>
      <c r="R193" s="7" t="n">
        <v>244.17</v>
      </c>
      <c r="S193" s="7" t="n">
        <v>244.17</v>
      </c>
      <c r="T193" s="7" t="n">
        <v>244.17</v>
      </c>
      <c r="U193" s="7" t="n">
        <v>244.17</v>
      </c>
      <c r="V193" s="7" t="n">
        <v>244.17</v>
      </c>
      <c r="W193" s="7" t="n">
        <v>244.17</v>
      </c>
      <c r="X193" s="7" t="n">
        <v>244.17</v>
      </c>
      <c r="Y193" s="7" t="n">
        <v>244.17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727</v>
      </c>
      <c r="B194" s="8" t="s">
        <v>728</v>
      </c>
      <c r="C194" s="8" t="s">
        <v>342</v>
      </c>
      <c r="D194" s="8" t="s">
        <v>343</v>
      </c>
      <c r="E194" s="8" t="n">
        <v>2022</v>
      </c>
      <c r="F194" s="8" t="s">
        <v>276</v>
      </c>
      <c r="G194" s="8" t="s">
        <v>277</v>
      </c>
      <c r="H194" s="8" t="s">
        <v>729</v>
      </c>
      <c r="I194" s="8" t="s">
        <v>136</v>
      </c>
      <c r="J194" s="9" t="n">
        <v>250000</v>
      </c>
      <c r="K194" s="8" t="s">
        <v>91</v>
      </c>
      <c r="L194" s="9" t="n">
        <v>2898.11</v>
      </c>
      <c r="M194" s="9" t="n">
        <v>362.26</v>
      </c>
      <c r="N194" s="9" t="n">
        <v>362.26</v>
      </c>
      <c r="O194" s="9" t="n">
        <v>2173.6</v>
      </c>
      <c r="P194" s="9" t="n">
        <v>217.36</v>
      </c>
      <c r="Q194" s="9" t="n">
        <v>217.36</v>
      </c>
      <c r="R194" s="9" t="n">
        <v>217.36</v>
      </c>
      <c r="S194" s="9" t="n">
        <v>217.36</v>
      </c>
      <c r="T194" s="9" t="n">
        <v>217.36</v>
      </c>
      <c r="U194" s="9" t="n">
        <v>217.36</v>
      </c>
      <c r="V194" s="9" t="n">
        <v>217.36</v>
      </c>
      <c r="W194" s="9" t="n">
        <v>217.36</v>
      </c>
      <c r="X194" s="9" t="n">
        <v>217.36</v>
      </c>
      <c r="Y194" s="9" t="n">
        <v>217.36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730</v>
      </c>
      <c r="B195" s="3" t="s">
        <v>731</v>
      </c>
      <c r="C195" s="3" t="s">
        <v>158</v>
      </c>
      <c r="D195" s="3" t="s">
        <v>159</v>
      </c>
      <c r="E195" s="3" t="n">
        <v>1981</v>
      </c>
      <c r="F195" s="3" t="s">
        <v>88</v>
      </c>
      <c r="G195" s="3" t="s">
        <v>89</v>
      </c>
      <c r="H195" s="3" t="s">
        <v>732</v>
      </c>
      <c r="I195" s="3" t="s">
        <v>47</v>
      </c>
      <c r="J195" s="7" t="n">
        <v>220000</v>
      </c>
      <c r="K195" s="3" t="s">
        <v>511</v>
      </c>
      <c r="L195" s="7" t="n">
        <v>4315.32</v>
      </c>
      <c r="M195" s="7" t="n">
        <v>539.41</v>
      </c>
      <c r="N195" s="7" t="n">
        <v>539.41</v>
      </c>
      <c r="O195" s="7" t="n">
        <v>3236.5</v>
      </c>
      <c r="P195" s="7" t="n">
        <v>323.65</v>
      </c>
      <c r="Q195" s="7" t="n">
        <v>323.65</v>
      </c>
      <c r="R195" s="7" t="n">
        <v>323.65</v>
      </c>
      <c r="S195" s="7" t="n">
        <v>323.65</v>
      </c>
      <c r="T195" s="7" t="n">
        <v>323.65</v>
      </c>
      <c r="U195" s="7" t="n">
        <v>323.65</v>
      </c>
      <c r="V195" s="7" t="n">
        <v>323.65</v>
      </c>
      <c r="W195" s="7" t="n">
        <v>323.65</v>
      </c>
      <c r="X195" s="7" t="n">
        <v>323.65</v>
      </c>
      <c r="Y195" s="7" t="n">
        <v>323.65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733</v>
      </c>
      <c r="B196" s="8" t="s">
        <v>615</v>
      </c>
      <c r="C196" s="8" t="s">
        <v>385</v>
      </c>
      <c r="D196" s="8" t="s">
        <v>386</v>
      </c>
      <c r="E196" s="8" t="n">
        <v>1986</v>
      </c>
      <c r="F196" s="8" t="s">
        <v>146</v>
      </c>
      <c r="G196" s="8" t="s">
        <v>147</v>
      </c>
      <c r="H196" s="8" t="s">
        <v>734</v>
      </c>
      <c r="I196" s="8" t="s">
        <v>47</v>
      </c>
      <c r="J196" s="9" t="n">
        <v>700000</v>
      </c>
      <c r="K196" s="8" t="s">
        <v>203</v>
      </c>
      <c r="L196" s="9" t="n">
        <v>12190.57</v>
      </c>
      <c r="M196" s="9" t="n">
        <v>1523.82</v>
      </c>
      <c r="N196" s="9" t="n">
        <v>1523.82</v>
      </c>
      <c r="O196" s="9" t="n">
        <v>9142.9</v>
      </c>
      <c r="P196" s="9" t="n">
        <v>914.29</v>
      </c>
      <c r="Q196" s="9" t="n">
        <v>914.29</v>
      </c>
      <c r="R196" s="9" t="n">
        <v>914.29</v>
      </c>
      <c r="S196" s="9" t="n">
        <v>914.29</v>
      </c>
      <c r="T196" s="9" t="n">
        <v>914.29</v>
      </c>
      <c r="U196" s="9" t="n">
        <v>914.29</v>
      </c>
      <c r="V196" s="9" t="n">
        <v>914.29</v>
      </c>
      <c r="W196" s="9" t="n">
        <v>914.29</v>
      </c>
      <c r="X196" s="9" t="n">
        <v>914.29</v>
      </c>
      <c r="Y196" s="9" t="n">
        <v>914.29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735</v>
      </c>
      <c r="B197" s="3" t="s">
        <v>736</v>
      </c>
      <c r="C197" s="3" t="s">
        <v>282</v>
      </c>
      <c r="D197" s="3" t="s">
        <v>283</v>
      </c>
      <c r="E197" s="3" t="n">
        <v>1957</v>
      </c>
      <c r="F197" s="3" t="s">
        <v>80</v>
      </c>
      <c r="G197" s="3" t="s">
        <v>81</v>
      </c>
      <c r="H197" s="3" t="s">
        <v>737</v>
      </c>
      <c r="I197" s="3" t="s">
        <v>47</v>
      </c>
      <c r="J197" s="7" t="n">
        <v>460000</v>
      </c>
      <c r="K197" s="3" t="s">
        <v>629</v>
      </c>
      <c r="L197" s="7" t="n">
        <v>6444.34</v>
      </c>
      <c r="M197" s="7" t="n">
        <v>805.54</v>
      </c>
      <c r="N197" s="7" t="n">
        <v>805.54</v>
      </c>
      <c r="O197" s="7" t="n">
        <v>4833.3</v>
      </c>
      <c r="P197" s="7" t="n">
        <v>483.33</v>
      </c>
      <c r="Q197" s="7" t="n">
        <v>483.33</v>
      </c>
      <c r="R197" s="7" t="n">
        <v>483.33</v>
      </c>
      <c r="S197" s="7" t="n">
        <v>483.33</v>
      </c>
      <c r="T197" s="7" t="n">
        <v>483.33</v>
      </c>
      <c r="U197" s="7" t="n">
        <v>483.33</v>
      </c>
      <c r="V197" s="7" t="n">
        <v>483.33</v>
      </c>
      <c r="W197" s="7" t="n">
        <v>483.33</v>
      </c>
      <c r="X197" s="7" t="n">
        <v>483.33</v>
      </c>
      <c r="Y197" s="7" t="n">
        <v>483.33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738</v>
      </c>
      <c r="B198" s="8" t="s">
        <v>739</v>
      </c>
      <c r="C198" s="8" t="s">
        <v>116</v>
      </c>
      <c r="D198" s="8" t="s">
        <v>117</v>
      </c>
      <c r="E198" s="8" t="n">
        <v>2015</v>
      </c>
      <c r="F198" s="8" t="s">
        <v>166</v>
      </c>
      <c r="G198" s="8" t="s">
        <v>167</v>
      </c>
      <c r="H198" s="8" t="s">
        <v>740</v>
      </c>
      <c r="I198" s="8" t="s">
        <v>169</v>
      </c>
      <c r="J198" s="9" t="n">
        <v>520000</v>
      </c>
      <c r="K198" s="8" t="s">
        <v>475</v>
      </c>
      <c r="L198" s="9" t="n">
        <v>9948.68</v>
      </c>
      <c r="M198" s="9" t="n">
        <v>1243.59</v>
      </c>
      <c r="N198" s="9" t="n">
        <v>1243.59</v>
      </c>
      <c r="O198" s="9" t="n">
        <v>7461.5</v>
      </c>
      <c r="P198" s="9" t="n">
        <v>746.15</v>
      </c>
      <c r="Q198" s="9" t="n">
        <v>746.15</v>
      </c>
      <c r="R198" s="9" t="n">
        <v>746.15</v>
      </c>
      <c r="S198" s="9" t="n">
        <v>746.15</v>
      </c>
      <c r="T198" s="9" t="n">
        <v>746.15</v>
      </c>
      <c r="U198" s="9" t="n">
        <v>746.15</v>
      </c>
      <c r="V198" s="9" t="n">
        <v>746.15</v>
      </c>
      <c r="W198" s="9" t="n">
        <v>746.15</v>
      </c>
      <c r="X198" s="9" t="n">
        <v>746.15</v>
      </c>
      <c r="Y198" s="9" t="n">
        <v>746.15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741</v>
      </c>
      <c r="B199" s="3" t="s">
        <v>742</v>
      </c>
      <c r="C199" s="3" t="s">
        <v>250</v>
      </c>
      <c r="D199" s="3" t="s">
        <v>251</v>
      </c>
      <c r="E199" s="3" t="n">
        <v>1970</v>
      </c>
      <c r="F199" s="3" t="s">
        <v>99</v>
      </c>
      <c r="G199" s="3" t="s">
        <v>100</v>
      </c>
      <c r="H199" s="3" t="s">
        <v>743</v>
      </c>
      <c r="I199" s="3" t="s">
        <v>47</v>
      </c>
      <c r="J199" s="7" t="n">
        <v>1345000</v>
      </c>
      <c r="K199" s="3" t="s">
        <v>328</v>
      </c>
      <c r="L199" s="7" t="n">
        <v>13678.4</v>
      </c>
      <c r="M199" s="7" t="n">
        <v>1709.8</v>
      </c>
      <c r="N199" s="7" t="n">
        <v>1709.8</v>
      </c>
      <c r="O199" s="7" t="n">
        <v>10258.8</v>
      </c>
      <c r="P199" s="7" t="n">
        <v>1025.88</v>
      </c>
      <c r="Q199" s="7" t="n">
        <v>1025.88</v>
      </c>
      <c r="R199" s="7" t="n">
        <v>1025.88</v>
      </c>
      <c r="S199" s="7" t="n">
        <v>1025.88</v>
      </c>
      <c r="T199" s="7" t="n">
        <v>1025.88</v>
      </c>
      <c r="U199" s="7" t="n">
        <v>1025.88</v>
      </c>
      <c r="V199" s="7" t="n">
        <v>1025.88</v>
      </c>
      <c r="W199" s="7" t="n">
        <v>1025.88</v>
      </c>
      <c r="X199" s="7" t="n">
        <v>1025.88</v>
      </c>
      <c r="Y199" s="7" t="n">
        <v>1025.88</v>
      </c>
      <c r="Z199" s="7" t="n">
        <v>350</v>
      </c>
      <c r="AA199" s="7" t="n">
        <v>250</v>
      </c>
      <c r="AB199" s="7" t="n">
        <v>600</v>
      </c>
    </row>
    <row r="200" customFormat="false" ht="15" hidden="false" customHeight="false" outlineLevel="0" collapsed="false">
      <c r="A200" s="8" t="s">
        <v>744</v>
      </c>
      <c r="B200" s="8" t="s">
        <v>720</v>
      </c>
      <c r="C200" s="8" t="s">
        <v>274</v>
      </c>
      <c r="D200" s="8" t="s">
        <v>275</v>
      </c>
      <c r="E200" s="8" t="n">
        <v>1990</v>
      </c>
      <c r="F200" s="8" t="s">
        <v>146</v>
      </c>
      <c r="G200" s="8" t="s">
        <v>147</v>
      </c>
      <c r="H200" s="8" t="s">
        <v>745</v>
      </c>
      <c r="I200" s="8" t="s">
        <v>47</v>
      </c>
      <c r="J200" s="9" t="n">
        <v>205000</v>
      </c>
      <c r="K200" s="8" t="s">
        <v>91</v>
      </c>
      <c r="L200" s="9" t="n">
        <v>4554.87</v>
      </c>
      <c r="M200" s="9" t="n">
        <v>569.36</v>
      </c>
      <c r="N200" s="9" t="n">
        <v>569.36</v>
      </c>
      <c r="O200" s="9" t="n">
        <v>3416.2</v>
      </c>
      <c r="P200" s="9" t="n">
        <v>341.62</v>
      </c>
      <c r="Q200" s="9" t="n">
        <v>341.62</v>
      </c>
      <c r="R200" s="9" t="n">
        <v>341.62</v>
      </c>
      <c r="S200" s="9" t="n">
        <v>341.62</v>
      </c>
      <c r="T200" s="9" t="n">
        <v>341.62</v>
      </c>
      <c r="U200" s="9" t="n">
        <v>341.62</v>
      </c>
      <c r="V200" s="9" t="n">
        <v>341.62</v>
      </c>
      <c r="W200" s="9" t="n">
        <v>341.62</v>
      </c>
      <c r="X200" s="9" t="n">
        <v>341.62</v>
      </c>
      <c r="Y200" s="9" t="n">
        <v>341.62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746</v>
      </c>
      <c r="B201" s="3" t="s">
        <v>747</v>
      </c>
      <c r="C201" s="3" t="s">
        <v>86</v>
      </c>
      <c r="D201" s="3" t="s">
        <v>87</v>
      </c>
      <c r="E201" s="3" t="n">
        <v>1968</v>
      </c>
      <c r="F201" s="3" t="s">
        <v>146</v>
      </c>
      <c r="G201" s="3" t="s">
        <v>147</v>
      </c>
      <c r="H201" s="3" t="s">
        <v>748</v>
      </c>
      <c r="I201" s="3" t="s">
        <v>47</v>
      </c>
      <c r="J201" s="7" t="n">
        <v>415000</v>
      </c>
      <c r="K201" s="3" t="s">
        <v>126</v>
      </c>
      <c r="L201" s="7" t="n">
        <v>5579.01</v>
      </c>
      <c r="M201" s="7" t="n">
        <v>697.38</v>
      </c>
      <c r="N201" s="7" t="n">
        <v>697.38</v>
      </c>
      <c r="O201" s="7" t="n">
        <v>4184.3</v>
      </c>
      <c r="P201" s="7" t="n">
        <v>418.43</v>
      </c>
      <c r="Q201" s="7" t="n">
        <v>418.43</v>
      </c>
      <c r="R201" s="7" t="n">
        <v>418.43</v>
      </c>
      <c r="S201" s="7" t="n">
        <v>418.43</v>
      </c>
      <c r="T201" s="7" t="n">
        <v>418.43</v>
      </c>
      <c r="U201" s="7" t="n">
        <v>418.43</v>
      </c>
      <c r="V201" s="7" t="n">
        <v>418.43</v>
      </c>
      <c r="W201" s="7" t="n">
        <v>418.43</v>
      </c>
      <c r="X201" s="7" t="n">
        <v>418.43</v>
      </c>
      <c r="Y201" s="7" t="n">
        <v>418.43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749</v>
      </c>
      <c r="B202" s="8" t="s">
        <v>750</v>
      </c>
      <c r="C202" s="8" t="s">
        <v>274</v>
      </c>
      <c r="D202" s="8" t="s">
        <v>275</v>
      </c>
      <c r="E202" s="8" t="n">
        <v>1989</v>
      </c>
      <c r="F202" s="8" t="s">
        <v>105</v>
      </c>
      <c r="G202" s="8" t="s">
        <v>106</v>
      </c>
      <c r="H202" s="8" t="s">
        <v>751</v>
      </c>
      <c r="I202" s="8" t="s">
        <v>56</v>
      </c>
      <c r="J202" s="9" t="n">
        <v>1000000</v>
      </c>
      <c r="K202" s="8" t="s">
        <v>57</v>
      </c>
      <c r="L202" s="9" t="n">
        <v>17660.38</v>
      </c>
      <c r="M202" s="9" t="n">
        <v>2207.55</v>
      </c>
      <c r="N202" s="9" t="n">
        <v>2207.55</v>
      </c>
      <c r="O202" s="9" t="n">
        <v>13245.3</v>
      </c>
      <c r="P202" s="9" t="n">
        <v>1324.53</v>
      </c>
      <c r="Q202" s="9" t="n">
        <v>1324.53</v>
      </c>
      <c r="R202" s="9" t="n">
        <v>1324.53</v>
      </c>
      <c r="S202" s="9" t="n">
        <v>1324.53</v>
      </c>
      <c r="T202" s="9" t="n">
        <v>1324.53</v>
      </c>
      <c r="U202" s="9" t="n">
        <v>1324.53</v>
      </c>
      <c r="V202" s="9" t="n">
        <v>1324.53</v>
      </c>
      <c r="W202" s="9" t="n">
        <v>1324.53</v>
      </c>
      <c r="X202" s="9" t="n">
        <v>1324.53</v>
      </c>
      <c r="Y202" s="9" t="n">
        <v>1324.53</v>
      </c>
      <c r="Z202" s="9" t="n">
        <v>350</v>
      </c>
      <c r="AA202" s="9" t="n">
        <v>250</v>
      </c>
      <c r="AB202" s="9" t="n">
        <v>600</v>
      </c>
    </row>
    <row r="203" customFormat="false" ht="15" hidden="false" customHeight="false" outlineLevel="0" collapsed="false">
      <c r="A203" s="3" t="s">
        <v>752</v>
      </c>
      <c r="B203" s="3" t="s">
        <v>753</v>
      </c>
      <c r="C203" s="3" t="s">
        <v>60</v>
      </c>
      <c r="D203" s="3" t="s">
        <v>61</v>
      </c>
      <c r="E203" s="3" t="n">
        <v>1966</v>
      </c>
      <c r="F203" s="3" t="s">
        <v>88</v>
      </c>
      <c r="G203" s="3" t="s">
        <v>89</v>
      </c>
      <c r="H203" s="3" t="s">
        <v>754</v>
      </c>
      <c r="I203" s="3" t="s">
        <v>47</v>
      </c>
      <c r="J203" s="7" t="n">
        <v>695000</v>
      </c>
      <c r="K203" s="3" t="s">
        <v>225</v>
      </c>
      <c r="L203" s="7" t="n">
        <v>8864.53</v>
      </c>
      <c r="M203" s="7" t="n">
        <v>1108.07</v>
      </c>
      <c r="N203" s="7" t="n">
        <v>1108.07</v>
      </c>
      <c r="O203" s="7" t="n">
        <v>6648.4</v>
      </c>
      <c r="P203" s="7" t="n">
        <v>664.84</v>
      </c>
      <c r="Q203" s="7" t="n">
        <v>664.84</v>
      </c>
      <c r="R203" s="7" t="n">
        <v>664.84</v>
      </c>
      <c r="S203" s="7" t="n">
        <v>664.84</v>
      </c>
      <c r="T203" s="7" t="n">
        <v>664.84</v>
      </c>
      <c r="U203" s="7" t="n">
        <v>664.84</v>
      </c>
      <c r="V203" s="7" t="n">
        <v>664.84</v>
      </c>
      <c r="W203" s="7" t="n">
        <v>664.84</v>
      </c>
      <c r="X203" s="7" t="n">
        <v>664.84</v>
      </c>
      <c r="Y203" s="7" t="n">
        <v>664.84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755</v>
      </c>
      <c r="B204" s="8" t="s">
        <v>240</v>
      </c>
      <c r="C204" s="8" t="s">
        <v>342</v>
      </c>
      <c r="D204" s="8" t="s">
        <v>343</v>
      </c>
      <c r="E204" s="8" t="n">
        <v>1964</v>
      </c>
      <c r="F204" s="8" t="s">
        <v>265</v>
      </c>
      <c r="G204" s="8" t="s">
        <v>266</v>
      </c>
      <c r="H204" s="8" t="s">
        <v>756</v>
      </c>
      <c r="I204" s="8" t="s">
        <v>47</v>
      </c>
      <c r="J204" s="9" t="n">
        <v>105000</v>
      </c>
      <c r="K204" s="8" t="s">
        <v>203</v>
      </c>
      <c r="L204" s="9" t="n">
        <v>2588.15</v>
      </c>
      <c r="M204" s="9" t="n">
        <v>323.52</v>
      </c>
      <c r="N204" s="9" t="n">
        <v>323.52</v>
      </c>
      <c r="O204" s="9" t="n">
        <v>1941.1</v>
      </c>
      <c r="P204" s="9" t="n">
        <v>194.11</v>
      </c>
      <c r="Q204" s="9" t="n">
        <v>194.11</v>
      </c>
      <c r="R204" s="9" t="n">
        <v>194.11</v>
      </c>
      <c r="S204" s="9" t="n">
        <v>194.11</v>
      </c>
      <c r="T204" s="9" t="n">
        <v>194.11</v>
      </c>
      <c r="U204" s="9" t="n">
        <v>194.11</v>
      </c>
      <c r="V204" s="9" t="n">
        <v>194.11</v>
      </c>
      <c r="W204" s="9" t="n">
        <v>194.11</v>
      </c>
      <c r="X204" s="9" t="n">
        <v>194.11</v>
      </c>
      <c r="Y204" s="9" t="n">
        <v>194.11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757</v>
      </c>
      <c r="B205" s="3" t="s">
        <v>758</v>
      </c>
      <c r="C205" s="3" t="s">
        <v>78</v>
      </c>
      <c r="D205" s="3" t="s">
        <v>79</v>
      </c>
      <c r="E205" s="3" t="n">
        <v>1990</v>
      </c>
      <c r="F205" s="3" t="s">
        <v>88</v>
      </c>
      <c r="G205" s="3" t="s">
        <v>154</v>
      </c>
      <c r="H205" s="3" t="s">
        <v>759</v>
      </c>
      <c r="I205" s="3" t="s">
        <v>136</v>
      </c>
      <c r="J205" s="7" t="n">
        <v>645000</v>
      </c>
      <c r="K205" s="3" t="s">
        <v>287</v>
      </c>
      <c r="L205" s="7" t="n">
        <v>6802.92</v>
      </c>
      <c r="M205" s="7" t="n">
        <v>850.37</v>
      </c>
      <c r="N205" s="7" t="n">
        <v>850.37</v>
      </c>
      <c r="O205" s="7" t="n">
        <v>5102.2</v>
      </c>
      <c r="P205" s="7" t="n">
        <v>510.22</v>
      </c>
      <c r="Q205" s="7" t="n">
        <v>510.22</v>
      </c>
      <c r="R205" s="7" t="n">
        <v>510.22</v>
      </c>
      <c r="S205" s="7" t="n">
        <v>510.22</v>
      </c>
      <c r="T205" s="7" t="n">
        <v>510.22</v>
      </c>
      <c r="U205" s="7" t="n">
        <v>510.22</v>
      </c>
      <c r="V205" s="7" t="n">
        <v>510.22</v>
      </c>
      <c r="W205" s="7" t="n">
        <v>510.22</v>
      </c>
      <c r="X205" s="7" t="n">
        <v>510.22</v>
      </c>
      <c r="Y205" s="7" t="n">
        <v>510.22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760</v>
      </c>
      <c r="B206" s="8" t="s">
        <v>761</v>
      </c>
      <c r="C206" s="8" t="s">
        <v>219</v>
      </c>
      <c r="D206" s="8" t="s">
        <v>220</v>
      </c>
      <c r="E206" s="8" t="n">
        <v>2024</v>
      </c>
      <c r="F206" s="8" t="s">
        <v>146</v>
      </c>
      <c r="G206" s="8" t="s">
        <v>147</v>
      </c>
      <c r="H206" s="8" t="s">
        <v>762</v>
      </c>
      <c r="I206" s="8" t="s">
        <v>47</v>
      </c>
      <c r="J206" s="9" t="n">
        <v>655000</v>
      </c>
      <c r="K206" s="8" t="s">
        <v>216</v>
      </c>
      <c r="L206" s="9" t="n">
        <v>10844.58</v>
      </c>
      <c r="M206" s="9" t="n">
        <v>1355.57</v>
      </c>
      <c r="N206" s="9" t="n">
        <v>1355.57</v>
      </c>
      <c r="O206" s="9" t="n">
        <v>8133.4</v>
      </c>
      <c r="P206" s="9" t="n">
        <v>813.34</v>
      </c>
      <c r="Q206" s="9" t="n">
        <v>813.34</v>
      </c>
      <c r="R206" s="9" t="n">
        <v>813.34</v>
      </c>
      <c r="S206" s="9" t="n">
        <v>813.34</v>
      </c>
      <c r="T206" s="9" t="n">
        <v>813.34</v>
      </c>
      <c r="U206" s="9" t="n">
        <v>813.34</v>
      </c>
      <c r="V206" s="9" t="n">
        <v>813.34</v>
      </c>
      <c r="W206" s="9" t="n">
        <v>813.34</v>
      </c>
      <c r="X206" s="9" t="n">
        <v>813.34</v>
      </c>
      <c r="Y206" s="9" t="n">
        <v>813.34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763</v>
      </c>
      <c r="B207" s="3" t="s">
        <v>764</v>
      </c>
      <c r="C207" s="3" t="s">
        <v>164</v>
      </c>
      <c r="D207" s="3" t="s">
        <v>165</v>
      </c>
      <c r="E207" s="3" t="n">
        <v>1968</v>
      </c>
      <c r="F207" s="3" t="s">
        <v>265</v>
      </c>
      <c r="G207" s="3" t="s">
        <v>266</v>
      </c>
      <c r="H207" s="3" t="s">
        <v>765</v>
      </c>
      <c r="I207" s="3" t="s">
        <v>47</v>
      </c>
      <c r="J207" s="7" t="n">
        <v>500000</v>
      </c>
      <c r="K207" s="3" t="s">
        <v>75</v>
      </c>
      <c r="L207" s="7" t="n">
        <v>8523.58</v>
      </c>
      <c r="M207" s="7" t="n">
        <v>1065.45</v>
      </c>
      <c r="N207" s="7" t="n">
        <v>1065.45</v>
      </c>
      <c r="O207" s="7" t="n">
        <v>6392.7</v>
      </c>
      <c r="P207" s="7" t="n">
        <v>639.27</v>
      </c>
      <c r="Q207" s="7" t="n">
        <v>639.27</v>
      </c>
      <c r="R207" s="7" t="n">
        <v>639.27</v>
      </c>
      <c r="S207" s="7" t="n">
        <v>639.27</v>
      </c>
      <c r="T207" s="7" t="n">
        <v>639.27</v>
      </c>
      <c r="U207" s="7" t="n">
        <v>639.27</v>
      </c>
      <c r="V207" s="7" t="n">
        <v>639.27</v>
      </c>
      <c r="W207" s="7" t="n">
        <v>639.27</v>
      </c>
      <c r="X207" s="7" t="n">
        <v>639.27</v>
      </c>
      <c r="Y207" s="7" t="n">
        <v>639.27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766</v>
      </c>
      <c r="B208" s="8" t="s">
        <v>767</v>
      </c>
      <c r="C208" s="8" t="s">
        <v>206</v>
      </c>
      <c r="D208" s="8" t="s">
        <v>207</v>
      </c>
      <c r="E208" s="8" t="n">
        <v>2001</v>
      </c>
      <c r="F208" s="8" t="s">
        <v>53</v>
      </c>
      <c r="G208" s="8" t="s">
        <v>54</v>
      </c>
      <c r="H208" s="8" t="s">
        <v>768</v>
      </c>
      <c r="I208" s="8" t="s">
        <v>56</v>
      </c>
      <c r="J208" s="9" t="n">
        <v>1740000</v>
      </c>
      <c r="K208" s="8" t="s">
        <v>63</v>
      </c>
      <c r="L208" s="9" t="n">
        <v>33355.47</v>
      </c>
      <c r="M208" s="9" t="n">
        <v>4169.43</v>
      </c>
      <c r="N208" s="9" t="n">
        <v>4169.43</v>
      </c>
      <c r="O208" s="9" t="n">
        <v>25016.6</v>
      </c>
      <c r="P208" s="9" t="n">
        <v>2501.66</v>
      </c>
      <c r="Q208" s="9" t="n">
        <v>2501.66</v>
      </c>
      <c r="R208" s="9" t="n">
        <v>2501.66</v>
      </c>
      <c r="S208" s="9" t="n">
        <v>2501.66</v>
      </c>
      <c r="T208" s="9" t="n">
        <v>2501.66</v>
      </c>
      <c r="U208" s="9" t="n">
        <v>2501.66</v>
      </c>
      <c r="V208" s="9" t="n">
        <v>2501.66</v>
      </c>
      <c r="W208" s="9" t="n">
        <v>2501.66</v>
      </c>
      <c r="X208" s="9" t="n">
        <v>2501.66</v>
      </c>
      <c r="Y208" s="9" t="n">
        <v>2501.66</v>
      </c>
      <c r="Z208" s="9" t="n">
        <v>350</v>
      </c>
      <c r="AA208" s="9" t="n">
        <v>250</v>
      </c>
      <c r="AB208" s="9" t="n">
        <v>600</v>
      </c>
    </row>
    <row r="209" customFormat="false" ht="15" hidden="false" customHeight="false" outlineLevel="0" collapsed="false">
      <c r="A209" s="3" t="s">
        <v>769</v>
      </c>
      <c r="B209" s="3" t="s">
        <v>770</v>
      </c>
      <c r="C209" s="3" t="s">
        <v>443</v>
      </c>
      <c r="D209" s="3" t="s">
        <v>444</v>
      </c>
      <c r="E209" s="3" t="n">
        <v>1974</v>
      </c>
      <c r="F209" s="3" t="s">
        <v>44</v>
      </c>
      <c r="G209" s="3" t="s">
        <v>45</v>
      </c>
      <c r="H209" s="3" t="s">
        <v>771</v>
      </c>
      <c r="I209" s="3" t="s">
        <v>47</v>
      </c>
      <c r="J209" s="7" t="n">
        <v>715000</v>
      </c>
      <c r="K209" s="3" t="s">
        <v>203</v>
      </c>
      <c r="L209" s="7" t="n">
        <v>12451.79</v>
      </c>
      <c r="M209" s="7" t="n">
        <v>1556.47</v>
      </c>
      <c r="N209" s="7" t="n">
        <v>1556.47</v>
      </c>
      <c r="O209" s="7" t="n">
        <v>9338.8</v>
      </c>
      <c r="P209" s="7" t="n">
        <v>933.88</v>
      </c>
      <c r="Q209" s="7" t="n">
        <v>933.88</v>
      </c>
      <c r="R209" s="7" t="n">
        <v>933.88</v>
      </c>
      <c r="S209" s="7" t="n">
        <v>933.88</v>
      </c>
      <c r="T209" s="7" t="n">
        <v>933.88</v>
      </c>
      <c r="U209" s="7" t="n">
        <v>933.88</v>
      </c>
      <c r="V209" s="7" t="n">
        <v>933.88</v>
      </c>
      <c r="W209" s="7" t="n">
        <v>933.88</v>
      </c>
      <c r="X209" s="7" t="n">
        <v>933.88</v>
      </c>
      <c r="Y209" s="7" t="n">
        <v>933.88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772</v>
      </c>
      <c r="B210" s="8" t="s">
        <v>464</v>
      </c>
      <c r="C210" s="8" t="s">
        <v>179</v>
      </c>
      <c r="D210" s="8" t="s">
        <v>180</v>
      </c>
      <c r="E210" s="8" t="n">
        <v>2012</v>
      </c>
      <c r="F210" s="8" t="s">
        <v>80</v>
      </c>
      <c r="G210" s="8" t="s">
        <v>81</v>
      </c>
      <c r="H210" s="8" t="s">
        <v>773</v>
      </c>
      <c r="I210" s="8" t="s">
        <v>47</v>
      </c>
      <c r="J210" s="9" t="n">
        <v>170000</v>
      </c>
      <c r="K210" s="8" t="s">
        <v>399</v>
      </c>
      <c r="L210" s="9" t="n">
        <v>2685.36</v>
      </c>
      <c r="M210" s="9" t="n">
        <v>335.67</v>
      </c>
      <c r="N210" s="9" t="n">
        <v>335.67</v>
      </c>
      <c r="O210" s="9" t="n">
        <v>2014</v>
      </c>
      <c r="P210" s="9" t="n">
        <v>201.4</v>
      </c>
      <c r="Q210" s="9" t="n">
        <v>201.4</v>
      </c>
      <c r="R210" s="9" t="n">
        <v>201.4</v>
      </c>
      <c r="S210" s="9" t="n">
        <v>201.4</v>
      </c>
      <c r="T210" s="9" t="n">
        <v>201.4</v>
      </c>
      <c r="U210" s="9" t="n">
        <v>201.4</v>
      </c>
      <c r="V210" s="9" t="n">
        <v>201.4</v>
      </c>
      <c r="W210" s="9" t="n">
        <v>201.4</v>
      </c>
      <c r="X210" s="9" t="n">
        <v>201.4</v>
      </c>
      <c r="Y210" s="9" t="n">
        <v>201.4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774</v>
      </c>
      <c r="B211" s="3" t="s">
        <v>775</v>
      </c>
      <c r="C211" s="3" t="s">
        <v>256</v>
      </c>
      <c r="D211" s="3" t="s">
        <v>257</v>
      </c>
      <c r="E211" s="3" t="n">
        <v>1975</v>
      </c>
      <c r="F211" s="3" t="s">
        <v>265</v>
      </c>
      <c r="G211" s="3" t="s">
        <v>266</v>
      </c>
      <c r="H211" s="3" t="s">
        <v>776</v>
      </c>
      <c r="I211" s="3" t="s">
        <v>47</v>
      </c>
      <c r="J211" s="7" t="n">
        <v>280000</v>
      </c>
      <c r="K211" s="3" t="s">
        <v>131</v>
      </c>
      <c r="L211" s="7" t="n">
        <v>5230.19</v>
      </c>
      <c r="M211" s="7" t="n">
        <v>653.77</v>
      </c>
      <c r="N211" s="7" t="n">
        <v>653.77</v>
      </c>
      <c r="O211" s="7" t="n">
        <v>3922.6</v>
      </c>
      <c r="P211" s="7" t="n">
        <v>392.26</v>
      </c>
      <c r="Q211" s="7" t="n">
        <v>392.26</v>
      </c>
      <c r="R211" s="7" t="n">
        <v>392.26</v>
      </c>
      <c r="S211" s="7" t="n">
        <v>392.26</v>
      </c>
      <c r="T211" s="7" t="n">
        <v>392.26</v>
      </c>
      <c r="U211" s="7" t="n">
        <v>392.26</v>
      </c>
      <c r="V211" s="7" t="n">
        <v>392.26</v>
      </c>
      <c r="W211" s="7" t="n">
        <v>392.26</v>
      </c>
      <c r="X211" s="7" t="n">
        <v>392.26</v>
      </c>
      <c r="Y211" s="7" t="n">
        <v>392.26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777</v>
      </c>
      <c r="B212" s="8" t="s">
        <v>778</v>
      </c>
      <c r="C212" s="8" t="s">
        <v>263</v>
      </c>
      <c r="D212" s="8" t="s">
        <v>264</v>
      </c>
      <c r="E212" s="8" t="n">
        <v>1978</v>
      </c>
      <c r="F212" s="8" t="s">
        <v>80</v>
      </c>
      <c r="G212" s="8" t="s">
        <v>81</v>
      </c>
      <c r="H212" s="8" t="s">
        <v>779</v>
      </c>
      <c r="I212" s="8" t="s">
        <v>47</v>
      </c>
      <c r="J212" s="9" t="n">
        <v>480000</v>
      </c>
      <c r="K212" s="8" t="s">
        <v>556</v>
      </c>
      <c r="L212" s="9" t="n">
        <v>7607.55</v>
      </c>
      <c r="M212" s="9" t="n">
        <v>950.94</v>
      </c>
      <c r="N212" s="9" t="n">
        <v>950.94</v>
      </c>
      <c r="O212" s="9" t="n">
        <v>5705.7</v>
      </c>
      <c r="P212" s="9" t="n">
        <v>570.57</v>
      </c>
      <c r="Q212" s="9" t="n">
        <v>570.57</v>
      </c>
      <c r="R212" s="9" t="n">
        <v>570.57</v>
      </c>
      <c r="S212" s="9" t="n">
        <v>570.57</v>
      </c>
      <c r="T212" s="9" t="n">
        <v>570.57</v>
      </c>
      <c r="U212" s="9" t="n">
        <v>570.57</v>
      </c>
      <c r="V212" s="9" t="n">
        <v>570.57</v>
      </c>
      <c r="W212" s="9" t="n">
        <v>570.57</v>
      </c>
      <c r="X212" s="9" t="n">
        <v>570.57</v>
      </c>
      <c r="Y212" s="9" t="n">
        <v>570.57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780</v>
      </c>
      <c r="B213" s="3" t="s">
        <v>781</v>
      </c>
      <c r="C213" s="3" t="s">
        <v>385</v>
      </c>
      <c r="D213" s="3" t="s">
        <v>386</v>
      </c>
      <c r="E213" s="3" t="n">
        <v>2000</v>
      </c>
      <c r="F213" s="3" t="s">
        <v>44</v>
      </c>
      <c r="G213" s="3" t="s">
        <v>45</v>
      </c>
      <c r="H213" s="3" t="s">
        <v>782</v>
      </c>
      <c r="I213" s="3" t="s">
        <v>47</v>
      </c>
      <c r="J213" s="7" t="n">
        <v>815000</v>
      </c>
      <c r="K213" s="3" t="s">
        <v>83</v>
      </c>
      <c r="L213" s="7" t="n">
        <v>13493.63</v>
      </c>
      <c r="M213" s="7" t="n">
        <v>1686.7</v>
      </c>
      <c r="N213" s="7" t="n">
        <v>1686.7</v>
      </c>
      <c r="O213" s="7" t="n">
        <v>10120.2</v>
      </c>
      <c r="P213" s="7" t="n">
        <v>1012.02</v>
      </c>
      <c r="Q213" s="7" t="n">
        <v>1012.02</v>
      </c>
      <c r="R213" s="7" t="n">
        <v>1012.02</v>
      </c>
      <c r="S213" s="7" t="n">
        <v>1012.02</v>
      </c>
      <c r="T213" s="7" t="n">
        <v>1012.02</v>
      </c>
      <c r="U213" s="7" t="n">
        <v>1012.02</v>
      </c>
      <c r="V213" s="7" t="n">
        <v>1012.02</v>
      </c>
      <c r="W213" s="7" t="n">
        <v>1012.02</v>
      </c>
      <c r="X213" s="7" t="n">
        <v>1012.02</v>
      </c>
      <c r="Y213" s="7" t="n">
        <v>1012.02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783</v>
      </c>
      <c r="B214" s="8" t="s">
        <v>262</v>
      </c>
      <c r="C214" s="8" t="s">
        <v>158</v>
      </c>
      <c r="D214" s="8" t="s">
        <v>159</v>
      </c>
      <c r="E214" s="8" t="n">
        <v>2005</v>
      </c>
      <c r="F214" s="8" t="s">
        <v>80</v>
      </c>
      <c r="G214" s="8" t="s">
        <v>81</v>
      </c>
      <c r="H214" s="8" t="s">
        <v>784</v>
      </c>
      <c r="I214" s="8" t="s">
        <v>47</v>
      </c>
      <c r="J214" s="9" t="n">
        <v>1280000</v>
      </c>
      <c r="K214" s="8" t="s">
        <v>119</v>
      </c>
      <c r="L214" s="9" t="n">
        <v>16603.77</v>
      </c>
      <c r="M214" s="9" t="n">
        <v>2075.47</v>
      </c>
      <c r="N214" s="9" t="n">
        <v>2075.47</v>
      </c>
      <c r="O214" s="9" t="n">
        <v>12452.8</v>
      </c>
      <c r="P214" s="9" t="n">
        <v>1245.28</v>
      </c>
      <c r="Q214" s="9" t="n">
        <v>1245.28</v>
      </c>
      <c r="R214" s="9" t="n">
        <v>1245.28</v>
      </c>
      <c r="S214" s="9" t="n">
        <v>1245.28</v>
      </c>
      <c r="T214" s="9" t="n">
        <v>1245.28</v>
      </c>
      <c r="U214" s="9" t="n">
        <v>1245.28</v>
      </c>
      <c r="V214" s="9" t="n">
        <v>1245.28</v>
      </c>
      <c r="W214" s="9" t="n">
        <v>1245.28</v>
      </c>
      <c r="X214" s="9" t="n">
        <v>1245.28</v>
      </c>
      <c r="Y214" s="9" t="n">
        <v>1245.28</v>
      </c>
      <c r="Z214" s="9" t="n">
        <v>350</v>
      </c>
      <c r="AA214" s="9" t="n">
        <v>250</v>
      </c>
      <c r="AB214" s="9" t="n">
        <v>600</v>
      </c>
    </row>
    <row r="215" customFormat="false" ht="15" hidden="false" customHeight="false" outlineLevel="0" collapsed="false">
      <c r="A215" s="3" t="s">
        <v>785</v>
      </c>
      <c r="B215" s="3" t="s">
        <v>786</v>
      </c>
      <c r="C215" s="3" t="s">
        <v>200</v>
      </c>
      <c r="D215" s="3" t="s">
        <v>201</v>
      </c>
      <c r="E215" s="3" t="n">
        <v>1958</v>
      </c>
      <c r="F215" s="3" t="s">
        <v>276</v>
      </c>
      <c r="G215" s="3" t="s">
        <v>277</v>
      </c>
      <c r="H215" s="3" t="s">
        <v>787</v>
      </c>
      <c r="I215" s="3" t="s">
        <v>136</v>
      </c>
      <c r="J215" s="7" t="n">
        <v>1515000</v>
      </c>
      <c r="K215" s="3" t="s">
        <v>119</v>
      </c>
      <c r="L215" s="7" t="n">
        <v>13577.83</v>
      </c>
      <c r="M215" s="7" t="n">
        <v>1697.23</v>
      </c>
      <c r="N215" s="7" t="n">
        <v>1697.23</v>
      </c>
      <c r="O215" s="7" t="n">
        <v>10183.4</v>
      </c>
      <c r="P215" s="7" t="n">
        <v>1018.34</v>
      </c>
      <c r="Q215" s="7" t="n">
        <v>1018.34</v>
      </c>
      <c r="R215" s="7" t="n">
        <v>1018.34</v>
      </c>
      <c r="S215" s="7" t="n">
        <v>1018.34</v>
      </c>
      <c r="T215" s="7" t="n">
        <v>1018.34</v>
      </c>
      <c r="U215" s="7" t="n">
        <v>1018.34</v>
      </c>
      <c r="V215" s="7" t="n">
        <v>1018.34</v>
      </c>
      <c r="W215" s="7" t="n">
        <v>1018.34</v>
      </c>
      <c r="X215" s="7" t="n">
        <v>1018.34</v>
      </c>
      <c r="Y215" s="7" t="n">
        <v>1018.34</v>
      </c>
      <c r="Z215" s="7" t="n">
        <v>350</v>
      </c>
      <c r="AA215" s="7" t="n">
        <v>250</v>
      </c>
      <c r="AB215" s="7" t="n">
        <v>600</v>
      </c>
    </row>
    <row r="216" customFormat="false" ht="15" hidden="false" customHeight="false" outlineLevel="0" collapsed="false">
      <c r="A216" s="8" t="s">
        <v>788</v>
      </c>
      <c r="B216" s="8" t="s">
        <v>464</v>
      </c>
      <c r="C216" s="8" t="s">
        <v>282</v>
      </c>
      <c r="D216" s="8" t="s">
        <v>283</v>
      </c>
      <c r="E216" s="8" t="n">
        <v>2011</v>
      </c>
      <c r="F216" s="8" t="s">
        <v>99</v>
      </c>
      <c r="G216" s="8" t="s">
        <v>134</v>
      </c>
      <c r="H216" s="8" t="s">
        <v>789</v>
      </c>
      <c r="I216" s="8" t="s">
        <v>136</v>
      </c>
      <c r="J216" s="9" t="n">
        <v>850000</v>
      </c>
      <c r="K216" s="8" t="s">
        <v>83</v>
      </c>
      <c r="L216" s="9" t="n">
        <v>9309.91</v>
      </c>
      <c r="M216" s="9" t="n">
        <v>1163.74</v>
      </c>
      <c r="N216" s="9" t="n">
        <v>1163.74</v>
      </c>
      <c r="O216" s="9" t="n">
        <v>6982.4</v>
      </c>
      <c r="P216" s="9" t="n">
        <v>698.24</v>
      </c>
      <c r="Q216" s="9" t="n">
        <v>698.24</v>
      </c>
      <c r="R216" s="9" t="n">
        <v>698.24</v>
      </c>
      <c r="S216" s="9" t="n">
        <v>698.24</v>
      </c>
      <c r="T216" s="9" t="n">
        <v>698.24</v>
      </c>
      <c r="U216" s="9" t="n">
        <v>698.24</v>
      </c>
      <c r="V216" s="9" t="n">
        <v>698.24</v>
      </c>
      <c r="W216" s="9" t="n">
        <v>698.24</v>
      </c>
      <c r="X216" s="9" t="n">
        <v>698.24</v>
      </c>
      <c r="Y216" s="9" t="n">
        <v>698.24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790</v>
      </c>
      <c r="B217" s="3" t="s">
        <v>791</v>
      </c>
      <c r="C217" s="3" t="s">
        <v>206</v>
      </c>
      <c r="D217" s="3" t="s">
        <v>207</v>
      </c>
      <c r="E217" s="3" t="n">
        <v>1961</v>
      </c>
      <c r="F217" s="3" t="s">
        <v>265</v>
      </c>
      <c r="G217" s="3" t="s">
        <v>266</v>
      </c>
      <c r="H217" s="3" t="s">
        <v>792</v>
      </c>
      <c r="I217" s="3" t="s">
        <v>47</v>
      </c>
      <c r="J217" s="7" t="n">
        <v>365000</v>
      </c>
      <c r="K217" s="3" t="s">
        <v>108</v>
      </c>
      <c r="L217" s="7" t="n">
        <v>5939.86</v>
      </c>
      <c r="M217" s="7" t="n">
        <v>742.48</v>
      </c>
      <c r="N217" s="7" t="n">
        <v>742.48</v>
      </c>
      <c r="O217" s="7" t="n">
        <v>4454.9</v>
      </c>
      <c r="P217" s="7" t="n">
        <v>445.49</v>
      </c>
      <c r="Q217" s="7" t="n">
        <v>445.49</v>
      </c>
      <c r="R217" s="7" t="n">
        <v>445.49</v>
      </c>
      <c r="S217" s="7" t="n">
        <v>445.49</v>
      </c>
      <c r="T217" s="7" t="n">
        <v>445.49</v>
      </c>
      <c r="U217" s="7" t="n">
        <v>445.49</v>
      </c>
      <c r="V217" s="7" t="n">
        <v>445.49</v>
      </c>
      <c r="W217" s="7" t="n">
        <v>445.49</v>
      </c>
      <c r="X217" s="7" t="n">
        <v>445.49</v>
      </c>
      <c r="Y217" s="7" t="n">
        <v>445.49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793</v>
      </c>
      <c r="B218" s="8" t="s">
        <v>585</v>
      </c>
      <c r="C218" s="8" t="s">
        <v>78</v>
      </c>
      <c r="D218" s="8" t="s">
        <v>79</v>
      </c>
      <c r="E218" s="8" t="n">
        <v>1992</v>
      </c>
      <c r="F218" s="8" t="s">
        <v>99</v>
      </c>
      <c r="G218" s="8" t="s">
        <v>100</v>
      </c>
      <c r="H218" s="8" t="s">
        <v>794</v>
      </c>
      <c r="I218" s="8" t="s">
        <v>47</v>
      </c>
      <c r="J218" s="9" t="n">
        <v>580000</v>
      </c>
      <c r="K218" s="8" t="s">
        <v>212</v>
      </c>
      <c r="L218" s="9" t="n">
        <v>7255.47</v>
      </c>
      <c r="M218" s="9" t="n">
        <v>906.93</v>
      </c>
      <c r="N218" s="9" t="n">
        <v>906.93</v>
      </c>
      <c r="O218" s="9" t="n">
        <v>5441.6</v>
      </c>
      <c r="P218" s="9" t="n">
        <v>544.16</v>
      </c>
      <c r="Q218" s="9" t="n">
        <v>544.16</v>
      </c>
      <c r="R218" s="9" t="n">
        <v>544.16</v>
      </c>
      <c r="S218" s="9" t="n">
        <v>544.16</v>
      </c>
      <c r="T218" s="9" t="n">
        <v>544.16</v>
      </c>
      <c r="U218" s="9" t="n">
        <v>544.16</v>
      </c>
      <c r="V218" s="9" t="n">
        <v>544.16</v>
      </c>
      <c r="W218" s="9" t="n">
        <v>544.16</v>
      </c>
      <c r="X218" s="9" t="n">
        <v>544.16</v>
      </c>
      <c r="Y218" s="9" t="n">
        <v>544.16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795</v>
      </c>
      <c r="B219" s="3" t="s">
        <v>796</v>
      </c>
      <c r="C219" s="3" t="s">
        <v>164</v>
      </c>
      <c r="D219" s="3" t="s">
        <v>165</v>
      </c>
      <c r="E219" s="3" t="n">
        <v>1986</v>
      </c>
      <c r="F219" s="3" t="s">
        <v>276</v>
      </c>
      <c r="G219" s="3" t="s">
        <v>277</v>
      </c>
      <c r="H219" s="3" t="s">
        <v>797</v>
      </c>
      <c r="I219" s="3" t="s">
        <v>136</v>
      </c>
      <c r="J219" s="7" t="n">
        <v>180000</v>
      </c>
      <c r="K219" s="3" t="s">
        <v>656</v>
      </c>
      <c r="L219" s="7" t="n">
        <v>2052</v>
      </c>
      <c r="M219" s="7" t="n">
        <v>256.5</v>
      </c>
      <c r="N219" s="7" t="n">
        <v>256.5</v>
      </c>
      <c r="O219" s="7" t="n">
        <v>1539</v>
      </c>
      <c r="P219" s="7" t="n">
        <v>153.9</v>
      </c>
      <c r="Q219" s="7" t="n">
        <v>153.9</v>
      </c>
      <c r="R219" s="7" t="n">
        <v>153.9</v>
      </c>
      <c r="S219" s="7" t="n">
        <v>153.9</v>
      </c>
      <c r="T219" s="7" t="n">
        <v>153.9</v>
      </c>
      <c r="U219" s="7" t="n">
        <v>153.9</v>
      </c>
      <c r="V219" s="7" t="n">
        <v>153.9</v>
      </c>
      <c r="W219" s="7" t="n">
        <v>153.9</v>
      </c>
      <c r="X219" s="7" t="n">
        <v>153.9</v>
      </c>
      <c r="Y219" s="7" t="n">
        <v>153.9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798</v>
      </c>
      <c r="B220" s="8" t="s">
        <v>151</v>
      </c>
      <c r="C220" s="8" t="s">
        <v>86</v>
      </c>
      <c r="D220" s="8" t="s">
        <v>87</v>
      </c>
      <c r="E220" s="8" t="n">
        <v>2012</v>
      </c>
      <c r="F220" s="8" t="s">
        <v>80</v>
      </c>
      <c r="G220" s="8" t="s">
        <v>81</v>
      </c>
      <c r="H220" s="8" t="s">
        <v>799</v>
      </c>
      <c r="I220" s="8" t="s">
        <v>47</v>
      </c>
      <c r="J220" s="9" t="n">
        <v>355000</v>
      </c>
      <c r="K220" s="8" t="s">
        <v>260</v>
      </c>
      <c r="L220" s="9" t="n">
        <v>6279.48</v>
      </c>
      <c r="M220" s="9" t="n">
        <v>784.93</v>
      </c>
      <c r="N220" s="9" t="n">
        <v>784.93</v>
      </c>
      <c r="O220" s="9" t="n">
        <v>4709.6</v>
      </c>
      <c r="P220" s="9" t="n">
        <v>470.96</v>
      </c>
      <c r="Q220" s="9" t="n">
        <v>470.96</v>
      </c>
      <c r="R220" s="9" t="n">
        <v>470.96</v>
      </c>
      <c r="S220" s="9" t="n">
        <v>470.96</v>
      </c>
      <c r="T220" s="9" t="n">
        <v>470.96</v>
      </c>
      <c r="U220" s="9" t="n">
        <v>470.96</v>
      </c>
      <c r="V220" s="9" t="n">
        <v>470.96</v>
      </c>
      <c r="W220" s="9" t="n">
        <v>470.96</v>
      </c>
      <c r="X220" s="9" t="n">
        <v>470.96</v>
      </c>
      <c r="Y220" s="9" t="n">
        <v>470.96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800</v>
      </c>
      <c r="B221" s="3" t="s">
        <v>516</v>
      </c>
      <c r="C221" s="3" t="s">
        <v>274</v>
      </c>
      <c r="D221" s="3" t="s">
        <v>275</v>
      </c>
      <c r="E221" s="3" t="n">
        <v>1971</v>
      </c>
      <c r="F221" s="3" t="s">
        <v>88</v>
      </c>
      <c r="G221" s="3" t="s">
        <v>89</v>
      </c>
      <c r="H221" s="3" t="s">
        <v>801</v>
      </c>
      <c r="I221" s="3" t="s">
        <v>47</v>
      </c>
      <c r="J221" s="7" t="n">
        <v>345000</v>
      </c>
      <c r="K221" s="3" t="s">
        <v>268</v>
      </c>
      <c r="L221" s="7" t="n">
        <v>5321.46</v>
      </c>
      <c r="M221" s="7" t="n">
        <v>665.18</v>
      </c>
      <c r="N221" s="7" t="n">
        <v>665.18</v>
      </c>
      <c r="O221" s="7" t="n">
        <v>3991.1</v>
      </c>
      <c r="P221" s="7" t="n">
        <v>399.11</v>
      </c>
      <c r="Q221" s="7" t="n">
        <v>399.11</v>
      </c>
      <c r="R221" s="7" t="n">
        <v>399.11</v>
      </c>
      <c r="S221" s="7" t="n">
        <v>399.11</v>
      </c>
      <c r="T221" s="7" t="n">
        <v>399.11</v>
      </c>
      <c r="U221" s="7" t="n">
        <v>399.11</v>
      </c>
      <c r="V221" s="7" t="n">
        <v>399.11</v>
      </c>
      <c r="W221" s="7" t="n">
        <v>399.11</v>
      </c>
      <c r="X221" s="7" t="n">
        <v>399.11</v>
      </c>
      <c r="Y221" s="7" t="n">
        <v>399.11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802</v>
      </c>
      <c r="B222" s="8" t="s">
        <v>803</v>
      </c>
      <c r="C222" s="8" t="s">
        <v>315</v>
      </c>
      <c r="D222" s="8" t="s">
        <v>316</v>
      </c>
      <c r="E222" s="8" t="n">
        <v>2007</v>
      </c>
      <c r="F222" s="8" t="s">
        <v>99</v>
      </c>
      <c r="G222" s="8" t="s">
        <v>100</v>
      </c>
      <c r="H222" s="8" t="s">
        <v>804</v>
      </c>
      <c r="I222" s="8" t="s">
        <v>47</v>
      </c>
      <c r="J222" s="9" t="n">
        <v>625000</v>
      </c>
      <c r="K222" s="8" t="s">
        <v>471</v>
      </c>
      <c r="L222" s="9" t="n">
        <v>10577.83</v>
      </c>
      <c r="M222" s="9" t="n">
        <v>1322.23</v>
      </c>
      <c r="N222" s="9" t="n">
        <v>1322.23</v>
      </c>
      <c r="O222" s="9" t="n">
        <v>7933.4</v>
      </c>
      <c r="P222" s="9" t="n">
        <v>793.34</v>
      </c>
      <c r="Q222" s="9" t="n">
        <v>793.34</v>
      </c>
      <c r="R222" s="9" t="n">
        <v>793.34</v>
      </c>
      <c r="S222" s="9" t="n">
        <v>793.34</v>
      </c>
      <c r="T222" s="9" t="n">
        <v>793.34</v>
      </c>
      <c r="U222" s="9" t="n">
        <v>793.34</v>
      </c>
      <c r="V222" s="9" t="n">
        <v>793.34</v>
      </c>
      <c r="W222" s="9" t="n">
        <v>793.34</v>
      </c>
      <c r="X222" s="9" t="n">
        <v>793.34</v>
      </c>
      <c r="Y222" s="9" t="n">
        <v>793.34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805</v>
      </c>
      <c r="B223" s="3" t="s">
        <v>806</v>
      </c>
      <c r="C223" s="3" t="s">
        <v>179</v>
      </c>
      <c r="D223" s="3" t="s">
        <v>180</v>
      </c>
      <c r="E223" s="3" t="n">
        <v>1955</v>
      </c>
      <c r="F223" s="3" t="s">
        <v>276</v>
      </c>
      <c r="G223" s="3" t="s">
        <v>277</v>
      </c>
      <c r="H223" s="3" t="s">
        <v>807</v>
      </c>
      <c r="I223" s="3" t="s">
        <v>136</v>
      </c>
      <c r="J223" s="7" t="n">
        <v>400000</v>
      </c>
      <c r="K223" s="3" t="s">
        <v>161</v>
      </c>
      <c r="L223" s="7" t="n">
        <v>3622.64</v>
      </c>
      <c r="M223" s="7" t="n">
        <v>452.83</v>
      </c>
      <c r="N223" s="7" t="n">
        <v>452.83</v>
      </c>
      <c r="O223" s="7" t="n">
        <v>2717</v>
      </c>
      <c r="P223" s="7" t="n">
        <v>271.7</v>
      </c>
      <c r="Q223" s="7" t="n">
        <v>271.7</v>
      </c>
      <c r="R223" s="7" t="n">
        <v>271.7</v>
      </c>
      <c r="S223" s="7" t="n">
        <v>271.7</v>
      </c>
      <c r="T223" s="7" t="n">
        <v>271.7</v>
      </c>
      <c r="U223" s="7" t="n">
        <v>271.7</v>
      </c>
      <c r="V223" s="7" t="n">
        <v>271.7</v>
      </c>
      <c r="W223" s="7" t="n">
        <v>271.7</v>
      </c>
      <c r="X223" s="7" t="n">
        <v>271.7</v>
      </c>
      <c r="Y223" s="7" t="n">
        <v>271.7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808</v>
      </c>
      <c r="B224" s="8" t="s">
        <v>809</v>
      </c>
      <c r="C224" s="8" t="s">
        <v>179</v>
      </c>
      <c r="D224" s="8" t="s">
        <v>180</v>
      </c>
      <c r="E224" s="8" t="n">
        <v>1984</v>
      </c>
      <c r="F224" s="8" t="s">
        <v>99</v>
      </c>
      <c r="G224" s="8" t="s">
        <v>100</v>
      </c>
      <c r="H224" s="8" t="s">
        <v>810</v>
      </c>
      <c r="I224" s="8" t="s">
        <v>47</v>
      </c>
      <c r="J224" s="9" t="n">
        <v>390000</v>
      </c>
      <c r="K224" s="8" t="s">
        <v>451</v>
      </c>
      <c r="L224" s="9" t="n">
        <v>6125.94</v>
      </c>
      <c r="M224" s="9" t="n">
        <v>765.74</v>
      </c>
      <c r="N224" s="9" t="n">
        <v>765.74</v>
      </c>
      <c r="O224" s="9" t="n">
        <v>4594.5</v>
      </c>
      <c r="P224" s="9" t="n">
        <v>459.45</v>
      </c>
      <c r="Q224" s="9" t="n">
        <v>459.45</v>
      </c>
      <c r="R224" s="9" t="n">
        <v>459.45</v>
      </c>
      <c r="S224" s="9" t="n">
        <v>459.45</v>
      </c>
      <c r="T224" s="9" t="n">
        <v>459.45</v>
      </c>
      <c r="U224" s="9" t="n">
        <v>459.45</v>
      </c>
      <c r="V224" s="9" t="n">
        <v>459.45</v>
      </c>
      <c r="W224" s="9" t="n">
        <v>459.45</v>
      </c>
      <c r="X224" s="9" t="n">
        <v>459.45</v>
      </c>
      <c r="Y224" s="9" t="n">
        <v>459.45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811</v>
      </c>
      <c r="B225" s="3" t="s">
        <v>812</v>
      </c>
      <c r="C225" s="3" t="s">
        <v>111</v>
      </c>
      <c r="D225" s="3" t="s">
        <v>112</v>
      </c>
      <c r="E225" s="3" t="n">
        <v>2010</v>
      </c>
      <c r="F225" s="3" t="s">
        <v>53</v>
      </c>
      <c r="G225" s="3" t="s">
        <v>236</v>
      </c>
      <c r="H225" s="3" t="s">
        <v>813</v>
      </c>
      <c r="I225" s="3" t="s">
        <v>56</v>
      </c>
      <c r="J225" s="7" t="n">
        <v>715000</v>
      </c>
      <c r="K225" s="3" t="s">
        <v>149</v>
      </c>
      <c r="L225" s="7" t="n">
        <v>12303.4</v>
      </c>
      <c r="M225" s="7" t="n">
        <v>1537.92</v>
      </c>
      <c r="N225" s="7" t="n">
        <v>1537.92</v>
      </c>
      <c r="O225" s="7" t="n">
        <v>9227.5</v>
      </c>
      <c r="P225" s="7" t="n">
        <v>922.75</v>
      </c>
      <c r="Q225" s="7" t="n">
        <v>922.75</v>
      </c>
      <c r="R225" s="7" t="n">
        <v>922.75</v>
      </c>
      <c r="S225" s="7" t="n">
        <v>922.75</v>
      </c>
      <c r="T225" s="7" t="n">
        <v>922.75</v>
      </c>
      <c r="U225" s="7" t="n">
        <v>922.75</v>
      </c>
      <c r="V225" s="7" t="n">
        <v>922.75</v>
      </c>
      <c r="W225" s="7" t="n">
        <v>922.75</v>
      </c>
      <c r="X225" s="7" t="n">
        <v>922.75</v>
      </c>
      <c r="Y225" s="7" t="n">
        <v>922.75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814</v>
      </c>
      <c r="B226" s="8" t="s">
        <v>815</v>
      </c>
      <c r="C226" s="8" t="s">
        <v>158</v>
      </c>
      <c r="D226" s="8" t="s">
        <v>159</v>
      </c>
      <c r="E226" s="8" t="n">
        <v>1990</v>
      </c>
      <c r="F226" s="8" t="s">
        <v>53</v>
      </c>
      <c r="G226" s="8" t="s">
        <v>54</v>
      </c>
      <c r="H226" s="8" t="s">
        <v>816</v>
      </c>
      <c r="I226" s="8" t="s">
        <v>56</v>
      </c>
      <c r="J226" s="9" t="n">
        <v>1950000</v>
      </c>
      <c r="K226" s="8" t="s">
        <v>91</v>
      </c>
      <c r="L226" s="9" t="n">
        <v>37675.47</v>
      </c>
      <c r="M226" s="9" t="n">
        <v>4709.43</v>
      </c>
      <c r="N226" s="9" t="n">
        <v>4709.43</v>
      </c>
      <c r="O226" s="9" t="n">
        <v>28256.6</v>
      </c>
      <c r="P226" s="9" t="n">
        <v>2825.66</v>
      </c>
      <c r="Q226" s="9" t="n">
        <v>2825.66</v>
      </c>
      <c r="R226" s="9" t="n">
        <v>2825.66</v>
      </c>
      <c r="S226" s="9" t="n">
        <v>2825.66</v>
      </c>
      <c r="T226" s="9" t="n">
        <v>2825.66</v>
      </c>
      <c r="U226" s="9" t="n">
        <v>2825.66</v>
      </c>
      <c r="V226" s="9" t="n">
        <v>2825.66</v>
      </c>
      <c r="W226" s="9" t="n">
        <v>2825.66</v>
      </c>
      <c r="X226" s="9" t="n">
        <v>2825.66</v>
      </c>
      <c r="Y226" s="9" t="n">
        <v>2825.66</v>
      </c>
      <c r="Z226" s="9" t="n">
        <v>350</v>
      </c>
      <c r="AA226" s="9" t="n">
        <v>250</v>
      </c>
      <c r="AB226" s="9" t="n">
        <v>600</v>
      </c>
    </row>
    <row r="227" customFormat="false" ht="15" hidden="false" customHeight="false" outlineLevel="0" collapsed="false">
      <c r="A227" s="3" t="s">
        <v>817</v>
      </c>
      <c r="B227" s="3" t="s">
        <v>818</v>
      </c>
      <c r="C227" s="3" t="s">
        <v>128</v>
      </c>
      <c r="D227" s="3" t="s">
        <v>129</v>
      </c>
      <c r="E227" s="3" t="n">
        <v>1956</v>
      </c>
      <c r="F227" s="3" t="s">
        <v>265</v>
      </c>
      <c r="G227" s="3" t="s">
        <v>266</v>
      </c>
      <c r="H227" s="3" t="s">
        <v>819</v>
      </c>
      <c r="I227" s="3" t="s">
        <v>47</v>
      </c>
      <c r="J227" s="7" t="n">
        <v>315000</v>
      </c>
      <c r="K227" s="3" t="s">
        <v>362</v>
      </c>
      <c r="L227" s="7" t="n">
        <v>5928.54</v>
      </c>
      <c r="M227" s="7" t="n">
        <v>741.07</v>
      </c>
      <c r="N227" s="7" t="n">
        <v>741.07</v>
      </c>
      <c r="O227" s="7" t="n">
        <v>4446.4</v>
      </c>
      <c r="P227" s="7" t="n">
        <v>444.64</v>
      </c>
      <c r="Q227" s="7" t="n">
        <v>444.64</v>
      </c>
      <c r="R227" s="7" t="n">
        <v>444.64</v>
      </c>
      <c r="S227" s="7" t="n">
        <v>444.64</v>
      </c>
      <c r="T227" s="7" t="n">
        <v>444.64</v>
      </c>
      <c r="U227" s="7" t="n">
        <v>444.64</v>
      </c>
      <c r="V227" s="7" t="n">
        <v>444.64</v>
      </c>
      <c r="W227" s="7" t="n">
        <v>444.64</v>
      </c>
      <c r="X227" s="7" t="n">
        <v>444.64</v>
      </c>
      <c r="Y227" s="7" t="n">
        <v>444.64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820</v>
      </c>
      <c r="B228" s="8" t="s">
        <v>821</v>
      </c>
      <c r="C228" s="8" t="s">
        <v>158</v>
      </c>
      <c r="D228" s="8" t="s">
        <v>159</v>
      </c>
      <c r="E228" s="8" t="n">
        <v>1969</v>
      </c>
      <c r="F228" s="8" t="s">
        <v>44</v>
      </c>
      <c r="G228" s="8" t="s">
        <v>45</v>
      </c>
      <c r="H228" s="8" t="s">
        <v>822</v>
      </c>
      <c r="I228" s="8" t="s">
        <v>47</v>
      </c>
      <c r="J228" s="9" t="n">
        <v>970000</v>
      </c>
      <c r="K228" s="8" t="s">
        <v>141</v>
      </c>
      <c r="L228" s="9" t="n">
        <v>14513.4</v>
      </c>
      <c r="M228" s="9" t="n">
        <v>1814.17</v>
      </c>
      <c r="N228" s="9" t="n">
        <v>1814.17</v>
      </c>
      <c r="O228" s="9" t="n">
        <v>10885</v>
      </c>
      <c r="P228" s="9" t="n">
        <v>1088.5</v>
      </c>
      <c r="Q228" s="9" t="n">
        <v>1088.5</v>
      </c>
      <c r="R228" s="9" t="n">
        <v>1088.5</v>
      </c>
      <c r="S228" s="9" t="n">
        <v>1088.5</v>
      </c>
      <c r="T228" s="9" t="n">
        <v>1088.5</v>
      </c>
      <c r="U228" s="9" t="n">
        <v>1088.5</v>
      </c>
      <c r="V228" s="9" t="n">
        <v>1088.5</v>
      </c>
      <c r="W228" s="9" t="n">
        <v>1088.5</v>
      </c>
      <c r="X228" s="9" t="n">
        <v>1088.5</v>
      </c>
      <c r="Y228" s="9" t="n">
        <v>1088.5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823</v>
      </c>
      <c r="B229" s="3" t="s">
        <v>725</v>
      </c>
      <c r="C229" s="3" t="s">
        <v>219</v>
      </c>
      <c r="D229" s="3" t="s">
        <v>220</v>
      </c>
      <c r="E229" s="3" t="n">
        <v>1996</v>
      </c>
      <c r="F229" s="3" t="s">
        <v>146</v>
      </c>
      <c r="G229" s="3" t="s">
        <v>147</v>
      </c>
      <c r="H229" s="3" t="s">
        <v>824</v>
      </c>
      <c r="I229" s="3" t="s">
        <v>47</v>
      </c>
      <c r="J229" s="7" t="n">
        <v>760000</v>
      </c>
      <c r="K229" s="3" t="s">
        <v>399</v>
      </c>
      <c r="L229" s="7" t="n">
        <v>8481.89</v>
      </c>
      <c r="M229" s="7" t="n">
        <v>1060.24</v>
      </c>
      <c r="N229" s="7" t="n">
        <v>1060.24</v>
      </c>
      <c r="O229" s="7" t="n">
        <v>6361.4</v>
      </c>
      <c r="P229" s="7" t="n">
        <v>636.14</v>
      </c>
      <c r="Q229" s="7" t="n">
        <v>636.14</v>
      </c>
      <c r="R229" s="7" t="n">
        <v>636.14</v>
      </c>
      <c r="S229" s="7" t="n">
        <v>636.14</v>
      </c>
      <c r="T229" s="7" t="n">
        <v>636.14</v>
      </c>
      <c r="U229" s="7" t="n">
        <v>636.14</v>
      </c>
      <c r="V229" s="7" t="n">
        <v>636.14</v>
      </c>
      <c r="W229" s="7" t="n">
        <v>636.14</v>
      </c>
      <c r="X229" s="7" t="n">
        <v>636.14</v>
      </c>
      <c r="Y229" s="7" t="n">
        <v>636.14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825</v>
      </c>
      <c r="B230" s="8" t="s">
        <v>826</v>
      </c>
      <c r="C230" s="8" t="s">
        <v>78</v>
      </c>
      <c r="D230" s="8" t="s">
        <v>79</v>
      </c>
      <c r="E230" s="8" t="n">
        <v>1974</v>
      </c>
      <c r="F230" s="8" t="s">
        <v>146</v>
      </c>
      <c r="G230" s="8" t="s">
        <v>147</v>
      </c>
      <c r="H230" s="8" t="s">
        <v>827</v>
      </c>
      <c r="I230" s="8" t="s">
        <v>47</v>
      </c>
      <c r="J230" s="9" t="n">
        <v>290000</v>
      </c>
      <c r="K230" s="8" t="s">
        <v>324</v>
      </c>
      <c r="L230" s="9" t="n">
        <v>4883.49</v>
      </c>
      <c r="M230" s="9" t="n">
        <v>610.44</v>
      </c>
      <c r="N230" s="9" t="n">
        <v>610.44</v>
      </c>
      <c r="O230" s="9" t="n">
        <v>3662.6</v>
      </c>
      <c r="P230" s="9" t="n">
        <v>366.26</v>
      </c>
      <c r="Q230" s="9" t="n">
        <v>366.26</v>
      </c>
      <c r="R230" s="9" t="n">
        <v>366.26</v>
      </c>
      <c r="S230" s="9" t="n">
        <v>366.26</v>
      </c>
      <c r="T230" s="9" t="n">
        <v>366.26</v>
      </c>
      <c r="U230" s="9" t="n">
        <v>366.26</v>
      </c>
      <c r="V230" s="9" t="n">
        <v>366.26</v>
      </c>
      <c r="W230" s="9" t="n">
        <v>366.26</v>
      </c>
      <c r="X230" s="9" t="n">
        <v>366.26</v>
      </c>
      <c r="Y230" s="9" t="n">
        <v>366.26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828</v>
      </c>
      <c r="B231" s="3" t="s">
        <v>829</v>
      </c>
      <c r="C231" s="3" t="s">
        <v>51</v>
      </c>
      <c r="D231" s="3" t="s">
        <v>52</v>
      </c>
      <c r="E231" s="3" t="n">
        <v>2000</v>
      </c>
      <c r="F231" s="3" t="s">
        <v>276</v>
      </c>
      <c r="G231" s="3" t="s">
        <v>277</v>
      </c>
      <c r="H231" s="3" t="s">
        <v>830</v>
      </c>
      <c r="I231" s="3" t="s">
        <v>136</v>
      </c>
      <c r="J231" s="7" t="n">
        <v>430000</v>
      </c>
      <c r="K231" s="3" t="s">
        <v>149</v>
      </c>
      <c r="L231" s="7" t="n">
        <v>3738.57</v>
      </c>
      <c r="M231" s="7" t="n">
        <v>467.32</v>
      </c>
      <c r="N231" s="7" t="n">
        <v>467.32</v>
      </c>
      <c r="O231" s="7" t="n">
        <v>2803.9</v>
      </c>
      <c r="P231" s="7" t="n">
        <v>280.39</v>
      </c>
      <c r="Q231" s="7" t="n">
        <v>280.39</v>
      </c>
      <c r="R231" s="7" t="n">
        <v>280.39</v>
      </c>
      <c r="S231" s="7" t="n">
        <v>280.39</v>
      </c>
      <c r="T231" s="7" t="n">
        <v>280.39</v>
      </c>
      <c r="U231" s="7" t="n">
        <v>280.39</v>
      </c>
      <c r="V231" s="7" t="n">
        <v>280.39</v>
      </c>
      <c r="W231" s="7" t="n">
        <v>280.39</v>
      </c>
      <c r="X231" s="7" t="n">
        <v>280.39</v>
      </c>
      <c r="Y231" s="7" t="n">
        <v>280.39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831</v>
      </c>
      <c r="B232" s="8" t="s">
        <v>326</v>
      </c>
      <c r="C232" s="8" t="s">
        <v>78</v>
      </c>
      <c r="D232" s="8" t="s">
        <v>79</v>
      </c>
      <c r="E232" s="8" t="n">
        <v>2007</v>
      </c>
      <c r="F232" s="8" t="s">
        <v>99</v>
      </c>
      <c r="G232" s="8" t="s">
        <v>100</v>
      </c>
      <c r="H232" s="8" t="s">
        <v>832</v>
      </c>
      <c r="I232" s="8" t="s">
        <v>47</v>
      </c>
      <c r="J232" s="9" t="n">
        <v>710000</v>
      </c>
      <c r="K232" s="8" t="s">
        <v>593</v>
      </c>
      <c r="L232" s="9" t="n">
        <v>8098.02</v>
      </c>
      <c r="M232" s="9" t="n">
        <v>1012.25</v>
      </c>
      <c r="N232" s="9" t="n">
        <v>1012.25</v>
      </c>
      <c r="O232" s="9" t="n">
        <v>6073.5</v>
      </c>
      <c r="P232" s="9" t="n">
        <v>607.35</v>
      </c>
      <c r="Q232" s="9" t="n">
        <v>607.35</v>
      </c>
      <c r="R232" s="9" t="n">
        <v>607.35</v>
      </c>
      <c r="S232" s="9" t="n">
        <v>607.35</v>
      </c>
      <c r="T232" s="9" t="n">
        <v>607.35</v>
      </c>
      <c r="U232" s="9" t="n">
        <v>607.35</v>
      </c>
      <c r="V232" s="9" t="n">
        <v>607.35</v>
      </c>
      <c r="W232" s="9" t="n">
        <v>607.35</v>
      </c>
      <c r="X232" s="9" t="n">
        <v>607.35</v>
      </c>
      <c r="Y232" s="9" t="n">
        <v>607.35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833</v>
      </c>
      <c r="B233" s="3" t="s">
        <v>834</v>
      </c>
      <c r="C233" s="3" t="s">
        <v>116</v>
      </c>
      <c r="D233" s="3" t="s">
        <v>117</v>
      </c>
      <c r="E233" s="3" t="n">
        <v>1965</v>
      </c>
      <c r="F233" s="3" t="s">
        <v>265</v>
      </c>
      <c r="G233" s="3" t="s">
        <v>266</v>
      </c>
      <c r="H233" s="3" t="s">
        <v>835</v>
      </c>
      <c r="I233" s="3" t="s">
        <v>47</v>
      </c>
      <c r="J233" s="7" t="n">
        <v>495000</v>
      </c>
      <c r="K233" s="3" t="s">
        <v>471</v>
      </c>
      <c r="L233" s="7" t="n">
        <v>9666.51</v>
      </c>
      <c r="M233" s="7" t="n">
        <v>1208.31</v>
      </c>
      <c r="N233" s="7" t="n">
        <v>1208.31</v>
      </c>
      <c r="O233" s="7" t="n">
        <v>7249.9</v>
      </c>
      <c r="P233" s="7" t="n">
        <v>724.99</v>
      </c>
      <c r="Q233" s="7" t="n">
        <v>724.99</v>
      </c>
      <c r="R233" s="7" t="n">
        <v>724.99</v>
      </c>
      <c r="S233" s="7" t="n">
        <v>724.99</v>
      </c>
      <c r="T233" s="7" t="n">
        <v>724.99</v>
      </c>
      <c r="U233" s="7" t="n">
        <v>724.99</v>
      </c>
      <c r="V233" s="7" t="n">
        <v>724.99</v>
      </c>
      <c r="W233" s="7" t="n">
        <v>724.99</v>
      </c>
      <c r="X233" s="7" t="n">
        <v>724.99</v>
      </c>
      <c r="Y233" s="7" t="n">
        <v>724.99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836</v>
      </c>
      <c r="B234" s="8" t="s">
        <v>837</v>
      </c>
      <c r="C234" s="8" t="s">
        <v>116</v>
      </c>
      <c r="D234" s="8" t="s">
        <v>117</v>
      </c>
      <c r="E234" s="8" t="n">
        <v>1985</v>
      </c>
      <c r="F234" s="8" t="s">
        <v>53</v>
      </c>
      <c r="G234" s="8" t="s">
        <v>236</v>
      </c>
      <c r="H234" s="8" t="s">
        <v>838</v>
      </c>
      <c r="I234" s="8" t="s">
        <v>56</v>
      </c>
      <c r="J234" s="9" t="n">
        <v>1250000</v>
      </c>
      <c r="K234" s="8" t="s">
        <v>197</v>
      </c>
      <c r="L234" s="9" t="n">
        <v>29245.28</v>
      </c>
      <c r="M234" s="9" t="n">
        <v>3655.66</v>
      </c>
      <c r="N234" s="9" t="n">
        <v>3655.66</v>
      </c>
      <c r="O234" s="9" t="n">
        <v>21934</v>
      </c>
      <c r="P234" s="9" t="n">
        <v>2193.4</v>
      </c>
      <c r="Q234" s="9" t="n">
        <v>2193.4</v>
      </c>
      <c r="R234" s="9" t="n">
        <v>2193.4</v>
      </c>
      <c r="S234" s="9" t="n">
        <v>2193.4</v>
      </c>
      <c r="T234" s="9" t="n">
        <v>2193.4</v>
      </c>
      <c r="U234" s="9" t="n">
        <v>2193.4</v>
      </c>
      <c r="V234" s="9" t="n">
        <v>2193.4</v>
      </c>
      <c r="W234" s="9" t="n">
        <v>2193.4</v>
      </c>
      <c r="X234" s="9" t="n">
        <v>2193.4</v>
      </c>
      <c r="Y234" s="9" t="n">
        <v>2193.4</v>
      </c>
      <c r="Z234" s="9" t="n">
        <v>350</v>
      </c>
      <c r="AA234" s="9" t="n">
        <v>250</v>
      </c>
      <c r="AB234" s="9" t="n">
        <v>600</v>
      </c>
    </row>
    <row r="235" customFormat="false" ht="15" hidden="false" customHeight="false" outlineLevel="0" collapsed="false">
      <c r="A235" s="3" t="s">
        <v>839</v>
      </c>
      <c r="B235" s="3" t="s">
        <v>840</v>
      </c>
      <c r="C235" s="3" t="s">
        <v>219</v>
      </c>
      <c r="D235" s="3" t="s">
        <v>220</v>
      </c>
      <c r="E235" s="3" t="n">
        <v>2011</v>
      </c>
      <c r="F235" s="3" t="s">
        <v>88</v>
      </c>
      <c r="G235" s="3" t="s">
        <v>89</v>
      </c>
      <c r="H235" s="3" t="s">
        <v>841</v>
      </c>
      <c r="I235" s="3" t="s">
        <v>47</v>
      </c>
      <c r="J235" s="7" t="n">
        <v>530000</v>
      </c>
      <c r="K235" s="3" t="s">
        <v>83</v>
      </c>
      <c r="L235" s="7" t="n">
        <v>8775</v>
      </c>
      <c r="M235" s="7" t="n">
        <v>1096.88</v>
      </c>
      <c r="N235" s="7" t="n">
        <v>1096.88</v>
      </c>
      <c r="O235" s="7" t="n">
        <v>6581.2</v>
      </c>
      <c r="P235" s="7" t="n">
        <v>658.12</v>
      </c>
      <c r="Q235" s="7" t="n">
        <v>658.12</v>
      </c>
      <c r="R235" s="7" t="n">
        <v>658.12</v>
      </c>
      <c r="S235" s="7" t="n">
        <v>658.12</v>
      </c>
      <c r="T235" s="7" t="n">
        <v>658.12</v>
      </c>
      <c r="U235" s="7" t="n">
        <v>658.12</v>
      </c>
      <c r="V235" s="7" t="n">
        <v>658.12</v>
      </c>
      <c r="W235" s="7" t="n">
        <v>658.12</v>
      </c>
      <c r="X235" s="7" t="n">
        <v>658.12</v>
      </c>
      <c r="Y235" s="7" t="n">
        <v>658.12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842</v>
      </c>
      <c r="B236" s="8" t="s">
        <v>843</v>
      </c>
      <c r="C236" s="8" t="s">
        <v>152</v>
      </c>
      <c r="D236" s="8" t="s">
        <v>153</v>
      </c>
      <c r="E236" s="8" t="n">
        <v>1983</v>
      </c>
      <c r="F236" s="8" t="s">
        <v>99</v>
      </c>
      <c r="G236" s="8" t="s">
        <v>100</v>
      </c>
      <c r="H236" s="8" t="s">
        <v>844</v>
      </c>
      <c r="I236" s="8" t="s">
        <v>47</v>
      </c>
      <c r="J236" s="9" t="n">
        <v>700000</v>
      </c>
      <c r="K236" s="8" t="s">
        <v>149</v>
      </c>
      <c r="L236" s="9" t="n">
        <v>8241.51</v>
      </c>
      <c r="M236" s="9" t="n">
        <v>1030.19</v>
      </c>
      <c r="N236" s="9" t="n">
        <v>1030.19</v>
      </c>
      <c r="O236" s="9" t="n">
        <v>6181.1</v>
      </c>
      <c r="P236" s="9" t="n">
        <v>618.11</v>
      </c>
      <c r="Q236" s="9" t="n">
        <v>618.11</v>
      </c>
      <c r="R236" s="9" t="n">
        <v>618.11</v>
      </c>
      <c r="S236" s="9" t="n">
        <v>618.11</v>
      </c>
      <c r="T236" s="9" t="n">
        <v>618.11</v>
      </c>
      <c r="U236" s="9" t="n">
        <v>618.11</v>
      </c>
      <c r="V236" s="9" t="n">
        <v>618.11</v>
      </c>
      <c r="W236" s="9" t="n">
        <v>618.11</v>
      </c>
      <c r="X236" s="9" t="n">
        <v>618.11</v>
      </c>
      <c r="Y236" s="9" t="n">
        <v>618.11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845</v>
      </c>
      <c r="B237" s="3" t="s">
        <v>151</v>
      </c>
      <c r="C237" s="3" t="s">
        <v>51</v>
      </c>
      <c r="D237" s="3" t="s">
        <v>52</v>
      </c>
      <c r="E237" s="3" t="n">
        <v>1991</v>
      </c>
      <c r="F237" s="3" t="s">
        <v>88</v>
      </c>
      <c r="G237" s="3" t="s">
        <v>89</v>
      </c>
      <c r="H237" s="3" t="s">
        <v>846</v>
      </c>
      <c r="I237" s="3" t="s">
        <v>47</v>
      </c>
      <c r="J237" s="7" t="n">
        <v>435000</v>
      </c>
      <c r="K237" s="3" t="s">
        <v>83</v>
      </c>
      <c r="L237" s="7" t="n">
        <v>8310.14</v>
      </c>
      <c r="M237" s="7" t="n">
        <v>1038.77</v>
      </c>
      <c r="N237" s="7" t="n">
        <v>1038.77</v>
      </c>
      <c r="O237" s="7" t="n">
        <v>6232.6</v>
      </c>
      <c r="P237" s="7" t="n">
        <v>623.26</v>
      </c>
      <c r="Q237" s="7" t="n">
        <v>623.26</v>
      </c>
      <c r="R237" s="7" t="n">
        <v>623.26</v>
      </c>
      <c r="S237" s="7" t="n">
        <v>623.26</v>
      </c>
      <c r="T237" s="7" t="n">
        <v>623.26</v>
      </c>
      <c r="U237" s="7" t="n">
        <v>623.26</v>
      </c>
      <c r="V237" s="7" t="n">
        <v>623.26</v>
      </c>
      <c r="W237" s="7" t="n">
        <v>623.26</v>
      </c>
      <c r="X237" s="7" t="n">
        <v>623.26</v>
      </c>
      <c r="Y237" s="7" t="n">
        <v>623.26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847</v>
      </c>
      <c r="B238" s="8" t="s">
        <v>848</v>
      </c>
      <c r="C238" s="8" t="s">
        <v>274</v>
      </c>
      <c r="D238" s="8" t="s">
        <v>275</v>
      </c>
      <c r="E238" s="8" t="n">
        <v>2019</v>
      </c>
      <c r="F238" s="8" t="s">
        <v>88</v>
      </c>
      <c r="G238" s="8" t="s">
        <v>154</v>
      </c>
      <c r="H238" s="8" t="s">
        <v>849</v>
      </c>
      <c r="I238" s="8" t="s">
        <v>136</v>
      </c>
      <c r="J238" s="9" t="n">
        <v>1830000</v>
      </c>
      <c r="K238" s="8" t="s">
        <v>238</v>
      </c>
      <c r="L238" s="9" t="n">
        <v>15876.11</v>
      </c>
      <c r="M238" s="9" t="n">
        <v>1984.51</v>
      </c>
      <c r="N238" s="9" t="n">
        <v>1984.51</v>
      </c>
      <c r="O238" s="9" t="n">
        <v>11907.1</v>
      </c>
      <c r="P238" s="9" t="n">
        <v>1190.71</v>
      </c>
      <c r="Q238" s="9" t="n">
        <v>1190.71</v>
      </c>
      <c r="R238" s="9" t="n">
        <v>1190.71</v>
      </c>
      <c r="S238" s="9" t="n">
        <v>1190.71</v>
      </c>
      <c r="T238" s="9" t="n">
        <v>1190.71</v>
      </c>
      <c r="U238" s="9" t="n">
        <v>1190.71</v>
      </c>
      <c r="V238" s="9" t="n">
        <v>1190.71</v>
      </c>
      <c r="W238" s="9" t="n">
        <v>1190.71</v>
      </c>
      <c r="X238" s="9" t="n">
        <v>1190.71</v>
      </c>
      <c r="Y238" s="9" t="n">
        <v>1190.71</v>
      </c>
      <c r="Z238" s="9" t="n">
        <v>350</v>
      </c>
      <c r="AA238" s="9" t="n">
        <v>250</v>
      </c>
      <c r="AB238" s="9" t="n">
        <v>600</v>
      </c>
    </row>
    <row r="239" customFormat="false" ht="15" hidden="false" customHeight="false" outlineLevel="0" collapsed="false">
      <c r="A239" s="3" t="s">
        <v>850</v>
      </c>
      <c r="B239" s="3" t="s">
        <v>851</v>
      </c>
      <c r="C239" s="3" t="s">
        <v>152</v>
      </c>
      <c r="D239" s="3" t="s">
        <v>153</v>
      </c>
      <c r="E239" s="3" t="n">
        <v>2009</v>
      </c>
      <c r="F239" s="3" t="s">
        <v>99</v>
      </c>
      <c r="G239" s="3" t="s">
        <v>100</v>
      </c>
      <c r="H239" s="3" t="s">
        <v>852</v>
      </c>
      <c r="I239" s="3" t="s">
        <v>47</v>
      </c>
      <c r="J239" s="7" t="n">
        <v>715000</v>
      </c>
      <c r="K239" s="3" t="s">
        <v>656</v>
      </c>
      <c r="L239" s="7" t="n">
        <v>9295</v>
      </c>
      <c r="M239" s="7" t="n">
        <v>1161.88</v>
      </c>
      <c r="N239" s="7" t="n">
        <v>1161.88</v>
      </c>
      <c r="O239" s="7" t="n">
        <v>6971.2</v>
      </c>
      <c r="P239" s="7" t="n">
        <v>697.12</v>
      </c>
      <c r="Q239" s="7" t="n">
        <v>697.12</v>
      </c>
      <c r="R239" s="7" t="n">
        <v>697.12</v>
      </c>
      <c r="S239" s="7" t="n">
        <v>697.12</v>
      </c>
      <c r="T239" s="7" t="n">
        <v>697.12</v>
      </c>
      <c r="U239" s="7" t="n">
        <v>697.12</v>
      </c>
      <c r="V239" s="7" t="n">
        <v>697.12</v>
      </c>
      <c r="W239" s="7" t="n">
        <v>697.12</v>
      </c>
      <c r="X239" s="7" t="n">
        <v>697.12</v>
      </c>
      <c r="Y239" s="7" t="n">
        <v>697.12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853</v>
      </c>
      <c r="B240" s="8" t="s">
        <v>854</v>
      </c>
      <c r="C240" s="8" t="s">
        <v>219</v>
      </c>
      <c r="D240" s="8" t="s">
        <v>220</v>
      </c>
      <c r="E240" s="8" t="n">
        <v>1974</v>
      </c>
      <c r="F240" s="8" t="s">
        <v>146</v>
      </c>
      <c r="G240" s="8" t="s">
        <v>147</v>
      </c>
      <c r="H240" s="8" t="s">
        <v>855</v>
      </c>
      <c r="I240" s="8" t="s">
        <v>47</v>
      </c>
      <c r="J240" s="9" t="n">
        <v>390000</v>
      </c>
      <c r="K240" s="8" t="s">
        <v>91</v>
      </c>
      <c r="L240" s="9" t="n">
        <v>7064.15</v>
      </c>
      <c r="M240" s="9" t="n">
        <v>883.02</v>
      </c>
      <c r="N240" s="9" t="n">
        <v>883.02</v>
      </c>
      <c r="O240" s="9" t="n">
        <v>5298.1</v>
      </c>
      <c r="P240" s="9" t="n">
        <v>529.81</v>
      </c>
      <c r="Q240" s="9" t="n">
        <v>529.81</v>
      </c>
      <c r="R240" s="9" t="n">
        <v>529.81</v>
      </c>
      <c r="S240" s="9" t="n">
        <v>529.81</v>
      </c>
      <c r="T240" s="9" t="n">
        <v>529.81</v>
      </c>
      <c r="U240" s="9" t="n">
        <v>529.81</v>
      </c>
      <c r="V240" s="9" t="n">
        <v>529.81</v>
      </c>
      <c r="W240" s="9" t="n">
        <v>529.81</v>
      </c>
      <c r="X240" s="9" t="n">
        <v>529.81</v>
      </c>
      <c r="Y240" s="9" t="n">
        <v>529.81</v>
      </c>
      <c r="Z240" s="9" t="n">
        <v>350</v>
      </c>
      <c r="AA240" s="9" t="n">
        <v>0</v>
      </c>
      <c r="AB240" s="9" t="n">
        <v>350</v>
      </c>
    </row>
    <row r="241" customFormat="false" ht="15" hidden="false" customHeight="false" outlineLevel="0" collapsed="false">
      <c r="A241" s="3" t="s">
        <v>856</v>
      </c>
      <c r="B241" s="3" t="s">
        <v>857</v>
      </c>
      <c r="C241" s="3" t="s">
        <v>66</v>
      </c>
      <c r="D241" s="3" t="s">
        <v>67</v>
      </c>
      <c r="E241" s="3" t="n">
        <v>2022</v>
      </c>
      <c r="F241" s="3" t="s">
        <v>146</v>
      </c>
      <c r="G241" s="3" t="s">
        <v>147</v>
      </c>
      <c r="H241" s="3" t="s">
        <v>858</v>
      </c>
      <c r="I241" s="3" t="s">
        <v>47</v>
      </c>
      <c r="J241" s="7" t="n">
        <v>670000</v>
      </c>
      <c r="K241" s="3" t="s">
        <v>91</v>
      </c>
      <c r="L241" s="7" t="n">
        <v>10517.74</v>
      </c>
      <c r="M241" s="7" t="n">
        <v>1314.72</v>
      </c>
      <c r="N241" s="7" t="n">
        <v>1314.72</v>
      </c>
      <c r="O241" s="7" t="n">
        <v>7888.3</v>
      </c>
      <c r="P241" s="7" t="n">
        <v>788.83</v>
      </c>
      <c r="Q241" s="7" t="n">
        <v>788.83</v>
      </c>
      <c r="R241" s="7" t="n">
        <v>788.83</v>
      </c>
      <c r="S241" s="7" t="n">
        <v>788.83</v>
      </c>
      <c r="T241" s="7" t="n">
        <v>788.83</v>
      </c>
      <c r="U241" s="7" t="n">
        <v>788.83</v>
      </c>
      <c r="V241" s="7" t="n">
        <v>788.83</v>
      </c>
      <c r="W241" s="7" t="n">
        <v>788.83</v>
      </c>
      <c r="X241" s="7" t="n">
        <v>788.83</v>
      </c>
      <c r="Y241" s="7" t="n">
        <v>788.83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859</v>
      </c>
      <c r="B242" s="8" t="s">
        <v>860</v>
      </c>
      <c r="C242" s="8" t="s">
        <v>315</v>
      </c>
      <c r="D242" s="8" t="s">
        <v>316</v>
      </c>
      <c r="E242" s="8" t="n">
        <v>1989</v>
      </c>
      <c r="F242" s="8" t="s">
        <v>44</v>
      </c>
      <c r="G242" s="8" t="s">
        <v>45</v>
      </c>
      <c r="H242" s="8" t="s">
        <v>861</v>
      </c>
      <c r="I242" s="8" t="s">
        <v>47</v>
      </c>
      <c r="J242" s="9" t="n">
        <v>340000</v>
      </c>
      <c r="K242" s="8" t="s">
        <v>238</v>
      </c>
      <c r="L242" s="9" t="n">
        <v>5821.7</v>
      </c>
      <c r="M242" s="9" t="n">
        <v>727.71</v>
      </c>
      <c r="N242" s="9" t="n">
        <v>727.71</v>
      </c>
      <c r="O242" s="9" t="n">
        <v>4366.3</v>
      </c>
      <c r="P242" s="9" t="n">
        <v>436.63</v>
      </c>
      <c r="Q242" s="9" t="n">
        <v>436.63</v>
      </c>
      <c r="R242" s="9" t="n">
        <v>436.63</v>
      </c>
      <c r="S242" s="9" t="n">
        <v>436.63</v>
      </c>
      <c r="T242" s="9" t="n">
        <v>436.63</v>
      </c>
      <c r="U242" s="9" t="n">
        <v>436.63</v>
      </c>
      <c r="V242" s="9" t="n">
        <v>436.63</v>
      </c>
      <c r="W242" s="9" t="n">
        <v>436.63</v>
      </c>
      <c r="X242" s="9" t="n">
        <v>436.63</v>
      </c>
      <c r="Y242" s="9" t="n">
        <v>436.63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862</v>
      </c>
      <c r="B243" s="3" t="s">
        <v>767</v>
      </c>
      <c r="C243" s="3" t="s">
        <v>385</v>
      </c>
      <c r="D243" s="3" t="s">
        <v>386</v>
      </c>
      <c r="E243" s="3" t="n">
        <v>1989</v>
      </c>
      <c r="F243" s="3" t="s">
        <v>88</v>
      </c>
      <c r="G243" s="3" t="s">
        <v>89</v>
      </c>
      <c r="H243" s="3" t="s">
        <v>863</v>
      </c>
      <c r="I243" s="3" t="s">
        <v>47</v>
      </c>
      <c r="J243" s="7" t="n">
        <v>445000</v>
      </c>
      <c r="K243" s="3" t="s">
        <v>197</v>
      </c>
      <c r="L243" s="7" t="n">
        <v>9760.61</v>
      </c>
      <c r="M243" s="7" t="n">
        <v>1220.08</v>
      </c>
      <c r="N243" s="7" t="n">
        <v>1220.08</v>
      </c>
      <c r="O243" s="7" t="n">
        <v>7320.5</v>
      </c>
      <c r="P243" s="7" t="n">
        <v>732.05</v>
      </c>
      <c r="Q243" s="7" t="n">
        <v>732.05</v>
      </c>
      <c r="R243" s="7" t="n">
        <v>732.05</v>
      </c>
      <c r="S243" s="7" t="n">
        <v>732.05</v>
      </c>
      <c r="T243" s="7" t="n">
        <v>732.05</v>
      </c>
      <c r="U243" s="7" t="n">
        <v>732.05</v>
      </c>
      <c r="V243" s="7" t="n">
        <v>732.05</v>
      </c>
      <c r="W243" s="7" t="n">
        <v>732.05</v>
      </c>
      <c r="X243" s="7" t="n">
        <v>732.05</v>
      </c>
      <c r="Y243" s="7" t="n">
        <v>732.05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864</v>
      </c>
      <c r="B244" s="8" t="s">
        <v>85</v>
      </c>
      <c r="C244" s="8" t="s">
        <v>42</v>
      </c>
      <c r="D244" s="8" t="s">
        <v>43</v>
      </c>
      <c r="E244" s="8" t="n">
        <v>1964</v>
      </c>
      <c r="F244" s="8" t="s">
        <v>88</v>
      </c>
      <c r="G244" s="8" t="s">
        <v>89</v>
      </c>
      <c r="H244" s="8" t="s">
        <v>865</v>
      </c>
      <c r="I244" s="8" t="s">
        <v>47</v>
      </c>
      <c r="J244" s="9" t="n">
        <v>490000</v>
      </c>
      <c r="K244" s="8" t="s">
        <v>83</v>
      </c>
      <c r="L244" s="9" t="n">
        <v>9360.85</v>
      </c>
      <c r="M244" s="9" t="n">
        <v>1170.11</v>
      </c>
      <c r="N244" s="9" t="n">
        <v>1170.11</v>
      </c>
      <c r="O244" s="9" t="n">
        <v>7020.6</v>
      </c>
      <c r="P244" s="9" t="n">
        <v>702.06</v>
      </c>
      <c r="Q244" s="9" t="n">
        <v>702.06</v>
      </c>
      <c r="R244" s="9" t="n">
        <v>702.06</v>
      </c>
      <c r="S244" s="9" t="n">
        <v>702.06</v>
      </c>
      <c r="T244" s="9" t="n">
        <v>702.06</v>
      </c>
      <c r="U244" s="9" t="n">
        <v>702.06</v>
      </c>
      <c r="V244" s="9" t="n">
        <v>702.06</v>
      </c>
      <c r="W244" s="9" t="n">
        <v>702.06</v>
      </c>
      <c r="X244" s="9" t="n">
        <v>702.06</v>
      </c>
      <c r="Y244" s="9" t="n">
        <v>702.06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866</v>
      </c>
      <c r="B245" s="3" t="s">
        <v>151</v>
      </c>
      <c r="C245" s="3" t="s">
        <v>51</v>
      </c>
      <c r="D245" s="3" t="s">
        <v>52</v>
      </c>
      <c r="E245" s="3" t="n">
        <v>1977</v>
      </c>
      <c r="F245" s="3" t="s">
        <v>276</v>
      </c>
      <c r="G245" s="3" t="s">
        <v>277</v>
      </c>
      <c r="H245" s="3" t="s">
        <v>867</v>
      </c>
      <c r="I245" s="3" t="s">
        <v>136</v>
      </c>
      <c r="J245" s="7" t="n">
        <v>1550000</v>
      </c>
      <c r="K245" s="3" t="s">
        <v>216</v>
      </c>
      <c r="L245" s="7" t="n">
        <v>15002.83</v>
      </c>
      <c r="M245" s="7" t="n">
        <v>1875.35</v>
      </c>
      <c r="N245" s="7" t="n">
        <v>1875.35</v>
      </c>
      <c r="O245" s="7" t="n">
        <v>11252.1</v>
      </c>
      <c r="P245" s="7" t="n">
        <v>1125.21</v>
      </c>
      <c r="Q245" s="7" t="n">
        <v>1125.21</v>
      </c>
      <c r="R245" s="7" t="n">
        <v>1125.21</v>
      </c>
      <c r="S245" s="7" t="n">
        <v>1125.21</v>
      </c>
      <c r="T245" s="7" t="n">
        <v>1125.21</v>
      </c>
      <c r="U245" s="7" t="n">
        <v>1125.21</v>
      </c>
      <c r="V245" s="7" t="n">
        <v>1125.21</v>
      </c>
      <c r="W245" s="7" t="n">
        <v>1125.21</v>
      </c>
      <c r="X245" s="7" t="n">
        <v>1125.21</v>
      </c>
      <c r="Y245" s="7" t="n">
        <v>1125.21</v>
      </c>
      <c r="Z245" s="7" t="n">
        <v>350</v>
      </c>
      <c r="AA245" s="7" t="n">
        <v>250</v>
      </c>
      <c r="AB245" s="7" t="n">
        <v>600</v>
      </c>
    </row>
    <row r="246" customFormat="false" ht="15" hidden="false" customHeight="false" outlineLevel="0" collapsed="false">
      <c r="A246" s="8" t="s">
        <v>868</v>
      </c>
      <c r="B246" s="8" t="s">
        <v>851</v>
      </c>
      <c r="C246" s="8" t="s">
        <v>42</v>
      </c>
      <c r="D246" s="8" t="s">
        <v>43</v>
      </c>
      <c r="E246" s="8" t="n">
        <v>1997</v>
      </c>
      <c r="F246" s="8" t="s">
        <v>53</v>
      </c>
      <c r="G246" s="8" t="s">
        <v>54</v>
      </c>
      <c r="H246" s="8" t="s">
        <v>869</v>
      </c>
      <c r="I246" s="8" t="s">
        <v>56</v>
      </c>
      <c r="J246" s="9" t="n">
        <v>460000</v>
      </c>
      <c r="K246" s="8" t="s">
        <v>324</v>
      </c>
      <c r="L246" s="9" t="n">
        <v>11877.55</v>
      </c>
      <c r="M246" s="9" t="n">
        <v>1484.69</v>
      </c>
      <c r="N246" s="9" t="n">
        <v>1484.69</v>
      </c>
      <c r="O246" s="9" t="n">
        <v>8908.2</v>
      </c>
      <c r="P246" s="9" t="n">
        <v>890.82</v>
      </c>
      <c r="Q246" s="9" t="n">
        <v>890.82</v>
      </c>
      <c r="R246" s="9" t="n">
        <v>890.82</v>
      </c>
      <c r="S246" s="9" t="n">
        <v>890.82</v>
      </c>
      <c r="T246" s="9" t="n">
        <v>890.82</v>
      </c>
      <c r="U246" s="9" t="n">
        <v>890.82</v>
      </c>
      <c r="V246" s="9" t="n">
        <v>890.82</v>
      </c>
      <c r="W246" s="9" t="n">
        <v>890.82</v>
      </c>
      <c r="X246" s="9" t="n">
        <v>890.82</v>
      </c>
      <c r="Y246" s="9" t="n">
        <v>890.82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870</v>
      </c>
      <c r="B247" s="3" t="s">
        <v>871</v>
      </c>
      <c r="C247" s="3" t="s">
        <v>144</v>
      </c>
      <c r="D247" s="3" t="s">
        <v>145</v>
      </c>
      <c r="E247" s="3" t="n">
        <v>2019</v>
      </c>
      <c r="F247" s="3" t="s">
        <v>88</v>
      </c>
      <c r="G247" s="3" t="s">
        <v>89</v>
      </c>
      <c r="H247" s="3" t="s">
        <v>872</v>
      </c>
      <c r="I247" s="3" t="s">
        <v>47</v>
      </c>
      <c r="J247" s="7" t="n">
        <v>370000</v>
      </c>
      <c r="K247" s="3" t="s">
        <v>173</v>
      </c>
      <c r="L247" s="7" t="n">
        <v>6021.23</v>
      </c>
      <c r="M247" s="7" t="n">
        <v>752.65</v>
      </c>
      <c r="N247" s="7" t="n">
        <v>752.65</v>
      </c>
      <c r="O247" s="7" t="n">
        <v>4515.9</v>
      </c>
      <c r="P247" s="7" t="n">
        <v>451.59</v>
      </c>
      <c r="Q247" s="7" t="n">
        <v>451.59</v>
      </c>
      <c r="R247" s="7" t="n">
        <v>451.59</v>
      </c>
      <c r="S247" s="7" t="n">
        <v>451.59</v>
      </c>
      <c r="T247" s="7" t="n">
        <v>451.59</v>
      </c>
      <c r="U247" s="7" t="n">
        <v>451.59</v>
      </c>
      <c r="V247" s="7" t="n">
        <v>451.59</v>
      </c>
      <c r="W247" s="7" t="n">
        <v>451.59</v>
      </c>
      <c r="X247" s="7" t="n">
        <v>451.59</v>
      </c>
      <c r="Y247" s="7" t="n">
        <v>451.59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873</v>
      </c>
      <c r="B248" s="8" t="s">
        <v>874</v>
      </c>
      <c r="C248" s="8" t="s">
        <v>274</v>
      </c>
      <c r="D248" s="8" t="s">
        <v>275</v>
      </c>
      <c r="E248" s="8" t="n">
        <v>2020</v>
      </c>
      <c r="F248" s="8" t="s">
        <v>80</v>
      </c>
      <c r="G248" s="8" t="s">
        <v>81</v>
      </c>
      <c r="H248" s="8" t="s">
        <v>875</v>
      </c>
      <c r="I248" s="8" t="s">
        <v>47</v>
      </c>
      <c r="J248" s="9" t="n">
        <v>850000</v>
      </c>
      <c r="K248" s="8" t="s">
        <v>126</v>
      </c>
      <c r="L248" s="9" t="n">
        <v>9903.3</v>
      </c>
      <c r="M248" s="9" t="n">
        <v>1237.91</v>
      </c>
      <c r="N248" s="9" t="n">
        <v>1237.91</v>
      </c>
      <c r="O248" s="9" t="n">
        <v>7427.5</v>
      </c>
      <c r="P248" s="9" t="n">
        <v>742.75</v>
      </c>
      <c r="Q248" s="9" t="n">
        <v>742.75</v>
      </c>
      <c r="R248" s="9" t="n">
        <v>742.75</v>
      </c>
      <c r="S248" s="9" t="n">
        <v>742.75</v>
      </c>
      <c r="T248" s="9" t="n">
        <v>742.75</v>
      </c>
      <c r="U248" s="9" t="n">
        <v>742.75</v>
      </c>
      <c r="V248" s="9" t="n">
        <v>742.75</v>
      </c>
      <c r="W248" s="9" t="n">
        <v>742.75</v>
      </c>
      <c r="X248" s="9" t="n">
        <v>742.75</v>
      </c>
      <c r="Y248" s="9" t="n">
        <v>742.75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876</v>
      </c>
      <c r="B249" s="3" t="s">
        <v>877</v>
      </c>
      <c r="C249" s="3" t="s">
        <v>263</v>
      </c>
      <c r="D249" s="3" t="s">
        <v>264</v>
      </c>
      <c r="E249" s="3" t="n">
        <v>2006</v>
      </c>
      <c r="F249" s="3" t="s">
        <v>105</v>
      </c>
      <c r="G249" s="3" t="s">
        <v>106</v>
      </c>
      <c r="H249" s="3" t="s">
        <v>878</v>
      </c>
      <c r="I249" s="3" t="s">
        <v>56</v>
      </c>
      <c r="J249" s="7" t="n">
        <v>545000</v>
      </c>
      <c r="K249" s="3" t="s">
        <v>48</v>
      </c>
      <c r="L249" s="7" t="n">
        <v>9475.8</v>
      </c>
      <c r="M249" s="7" t="n">
        <v>1184.47</v>
      </c>
      <c r="N249" s="7" t="n">
        <v>1184.47</v>
      </c>
      <c r="O249" s="7" t="n">
        <v>7106.8</v>
      </c>
      <c r="P249" s="7" t="n">
        <v>710.68</v>
      </c>
      <c r="Q249" s="7" t="n">
        <v>710.68</v>
      </c>
      <c r="R249" s="7" t="n">
        <v>710.68</v>
      </c>
      <c r="S249" s="7" t="n">
        <v>710.68</v>
      </c>
      <c r="T249" s="7" t="n">
        <v>710.68</v>
      </c>
      <c r="U249" s="7" t="n">
        <v>710.68</v>
      </c>
      <c r="V249" s="7" t="n">
        <v>710.68</v>
      </c>
      <c r="W249" s="7" t="n">
        <v>710.68</v>
      </c>
      <c r="X249" s="7" t="n">
        <v>710.68</v>
      </c>
      <c r="Y249" s="7" t="n">
        <v>710.68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879</v>
      </c>
      <c r="B250" s="8" t="s">
        <v>880</v>
      </c>
      <c r="C250" s="8" t="s">
        <v>206</v>
      </c>
      <c r="D250" s="8" t="s">
        <v>207</v>
      </c>
      <c r="E250" s="8" t="n">
        <v>2019</v>
      </c>
      <c r="F250" s="8" t="s">
        <v>44</v>
      </c>
      <c r="G250" s="8" t="s">
        <v>45</v>
      </c>
      <c r="H250" s="8" t="s">
        <v>881</v>
      </c>
      <c r="I250" s="8" t="s">
        <v>47</v>
      </c>
      <c r="J250" s="9" t="n">
        <v>320000</v>
      </c>
      <c r="K250" s="8" t="s">
        <v>83</v>
      </c>
      <c r="L250" s="9" t="n">
        <v>6113.21</v>
      </c>
      <c r="M250" s="9" t="n">
        <v>764.15</v>
      </c>
      <c r="N250" s="9" t="n">
        <v>764.15</v>
      </c>
      <c r="O250" s="9" t="n">
        <v>4584.9</v>
      </c>
      <c r="P250" s="9" t="n">
        <v>458.49</v>
      </c>
      <c r="Q250" s="9" t="n">
        <v>458.49</v>
      </c>
      <c r="R250" s="9" t="n">
        <v>458.49</v>
      </c>
      <c r="S250" s="9" t="n">
        <v>458.49</v>
      </c>
      <c r="T250" s="9" t="n">
        <v>458.49</v>
      </c>
      <c r="U250" s="9" t="n">
        <v>458.49</v>
      </c>
      <c r="V250" s="9" t="n">
        <v>458.49</v>
      </c>
      <c r="W250" s="9" t="n">
        <v>458.49</v>
      </c>
      <c r="X250" s="9" t="n">
        <v>458.49</v>
      </c>
      <c r="Y250" s="9" t="n">
        <v>458.49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882</v>
      </c>
      <c r="B251" s="3" t="s">
        <v>384</v>
      </c>
      <c r="C251" s="3" t="s">
        <v>158</v>
      </c>
      <c r="D251" s="3" t="s">
        <v>159</v>
      </c>
      <c r="E251" s="3" t="n">
        <v>1997</v>
      </c>
      <c r="F251" s="3" t="s">
        <v>53</v>
      </c>
      <c r="G251" s="3" t="s">
        <v>54</v>
      </c>
      <c r="H251" s="3" t="s">
        <v>883</v>
      </c>
      <c r="I251" s="3" t="s">
        <v>56</v>
      </c>
      <c r="J251" s="7" t="n">
        <v>535000</v>
      </c>
      <c r="K251" s="3" t="s">
        <v>268</v>
      </c>
      <c r="L251" s="7" t="n">
        <v>10452.69</v>
      </c>
      <c r="M251" s="7" t="n">
        <v>1306.59</v>
      </c>
      <c r="N251" s="7" t="n">
        <v>1306.59</v>
      </c>
      <c r="O251" s="7" t="n">
        <v>7839.5</v>
      </c>
      <c r="P251" s="7" t="n">
        <v>783.95</v>
      </c>
      <c r="Q251" s="7" t="n">
        <v>783.95</v>
      </c>
      <c r="R251" s="7" t="n">
        <v>783.95</v>
      </c>
      <c r="S251" s="7" t="n">
        <v>783.95</v>
      </c>
      <c r="T251" s="7" t="n">
        <v>783.95</v>
      </c>
      <c r="U251" s="7" t="n">
        <v>783.95</v>
      </c>
      <c r="V251" s="7" t="n">
        <v>783.95</v>
      </c>
      <c r="W251" s="7" t="n">
        <v>783.95</v>
      </c>
      <c r="X251" s="7" t="n">
        <v>783.95</v>
      </c>
      <c r="Y251" s="7" t="n">
        <v>783.95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884</v>
      </c>
      <c r="B252" s="8" t="s">
        <v>885</v>
      </c>
      <c r="C252" s="8" t="s">
        <v>42</v>
      </c>
      <c r="D252" s="8" t="s">
        <v>43</v>
      </c>
      <c r="E252" s="8" t="n">
        <v>2002</v>
      </c>
      <c r="F252" s="8" t="s">
        <v>44</v>
      </c>
      <c r="G252" s="8" t="s">
        <v>45</v>
      </c>
      <c r="H252" s="8" t="s">
        <v>886</v>
      </c>
      <c r="I252" s="8" t="s">
        <v>47</v>
      </c>
      <c r="J252" s="9" t="n">
        <v>190000</v>
      </c>
      <c r="K252" s="8" t="s">
        <v>161</v>
      </c>
      <c r="L252" s="9" t="n">
        <v>3298.11</v>
      </c>
      <c r="M252" s="9" t="n">
        <v>412.26</v>
      </c>
      <c r="N252" s="9" t="n">
        <v>412.26</v>
      </c>
      <c r="O252" s="9" t="n">
        <v>2473.6</v>
      </c>
      <c r="P252" s="9" t="n">
        <v>247.36</v>
      </c>
      <c r="Q252" s="9" t="n">
        <v>247.36</v>
      </c>
      <c r="R252" s="9" t="n">
        <v>247.36</v>
      </c>
      <c r="S252" s="9" t="n">
        <v>247.36</v>
      </c>
      <c r="T252" s="9" t="n">
        <v>247.36</v>
      </c>
      <c r="U252" s="9" t="n">
        <v>247.36</v>
      </c>
      <c r="V252" s="9" t="n">
        <v>247.36</v>
      </c>
      <c r="W252" s="9" t="n">
        <v>247.36</v>
      </c>
      <c r="X252" s="9" t="n">
        <v>247.36</v>
      </c>
      <c r="Y252" s="9" t="n">
        <v>247.36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887</v>
      </c>
      <c r="B253" s="3" t="s">
        <v>121</v>
      </c>
      <c r="C253" s="3" t="s">
        <v>116</v>
      </c>
      <c r="D253" s="3" t="s">
        <v>117</v>
      </c>
      <c r="E253" s="3" t="n">
        <v>1960</v>
      </c>
      <c r="F253" s="3" t="s">
        <v>53</v>
      </c>
      <c r="G253" s="3" t="s">
        <v>54</v>
      </c>
      <c r="H253" s="3" t="s">
        <v>888</v>
      </c>
      <c r="I253" s="3" t="s">
        <v>56</v>
      </c>
      <c r="J253" s="7" t="n">
        <v>285000</v>
      </c>
      <c r="K253" s="3" t="s">
        <v>238</v>
      </c>
      <c r="L253" s="7" t="n">
        <v>7482.59</v>
      </c>
      <c r="M253" s="7" t="n">
        <v>935.32</v>
      </c>
      <c r="N253" s="7" t="n">
        <v>935.32</v>
      </c>
      <c r="O253" s="7" t="n">
        <v>5611.9</v>
      </c>
      <c r="P253" s="7" t="n">
        <v>561.19</v>
      </c>
      <c r="Q253" s="7" t="n">
        <v>561.19</v>
      </c>
      <c r="R253" s="7" t="n">
        <v>561.19</v>
      </c>
      <c r="S253" s="7" t="n">
        <v>561.19</v>
      </c>
      <c r="T253" s="7" t="n">
        <v>561.19</v>
      </c>
      <c r="U253" s="7" t="n">
        <v>561.19</v>
      </c>
      <c r="V253" s="7" t="n">
        <v>561.19</v>
      </c>
      <c r="W253" s="7" t="n">
        <v>561.19</v>
      </c>
      <c r="X253" s="7" t="n">
        <v>561.19</v>
      </c>
      <c r="Y253" s="7" t="n">
        <v>561.19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889</v>
      </c>
      <c r="B254" s="8" t="s">
        <v>890</v>
      </c>
      <c r="C254" s="8" t="s">
        <v>250</v>
      </c>
      <c r="D254" s="8" t="s">
        <v>251</v>
      </c>
      <c r="E254" s="8" t="n">
        <v>1997</v>
      </c>
      <c r="F254" s="8" t="s">
        <v>44</v>
      </c>
      <c r="G254" s="8" t="s">
        <v>45</v>
      </c>
      <c r="H254" s="8" t="s">
        <v>891</v>
      </c>
      <c r="I254" s="8" t="s">
        <v>47</v>
      </c>
      <c r="J254" s="9" t="n">
        <v>490000</v>
      </c>
      <c r="K254" s="8" t="s">
        <v>216</v>
      </c>
      <c r="L254" s="9" t="n">
        <v>9360.85</v>
      </c>
      <c r="M254" s="9" t="n">
        <v>1170.11</v>
      </c>
      <c r="N254" s="9" t="n">
        <v>1170.11</v>
      </c>
      <c r="O254" s="9" t="n">
        <v>7020.6</v>
      </c>
      <c r="P254" s="9" t="n">
        <v>702.06</v>
      </c>
      <c r="Q254" s="9" t="n">
        <v>702.06</v>
      </c>
      <c r="R254" s="9" t="n">
        <v>702.06</v>
      </c>
      <c r="S254" s="9" t="n">
        <v>702.06</v>
      </c>
      <c r="T254" s="9" t="n">
        <v>702.06</v>
      </c>
      <c r="U254" s="9" t="n">
        <v>702.06</v>
      </c>
      <c r="V254" s="9" t="n">
        <v>702.06</v>
      </c>
      <c r="W254" s="9" t="n">
        <v>702.06</v>
      </c>
      <c r="X254" s="9" t="n">
        <v>702.06</v>
      </c>
      <c r="Y254" s="9" t="n">
        <v>702.06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892</v>
      </c>
      <c r="B255" s="3" t="s">
        <v>893</v>
      </c>
      <c r="C255" s="3" t="s">
        <v>60</v>
      </c>
      <c r="D255" s="3" t="s">
        <v>61</v>
      </c>
      <c r="E255" s="3" t="n">
        <v>2002</v>
      </c>
      <c r="F255" s="3" t="s">
        <v>53</v>
      </c>
      <c r="G255" s="3" t="s">
        <v>236</v>
      </c>
      <c r="H255" s="3" t="s">
        <v>894</v>
      </c>
      <c r="I255" s="3" t="s">
        <v>56</v>
      </c>
      <c r="J255" s="7" t="n">
        <v>165000</v>
      </c>
      <c r="K255" s="3" t="s">
        <v>324</v>
      </c>
      <c r="L255" s="7" t="n">
        <v>5260.7</v>
      </c>
      <c r="M255" s="7" t="n">
        <v>657.59</v>
      </c>
      <c r="N255" s="7" t="n">
        <v>657.59</v>
      </c>
      <c r="O255" s="7" t="n">
        <v>3945.5</v>
      </c>
      <c r="P255" s="7" t="n">
        <v>394.55</v>
      </c>
      <c r="Q255" s="7" t="n">
        <v>394.55</v>
      </c>
      <c r="R255" s="7" t="n">
        <v>394.55</v>
      </c>
      <c r="S255" s="7" t="n">
        <v>394.55</v>
      </c>
      <c r="T255" s="7" t="n">
        <v>394.55</v>
      </c>
      <c r="U255" s="7" t="n">
        <v>394.55</v>
      </c>
      <c r="V255" s="7" t="n">
        <v>394.55</v>
      </c>
      <c r="W255" s="7" t="n">
        <v>394.55</v>
      </c>
      <c r="X255" s="7" t="n">
        <v>394.55</v>
      </c>
      <c r="Y255" s="7" t="n">
        <v>394.55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895</v>
      </c>
      <c r="B256" s="8" t="s">
        <v>648</v>
      </c>
      <c r="C256" s="8" t="s">
        <v>200</v>
      </c>
      <c r="D256" s="8" t="s">
        <v>201</v>
      </c>
      <c r="E256" s="8" t="n">
        <v>1958</v>
      </c>
      <c r="F256" s="8" t="s">
        <v>105</v>
      </c>
      <c r="G256" s="8" t="s">
        <v>106</v>
      </c>
      <c r="H256" s="8" t="s">
        <v>896</v>
      </c>
      <c r="I256" s="8" t="s">
        <v>56</v>
      </c>
      <c r="J256" s="9" t="n">
        <v>1950000</v>
      </c>
      <c r="K256" s="8" t="s">
        <v>656</v>
      </c>
      <c r="L256" s="9" t="n">
        <v>31200</v>
      </c>
      <c r="M256" s="9" t="n">
        <v>3900</v>
      </c>
      <c r="N256" s="9" t="n">
        <v>3900</v>
      </c>
      <c r="O256" s="9" t="n">
        <v>23400</v>
      </c>
      <c r="P256" s="9" t="n">
        <v>2340</v>
      </c>
      <c r="Q256" s="9" t="n">
        <v>2340</v>
      </c>
      <c r="R256" s="9" t="n">
        <v>2340</v>
      </c>
      <c r="S256" s="9" t="n">
        <v>2340</v>
      </c>
      <c r="T256" s="9" t="n">
        <v>2340</v>
      </c>
      <c r="U256" s="9" t="n">
        <v>2340</v>
      </c>
      <c r="V256" s="9" t="n">
        <v>2340</v>
      </c>
      <c r="W256" s="9" t="n">
        <v>2340</v>
      </c>
      <c r="X256" s="9" t="n">
        <v>2340</v>
      </c>
      <c r="Y256" s="9" t="n">
        <v>2340</v>
      </c>
      <c r="Z256" s="9" t="n">
        <v>350</v>
      </c>
      <c r="AA256" s="9" t="n">
        <v>250</v>
      </c>
      <c r="AB256" s="9" t="n">
        <v>600</v>
      </c>
    </row>
    <row r="257" customFormat="false" ht="15" hidden="false" customHeight="false" outlineLevel="0" collapsed="false">
      <c r="A257" s="3" t="s">
        <v>897</v>
      </c>
      <c r="B257" s="3" t="s">
        <v>898</v>
      </c>
      <c r="C257" s="3" t="s">
        <v>190</v>
      </c>
      <c r="D257" s="3" t="s">
        <v>191</v>
      </c>
      <c r="E257" s="3" t="n">
        <v>1983</v>
      </c>
      <c r="F257" s="3" t="s">
        <v>146</v>
      </c>
      <c r="G257" s="3" t="s">
        <v>147</v>
      </c>
      <c r="H257" s="3" t="s">
        <v>899</v>
      </c>
      <c r="I257" s="3" t="s">
        <v>47</v>
      </c>
      <c r="J257" s="7" t="n">
        <v>545000</v>
      </c>
      <c r="K257" s="3" t="s">
        <v>471</v>
      </c>
      <c r="L257" s="7" t="n">
        <v>9223.87</v>
      </c>
      <c r="M257" s="7" t="n">
        <v>1152.98</v>
      </c>
      <c r="N257" s="7" t="n">
        <v>1152.98</v>
      </c>
      <c r="O257" s="7" t="n">
        <v>6917.9</v>
      </c>
      <c r="P257" s="7" t="n">
        <v>691.79</v>
      </c>
      <c r="Q257" s="7" t="n">
        <v>691.79</v>
      </c>
      <c r="R257" s="7" t="n">
        <v>691.79</v>
      </c>
      <c r="S257" s="7" t="n">
        <v>691.79</v>
      </c>
      <c r="T257" s="7" t="n">
        <v>691.79</v>
      </c>
      <c r="U257" s="7" t="n">
        <v>691.79</v>
      </c>
      <c r="V257" s="7" t="n">
        <v>691.79</v>
      </c>
      <c r="W257" s="7" t="n">
        <v>691.79</v>
      </c>
      <c r="X257" s="7" t="n">
        <v>691.79</v>
      </c>
      <c r="Y257" s="7" t="n">
        <v>691.79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900</v>
      </c>
      <c r="B258" s="8" t="s">
        <v>901</v>
      </c>
      <c r="C258" s="8" t="s">
        <v>42</v>
      </c>
      <c r="D258" s="8" t="s">
        <v>43</v>
      </c>
      <c r="E258" s="8" t="n">
        <v>1989</v>
      </c>
      <c r="F258" s="8" t="s">
        <v>146</v>
      </c>
      <c r="G258" s="8" t="s">
        <v>147</v>
      </c>
      <c r="H258" s="8" t="s">
        <v>902</v>
      </c>
      <c r="I258" s="8" t="s">
        <v>47</v>
      </c>
      <c r="J258" s="9" t="n">
        <v>715000</v>
      </c>
      <c r="K258" s="8" t="s">
        <v>197</v>
      </c>
      <c r="L258" s="9" t="n">
        <v>13591.75</v>
      </c>
      <c r="M258" s="9" t="n">
        <v>1698.97</v>
      </c>
      <c r="N258" s="9" t="n">
        <v>1698.97</v>
      </c>
      <c r="O258" s="9" t="n">
        <v>10193.8</v>
      </c>
      <c r="P258" s="9" t="n">
        <v>1019.38</v>
      </c>
      <c r="Q258" s="9" t="n">
        <v>1019.38</v>
      </c>
      <c r="R258" s="9" t="n">
        <v>1019.38</v>
      </c>
      <c r="S258" s="9" t="n">
        <v>1019.38</v>
      </c>
      <c r="T258" s="9" t="n">
        <v>1019.38</v>
      </c>
      <c r="U258" s="9" t="n">
        <v>1019.38</v>
      </c>
      <c r="V258" s="9" t="n">
        <v>1019.38</v>
      </c>
      <c r="W258" s="9" t="n">
        <v>1019.38</v>
      </c>
      <c r="X258" s="9" t="n">
        <v>1019.38</v>
      </c>
      <c r="Y258" s="9" t="n">
        <v>1019.38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903</v>
      </c>
      <c r="B259" s="3" t="s">
        <v>904</v>
      </c>
      <c r="C259" s="3" t="s">
        <v>263</v>
      </c>
      <c r="D259" s="3" t="s">
        <v>264</v>
      </c>
      <c r="E259" s="3" t="n">
        <v>1970</v>
      </c>
      <c r="F259" s="3" t="s">
        <v>276</v>
      </c>
      <c r="G259" s="3" t="s">
        <v>277</v>
      </c>
      <c r="H259" s="3" t="s">
        <v>905</v>
      </c>
      <c r="I259" s="3" t="s">
        <v>136</v>
      </c>
      <c r="J259" s="7" t="n">
        <v>170000</v>
      </c>
      <c r="K259" s="3" t="s">
        <v>216</v>
      </c>
      <c r="L259" s="7" t="n">
        <v>2468.21</v>
      </c>
      <c r="M259" s="7" t="n">
        <v>308.53</v>
      </c>
      <c r="N259" s="7" t="n">
        <v>308.53</v>
      </c>
      <c r="O259" s="7" t="n">
        <v>1851.2</v>
      </c>
      <c r="P259" s="7" t="n">
        <v>185.12</v>
      </c>
      <c r="Q259" s="7" t="n">
        <v>185.12</v>
      </c>
      <c r="R259" s="7" t="n">
        <v>185.12</v>
      </c>
      <c r="S259" s="7" t="n">
        <v>185.12</v>
      </c>
      <c r="T259" s="7" t="n">
        <v>185.12</v>
      </c>
      <c r="U259" s="7" t="n">
        <v>185.12</v>
      </c>
      <c r="V259" s="7" t="n">
        <v>185.12</v>
      </c>
      <c r="W259" s="7" t="n">
        <v>185.12</v>
      </c>
      <c r="X259" s="7" t="n">
        <v>185.12</v>
      </c>
      <c r="Y259" s="7" t="n">
        <v>185.12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906</v>
      </c>
      <c r="B260" s="8" t="s">
        <v>513</v>
      </c>
      <c r="C260" s="8" t="s">
        <v>72</v>
      </c>
      <c r="D260" s="8" t="s">
        <v>73</v>
      </c>
      <c r="E260" s="8" t="n">
        <v>2002</v>
      </c>
      <c r="F260" s="8" t="s">
        <v>44</v>
      </c>
      <c r="G260" s="8" t="s">
        <v>45</v>
      </c>
      <c r="H260" s="8" t="s">
        <v>907</v>
      </c>
      <c r="I260" s="8" t="s">
        <v>47</v>
      </c>
      <c r="J260" s="9" t="n">
        <v>260000</v>
      </c>
      <c r="K260" s="8" t="s">
        <v>83</v>
      </c>
      <c r="L260" s="9" t="n">
        <v>4966.98</v>
      </c>
      <c r="M260" s="9" t="n">
        <v>620.87</v>
      </c>
      <c r="N260" s="9" t="n">
        <v>620.87</v>
      </c>
      <c r="O260" s="9" t="n">
        <v>3725.2</v>
      </c>
      <c r="P260" s="9" t="n">
        <v>372.52</v>
      </c>
      <c r="Q260" s="9" t="n">
        <v>372.52</v>
      </c>
      <c r="R260" s="9" t="n">
        <v>372.52</v>
      </c>
      <c r="S260" s="9" t="n">
        <v>372.52</v>
      </c>
      <c r="T260" s="9" t="n">
        <v>372.52</v>
      </c>
      <c r="U260" s="9" t="n">
        <v>372.52</v>
      </c>
      <c r="V260" s="9" t="n">
        <v>372.52</v>
      </c>
      <c r="W260" s="9" t="n">
        <v>372.52</v>
      </c>
      <c r="X260" s="9" t="n">
        <v>372.52</v>
      </c>
      <c r="Y260" s="9" t="n">
        <v>372.52</v>
      </c>
      <c r="Z260" s="9" t="n">
        <v>350</v>
      </c>
      <c r="AA260" s="9" t="n">
        <v>0</v>
      </c>
      <c r="AB260" s="9" t="n">
        <v>350</v>
      </c>
    </row>
    <row r="261" customFormat="false" ht="15" hidden="false" customHeight="false" outlineLevel="0" collapsed="false">
      <c r="A261" s="3" t="s">
        <v>908</v>
      </c>
      <c r="B261" s="3" t="s">
        <v>333</v>
      </c>
      <c r="C261" s="3" t="s">
        <v>42</v>
      </c>
      <c r="D261" s="3" t="s">
        <v>43</v>
      </c>
      <c r="E261" s="3" t="n">
        <v>1997</v>
      </c>
      <c r="F261" s="3" t="s">
        <v>387</v>
      </c>
      <c r="G261" s="3" t="s">
        <v>388</v>
      </c>
      <c r="H261" s="3" t="s">
        <v>909</v>
      </c>
      <c r="I261" s="3" t="s">
        <v>56</v>
      </c>
      <c r="J261" s="7" t="n">
        <v>470000</v>
      </c>
      <c r="K261" s="3" t="s">
        <v>137</v>
      </c>
      <c r="L261" s="7" t="n">
        <v>12543.68</v>
      </c>
      <c r="M261" s="7" t="n">
        <v>1567.96</v>
      </c>
      <c r="N261" s="7" t="n">
        <v>1567.96</v>
      </c>
      <c r="O261" s="7" t="n">
        <v>9407.8</v>
      </c>
      <c r="P261" s="7" t="n">
        <v>940.78</v>
      </c>
      <c r="Q261" s="7" t="n">
        <v>940.78</v>
      </c>
      <c r="R261" s="7" t="n">
        <v>940.78</v>
      </c>
      <c r="S261" s="7" t="n">
        <v>940.78</v>
      </c>
      <c r="T261" s="7" t="n">
        <v>940.78</v>
      </c>
      <c r="U261" s="7" t="n">
        <v>940.78</v>
      </c>
      <c r="V261" s="7" t="n">
        <v>940.78</v>
      </c>
      <c r="W261" s="7" t="n">
        <v>940.78</v>
      </c>
      <c r="X261" s="7" t="n">
        <v>940.78</v>
      </c>
      <c r="Y261" s="7" t="n">
        <v>940.78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910</v>
      </c>
      <c r="B262" s="8" t="s">
        <v>435</v>
      </c>
      <c r="C262" s="8" t="s">
        <v>51</v>
      </c>
      <c r="D262" s="8" t="s">
        <v>52</v>
      </c>
      <c r="E262" s="8" t="n">
        <v>1960</v>
      </c>
      <c r="F262" s="8" t="s">
        <v>53</v>
      </c>
      <c r="G262" s="8" t="s">
        <v>54</v>
      </c>
      <c r="H262" s="8" t="s">
        <v>911</v>
      </c>
      <c r="I262" s="8" t="s">
        <v>56</v>
      </c>
      <c r="J262" s="9" t="n">
        <v>1950000</v>
      </c>
      <c r="K262" s="8" t="s">
        <v>102</v>
      </c>
      <c r="L262" s="9" t="n">
        <v>40030.19</v>
      </c>
      <c r="M262" s="9" t="n">
        <v>5003.77</v>
      </c>
      <c r="N262" s="9" t="n">
        <v>5003.77</v>
      </c>
      <c r="O262" s="9" t="n">
        <v>30022.6</v>
      </c>
      <c r="P262" s="9" t="n">
        <v>3002.26</v>
      </c>
      <c r="Q262" s="9" t="n">
        <v>3002.26</v>
      </c>
      <c r="R262" s="9" t="n">
        <v>3002.26</v>
      </c>
      <c r="S262" s="9" t="n">
        <v>3002.26</v>
      </c>
      <c r="T262" s="9" t="n">
        <v>3002.26</v>
      </c>
      <c r="U262" s="9" t="n">
        <v>3002.26</v>
      </c>
      <c r="V262" s="9" t="n">
        <v>3002.26</v>
      </c>
      <c r="W262" s="9" t="n">
        <v>3002.26</v>
      </c>
      <c r="X262" s="9" t="n">
        <v>3002.26</v>
      </c>
      <c r="Y262" s="9" t="n">
        <v>3002.26</v>
      </c>
      <c r="Z262" s="9" t="n">
        <v>350</v>
      </c>
      <c r="AA262" s="9" t="n">
        <v>250</v>
      </c>
      <c r="AB262" s="9" t="n">
        <v>600</v>
      </c>
    </row>
    <row r="263" customFormat="false" ht="15" hidden="false" customHeight="false" outlineLevel="0" collapsed="false">
      <c r="A263" s="3" t="s">
        <v>912</v>
      </c>
      <c r="B263" s="3" t="s">
        <v>913</v>
      </c>
      <c r="C263" s="3" t="s">
        <v>158</v>
      </c>
      <c r="D263" s="3" t="s">
        <v>159</v>
      </c>
      <c r="E263" s="3" t="n">
        <v>1996</v>
      </c>
      <c r="F263" s="3" t="s">
        <v>44</v>
      </c>
      <c r="G263" s="3" t="s">
        <v>45</v>
      </c>
      <c r="H263" s="3" t="s">
        <v>914</v>
      </c>
      <c r="I263" s="3" t="s">
        <v>47</v>
      </c>
      <c r="J263" s="7" t="n">
        <v>555000</v>
      </c>
      <c r="K263" s="3" t="s">
        <v>108</v>
      </c>
      <c r="L263" s="7" t="n">
        <v>7827.59</v>
      </c>
      <c r="M263" s="7" t="n">
        <v>978.45</v>
      </c>
      <c r="N263" s="7" t="n">
        <v>978.45</v>
      </c>
      <c r="O263" s="7" t="n">
        <v>5870.7</v>
      </c>
      <c r="P263" s="7" t="n">
        <v>587.07</v>
      </c>
      <c r="Q263" s="7" t="n">
        <v>587.07</v>
      </c>
      <c r="R263" s="7" t="n">
        <v>587.07</v>
      </c>
      <c r="S263" s="7" t="n">
        <v>587.07</v>
      </c>
      <c r="T263" s="7" t="n">
        <v>587.07</v>
      </c>
      <c r="U263" s="7" t="n">
        <v>587.07</v>
      </c>
      <c r="V263" s="7" t="n">
        <v>587.07</v>
      </c>
      <c r="W263" s="7" t="n">
        <v>587.07</v>
      </c>
      <c r="X263" s="7" t="n">
        <v>587.07</v>
      </c>
      <c r="Y263" s="7" t="n">
        <v>587.07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915</v>
      </c>
      <c r="B264" s="8" t="s">
        <v>916</v>
      </c>
      <c r="C264" s="8" t="s">
        <v>86</v>
      </c>
      <c r="D264" s="8" t="s">
        <v>87</v>
      </c>
      <c r="E264" s="8" t="n">
        <v>1967</v>
      </c>
      <c r="F264" s="8" t="s">
        <v>53</v>
      </c>
      <c r="G264" s="8" t="s">
        <v>54</v>
      </c>
      <c r="H264" s="8" t="s">
        <v>917</v>
      </c>
      <c r="I264" s="8" t="s">
        <v>56</v>
      </c>
      <c r="J264" s="9" t="n">
        <v>1145000</v>
      </c>
      <c r="K264" s="8" t="s">
        <v>324</v>
      </c>
      <c r="L264" s="9" t="n">
        <v>20566.79</v>
      </c>
      <c r="M264" s="9" t="n">
        <v>2570.85</v>
      </c>
      <c r="N264" s="9" t="n">
        <v>2570.85</v>
      </c>
      <c r="O264" s="9" t="n">
        <v>15425.1</v>
      </c>
      <c r="P264" s="9" t="n">
        <v>1542.51</v>
      </c>
      <c r="Q264" s="9" t="n">
        <v>1542.51</v>
      </c>
      <c r="R264" s="9" t="n">
        <v>1542.51</v>
      </c>
      <c r="S264" s="9" t="n">
        <v>1542.51</v>
      </c>
      <c r="T264" s="9" t="n">
        <v>1542.51</v>
      </c>
      <c r="U264" s="9" t="n">
        <v>1542.51</v>
      </c>
      <c r="V264" s="9" t="n">
        <v>1542.51</v>
      </c>
      <c r="W264" s="9" t="n">
        <v>1542.51</v>
      </c>
      <c r="X264" s="9" t="n">
        <v>1542.51</v>
      </c>
      <c r="Y264" s="9" t="n">
        <v>1542.51</v>
      </c>
      <c r="Z264" s="9" t="n">
        <v>350</v>
      </c>
      <c r="AA264" s="9" t="n">
        <v>250</v>
      </c>
      <c r="AB264" s="9" t="n">
        <v>600</v>
      </c>
    </row>
    <row r="265" customFormat="false" ht="15" hidden="false" customHeight="false" outlineLevel="0" collapsed="false">
      <c r="A265" s="3" t="s">
        <v>918</v>
      </c>
      <c r="B265" s="3" t="s">
        <v>919</v>
      </c>
      <c r="C265" s="3" t="s">
        <v>111</v>
      </c>
      <c r="D265" s="3" t="s">
        <v>112</v>
      </c>
      <c r="E265" s="3" t="n">
        <v>1977</v>
      </c>
      <c r="F265" s="3" t="s">
        <v>99</v>
      </c>
      <c r="G265" s="3" t="s">
        <v>100</v>
      </c>
      <c r="H265" s="3" t="s">
        <v>920</v>
      </c>
      <c r="I265" s="3" t="s">
        <v>47</v>
      </c>
      <c r="J265" s="7" t="n">
        <v>530000</v>
      </c>
      <c r="K265" s="3" t="s">
        <v>203</v>
      </c>
      <c r="L265" s="7" t="n">
        <v>9230</v>
      </c>
      <c r="M265" s="7" t="n">
        <v>1153.75</v>
      </c>
      <c r="N265" s="7" t="n">
        <v>1153.75</v>
      </c>
      <c r="O265" s="7" t="n">
        <v>6922.5</v>
      </c>
      <c r="P265" s="7" t="n">
        <v>692.25</v>
      </c>
      <c r="Q265" s="7" t="n">
        <v>692.25</v>
      </c>
      <c r="R265" s="7" t="n">
        <v>692.25</v>
      </c>
      <c r="S265" s="7" t="n">
        <v>692.25</v>
      </c>
      <c r="T265" s="7" t="n">
        <v>692.25</v>
      </c>
      <c r="U265" s="7" t="n">
        <v>692.25</v>
      </c>
      <c r="V265" s="7" t="n">
        <v>692.25</v>
      </c>
      <c r="W265" s="7" t="n">
        <v>692.25</v>
      </c>
      <c r="X265" s="7" t="n">
        <v>692.25</v>
      </c>
      <c r="Y265" s="7" t="n">
        <v>692.25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921</v>
      </c>
      <c r="B266" s="8" t="s">
        <v>922</v>
      </c>
      <c r="C266" s="8" t="s">
        <v>250</v>
      </c>
      <c r="D266" s="8" t="s">
        <v>251</v>
      </c>
      <c r="E266" s="8" t="n">
        <v>1964</v>
      </c>
      <c r="F266" s="8" t="s">
        <v>99</v>
      </c>
      <c r="G266" s="8" t="s">
        <v>100</v>
      </c>
      <c r="H266" s="8" t="s">
        <v>923</v>
      </c>
      <c r="I266" s="8" t="s">
        <v>47</v>
      </c>
      <c r="J266" s="9" t="n">
        <v>860000</v>
      </c>
      <c r="K266" s="8" t="s">
        <v>131</v>
      </c>
      <c r="L266" s="9" t="n">
        <v>13922.26</v>
      </c>
      <c r="M266" s="9" t="n">
        <v>1740.28</v>
      </c>
      <c r="N266" s="9" t="n">
        <v>1740.28</v>
      </c>
      <c r="O266" s="9" t="n">
        <v>10441.7</v>
      </c>
      <c r="P266" s="9" t="n">
        <v>1044.17</v>
      </c>
      <c r="Q266" s="9" t="n">
        <v>1044.17</v>
      </c>
      <c r="R266" s="9" t="n">
        <v>1044.17</v>
      </c>
      <c r="S266" s="9" t="n">
        <v>1044.17</v>
      </c>
      <c r="T266" s="9" t="n">
        <v>1044.17</v>
      </c>
      <c r="U266" s="9" t="n">
        <v>1044.17</v>
      </c>
      <c r="V266" s="9" t="n">
        <v>1044.17</v>
      </c>
      <c r="W266" s="9" t="n">
        <v>1044.17</v>
      </c>
      <c r="X266" s="9" t="n">
        <v>1044.17</v>
      </c>
      <c r="Y266" s="9" t="n">
        <v>1044.17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924</v>
      </c>
      <c r="B267" s="3" t="s">
        <v>925</v>
      </c>
      <c r="C267" s="3" t="s">
        <v>250</v>
      </c>
      <c r="D267" s="3" t="s">
        <v>251</v>
      </c>
      <c r="E267" s="3" t="n">
        <v>1955</v>
      </c>
      <c r="F267" s="3" t="s">
        <v>44</v>
      </c>
      <c r="G267" s="3" t="s">
        <v>45</v>
      </c>
      <c r="H267" s="3" t="s">
        <v>926</v>
      </c>
      <c r="I267" s="3" t="s">
        <v>47</v>
      </c>
      <c r="J267" s="7" t="n">
        <v>295000</v>
      </c>
      <c r="K267" s="3" t="s">
        <v>355</v>
      </c>
      <c r="L267" s="7" t="n">
        <v>4675.47</v>
      </c>
      <c r="M267" s="7" t="n">
        <v>584.43</v>
      </c>
      <c r="N267" s="7" t="n">
        <v>584.43</v>
      </c>
      <c r="O267" s="7" t="n">
        <v>3506.6</v>
      </c>
      <c r="P267" s="7" t="n">
        <v>350.66</v>
      </c>
      <c r="Q267" s="7" t="n">
        <v>350.66</v>
      </c>
      <c r="R267" s="7" t="n">
        <v>350.66</v>
      </c>
      <c r="S267" s="7" t="n">
        <v>350.66</v>
      </c>
      <c r="T267" s="7" t="n">
        <v>350.66</v>
      </c>
      <c r="U267" s="7" t="n">
        <v>350.66</v>
      </c>
      <c r="V267" s="7" t="n">
        <v>350.66</v>
      </c>
      <c r="W267" s="7" t="n">
        <v>350.66</v>
      </c>
      <c r="X267" s="7" t="n">
        <v>350.66</v>
      </c>
      <c r="Y267" s="7" t="n">
        <v>350.66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927</v>
      </c>
      <c r="B268" s="8" t="s">
        <v>928</v>
      </c>
      <c r="C268" s="8" t="s">
        <v>385</v>
      </c>
      <c r="D268" s="8" t="s">
        <v>386</v>
      </c>
      <c r="E268" s="8" t="n">
        <v>1968</v>
      </c>
      <c r="F268" s="8" t="s">
        <v>146</v>
      </c>
      <c r="G268" s="8" t="s">
        <v>195</v>
      </c>
      <c r="H268" s="8" t="s">
        <v>929</v>
      </c>
      <c r="I268" s="8" t="s">
        <v>125</v>
      </c>
      <c r="J268" s="9" t="n">
        <v>580000</v>
      </c>
      <c r="K268" s="8" t="s">
        <v>197</v>
      </c>
      <c r="L268" s="9" t="n">
        <v>6445.66</v>
      </c>
      <c r="M268" s="9" t="n">
        <v>805.71</v>
      </c>
      <c r="N268" s="9" t="n">
        <v>805.71</v>
      </c>
      <c r="O268" s="9" t="n">
        <v>4834.2</v>
      </c>
      <c r="P268" s="9" t="n">
        <v>483.42</v>
      </c>
      <c r="Q268" s="9" t="n">
        <v>483.42</v>
      </c>
      <c r="R268" s="9" t="n">
        <v>483.42</v>
      </c>
      <c r="S268" s="9" t="n">
        <v>483.42</v>
      </c>
      <c r="T268" s="9" t="n">
        <v>483.42</v>
      </c>
      <c r="U268" s="9" t="n">
        <v>483.42</v>
      </c>
      <c r="V268" s="9" t="n">
        <v>483.42</v>
      </c>
      <c r="W268" s="9" t="n">
        <v>483.42</v>
      </c>
      <c r="X268" s="9" t="n">
        <v>483.42</v>
      </c>
      <c r="Y268" s="9" t="n">
        <v>483.42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930</v>
      </c>
      <c r="B269" s="3" t="s">
        <v>931</v>
      </c>
      <c r="C269" s="3" t="s">
        <v>144</v>
      </c>
      <c r="D269" s="3" t="s">
        <v>145</v>
      </c>
      <c r="E269" s="3" t="n">
        <v>1996</v>
      </c>
      <c r="F269" s="3" t="s">
        <v>44</v>
      </c>
      <c r="G269" s="3" t="s">
        <v>45</v>
      </c>
      <c r="H269" s="3" t="s">
        <v>932</v>
      </c>
      <c r="I269" s="3" t="s">
        <v>47</v>
      </c>
      <c r="J269" s="7" t="n">
        <v>255000</v>
      </c>
      <c r="K269" s="3" t="s">
        <v>91</v>
      </c>
      <c r="L269" s="7" t="n">
        <v>4618.87</v>
      </c>
      <c r="M269" s="7" t="n">
        <v>577.36</v>
      </c>
      <c r="N269" s="7" t="n">
        <v>577.36</v>
      </c>
      <c r="O269" s="7" t="n">
        <v>3464.2</v>
      </c>
      <c r="P269" s="7" t="n">
        <v>346.42</v>
      </c>
      <c r="Q269" s="7" t="n">
        <v>346.42</v>
      </c>
      <c r="R269" s="7" t="n">
        <v>346.42</v>
      </c>
      <c r="S269" s="7" t="n">
        <v>346.42</v>
      </c>
      <c r="T269" s="7" t="n">
        <v>346.42</v>
      </c>
      <c r="U269" s="7" t="n">
        <v>346.42</v>
      </c>
      <c r="V269" s="7" t="n">
        <v>346.42</v>
      </c>
      <c r="W269" s="7" t="n">
        <v>346.42</v>
      </c>
      <c r="X269" s="7" t="n">
        <v>346.42</v>
      </c>
      <c r="Y269" s="7" t="n">
        <v>346.42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933</v>
      </c>
      <c r="B270" s="8" t="s">
        <v>742</v>
      </c>
      <c r="C270" s="8" t="s">
        <v>274</v>
      </c>
      <c r="D270" s="8" t="s">
        <v>275</v>
      </c>
      <c r="E270" s="8" t="n">
        <v>1955</v>
      </c>
      <c r="F270" s="8" t="s">
        <v>53</v>
      </c>
      <c r="G270" s="8" t="s">
        <v>54</v>
      </c>
      <c r="H270" s="8" t="s">
        <v>934</v>
      </c>
      <c r="I270" s="8" t="s">
        <v>56</v>
      </c>
      <c r="J270" s="9" t="n">
        <v>1125000</v>
      </c>
      <c r="K270" s="8" t="s">
        <v>556</v>
      </c>
      <c r="L270" s="9" t="n">
        <v>19018.87</v>
      </c>
      <c r="M270" s="9" t="n">
        <v>2377.36</v>
      </c>
      <c r="N270" s="9" t="n">
        <v>2377.36</v>
      </c>
      <c r="O270" s="9" t="n">
        <v>14264.2</v>
      </c>
      <c r="P270" s="9" t="n">
        <v>1426.42</v>
      </c>
      <c r="Q270" s="9" t="n">
        <v>1426.42</v>
      </c>
      <c r="R270" s="9" t="n">
        <v>1426.42</v>
      </c>
      <c r="S270" s="9" t="n">
        <v>1426.42</v>
      </c>
      <c r="T270" s="9" t="n">
        <v>1426.42</v>
      </c>
      <c r="U270" s="9" t="n">
        <v>1426.42</v>
      </c>
      <c r="V270" s="9" t="n">
        <v>1426.42</v>
      </c>
      <c r="W270" s="9" t="n">
        <v>1426.42</v>
      </c>
      <c r="X270" s="9" t="n">
        <v>1426.42</v>
      </c>
      <c r="Y270" s="9" t="n">
        <v>1426.42</v>
      </c>
      <c r="Z270" s="9" t="n">
        <v>350</v>
      </c>
      <c r="AA270" s="9" t="n">
        <v>250</v>
      </c>
      <c r="AB270" s="9" t="n">
        <v>600</v>
      </c>
    </row>
    <row r="271" customFormat="false" ht="15" hidden="false" customHeight="false" outlineLevel="0" collapsed="false">
      <c r="A271" s="3" t="s">
        <v>935</v>
      </c>
      <c r="B271" s="3" t="s">
        <v>913</v>
      </c>
      <c r="C271" s="3" t="s">
        <v>256</v>
      </c>
      <c r="D271" s="3" t="s">
        <v>257</v>
      </c>
      <c r="E271" s="3" t="n">
        <v>1975</v>
      </c>
      <c r="F271" s="3" t="s">
        <v>88</v>
      </c>
      <c r="G271" s="3" t="s">
        <v>89</v>
      </c>
      <c r="H271" s="3" t="s">
        <v>936</v>
      </c>
      <c r="I271" s="3" t="s">
        <v>47</v>
      </c>
      <c r="J271" s="7" t="n">
        <v>675000</v>
      </c>
      <c r="K271" s="3" t="s">
        <v>91</v>
      </c>
      <c r="L271" s="7" t="n">
        <v>10596.23</v>
      </c>
      <c r="M271" s="7" t="n">
        <v>1324.53</v>
      </c>
      <c r="N271" s="7" t="n">
        <v>1324.53</v>
      </c>
      <c r="O271" s="7" t="n">
        <v>7947.2</v>
      </c>
      <c r="P271" s="7" t="n">
        <v>794.72</v>
      </c>
      <c r="Q271" s="7" t="n">
        <v>794.72</v>
      </c>
      <c r="R271" s="7" t="n">
        <v>794.72</v>
      </c>
      <c r="S271" s="7" t="n">
        <v>794.72</v>
      </c>
      <c r="T271" s="7" t="n">
        <v>794.72</v>
      </c>
      <c r="U271" s="7" t="n">
        <v>794.72</v>
      </c>
      <c r="V271" s="7" t="n">
        <v>794.72</v>
      </c>
      <c r="W271" s="7" t="n">
        <v>794.72</v>
      </c>
      <c r="X271" s="7" t="n">
        <v>794.72</v>
      </c>
      <c r="Y271" s="7" t="n">
        <v>794.72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937</v>
      </c>
      <c r="B272" s="8" t="s">
        <v>938</v>
      </c>
      <c r="C272" s="8" t="s">
        <v>282</v>
      </c>
      <c r="D272" s="8" t="s">
        <v>283</v>
      </c>
      <c r="E272" s="8" t="n">
        <v>2022</v>
      </c>
      <c r="F272" s="8" t="s">
        <v>146</v>
      </c>
      <c r="G272" s="8" t="s">
        <v>147</v>
      </c>
      <c r="H272" s="8" t="s">
        <v>939</v>
      </c>
      <c r="I272" s="8" t="s">
        <v>47</v>
      </c>
      <c r="J272" s="9" t="n">
        <v>615000</v>
      </c>
      <c r="K272" s="8" t="s">
        <v>399</v>
      </c>
      <c r="L272" s="9" t="n">
        <v>6863.63</v>
      </c>
      <c r="M272" s="9" t="n">
        <v>857.95</v>
      </c>
      <c r="N272" s="9" t="n">
        <v>857.95</v>
      </c>
      <c r="O272" s="9" t="n">
        <v>5147.7</v>
      </c>
      <c r="P272" s="9" t="n">
        <v>514.77</v>
      </c>
      <c r="Q272" s="9" t="n">
        <v>514.77</v>
      </c>
      <c r="R272" s="9" t="n">
        <v>514.77</v>
      </c>
      <c r="S272" s="9" t="n">
        <v>514.77</v>
      </c>
      <c r="T272" s="9" t="n">
        <v>514.77</v>
      </c>
      <c r="U272" s="9" t="n">
        <v>514.77</v>
      </c>
      <c r="V272" s="9" t="n">
        <v>514.77</v>
      </c>
      <c r="W272" s="9" t="n">
        <v>514.77</v>
      </c>
      <c r="X272" s="9" t="n">
        <v>514.77</v>
      </c>
      <c r="Y272" s="9" t="n">
        <v>514.77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940</v>
      </c>
      <c r="B273" s="3" t="s">
        <v>941</v>
      </c>
      <c r="C273" s="3" t="s">
        <v>51</v>
      </c>
      <c r="D273" s="3" t="s">
        <v>52</v>
      </c>
      <c r="E273" s="3" t="n">
        <v>1976</v>
      </c>
      <c r="F273" s="3" t="s">
        <v>99</v>
      </c>
      <c r="G273" s="3" t="s">
        <v>134</v>
      </c>
      <c r="H273" s="3" t="s">
        <v>942</v>
      </c>
      <c r="I273" s="3" t="s">
        <v>136</v>
      </c>
      <c r="J273" s="7" t="n">
        <v>420000</v>
      </c>
      <c r="K273" s="3" t="s">
        <v>362</v>
      </c>
      <c r="L273" s="7" t="n">
        <v>5059.02</v>
      </c>
      <c r="M273" s="7" t="n">
        <v>632.38</v>
      </c>
      <c r="N273" s="7" t="n">
        <v>632.38</v>
      </c>
      <c r="O273" s="7" t="n">
        <v>3794.3</v>
      </c>
      <c r="P273" s="7" t="n">
        <v>379.43</v>
      </c>
      <c r="Q273" s="7" t="n">
        <v>379.43</v>
      </c>
      <c r="R273" s="7" t="n">
        <v>379.43</v>
      </c>
      <c r="S273" s="7" t="n">
        <v>379.43</v>
      </c>
      <c r="T273" s="7" t="n">
        <v>379.43</v>
      </c>
      <c r="U273" s="7" t="n">
        <v>379.43</v>
      </c>
      <c r="V273" s="7" t="n">
        <v>379.43</v>
      </c>
      <c r="W273" s="7" t="n">
        <v>379.43</v>
      </c>
      <c r="X273" s="7" t="n">
        <v>379.43</v>
      </c>
      <c r="Y273" s="7" t="n">
        <v>379.43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943</v>
      </c>
      <c r="B274" s="8" t="s">
        <v>944</v>
      </c>
      <c r="C274" s="8" t="s">
        <v>385</v>
      </c>
      <c r="D274" s="8" t="s">
        <v>386</v>
      </c>
      <c r="E274" s="8" t="n">
        <v>1993</v>
      </c>
      <c r="F274" s="8" t="s">
        <v>88</v>
      </c>
      <c r="G274" s="8" t="s">
        <v>89</v>
      </c>
      <c r="H274" s="8" t="s">
        <v>945</v>
      </c>
      <c r="I274" s="8" t="s">
        <v>47</v>
      </c>
      <c r="J274" s="9" t="n">
        <v>600000</v>
      </c>
      <c r="K274" s="8" t="s">
        <v>83</v>
      </c>
      <c r="L274" s="9" t="n">
        <v>9933.96</v>
      </c>
      <c r="M274" s="9" t="n">
        <v>1241.74</v>
      </c>
      <c r="N274" s="9" t="n">
        <v>1241.74</v>
      </c>
      <c r="O274" s="9" t="n">
        <v>7450.5</v>
      </c>
      <c r="P274" s="9" t="n">
        <v>745.05</v>
      </c>
      <c r="Q274" s="9" t="n">
        <v>745.05</v>
      </c>
      <c r="R274" s="9" t="n">
        <v>745.05</v>
      </c>
      <c r="S274" s="9" t="n">
        <v>745.05</v>
      </c>
      <c r="T274" s="9" t="n">
        <v>745.05</v>
      </c>
      <c r="U274" s="9" t="n">
        <v>745.05</v>
      </c>
      <c r="V274" s="9" t="n">
        <v>745.05</v>
      </c>
      <c r="W274" s="9" t="n">
        <v>745.05</v>
      </c>
      <c r="X274" s="9" t="n">
        <v>745.05</v>
      </c>
      <c r="Y274" s="9" t="n">
        <v>745.05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946</v>
      </c>
      <c r="B275" s="3" t="s">
        <v>947</v>
      </c>
      <c r="C275" s="3" t="s">
        <v>152</v>
      </c>
      <c r="D275" s="3" t="s">
        <v>153</v>
      </c>
      <c r="E275" s="3" t="n">
        <v>2006</v>
      </c>
      <c r="F275" s="3" t="s">
        <v>265</v>
      </c>
      <c r="G275" s="3" t="s">
        <v>266</v>
      </c>
      <c r="H275" s="3" t="s">
        <v>948</v>
      </c>
      <c r="I275" s="3" t="s">
        <v>47</v>
      </c>
      <c r="J275" s="7" t="n">
        <v>385000</v>
      </c>
      <c r="K275" s="3" t="s">
        <v>75</v>
      </c>
      <c r="L275" s="7" t="n">
        <v>7572.88</v>
      </c>
      <c r="M275" s="7" t="n">
        <v>946.61</v>
      </c>
      <c r="N275" s="7" t="n">
        <v>946.61</v>
      </c>
      <c r="O275" s="7" t="n">
        <v>5679.7</v>
      </c>
      <c r="P275" s="7" t="n">
        <v>567.97</v>
      </c>
      <c r="Q275" s="7" t="n">
        <v>567.97</v>
      </c>
      <c r="R275" s="7" t="n">
        <v>567.97</v>
      </c>
      <c r="S275" s="7" t="n">
        <v>567.97</v>
      </c>
      <c r="T275" s="7" t="n">
        <v>567.97</v>
      </c>
      <c r="U275" s="7" t="n">
        <v>567.97</v>
      </c>
      <c r="V275" s="7" t="n">
        <v>567.97</v>
      </c>
      <c r="W275" s="7" t="n">
        <v>567.97</v>
      </c>
      <c r="X275" s="7" t="n">
        <v>567.97</v>
      </c>
      <c r="Y275" s="7" t="n">
        <v>567.97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949</v>
      </c>
      <c r="B276" s="8" t="s">
        <v>544</v>
      </c>
      <c r="C276" s="8" t="s">
        <v>152</v>
      </c>
      <c r="D276" s="8" t="s">
        <v>153</v>
      </c>
      <c r="E276" s="8" t="n">
        <v>2003</v>
      </c>
      <c r="F276" s="8" t="s">
        <v>88</v>
      </c>
      <c r="G276" s="8" t="s">
        <v>89</v>
      </c>
      <c r="H276" s="8" t="s">
        <v>950</v>
      </c>
      <c r="I276" s="8" t="s">
        <v>47</v>
      </c>
      <c r="J276" s="9" t="n">
        <v>575000</v>
      </c>
      <c r="K276" s="8" t="s">
        <v>556</v>
      </c>
      <c r="L276" s="9" t="n">
        <v>7898.11</v>
      </c>
      <c r="M276" s="9" t="n">
        <v>987.26</v>
      </c>
      <c r="N276" s="9" t="n">
        <v>987.26</v>
      </c>
      <c r="O276" s="9" t="n">
        <v>5923.6</v>
      </c>
      <c r="P276" s="9" t="n">
        <v>592.36</v>
      </c>
      <c r="Q276" s="9" t="n">
        <v>592.36</v>
      </c>
      <c r="R276" s="9" t="n">
        <v>592.36</v>
      </c>
      <c r="S276" s="9" t="n">
        <v>592.36</v>
      </c>
      <c r="T276" s="9" t="n">
        <v>592.36</v>
      </c>
      <c r="U276" s="9" t="n">
        <v>592.36</v>
      </c>
      <c r="V276" s="9" t="n">
        <v>592.36</v>
      </c>
      <c r="W276" s="9" t="n">
        <v>592.36</v>
      </c>
      <c r="X276" s="9" t="n">
        <v>592.36</v>
      </c>
      <c r="Y276" s="9" t="n">
        <v>592.36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951</v>
      </c>
      <c r="B277" s="3" t="s">
        <v>506</v>
      </c>
      <c r="C277" s="3" t="s">
        <v>190</v>
      </c>
      <c r="D277" s="3" t="s">
        <v>191</v>
      </c>
      <c r="E277" s="3" t="n">
        <v>1996</v>
      </c>
      <c r="F277" s="3" t="s">
        <v>44</v>
      </c>
      <c r="G277" s="3" t="s">
        <v>45</v>
      </c>
      <c r="H277" s="3" t="s">
        <v>952</v>
      </c>
      <c r="I277" s="3" t="s">
        <v>47</v>
      </c>
      <c r="J277" s="7" t="n">
        <v>120000</v>
      </c>
      <c r="K277" s="3" t="s">
        <v>102</v>
      </c>
      <c r="L277" s="7" t="n">
        <v>2832.91</v>
      </c>
      <c r="M277" s="7" t="n">
        <v>354.11</v>
      </c>
      <c r="N277" s="7" t="n">
        <v>354.11</v>
      </c>
      <c r="O277" s="7" t="n">
        <v>2124.7</v>
      </c>
      <c r="P277" s="7" t="n">
        <v>212.47</v>
      </c>
      <c r="Q277" s="7" t="n">
        <v>212.47</v>
      </c>
      <c r="R277" s="7" t="n">
        <v>212.47</v>
      </c>
      <c r="S277" s="7" t="n">
        <v>212.47</v>
      </c>
      <c r="T277" s="7" t="n">
        <v>212.47</v>
      </c>
      <c r="U277" s="7" t="n">
        <v>212.47</v>
      </c>
      <c r="V277" s="7" t="n">
        <v>212.47</v>
      </c>
      <c r="W277" s="7" t="n">
        <v>212.47</v>
      </c>
      <c r="X277" s="7" t="n">
        <v>212.47</v>
      </c>
      <c r="Y277" s="7" t="n">
        <v>212.47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953</v>
      </c>
      <c r="B278" s="8" t="s">
        <v>954</v>
      </c>
      <c r="C278" s="8" t="s">
        <v>385</v>
      </c>
      <c r="D278" s="8" t="s">
        <v>386</v>
      </c>
      <c r="E278" s="8" t="n">
        <v>2023</v>
      </c>
      <c r="F278" s="8" t="s">
        <v>53</v>
      </c>
      <c r="G278" s="8" t="s">
        <v>258</v>
      </c>
      <c r="H278" s="8" t="s">
        <v>955</v>
      </c>
      <c r="I278" s="8" t="s">
        <v>136</v>
      </c>
      <c r="J278" s="9" t="n">
        <v>1365000</v>
      </c>
      <c r="K278" s="8" t="s">
        <v>260</v>
      </c>
      <c r="L278" s="9" t="n">
        <v>12233.49</v>
      </c>
      <c r="M278" s="9" t="n">
        <v>1529.19</v>
      </c>
      <c r="N278" s="9" t="n">
        <v>1529.19</v>
      </c>
      <c r="O278" s="9" t="n">
        <v>9175.1</v>
      </c>
      <c r="P278" s="9" t="n">
        <v>917.51</v>
      </c>
      <c r="Q278" s="9" t="n">
        <v>917.51</v>
      </c>
      <c r="R278" s="9" t="n">
        <v>917.51</v>
      </c>
      <c r="S278" s="9" t="n">
        <v>917.51</v>
      </c>
      <c r="T278" s="9" t="n">
        <v>917.51</v>
      </c>
      <c r="U278" s="9" t="n">
        <v>917.51</v>
      </c>
      <c r="V278" s="9" t="n">
        <v>917.51</v>
      </c>
      <c r="W278" s="9" t="n">
        <v>917.51</v>
      </c>
      <c r="X278" s="9" t="n">
        <v>917.51</v>
      </c>
      <c r="Y278" s="9" t="n">
        <v>917.51</v>
      </c>
      <c r="Z278" s="9" t="n">
        <v>350</v>
      </c>
      <c r="AA278" s="9" t="n">
        <v>250</v>
      </c>
      <c r="AB278" s="9" t="n">
        <v>600</v>
      </c>
    </row>
    <row r="279" customFormat="false" ht="15" hidden="false" customHeight="false" outlineLevel="0" collapsed="false">
      <c r="A279" s="3" t="s">
        <v>956</v>
      </c>
      <c r="B279" s="3" t="s">
        <v>648</v>
      </c>
      <c r="C279" s="3" t="s">
        <v>66</v>
      </c>
      <c r="D279" s="3" t="s">
        <v>67</v>
      </c>
      <c r="E279" s="3" t="n">
        <v>1962</v>
      </c>
      <c r="F279" s="3" t="s">
        <v>105</v>
      </c>
      <c r="G279" s="3" t="s">
        <v>106</v>
      </c>
      <c r="H279" s="3" t="s">
        <v>957</v>
      </c>
      <c r="I279" s="3" t="s">
        <v>56</v>
      </c>
      <c r="J279" s="7" t="n">
        <v>555000</v>
      </c>
      <c r="K279" s="3" t="s">
        <v>126</v>
      </c>
      <c r="L279" s="7" t="n">
        <v>9450.71</v>
      </c>
      <c r="M279" s="7" t="n">
        <v>1181.34</v>
      </c>
      <c r="N279" s="7" t="n">
        <v>1181.34</v>
      </c>
      <c r="O279" s="7" t="n">
        <v>7088</v>
      </c>
      <c r="P279" s="7" t="n">
        <v>708.8</v>
      </c>
      <c r="Q279" s="7" t="n">
        <v>708.8</v>
      </c>
      <c r="R279" s="7" t="n">
        <v>708.8</v>
      </c>
      <c r="S279" s="7" t="n">
        <v>708.8</v>
      </c>
      <c r="T279" s="7" t="n">
        <v>708.8</v>
      </c>
      <c r="U279" s="7" t="n">
        <v>708.8</v>
      </c>
      <c r="V279" s="7" t="n">
        <v>708.8</v>
      </c>
      <c r="W279" s="7" t="n">
        <v>708.8</v>
      </c>
      <c r="X279" s="7" t="n">
        <v>708.8</v>
      </c>
      <c r="Y279" s="7" t="n">
        <v>708.8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958</v>
      </c>
      <c r="B280" s="8" t="s">
        <v>959</v>
      </c>
      <c r="C280" s="8" t="s">
        <v>116</v>
      </c>
      <c r="D280" s="8" t="s">
        <v>117</v>
      </c>
      <c r="E280" s="8" t="n">
        <v>1995</v>
      </c>
      <c r="F280" s="8" t="s">
        <v>53</v>
      </c>
      <c r="G280" s="8" t="s">
        <v>236</v>
      </c>
      <c r="H280" s="8" t="s">
        <v>960</v>
      </c>
      <c r="I280" s="8" t="s">
        <v>56</v>
      </c>
      <c r="J280" s="9" t="n">
        <v>570000</v>
      </c>
      <c r="K280" s="8" t="s">
        <v>173</v>
      </c>
      <c r="L280" s="9" t="n">
        <v>11749.53</v>
      </c>
      <c r="M280" s="9" t="n">
        <v>1468.69</v>
      </c>
      <c r="N280" s="9" t="n">
        <v>1468.69</v>
      </c>
      <c r="O280" s="9" t="n">
        <v>8812.1</v>
      </c>
      <c r="P280" s="9" t="n">
        <v>881.21</v>
      </c>
      <c r="Q280" s="9" t="n">
        <v>881.21</v>
      </c>
      <c r="R280" s="9" t="n">
        <v>881.21</v>
      </c>
      <c r="S280" s="9" t="n">
        <v>881.21</v>
      </c>
      <c r="T280" s="9" t="n">
        <v>881.21</v>
      </c>
      <c r="U280" s="9" t="n">
        <v>881.21</v>
      </c>
      <c r="V280" s="9" t="n">
        <v>881.21</v>
      </c>
      <c r="W280" s="9" t="n">
        <v>881.21</v>
      </c>
      <c r="X280" s="9" t="n">
        <v>881.21</v>
      </c>
      <c r="Y280" s="9" t="n">
        <v>881.21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961</v>
      </c>
      <c r="B281" s="3" t="s">
        <v>535</v>
      </c>
      <c r="C281" s="3" t="s">
        <v>179</v>
      </c>
      <c r="D281" s="3" t="s">
        <v>180</v>
      </c>
      <c r="E281" s="3" t="n">
        <v>2004</v>
      </c>
      <c r="F281" s="3" t="s">
        <v>146</v>
      </c>
      <c r="G281" s="3" t="s">
        <v>147</v>
      </c>
      <c r="H281" s="3" t="s">
        <v>962</v>
      </c>
      <c r="I281" s="3" t="s">
        <v>47</v>
      </c>
      <c r="J281" s="7" t="n">
        <v>480000</v>
      </c>
      <c r="K281" s="3" t="s">
        <v>197</v>
      </c>
      <c r="L281" s="7" t="n">
        <v>10528.3</v>
      </c>
      <c r="M281" s="7" t="n">
        <v>1316.04</v>
      </c>
      <c r="N281" s="7" t="n">
        <v>1316.04</v>
      </c>
      <c r="O281" s="7" t="n">
        <v>7896.2</v>
      </c>
      <c r="P281" s="7" t="n">
        <v>789.62</v>
      </c>
      <c r="Q281" s="7" t="n">
        <v>789.62</v>
      </c>
      <c r="R281" s="7" t="n">
        <v>789.62</v>
      </c>
      <c r="S281" s="7" t="n">
        <v>789.62</v>
      </c>
      <c r="T281" s="7" t="n">
        <v>789.62</v>
      </c>
      <c r="U281" s="7" t="n">
        <v>789.62</v>
      </c>
      <c r="V281" s="7" t="n">
        <v>789.62</v>
      </c>
      <c r="W281" s="7" t="n">
        <v>789.62</v>
      </c>
      <c r="X281" s="7" t="n">
        <v>789.62</v>
      </c>
      <c r="Y281" s="7" t="n">
        <v>789.62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963</v>
      </c>
      <c r="B282" s="8" t="s">
        <v>964</v>
      </c>
      <c r="C282" s="8" t="s">
        <v>559</v>
      </c>
      <c r="D282" s="8" t="s">
        <v>560</v>
      </c>
      <c r="E282" s="8" t="n">
        <v>2008</v>
      </c>
      <c r="F282" s="8" t="s">
        <v>80</v>
      </c>
      <c r="G282" s="8" t="s">
        <v>81</v>
      </c>
      <c r="H282" s="8" t="s">
        <v>965</v>
      </c>
      <c r="I282" s="8" t="s">
        <v>47</v>
      </c>
      <c r="J282" s="9" t="n">
        <v>325000</v>
      </c>
      <c r="K282" s="8" t="s">
        <v>355</v>
      </c>
      <c r="L282" s="9" t="n">
        <v>5150.94</v>
      </c>
      <c r="M282" s="9" t="n">
        <v>643.87</v>
      </c>
      <c r="N282" s="9" t="n">
        <v>643.87</v>
      </c>
      <c r="O282" s="9" t="n">
        <v>3863.2</v>
      </c>
      <c r="P282" s="9" t="n">
        <v>386.32</v>
      </c>
      <c r="Q282" s="9" t="n">
        <v>386.32</v>
      </c>
      <c r="R282" s="9" t="n">
        <v>386.32</v>
      </c>
      <c r="S282" s="9" t="n">
        <v>386.32</v>
      </c>
      <c r="T282" s="9" t="n">
        <v>386.32</v>
      </c>
      <c r="U282" s="9" t="n">
        <v>386.32</v>
      </c>
      <c r="V282" s="9" t="n">
        <v>386.32</v>
      </c>
      <c r="W282" s="9" t="n">
        <v>386.32</v>
      </c>
      <c r="X282" s="9" t="n">
        <v>386.32</v>
      </c>
      <c r="Y282" s="9" t="n">
        <v>386.32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966</v>
      </c>
      <c r="B283" s="3" t="s">
        <v>967</v>
      </c>
      <c r="C283" s="3" t="s">
        <v>60</v>
      </c>
      <c r="D283" s="3" t="s">
        <v>61</v>
      </c>
      <c r="E283" s="3" t="n">
        <v>1983</v>
      </c>
      <c r="F283" s="3" t="s">
        <v>88</v>
      </c>
      <c r="G283" s="3" t="s">
        <v>89</v>
      </c>
      <c r="H283" s="3" t="s">
        <v>968</v>
      </c>
      <c r="I283" s="3" t="s">
        <v>47</v>
      </c>
      <c r="J283" s="7" t="n">
        <v>770000</v>
      </c>
      <c r="K283" s="3" t="s">
        <v>253</v>
      </c>
      <c r="L283" s="7" t="n">
        <v>10387.74</v>
      </c>
      <c r="M283" s="7" t="n">
        <v>1298.47</v>
      </c>
      <c r="N283" s="7" t="n">
        <v>1298.47</v>
      </c>
      <c r="O283" s="7" t="n">
        <v>7790.8</v>
      </c>
      <c r="P283" s="7" t="n">
        <v>779.08</v>
      </c>
      <c r="Q283" s="7" t="n">
        <v>779.08</v>
      </c>
      <c r="R283" s="7" t="n">
        <v>779.08</v>
      </c>
      <c r="S283" s="7" t="n">
        <v>779.08</v>
      </c>
      <c r="T283" s="7" t="n">
        <v>779.08</v>
      </c>
      <c r="U283" s="7" t="n">
        <v>779.08</v>
      </c>
      <c r="V283" s="7" t="n">
        <v>779.08</v>
      </c>
      <c r="W283" s="7" t="n">
        <v>779.08</v>
      </c>
      <c r="X283" s="7" t="n">
        <v>779.08</v>
      </c>
      <c r="Y283" s="7" t="n">
        <v>779.08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969</v>
      </c>
      <c r="B284" s="8" t="s">
        <v>970</v>
      </c>
      <c r="C284" s="8" t="s">
        <v>443</v>
      </c>
      <c r="D284" s="8" t="s">
        <v>444</v>
      </c>
      <c r="E284" s="8" t="n">
        <v>1959</v>
      </c>
      <c r="F284" s="8" t="s">
        <v>387</v>
      </c>
      <c r="G284" s="8" t="s">
        <v>388</v>
      </c>
      <c r="H284" s="8" t="s">
        <v>971</v>
      </c>
      <c r="I284" s="8" t="s">
        <v>56</v>
      </c>
      <c r="J284" s="9" t="n">
        <v>1950000</v>
      </c>
      <c r="K284" s="8" t="s">
        <v>549</v>
      </c>
      <c r="L284" s="9" t="n">
        <v>39441.51</v>
      </c>
      <c r="M284" s="9" t="n">
        <v>4930.19</v>
      </c>
      <c r="N284" s="9" t="n">
        <v>4930.19</v>
      </c>
      <c r="O284" s="9" t="n">
        <v>29581.1</v>
      </c>
      <c r="P284" s="9" t="n">
        <v>2958.11</v>
      </c>
      <c r="Q284" s="9" t="n">
        <v>2958.11</v>
      </c>
      <c r="R284" s="9" t="n">
        <v>2958.11</v>
      </c>
      <c r="S284" s="9" t="n">
        <v>2958.11</v>
      </c>
      <c r="T284" s="9" t="n">
        <v>2958.11</v>
      </c>
      <c r="U284" s="9" t="n">
        <v>2958.11</v>
      </c>
      <c r="V284" s="9" t="n">
        <v>2958.11</v>
      </c>
      <c r="W284" s="9" t="n">
        <v>2958.11</v>
      </c>
      <c r="X284" s="9" t="n">
        <v>2958.11</v>
      </c>
      <c r="Y284" s="9" t="n">
        <v>2958.11</v>
      </c>
      <c r="Z284" s="9" t="n">
        <v>350</v>
      </c>
      <c r="AA284" s="9" t="n">
        <v>250</v>
      </c>
      <c r="AB284" s="9" t="n">
        <v>600</v>
      </c>
    </row>
    <row r="285" customFormat="false" ht="15" hidden="false" customHeight="false" outlineLevel="0" collapsed="false">
      <c r="A285" s="3" t="s">
        <v>972</v>
      </c>
      <c r="B285" s="3" t="s">
        <v>717</v>
      </c>
      <c r="C285" s="3" t="s">
        <v>256</v>
      </c>
      <c r="D285" s="3" t="s">
        <v>257</v>
      </c>
      <c r="E285" s="3" t="n">
        <v>2008</v>
      </c>
      <c r="F285" s="3" t="s">
        <v>387</v>
      </c>
      <c r="G285" s="3" t="s">
        <v>388</v>
      </c>
      <c r="H285" s="3" t="s">
        <v>973</v>
      </c>
      <c r="I285" s="3" t="s">
        <v>56</v>
      </c>
      <c r="J285" s="7" t="n">
        <v>1950000</v>
      </c>
      <c r="K285" s="3" t="s">
        <v>238</v>
      </c>
      <c r="L285" s="7" t="n">
        <v>35615.09</v>
      </c>
      <c r="M285" s="7" t="n">
        <v>4451.89</v>
      </c>
      <c r="N285" s="7" t="n">
        <v>4451.89</v>
      </c>
      <c r="O285" s="7" t="n">
        <v>26711.3</v>
      </c>
      <c r="P285" s="7" t="n">
        <v>2671.13</v>
      </c>
      <c r="Q285" s="7" t="n">
        <v>2671.13</v>
      </c>
      <c r="R285" s="7" t="n">
        <v>2671.13</v>
      </c>
      <c r="S285" s="7" t="n">
        <v>2671.13</v>
      </c>
      <c r="T285" s="7" t="n">
        <v>2671.13</v>
      </c>
      <c r="U285" s="7" t="n">
        <v>2671.13</v>
      </c>
      <c r="V285" s="7" t="n">
        <v>2671.13</v>
      </c>
      <c r="W285" s="7" t="n">
        <v>2671.13</v>
      </c>
      <c r="X285" s="7" t="n">
        <v>2671.13</v>
      </c>
      <c r="Y285" s="7" t="n">
        <v>2671.13</v>
      </c>
      <c r="Z285" s="7" t="n">
        <v>350</v>
      </c>
      <c r="AA285" s="7" t="n">
        <v>250</v>
      </c>
      <c r="AB285" s="7" t="n">
        <v>600</v>
      </c>
    </row>
    <row r="286" customFormat="false" ht="15" hidden="false" customHeight="false" outlineLevel="0" collapsed="false">
      <c r="A286" s="8" t="s">
        <v>974</v>
      </c>
      <c r="B286" s="8" t="s">
        <v>975</v>
      </c>
      <c r="C286" s="8" t="s">
        <v>164</v>
      </c>
      <c r="D286" s="8" t="s">
        <v>165</v>
      </c>
      <c r="E286" s="8" t="n">
        <v>2013</v>
      </c>
      <c r="F286" s="8" t="s">
        <v>44</v>
      </c>
      <c r="G286" s="8" t="s">
        <v>45</v>
      </c>
      <c r="H286" s="8" t="s">
        <v>976</v>
      </c>
      <c r="I286" s="8" t="s">
        <v>47</v>
      </c>
      <c r="J286" s="9" t="n">
        <v>920000</v>
      </c>
      <c r="K286" s="8" t="s">
        <v>161</v>
      </c>
      <c r="L286" s="9" t="n">
        <v>11283.02</v>
      </c>
      <c r="M286" s="9" t="n">
        <v>1410.38</v>
      </c>
      <c r="N286" s="9" t="n">
        <v>1410.38</v>
      </c>
      <c r="O286" s="9" t="n">
        <v>8462.3</v>
      </c>
      <c r="P286" s="9" t="n">
        <v>846.23</v>
      </c>
      <c r="Q286" s="9" t="n">
        <v>846.23</v>
      </c>
      <c r="R286" s="9" t="n">
        <v>846.23</v>
      </c>
      <c r="S286" s="9" t="n">
        <v>846.23</v>
      </c>
      <c r="T286" s="9" t="n">
        <v>846.23</v>
      </c>
      <c r="U286" s="9" t="n">
        <v>846.23</v>
      </c>
      <c r="V286" s="9" t="n">
        <v>846.23</v>
      </c>
      <c r="W286" s="9" t="n">
        <v>846.23</v>
      </c>
      <c r="X286" s="9" t="n">
        <v>846.23</v>
      </c>
      <c r="Y286" s="9" t="n">
        <v>846.23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977</v>
      </c>
      <c r="B287" s="3" t="s">
        <v>978</v>
      </c>
      <c r="C287" s="3" t="s">
        <v>263</v>
      </c>
      <c r="D287" s="3" t="s">
        <v>264</v>
      </c>
      <c r="E287" s="3" t="n">
        <v>1969</v>
      </c>
      <c r="F287" s="3" t="s">
        <v>80</v>
      </c>
      <c r="G287" s="3" t="s">
        <v>81</v>
      </c>
      <c r="H287" s="3" t="s">
        <v>979</v>
      </c>
      <c r="I287" s="3" t="s">
        <v>47</v>
      </c>
      <c r="J287" s="7" t="n">
        <v>1390000</v>
      </c>
      <c r="K287" s="3" t="s">
        <v>91</v>
      </c>
      <c r="L287" s="7" t="n">
        <v>18463.4</v>
      </c>
      <c r="M287" s="7" t="n">
        <v>2307.93</v>
      </c>
      <c r="N287" s="7" t="n">
        <v>2307.93</v>
      </c>
      <c r="O287" s="7" t="n">
        <v>13847.6</v>
      </c>
      <c r="P287" s="7" t="n">
        <v>1384.76</v>
      </c>
      <c r="Q287" s="7" t="n">
        <v>1384.76</v>
      </c>
      <c r="R287" s="7" t="n">
        <v>1384.76</v>
      </c>
      <c r="S287" s="7" t="n">
        <v>1384.76</v>
      </c>
      <c r="T287" s="7" t="n">
        <v>1384.76</v>
      </c>
      <c r="U287" s="7" t="n">
        <v>1384.76</v>
      </c>
      <c r="V287" s="7" t="n">
        <v>1384.76</v>
      </c>
      <c r="W287" s="7" t="n">
        <v>1384.76</v>
      </c>
      <c r="X287" s="7" t="n">
        <v>1384.76</v>
      </c>
      <c r="Y287" s="7" t="n">
        <v>1384.76</v>
      </c>
      <c r="Z287" s="7" t="n">
        <v>350</v>
      </c>
      <c r="AA287" s="7" t="n">
        <v>250</v>
      </c>
      <c r="AB287" s="7" t="n">
        <v>600</v>
      </c>
    </row>
    <row r="288" customFormat="false" ht="15" hidden="false" customHeight="false" outlineLevel="0" collapsed="false">
      <c r="A288" s="8" t="s">
        <v>980</v>
      </c>
      <c r="B288" s="8" t="s">
        <v>981</v>
      </c>
      <c r="C288" s="8" t="s">
        <v>144</v>
      </c>
      <c r="D288" s="8" t="s">
        <v>145</v>
      </c>
      <c r="E288" s="8" t="n">
        <v>1960</v>
      </c>
      <c r="F288" s="8" t="s">
        <v>88</v>
      </c>
      <c r="G288" s="8" t="s">
        <v>89</v>
      </c>
      <c r="H288" s="8" t="s">
        <v>982</v>
      </c>
      <c r="I288" s="8" t="s">
        <v>47</v>
      </c>
      <c r="J288" s="9" t="n">
        <v>770000</v>
      </c>
      <c r="K288" s="8" t="s">
        <v>328</v>
      </c>
      <c r="L288" s="9" t="n">
        <v>9254.53</v>
      </c>
      <c r="M288" s="9" t="n">
        <v>1156.82</v>
      </c>
      <c r="N288" s="9" t="n">
        <v>1156.82</v>
      </c>
      <c r="O288" s="9" t="n">
        <v>6940.9</v>
      </c>
      <c r="P288" s="9" t="n">
        <v>694.09</v>
      </c>
      <c r="Q288" s="9" t="n">
        <v>694.09</v>
      </c>
      <c r="R288" s="9" t="n">
        <v>694.09</v>
      </c>
      <c r="S288" s="9" t="n">
        <v>694.09</v>
      </c>
      <c r="T288" s="9" t="n">
        <v>694.09</v>
      </c>
      <c r="U288" s="9" t="n">
        <v>694.09</v>
      </c>
      <c r="V288" s="9" t="n">
        <v>694.09</v>
      </c>
      <c r="W288" s="9" t="n">
        <v>694.09</v>
      </c>
      <c r="X288" s="9" t="n">
        <v>694.09</v>
      </c>
      <c r="Y288" s="9" t="n">
        <v>694.09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983</v>
      </c>
      <c r="B289" s="3" t="s">
        <v>984</v>
      </c>
      <c r="C289" s="3" t="s">
        <v>66</v>
      </c>
      <c r="D289" s="3" t="s">
        <v>67</v>
      </c>
      <c r="E289" s="3" t="n">
        <v>2016</v>
      </c>
      <c r="F289" s="3" t="s">
        <v>80</v>
      </c>
      <c r="G289" s="3" t="s">
        <v>81</v>
      </c>
      <c r="H289" s="3" t="s">
        <v>985</v>
      </c>
      <c r="I289" s="3" t="s">
        <v>47</v>
      </c>
      <c r="J289" s="7" t="n">
        <v>380000</v>
      </c>
      <c r="K289" s="3" t="s">
        <v>173</v>
      </c>
      <c r="L289" s="7" t="n">
        <v>6183.96</v>
      </c>
      <c r="M289" s="7" t="n">
        <v>773</v>
      </c>
      <c r="N289" s="7" t="n">
        <v>773</v>
      </c>
      <c r="O289" s="7" t="n">
        <v>4638</v>
      </c>
      <c r="P289" s="7" t="n">
        <v>463.8</v>
      </c>
      <c r="Q289" s="7" t="n">
        <v>463.8</v>
      </c>
      <c r="R289" s="7" t="n">
        <v>463.8</v>
      </c>
      <c r="S289" s="7" t="n">
        <v>463.8</v>
      </c>
      <c r="T289" s="7" t="n">
        <v>463.8</v>
      </c>
      <c r="U289" s="7" t="n">
        <v>463.8</v>
      </c>
      <c r="V289" s="7" t="n">
        <v>463.8</v>
      </c>
      <c r="W289" s="7" t="n">
        <v>463.8</v>
      </c>
      <c r="X289" s="7" t="n">
        <v>463.8</v>
      </c>
      <c r="Y289" s="7" t="n">
        <v>463.8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986</v>
      </c>
      <c r="B290" s="8" t="s">
        <v>987</v>
      </c>
      <c r="C290" s="8" t="s">
        <v>51</v>
      </c>
      <c r="D290" s="8" t="s">
        <v>52</v>
      </c>
      <c r="E290" s="8" t="n">
        <v>1973</v>
      </c>
      <c r="F290" s="8" t="s">
        <v>99</v>
      </c>
      <c r="G290" s="8" t="s">
        <v>134</v>
      </c>
      <c r="H290" s="8" t="s">
        <v>988</v>
      </c>
      <c r="I290" s="8" t="s">
        <v>136</v>
      </c>
      <c r="J290" s="9" t="n">
        <v>920000</v>
      </c>
      <c r="K290" s="8" t="s">
        <v>83</v>
      </c>
      <c r="L290" s="9" t="n">
        <v>10076.6</v>
      </c>
      <c r="M290" s="9" t="n">
        <v>1259.58</v>
      </c>
      <c r="N290" s="9" t="n">
        <v>1259.58</v>
      </c>
      <c r="O290" s="9" t="n">
        <v>7557.5</v>
      </c>
      <c r="P290" s="9" t="n">
        <v>755.75</v>
      </c>
      <c r="Q290" s="9" t="n">
        <v>755.75</v>
      </c>
      <c r="R290" s="9" t="n">
        <v>755.75</v>
      </c>
      <c r="S290" s="9" t="n">
        <v>755.75</v>
      </c>
      <c r="T290" s="9" t="n">
        <v>755.75</v>
      </c>
      <c r="U290" s="9" t="n">
        <v>755.75</v>
      </c>
      <c r="V290" s="9" t="n">
        <v>755.75</v>
      </c>
      <c r="W290" s="9" t="n">
        <v>755.75</v>
      </c>
      <c r="X290" s="9" t="n">
        <v>755.75</v>
      </c>
      <c r="Y290" s="9" t="n">
        <v>755.75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989</v>
      </c>
      <c r="B291" s="3" t="s">
        <v>990</v>
      </c>
      <c r="C291" s="3" t="s">
        <v>443</v>
      </c>
      <c r="D291" s="3" t="s">
        <v>444</v>
      </c>
      <c r="E291" s="3" t="n">
        <v>2024</v>
      </c>
      <c r="F291" s="3" t="s">
        <v>80</v>
      </c>
      <c r="G291" s="3" t="s">
        <v>81</v>
      </c>
      <c r="H291" s="3" t="s">
        <v>991</v>
      </c>
      <c r="I291" s="3" t="s">
        <v>47</v>
      </c>
      <c r="J291" s="7" t="n">
        <v>1080000</v>
      </c>
      <c r="K291" s="3" t="s">
        <v>161</v>
      </c>
      <c r="L291" s="7" t="n">
        <v>11207.55</v>
      </c>
      <c r="M291" s="7" t="n">
        <v>1400.94</v>
      </c>
      <c r="N291" s="7" t="n">
        <v>1400.94</v>
      </c>
      <c r="O291" s="7" t="n">
        <v>8405.7</v>
      </c>
      <c r="P291" s="7" t="n">
        <v>840.57</v>
      </c>
      <c r="Q291" s="7" t="n">
        <v>840.57</v>
      </c>
      <c r="R291" s="7" t="n">
        <v>840.57</v>
      </c>
      <c r="S291" s="7" t="n">
        <v>840.57</v>
      </c>
      <c r="T291" s="7" t="n">
        <v>840.57</v>
      </c>
      <c r="U291" s="7" t="n">
        <v>840.57</v>
      </c>
      <c r="V291" s="7" t="n">
        <v>840.57</v>
      </c>
      <c r="W291" s="7" t="n">
        <v>840.57</v>
      </c>
      <c r="X291" s="7" t="n">
        <v>840.57</v>
      </c>
      <c r="Y291" s="7" t="n">
        <v>840.57</v>
      </c>
      <c r="Z291" s="7" t="n">
        <v>350</v>
      </c>
      <c r="AA291" s="7" t="n">
        <v>250</v>
      </c>
      <c r="AB291" s="7" t="n">
        <v>600</v>
      </c>
    </row>
    <row r="292" customFormat="false" ht="15" hidden="false" customHeight="false" outlineLevel="0" collapsed="false">
      <c r="A292" s="8" t="s">
        <v>992</v>
      </c>
      <c r="B292" s="8" t="s">
        <v>993</v>
      </c>
      <c r="C292" s="8" t="s">
        <v>78</v>
      </c>
      <c r="D292" s="8" t="s">
        <v>79</v>
      </c>
      <c r="E292" s="8" t="n">
        <v>2024</v>
      </c>
      <c r="F292" s="8" t="s">
        <v>122</v>
      </c>
      <c r="G292" s="8" t="s">
        <v>123</v>
      </c>
      <c r="H292" s="8" t="s">
        <v>994</v>
      </c>
      <c r="I292" s="8" t="s">
        <v>125</v>
      </c>
      <c r="J292" s="9" t="n">
        <v>690000</v>
      </c>
      <c r="K292" s="8" t="s">
        <v>83</v>
      </c>
      <c r="L292" s="9" t="n">
        <v>6678.68</v>
      </c>
      <c r="M292" s="9" t="n">
        <v>834.84</v>
      </c>
      <c r="N292" s="9" t="n">
        <v>834.84</v>
      </c>
      <c r="O292" s="9" t="n">
        <v>5009</v>
      </c>
      <c r="P292" s="9" t="n">
        <v>500.9</v>
      </c>
      <c r="Q292" s="9" t="n">
        <v>500.9</v>
      </c>
      <c r="R292" s="9" t="n">
        <v>500.9</v>
      </c>
      <c r="S292" s="9" t="n">
        <v>500.9</v>
      </c>
      <c r="T292" s="9" t="n">
        <v>500.9</v>
      </c>
      <c r="U292" s="9" t="n">
        <v>500.9</v>
      </c>
      <c r="V292" s="9" t="n">
        <v>500.9</v>
      </c>
      <c r="W292" s="9" t="n">
        <v>500.9</v>
      </c>
      <c r="X292" s="9" t="n">
        <v>500.9</v>
      </c>
      <c r="Y292" s="9" t="n">
        <v>500.9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995</v>
      </c>
      <c r="B293" s="3" t="s">
        <v>601</v>
      </c>
      <c r="C293" s="3" t="s">
        <v>179</v>
      </c>
      <c r="D293" s="3" t="s">
        <v>180</v>
      </c>
      <c r="E293" s="3" t="n">
        <v>1980</v>
      </c>
      <c r="F293" s="3" t="s">
        <v>88</v>
      </c>
      <c r="G293" s="3" t="s">
        <v>89</v>
      </c>
      <c r="H293" s="3" t="s">
        <v>996</v>
      </c>
      <c r="I293" s="3" t="s">
        <v>47</v>
      </c>
      <c r="J293" s="7" t="n">
        <v>765000</v>
      </c>
      <c r="K293" s="3" t="s">
        <v>141</v>
      </c>
      <c r="L293" s="7" t="n">
        <v>11446.13</v>
      </c>
      <c r="M293" s="7" t="n">
        <v>1430.77</v>
      </c>
      <c r="N293" s="7" t="n">
        <v>1430.77</v>
      </c>
      <c r="O293" s="7" t="n">
        <v>8584.6</v>
      </c>
      <c r="P293" s="7" t="n">
        <v>858.46</v>
      </c>
      <c r="Q293" s="7" t="n">
        <v>858.46</v>
      </c>
      <c r="R293" s="7" t="n">
        <v>858.46</v>
      </c>
      <c r="S293" s="7" t="n">
        <v>858.46</v>
      </c>
      <c r="T293" s="7" t="n">
        <v>858.46</v>
      </c>
      <c r="U293" s="7" t="n">
        <v>858.46</v>
      </c>
      <c r="V293" s="7" t="n">
        <v>858.46</v>
      </c>
      <c r="W293" s="7" t="n">
        <v>858.46</v>
      </c>
      <c r="X293" s="7" t="n">
        <v>858.46</v>
      </c>
      <c r="Y293" s="7" t="n">
        <v>858.46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997</v>
      </c>
      <c r="B294" s="8" t="s">
        <v>925</v>
      </c>
      <c r="C294" s="8" t="s">
        <v>559</v>
      </c>
      <c r="D294" s="8" t="s">
        <v>560</v>
      </c>
      <c r="E294" s="8" t="n">
        <v>1963</v>
      </c>
      <c r="F294" s="8" t="s">
        <v>88</v>
      </c>
      <c r="G294" s="8" t="s">
        <v>89</v>
      </c>
      <c r="H294" s="8" t="s">
        <v>998</v>
      </c>
      <c r="I294" s="8" t="s">
        <v>47</v>
      </c>
      <c r="J294" s="9" t="n">
        <v>885000</v>
      </c>
      <c r="K294" s="8" t="s">
        <v>556</v>
      </c>
      <c r="L294" s="9" t="n">
        <v>12156.23</v>
      </c>
      <c r="M294" s="9" t="n">
        <v>1519.53</v>
      </c>
      <c r="N294" s="9" t="n">
        <v>1519.53</v>
      </c>
      <c r="O294" s="9" t="n">
        <v>9117.2</v>
      </c>
      <c r="P294" s="9" t="n">
        <v>911.72</v>
      </c>
      <c r="Q294" s="9" t="n">
        <v>911.72</v>
      </c>
      <c r="R294" s="9" t="n">
        <v>911.72</v>
      </c>
      <c r="S294" s="9" t="n">
        <v>911.72</v>
      </c>
      <c r="T294" s="9" t="n">
        <v>911.72</v>
      </c>
      <c r="U294" s="9" t="n">
        <v>911.72</v>
      </c>
      <c r="V294" s="9" t="n">
        <v>911.72</v>
      </c>
      <c r="W294" s="9" t="n">
        <v>911.72</v>
      </c>
      <c r="X294" s="9" t="n">
        <v>911.72</v>
      </c>
      <c r="Y294" s="9" t="n">
        <v>911.72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999</v>
      </c>
      <c r="B295" s="3" t="s">
        <v>1000</v>
      </c>
      <c r="C295" s="3" t="s">
        <v>206</v>
      </c>
      <c r="D295" s="3" t="s">
        <v>207</v>
      </c>
      <c r="E295" s="3" t="n">
        <v>2019</v>
      </c>
      <c r="F295" s="3" t="s">
        <v>99</v>
      </c>
      <c r="G295" s="3" t="s">
        <v>134</v>
      </c>
      <c r="H295" s="3" t="s">
        <v>1001</v>
      </c>
      <c r="I295" s="3" t="s">
        <v>136</v>
      </c>
      <c r="J295" s="7" t="n">
        <v>710000</v>
      </c>
      <c r="K295" s="3" t="s">
        <v>161</v>
      </c>
      <c r="L295" s="7" t="n">
        <v>5760.38</v>
      </c>
      <c r="M295" s="7" t="n">
        <v>720.05</v>
      </c>
      <c r="N295" s="7" t="n">
        <v>720.05</v>
      </c>
      <c r="O295" s="7" t="n">
        <v>4320.3</v>
      </c>
      <c r="P295" s="7" t="n">
        <v>432.03</v>
      </c>
      <c r="Q295" s="7" t="n">
        <v>432.03</v>
      </c>
      <c r="R295" s="7" t="n">
        <v>432.03</v>
      </c>
      <c r="S295" s="7" t="n">
        <v>432.03</v>
      </c>
      <c r="T295" s="7" t="n">
        <v>432.03</v>
      </c>
      <c r="U295" s="7" t="n">
        <v>432.03</v>
      </c>
      <c r="V295" s="7" t="n">
        <v>432.03</v>
      </c>
      <c r="W295" s="7" t="n">
        <v>432.03</v>
      </c>
      <c r="X295" s="7" t="n">
        <v>432.03</v>
      </c>
      <c r="Y295" s="7" t="n">
        <v>432.03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1002</v>
      </c>
      <c r="B296" s="8" t="s">
        <v>1003</v>
      </c>
      <c r="C296" s="8" t="s">
        <v>42</v>
      </c>
      <c r="D296" s="8" t="s">
        <v>43</v>
      </c>
      <c r="E296" s="8" t="n">
        <v>1967</v>
      </c>
      <c r="F296" s="8" t="s">
        <v>265</v>
      </c>
      <c r="G296" s="8" t="s">
        <v>266</v>
      </c>
      <c r="H296" s="8" t="s">
        <v>1004</v>
      </c>
      <c r="I296" s="8" t="s">
        <v>47</v>
      </c>
      <c r="J296" s="9" t="n">
        <v>1175000</v>
      </c>
      <c r="K296" s="8" t="s">
        <v>324</v>
      </c>
      <c r="L296" s="9" t="n">
        <v>14510.14</v>
      </c>
      <c r="M296" s="9" t="n">
        <v>1813.77</v>
      </c>
      <c r="N296" s="9" t="n">
        <v>1813.77</v>
      </c>
      <c r="O296" s="9" t="n">
        <v>10882.6</v>
      </c>
      <c r="P296" s="9" t="n">
        <v>1088.26</v>
      </c>
      <c r="Q296" s="9" t="n">
        <v>1088.26</v>
      </c>
      <c r="R296" s="9" t="n">
        <v>1088.26</v>
      </c>
      <c r="S296" s="9" t="n">
        <v>1088.26</v>
      </c>
      <c r="T296" s="9" t="n">
        <v>1088.26</v>
      </c>
      <c r="U296" s="9" t="n">
        <v>1088.26</v>
      </c>
      <c r="V296" s="9" t="n">
        <v>1088.26</v>
      </c>
      <c r="W296" s="9" t="n">
        <v>1088.26</v>
      </c>
      <c r="X296" s="9" t="n">
        <v>1088.26</v>
      </c>
      <c r="Y296" s="9" t="n">
        <v>1088.26</v>
      </c>
      <c r="Z296" s="9" t="n">
        <v>350</v>
      </c>
      <c r="AA296" s="9" t="n">
        <v>250</v>
      </c>
      <c r="AB296" s="9" t="n">
        <v>600</v>
      </c>
    </row>
    <row r="297" customFormat="false" ht="15" hidden="false" customHeight="false" outlineLevel="0" collapsed="false">
      <c r="A297" s="3" t="s">
        <v>1005</v>
      </c>
      <c r="B297" s="3" t="s">
        <v>1006</v>
      </c>
      <c r="C297" s="3" t="s">
        <v>559</v>
      </c>
      <c r="D297" s="3" t="s">
        <v>560</v>
      </c>
      <c r="E297" s="3" t="n">
        <v>2015</v>
      </c>
      <c r="F297" s="3" t="s">
        <v>53</v>
      </c>
      <c r="G297" s="3" t="s">
        <v>236</v>
      </c>
      <c r="H297" s="3" t="s">
        <v>1007</v>
      </c>
      <c r="I297" s="3" t="s">
        <v>56</v>
      </c>
      <c r="J297" s="7" t="n">
        <v>1950000</v>
      </c>
      <c r="K297" s="3" t="s">
        <v>238</v>
      </c>
      <c r="L297" s="7" t="n">
        <v>35615.09</v>
      </c>
      <c r="M297" s="7" t="n">
        <v>4451.89</v>
      </c>
      <c r="N297" s="7" t="n">
        <v>4451.89</v>
      </c>
      <c r="O297" s="7" t="n">
        <v>26711.3</v>
      </c>
      <c r="P297" s="7" t="n">
        <v>2671.13</v>
      </c>
      <c r="Q297" s="7" t="n">
        <v>2671.13</v>
      </c>
      <c r="R297" s="7" t="n">
        <v>2671.13</v>
      </c>
      <c r="S297" s="7" t="n">
        <v>2671.13</v>
      </c>
      <c r="T297" s="7" t="n">
        <v>2671.13</v>
      </c>
      <c r="U297" s="7" t="n">
        <v>2671.13</v>
      </c>
      <c r="V297" s="7" t="n">
        <v>2671.13</v>
      </c>
      <c r="W297" s="7" t="n">
        <v>2671.13</v>
      </c>
      <c r="X297" s="7" t="n">
        <v>2671.13</v>
      </c>
      <c r="Y297" s="7" t="n">
        <v>2671.13</v>
      </c>
      <c r="Z297" s="7" t="n">
        <v>350</v>
      </c>
      <c r="AA297" s="7" t="n">
        <v>250</v>
      </c>
      <c r="AB297" s="7" t="n">
        <v>600</v>
      </c>
    </row>
    <row r="298" customFormat="false" ht="15" hidden="false" customHeight="false" outlineLevel="0" collapsed="false">
      <c r="A298" s="8" t="s">
        <v>1008</v>
      </c>
      <c r="B298" s="8" t="s">
        <v>1009</v>
      </c>
      <c r="C298" s="8" t="s">
        <v>179</v>
      </c>
      <c r="D298" s="8" t="s">
        <v>180</v>
      </c>
      <c r="E298" s="8" t="n">
        <v>1957</v>
      </c>
      <c r="F298" s="8" t="s">
        <v>387</v>
      </c>
      <c r="G298" s="8" t="s">
        <v>388</v>
      </c>
      <c r="H298" s="8" t="s">
        <v>1010</v>
      </c>
      <c r="I298" s="8" t="s">
        <v>56</v>
      </c>
      <c r="J298" s="9" t="n">
        <v>770000</v>
      </c>
      <c r="K298" s="8" t="s">
        <v>91</v>
      </c>
      <c r="L298" s="9" t="n">
        <v>17666.42</v>
      </c>
      <c r="M298" s="9" t="n">
        <v>2208.3</v>
      </c>
      <c r="N298" s="9" t="n">
        <v>2208.3</v>
      </c>
      <c r="O298" s="9" t="n">
        <v>13249.8</v>
      </c>
      <c r="P298" s="9" t="n">
        <v>1324.98</v>
      </c>
      <c r="Q298" s="9" t="n">
        <v>1324.98</v>
      </c>
      <c r="R298" s="9" t="n">
        <v>1324.98</v>
      </c>
      <c r="S298" s="9" t="n">
        <v>1324.98</v>
      </c>
      <c r="T298" s="9" t="n">
        <v>1324.98</v>
      </c>
      <c r="U298" s="9" t="n">
        <v>1324.98</v>
      </c>
      <c r="V298" s="9" t="n">
        <v>1324.98</v>
      </c>
      <c r="W298" s="9" t="n">
        <v>1324.98</v>
      </c>
      <c r="X298" s="9" t="n">
        <v>1324.98</v>
      </c>
      <c r="Y298" s="9" t="n">
        <v>1324.98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1011</v>
      </c>
      <c r="B299" s="3" t="s">
        <v>1012</v>
      </c>
      <c r="C299" s="3" t="s">
        <v>144</v>
      </c>
      <c r="D299" s="3" t="s">
        <v>145</v>
      </c>
      <c r="E299" s="3" t="n">
        <v>2021</v>
      </c>
      <c r="F299" s="3" t="s">
        <v>44</v>
      </c>
      <c r="G299" s="3" t="s">
        <v>45</v>
      </c>
      <c r="H299" s="3" t="s">
        <v>1013</v>
      </c>
      <c r="I299" s="3" t="s">
        <v>47</v>
      </c>
      <c r="J299" s="7" t="n">
        <v>680000</v>
      </c>
      <c r="K299" s="3" t="s">
        <v>324</v>
      </c>
      <c r="L299" s="7" t="n">
        <v>9924.15</v>
      </c>
      <c r="M299" s="7" t="n">
        <v>1240.52</v>
      </c>
      <c r="N299" s="7" t="n">
        <v>1240.52</v>
      </c>
      <c r="O299" s="7" t="n">
        <v>7443.1</v>
      </c>
      <c r="P299" s="7" t="n">
        <v>744.31</v>
      </c>
      <c r="Q299" s="7" t="n">
        <v>744.31</v>
      </c>
      <c r="R299" s="7" t="n">
        <v>744.31</v>
      </c>
      <c r="S299" s="7" t="n">
        <v>744.31</v>
      </c>
      <c r="T299" s="7" t="n">
        <v>744.31</v>
      </c>
      <c r="U299" s="7" t="n">
        <v>744.31</v>
      </c>
      <c r="V299" s="7" t="n">
        <v>744.31</v>
      </c>
      <c r="W299" s="7" t="n">
        <v>744.31</v>
      </c>
      <c r="X299" s="7" t="n">
        <v>744.31</v>
      </c>
      <c r="Y299" s="7" t="n">
        <v>744.31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1014</v>
      </c>
      <c r="B300" s="8" t="s">
        <v>967</v>
      </c>
      <c r="C300" s="8" t="s">
        <v>116</v>
      </c>
      <c r="D300" s="8" t="s">
        <v>117</v>
      </c>
      <c r="E300" s="8" t="n">
        <v>2000</v>
      </c>
      <c r="F300" s="8" t="s">
        <v>387</v>
      </c>
      <c r="G300" s="8" t="s">
        <v>388</v>
      </c>
      <c r="H300" s="8" t="s">
        <v>1015</v>
      </c>
      <c r="I300" s="8" t="s">
        <v>56</v>
      </c>
      <c r="J300" s="9" t="n">
        <v>1200000</v>
      </c>
      <c r="K300" s="8" t="s">
        <v>75</v>
      </c>
      <c r="L300" s="9" t="n">
        <v>25177.36</v>
      </c>
      <c r="M300" s="9" t="n">
        <v>3147.17</v>
      </c>
      <c r="N300" s="9" t="n">
        <v>3147.17</v>
      </c>
      <c r="O300" s="9" t="n">
        <v>18883</v>
      </c>
      <c r="P300" s="9" t="n">
        <v>1888.3</v>
      </c>
      <c r="Q300" s="9" t="n">
        <v>1888.3</v>
      </c>
      <c r="R300" s="9" t="n">
        <v>1888.3</v>
      </c>
      <c r="S300" s="9" t="n">
        <v>1888.3</v>
      </c>
      <c r="T300" s="9" t="n">
        <v>1888.3</v>
      </c>
      <c r="U300" s="9" t="n">
        <v>1888.3</v>
      </c>
      <c r="V300" s="9" t="n">
        <v>1888.3</v>
      </c>
      <c r="W300" s="9" t="n">
        <v>1888.3</v>
      </c>
      <c r="X300" s="9" t="n">
        <v>1888.3</v>
      </c>
      <c r="Y300" s="9" t="n">
        <v>1888.3</v>
      </c>
      <c r="Z300" s="9" t="n">
        <v>350</v>
      </c>
      <c r="AA300" s="9" t="n">
        <v>250</v>
      </c>
      <c r="AB300" s="9" t="n">
        <v>600</v>
      </c>
    </row>
    <row r="301" customFormat="false" ht="15" hidden="false" customHeight="false" outlineLevel="0" collapsed="false">
      <c r="A301" s="3" t="s">
        <v>1016</v>
      </c>
      <c r="B301" s="3" t="s">
        <v>1017</v>
      </c>
      <c r="C301" s="3" t="s">
        <v>42</v>
      </c>
      <c r="D301" s="3" t="s">
        <v>43</v>
      </c>
      <c r="E301" s="3" t="n">
        <v>1991</v>
      </c>
      <c r="F301" s="3" t="s">
        <v>88</v>
      </c>
      <c r="G301" s="3" t="s">
        <v>89</v>
      </c>
      <c r="H301" s="3" t="s">
        <v>1018</v>
      </c>
      <c r="I301" s="3" t="s">
        <v>47</v>
      </c>
      <c r="J301" s="7" t="n">
        <v>790000</v>
      </c>
      <c r="K301" s="3" t="s">
        <v>141</v>
      </c>
      <c r="L301" s="7" t="n">
        <v>11820.19</v>
      </c>
      <c r="M301" s="7" t="n">
        <v>1477.52</v>
      </c>
      <c r="N301" s="7" t="n">
        <v>1477.52</v>
      </c>
      <c r="O301" s="7" t="n">
        <v>8865.1</v>
      </c>
      <c r="P301" s="7" t="n">
        <v>886.51</v>
      </c>
      <c r="Q301" s="7" t="n">
        <v>886.51</v>
      </c>
      <c r="R301" s="7" t="n">
        <v>886.51</v>
      </c>
      <c r="S301" s="7" t="n">
        <v>886.51</v>
      </c>
      <c r="T301" s="7" t="n">
        <v>886.51</v>
      </c>
      <c r="U301" s="7" t="n">
        <v>886.51</v>
      </c>
      <c r="V301" s="7" t="n">
        <v>886.51</v>
      </c>
      <c r="W301" s="7" t="n">
        <v>886.51</v>
      </c>
      <c r="X301" s="7" t="n">
        <v>886.51</v>
      </c>
      <c r="Y301" s="7" t="n">
        <v>886.51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1019</v>
      </c>
      <c r="B302" s="8" t="s">
        <v>1020</v>
      </c>
      <c r="C302" s="8" t="s">
        <v>200</v>
      </c>
      <c r="D302" s="8" t="s">
        <v>201</v>
      </c>
      <c r="E302" s="8" t="n">
        <v>1957</v>
      </c>
      <c r="F302" s="8" t="s">
        <v>146</v>
      </c>
      <c r="G302" s="8" t="s">
        <v>147</v>
      </c>
      <c r="H302" s="8" t="s">
        <v>1021</v>
      </c>
      <c r="I302" s="8" t="s">
        <v>47</v>
      </c>
      <c r="J302" s="9" t="n">
        <v>115000</v>
      </c>
      <c r="K302" s="8" t="s">
        <v>629</v>
      </c>
      <c r="L302" s="9" t="n">
        <v>1976.26</v>
      </c>
      <c r="M302" s="9" t="n">
        <v>247.03</v>
      </c>
      <c r="N302" s="9" t="n">
        <v>247.03</v>
      </c>
      <c r="O302" s="9" t="n">
        <v>1482.2</v>
      </c>
      <c r="P302" s="9" t="n">
        <v>148.22</v>
      </c>
      <c r="Q302" s="9" t="n">
        <v>148.22</v>
      </c>
      <c r="R302" s="9" t="n">
        <v>148.22</v>
      </c>
      <c r="S302" s="9" t="n">
        <v>148.22</v>
      </c>
      <c r="T302" s="9" t="n">
        <v>148.22</v>
      </c>
      <c r="U302" s="9" t="n">
        <v>148.22</v>
      </c>
      <c r="V302" s="9" t="n">
        <v>148.22</v>
      </c>
      <c r="W302" s="9" t="n">
        <v>148.22</v>
      </c>
      <c r="X302" s="9" t="n">
        <v>148.22</v>
      </c>
      <c r="Y302" s="9" t="n">
        <v>148.22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1022</v>
      </c>
      <c r="B303" s="3" t="s">
        <v>1023</v>
      </c>
      <c r="C303" s="3" t="s">
        <v>86</v>
      </c>
      <c r="D303" s="3" t="s">
        <v>87</v>
      </c>
      <c r="E303" s="3" t="n">
        <v>1967</v>
      </c>
      <c r="F303" s="3" t="s">
        <v>276</v>
      </c>
      <c r="G303" s="3" t="s">
        <v>277</v>
      </c>
      <c r="H303" s="3" t="s">
        <v>1024</v>
      </c>
      <c r="I303" s="3" t="s">
        <v>136</v>
      </c>
      <c r="J303" s="7" t="n">
        <v>640000</v>
      </c>
      <c r="K303" s="3" t="s">
        <v>126</v>
      </c>
      <c r="L303" s="7" t="n">
        <v>4932.83</v>
      </c>
      <c r="M303" s="7" t="n">
        <v>616.6</v>
      </c>
      <c r="N303" s="7" t="n">
        <v>616.6</v>
      </c>
      <c r="O303" s="7" t="n">
        <v>3699.6</v>
      </c>
      <c r="P303" s="7" t="n">
        <v>369.96</v>
      </c>
      <c r="Q303" s="7" t="n">
        <v>369.96</v>
      </c>
      <c r="R303" s="7" t="n">
        <v>369.96</v>
      </c>
      <c r="S303" s="7" t="n">
        <v>369.96</v>
      </c>
      <c r="T303" s="7" t="n">
        <v>369.96</v>
      </c>
      <c r="U303" s="7" t="n">
        <v>369.96</v>
      </c>
      <c r="V303" s="7" t="n">
        <v>369.96</v>
      </c>
      <c r="W303" s="7" t="n">
        <v>369.96</v>
      </c>
      <c r="X303" s="7" t="n">
        <v>369.96</v>
      </c>
      <c r="Y303" s="7" t="n">
        <v>369.96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1025</v>
      </c>
      <c r="B304" s="8" t="s">
        <v>1026</v>
      </c>
      <c r="C304" s="8" t="s">
        <v>219</v>
      </c>
      <c r="D304" s="8" t="s">
        <v>220</v>
      </c>
      <c r="E304" s="8" t="n">
        <v>1967</v>
      </c>
      <c r="F304" s="8" t="s">
        <v>99</v>
      </c>
      <c r="G304" s="8" t="s">
        <v>134</v>
      </c>
      <c r="H304" s="8" t="s">
        <v>1027</v>
      </c>
      <c r="I304" s="8" t="s">
        <v>136</v>
      </c>
      <c r="J304" s="9" t="n">
        <v>535000</v>
      </c>
      <c r="K304" s="8" t="s">
        <v>328</v>
      </c>
      <c r="L304" s="9" t="n">
        <v>4253.75</v>
      </c>
      <c r="M304" s="9" t="n">
        <v>531.72</v>
      </c>
      <c r="N304" s="9" t="n">
        <v>531.72</v>
      </c>
      <c r="O304" s="9" t="n">
        <v>3190.3</v>
      </c>
      <c r="P304" s="9" t="n">
        <v>319.03</v>
      </c>
      <c r="Q304" s="9" t="n">
        <v>319.03</v>
      </c>
      <c r="R304" s="9" t="n">
        <v>319.03</v>
      </c>
      <c r="S304" s="9" t="n">
        <v>319.03</v>
      </c>
      <c r="T304" s="9" t="n">
        <v>319.03</v>
      </c>
      <c r="U304" s="9" t="n">
        <v>319.03</v>
      </c>
      <c r="V304" s="9" t="n">
        <v>319.03</v>
      </c>
      <c r="W304" s="9" t="n">
        <v>319.03</v>
      </c>
      <c r="X304" s="9" t="n">
        <v>319.03</v>
      </c>
      <c r="Y304" s="9" t="n">
        <v>319.03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1028</v>
      </c>
      <c r="B305" s="3" t="s">
        <v>519</v>
      </c>
      <c r="C305" s="3" t="s">
        <v>111</v>
      </c>
      <c r="D305" s="3" t="s">
        <v>112</v>
      </c>
      <c r="E305" s="3" t="n">
        <v>2009</v>
      </c>
      <c r="F305" s="3" t="s">
        <v>265</v>
      </c>
      <c r="G305" s="3" t="s">
        <v>266</v>
      </c>
      <c r="H305" s="3" t="s">
        <v>1029</v>
      </c>
      <c r="I305" s="3" t="s">
        <v>47</v>
      </c>
      <c r="J305" s="7" t="n">
        <v>225000</v>
      </c>
      <c r="K305" s="3" t="s">
        <v>253</v>
      </c>
      <c r="L305" s="7" t="n">
        <v>4296.23</v>
      </c>
      <c r="M305" s="7" t="n">
        <v>537.03</v>
      </c>
      <c r="N305" s="7" t="n">
        <v>537.03</v>
      </c>
      <c r="O305" s="7" t="n">
        <v>3222.2</v>
      </c>
      <c r="P305" s="7" t="n">
        <v>322.22</v>
      </c>
      <c r="Q305" s="7" t="n">
        <v>322.22</v>
      </c>
      <c r="R305" s="7" t="n">
        <v>322.22</v>
      </c>
      <c r="S305" s="7" t="n">
        <v>322.22</v>
      </c>
      <c r="T305" s="7" t="n">
        <v>322.22</v>
      </c>
      <c r="U305" s="7" t="n">
        <v>322.22</v>
      </c>
      <c r="V305" s="7" t="n">
        <v>322.22</v>
      </c>
      <c r="W305" s="7" t="n">
        <v>322.22</v>
      </c>
      <c r="X305" s="7" t="n">
        <v>322.22</v>
      </c>
      <c r="Y305" s="7" t="n">
        <v>322.22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1030</v>
      </c>
      <c r="B306" s="8" t="s">
        <v>1031</v>
      </c>
      <c r="C306" s="8" t="s">
        <v>385</v>
      </c>
      <c r="D306" s="8" t="s">
        <v>386</v>
      </c>
      <c r="E306" s="8" t="n">
        <v>2015</v>
      </c>
      <c r="F306" s="8" t="s">
        <v>88</v>
      </c>
      <c r="G306" s="8" t="s">
        <v>154</v>
      </c>
      <c r="H306" s="8" t="s">
        <v>1032</v>
      </c>
      <c r="I306" s="8" t="s">
        <v>136</v>
      </c>
      <c r="J306" s="9" t="n">
        <v>1590000</v>
      </c>
      <c r="K306" s="8" t="s">
        <v>279</v>
      </c>
      <c r="L306" s="9" t="n">
        <v>12996</v>
      </c>
      <c r="M306" s="9" t="n">
        <v>1624.5</v>
      </c>
      <c r="N306" s="9" t="n">
        <v>1624.5</v>
      </c>
      <c r="O306" s="9" t="n">
        <v>9747</v>
      </c>
      <c r="P306" s="9" t="n">
        <v>974.7</v>
      </c>
      <c r="Q306" s="9" t="n">
        <v>974.7</v>
      </c>
      <c r="R306" s="9" t="n">
        <v>974.7</v>
      </c>
      <c r="S306" s="9" t="n">
        <v>974.7</v>
      </c>
      <c r="T306" s="9" t="n">
        <v>974.7</v>
      </c>
      <c r="U306" s="9" t="n">
        <v>974.7</v>
      </c>
      <c r="V306" s="9" t="n">
        <v>974.7</v>
      </c>
      <c r="W306" s="9" t="n">
        <v>974.7</v>
      </c>
      <c r="X306" s="9" t="n">
        <v>974.7</v>
      </c>
      <c r="Y306" s="9" t="n">
        <v>974.7</v>
      </c>
      <c r="Z306" s="9" t="n">
        <v>350</v>
      </c>
      <c r="AA306" s="9" t="n">
        <v>250</v>
      </c>
      <c r="AB306" s="9" t="n">
        <v>600</v>
      </c>
    </row>
    <row r="307" customFormat="false" ht="15" hidden="false" customHeight="false" outlineLevel="0" collapsed="false">
      <c r="A307" s="3" t="s">
        <v>1033</v>
      </c>
      <c r="B307" s="3" t="s">
        <v>786</v>
      </c>
      <c r="C307" s="3" t="s">
        <v>190</v>
      </c>
      <c r="D307" s="3" t="s">
        <v>191</v>
      </c>
      <c r="E307" s="3" t="n">
        <v>1988</v>
      </c>
      <c r="F307" s="3" t="s">
        <v>146</v>
      </c>
      <c r="G307" s="3" t="s">
        <v>147</v>
      </c>
      <c r="H307" s="3" t="s">
        <v>1034</v>
      </c>
      <c r="I307" s="3" t="s">
        <v>47</v>
      </c>
      <c r="J307" s="7" t="n">
        <v>1010000</v>
      </c>
      <c r="K307" s="3" t="s">
        <v>348</v>
      </c>
      <c r="L307" s="7" t="n">
        <v>12577.36</v>
      </c>
      <c r="M307" s="7" t="n">
        <v>1572.17</v>
      </c>
      <c r="N307" s="7" t="n">
        <v>1572.17</v>
      </c>
      <c r="O307" s="7" t="n">
        <v>9433</v>
      </c>
      <c r="P307" s="7" t="n">
        <v>943.3</v>
      </c>
      <c r="Q307" s="7" t="n">
        <v>943.3</v>
      </c>
      <c r="R307" s="7" t="n">
        <v>943.3</v>
      </c>
      <c r="S307" s="7" t="n">
        <v>943.3</v>
      </c>
      <c r="T307" s="7" t="n">
        <v>943.3</v>
      </c>
      <c r="U307" s="7" t="n">
        <v>943.3</v>
      </c>
      <c r="V307" s="7" t="n">
        <v>943.3</v>
      </c>
      <c r="W307" s="7" t="n">
        <v>943.3</v>
      </c>
      <c r="X307" s="7" t="n">
        <v>943.3</v>
      </c>
      <c r="Y307" s="7" t="n">
        <v>943.3</v>
      </c>
      <c r="Z307" s="7" t="n">
        <v>350</v>
      </c>
      <c r="AA307" s="7" t="n">
        <v>250</v>
      </c>
      <c r="AB307" s="7" t="n">
        <v>600</v>
      </c>
    </row>
    <row r="308" customFormat="false" ht="15" hidden="false" customHeight="false" outlineLevel="0" collapsed="false">
      <c r="A308" s="8" t="s">
        <v>1035</v>
      </c>
      <c r="B308" s="8" t="s">
        <v>1036</v>
      </c>
      <c r="C308" s="8" t="s">
        <v>158</v>
      </c>
      <c r="D308" s="8" t="s">
        <v>159</v>
      </c>
      <c r="E308" s="8" t="n">
        <v>2022</v>
      </c>
      <c r="F308" s="8" t="s">
        <v>88</v>
      </c>
      <c r="G308" s="8" t="s">
        <v>89</v>
      </c>
      <c r="H308" s="8" t="s">
        <v>1037</v>
      </c>
      <c r="I308" s="8" t="s">
        <v>47</v>
      </c>
      <c r="J308" s="9" t="n">
        <v>1230000</v>
      </c>
      <c r="K308" s="8" t="s">
        <v>490</v>
      </c>
      <c r="L308" s="9" t="n">
        <v>15827.55</v>
      </c>
      <c r="M308" s="9" t="n">
        <v>1978.44</v>
      </c>
      <c r="N308" s="9" t="n">
        <v>1978.44</v>
      </c>
      <c r="O308" s="9" t="n">
        <v>11870.7</v>
      </c>
      <c r="P308" s="9" t="n">
        <v>1187.07</v>
      </c>
      <c r="Q308" s="9" t="n">
        <v>1187.07</v>
      </c>
      <c r="R308" s="9" t="n">
        <v>1187.07</v>
      </c>
      <c r="S308" s="9" t="n">
        <v>1187.07</v>
      </c>
      <c r="T308" s="9" t="n">
        <v>1187.07</v>
      </c>
      <c r="U308" s="9" t="n">
        <v>1187.07</v>
      </c>
      <c r="V308" s="9" t="n">
        <v>1187.07</v>
      </c>
      <c r="W308" s="9" t="n">
        <v>1187.07</v>
      </c>
      <c r="X308" s="9" t="n">
        <v>1187.07</v>
      </c>
      <c r="Y308" s="9" t="n">
        <v>1187.07</v>
      </c>
      <c r="Z308" s="9" t="n">
        <v>350</v>
      </c>
      <c r="AA308" s="9" t="n">
        <v>250</v>
      </c>
      <c r="AB308" s="9" t="n">
        <v>600</v>
      </c>
    </row>
    <row r="309" customFormat="false" ht="15" hidden="false" customHeight="false" outlineLevel="0" collapsed="false">
      <c r="A309" s="3" t="s">
        <v>1038</v>
      </c>
      <c r="B309" s="3" t="s">
        <v>1039</v>
      </c>
      <c r="C309" s="3" t="s">
        <v>152</v>
      </c>
      <c r="D309" s="3" t="s">
        <v>153</v>
      </c>
      <c r="E309" s="3" t="n">
        <v>1958</v>
      </c>
      <c r="F309" s="3" t="s">
        <v>99</v>
      </c>
      <c r="G309" s="3" t="s">
        <v>100</v>
      </c>
      <c r="H309" s="3" t="s">
        <v>1040</v>
      </c>
      <c r="I309" s="3" t="s">
        <v>47</v>
      </c>
      <c r="J309" s="7" t="n">
        <v>385000</v>
      </c>
      <c r="K309" s="3" t="s">
        <v>83</v>
      </c>
      <c r="L309" s="7" t="n">
        <v>7354.95</v>
      </c>
      <c r="M309" s="7" t="n">
        <v>919.37</v>
      </c>
      <c r="N309" s="7" t="n">
        <v>919.37</v>
      </c>
      <c r="O309" s="7" t="n">
        <v>5516.2</v>
      </c>
      <c r="P309" s="7" t="n">
        <v>551.62</v>
      </c>
      <c r="Q309" s="7" t="n">
        <v>551.62</v>
      </c>
      <c r="R309" s="7" t="n">
        <v>551.62</v>
      </c>
      <c r="S309" s="7" t="n">
        <v>551.62</v>
      </c>
      <c r="T309" s="7" t="n">
        <v>551.62</v>
      </c>
      <c r="U309" s="7" t="n">
        <v>551.62</v>
      </c>
      <c r="V309" s="7" t="n">
        <v>551.62</v>
      </c>
      <c r="W309" s="7" t="n">
        <v>551.62</v>
      </c>
      <c r="X309" s="7" t="n">
        <v>551.62</v>
      </c>
      <c r="Y309" s="7" t="n">
        <v>551.62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1041</v>
      </c>
      <c r="B310" s="8" t="s">
        <v>506</v>
      </c>
      <c r="C310" s="8" t="s">
        <v>42</v>
      </c>
      <c r="D310" s="8" t="s">
        <v>43</v>
      </c>
      <c r="E310" s="8" t="n">
        <v>1971</v>
      </c>
      <c r="F310" s="8" t="s">
        <v>387</v>
      </c>
      <c r="G310" s="8" t="s">
        <v>388</v>
      </c>
      <c r="H310" s="8" t="s">
        <v>1042</v>
      </c>
      <c r="I310" s="8" t="s">
        <v>56</v>
      </c>
      <c r="J310" s="9" t="n">
        <v>455000</v>
      </c>
      <c r="K310" s="8" t="s">
        <v>212</v>
      </c>
      <c r="L310" s="9" t="n">
        <v>10070.09</v>
      </c>
      <c r="M310" s="9" t="n">
        <v>1258.76</v>
      </c>
      <c r="N310" s="9" t="n">
        <v>1258.76</v>
      </c>
      <c r="O310" s="9" t="n">
        <v>7552.6</v>
      </c>
      <c r="P310" s="9" t="n">
        <v>755.26</v>
      </c>
      <c r="Q310" s="9" t="n">
        <v>755.26</v>
      </c>
      <c r="R310" s="9" t="n">
        <v>755.26</v>
      </c>
      <c r="S310" s="9" t="n">
        <v>755.26</v>
      </c>
      <c r="T310" s="9" t="n">
        <v>755.26</v>
      </c>
      <c r="U310" s="9" t="n">
        <v>755.26</v>
      </c>
      <c r="V310" s="9" t="n">
        <v>755.26</v>
      </c>
      <c r="W310" s="9" t="n">
        <v>755.26</v>
      </c>
      <c r="X310" s="9" t="n">
        <v>755.26</v>
      </c>
      <c r="Y310" s="9" t="n">
        <v>755.26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1043</v>
      </c>
      <c r="B311" s="3" t="s">
        <v>1044</v>
      </c>
      <c r="C311" s="3" t="s">
        <v>219</v>
      </c>
      <c r="D311" s="3" t="s">
        <v>220</v>
      </c>
      <c r="E311" s="3" t="n">
        <v>1991</v>
      </c>
      <c r="F311" s="3" t="s">
        <v>80</v>
      </c>
      <c r="G311" s="3" t="s">
        <v>81</v>
      </c>
      <c r="H311" s="3" t="s">
        <v>1045</v>
      </c>
      <c r="I311" s="3" t="s">
        <v>47</v>
      </c>
      <c r="J311" s="7" t="n">
        <v>980000</v>
      </c>
      <c r="K311" s="3" t="s">
        <v>312</v>
      </c>
      <c r="L311" s="7" t="n">
        <v>13220.75</v>
      </c>
      <c r="M311" s="7" t="n">
        <v>1652.59</v>
      </c>
      <c r="N311" s="7" t="n">
        <v>1652.59</v>
      </c>
      <c r="O311" s="7" t="n">
        <v>9915.6</v>
      </c>
      <c r="P311" s="7" t="n">
        <v>991.56</v>
      </c>
      <c r="Q311" s="7" t="n">
        <v>991.56</v>
      </c>
      <c r="R311" s="7" t="n">
        <v>991.56</v>
      </c>
      <c r="S311" s="7" t="n">
        <v>991.56</v>
      </c>
      <c r="T311" s="7" t="n">
        <v>991.56</v>
      </c>
      <c r="U311" s="7" t="n">
        <v>991.56</v>
      </c>
      <c r="V311" s="7" t="n">
        <v>991.56</v>
      </c>
      <c r="W311" s="7" t="n">
        <v>991.56</v>
      </c>
      <c r="X311" s="7" t="n">
        <v>991.56</v>
      </c>
      <c r="Y311" s="7" t="n">
        <v>991.56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1046</v>
      </c>
      <c r="B312" s="8" t="s">
        <v>1047</v>
      </c>
      <c r="C312" s="8" t="s">
        <v>190</v>
      </c>
      <c r="D312" s="8" t="s">
        <v>191</v>
      </c>
      <c r="E312" s="8" t="n">
        <v>2021</v>
      </c>
      <c r="F312" s="8" t="s">
        <v>105</v>
      </c>
      <c r="G312" s="8" t="s">
        <v>106</v>
      </c>
      <c r="H312" s="8" t="s">
        <v>1048</v>
      </c>
      <c r="I312" s="8" t="s">
        <v>56</v>
      </c>
      <c r="J312" s="9" t="n">
        <v>835000</v>
      </c>
      <c r="K312" s="8" t="s">
        <v>197</v>
      </c>
      <c r="L312" s="9" t="n">
        <v>23198.82</v>
      </c>
      <c r="M312" s="9" t="n">
        <v>2899.85</v>
      </c>
      <c r="N312" s="9" t="n">
        <v>2899.85</v>
      </c>
      <c r="O312" s="9" t="n">
        <v>17399.1</v>
      </c>
      <c r="P312" s="9" t="n">
        <v>1739.91</v>
      </c>
      <c r="Q312" s="9" t="n">
        <v>1739.91</v>
      </c>
      <c r="R312" s="9" t="n">
        <v>1739.91</v>
      </c>
      <c r="S312" s="9" t="n">
        <v>1739.91</v>
      </c>
      <c r="T312" s="9" t="n">
        <v>1739.91</v>
      </c>
      <c r="U312" s="9" t="n">
        <v>1739.91</v>
      </c>
      <c r="V312" s="9" t="n">
        <v>1739.91</v>
      </c>
      <c r="W312" s="9" t="n">
        <v>1739.91</v>
      </c>
      <c r="X312" s="9" t="n">
        <v>1739.91</v>
      </c>
      <c r="Y312" s="9" t="n">
        <v>1739.91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1049</v>
      </c>
      <c r="B313" s="3" t="s">
        <v>1050</v>
      </c>
      <c r="C313" s="3" t="s">
        <v>256</v>
      </c>
      <c r="D313" s="3" t="s">
        <v>257</v>
      </c>
      <c r="E313" s="3" t="n">
        <v>1993</v>
      </c>
      <c r="F313" s="3" t="s">
        <v>265</v>
      </c>
      <c r="G313" s="3" t="s">
        <v>266</v>
      </c>
      <c r="H313" s="3" t="s">
        <v>1051</v>
      </c>
      <c r="I313" s="3" t="s">
        <v>47</v>
      </c>
      <c r="J313" s="7" t="n">
        <v>510000</v>
      </c>
      <c r="K313" s="3" t="s">
        <v>399</v>
      </c>
      <c r="L313" s="7" t="n">
        <v>5691.79</v>
      </c>
      <c r="M313" s="7" t="n">
        <v>711.47</v>
      </c>
      <c r="N313" s="7" t="n">
        <v>711.47</v>
      </c>
      <c r="O313" s="7" t="n">
        <v>4268.8</v>
      </c>
      <c r="P313" s="7" t="n">
        <v>426.88</v>
      </c>
      <c r="Q313" s="7" t="n">
        <v>426.88</v>
      </c>
      <c r="R313" s="7" t="n">
        <v>426.88</v>
      </c>
      <c r="S313" s="7" t="n">
        <v>426.88</v>
      </c>
      <c r="T313" s="7" t="n">
        <v>426.88</v>
      </c>
      <c r="U313" s="7" t="n">
        <v>426.88</v>
      </c>
      <c r="V313" s="7" t="n">
        <v>426.88</v>
      </c>
      <c r="W313" s="7" t="n">
        <v>426.88</v>
      </c>
      <c r="X313" s="7" t="n">
        <v>426.88</v>
      </c>
      <c r="Y313" s="7" t="n">
        <v>426.88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1052</v>
      </c>
      <c r="B314" s="8" t="s">
        <v>598</v>
      </c>
      <c r="C314" s="8" t="s">
        <v>144</v>
      </c>
      <c r="D314" s="8" t="s">
        <v>145</v>
      </c>
      <c r="E314" s="8" t="n">
        <v>1979</v>
      </c>
      <c r="F314" s="8" t="s">
        <v>44</v>
      </c>
      <c r="G314" s="8" t="s">
        <v>45</v>
      </c>
      <c r="H314" s="8" t="s">
        <v>1053</v>
      </c>
      <c r="I314" s="8" t="s">
        <v>47</v>
      </c>
      <c r="J314" s="9" t="n">
        <v>580000</v>
      </c>
      <c r="K314" s="8" t="s">
        <v>203</v>
      </c>
      <c r="L314" s="9" t="n">
        <v>10100.75</v>
      </c>
      <c r="M314" s="9" t="n">
        <v>1262.59</v>
      </c>
      <c r="N314" s="9" t="n">
        <v>1262.59</v>
      </c>
      <c r="O314" s="9" t="n">
        <v>7575.6</v>
      </c>
      <c r="P314" s="9" t="n">
        <v>757.56</v>
      </c>
      <c r="Q314" s="9" t="n">
        <v>757.56</v>
      </c>
      <c r="R314" s="9" t="n">
        <v>757.56</v>
      </c>
      <c r="S314" s="9" t="n">
        <v>757.56</v>
      </c>
      <c r="T314" s="9" t="n">
        <v>757.56</v>
      </c>
      <c r="U314" s="9" t="n">
        <v>757.56</v>
      </c>
      <c r="V314" s="9" t="n">
        <v>757.56</v>
      </c>
      <c r="W314" s="9" t="n">
        <v>757.56</v>
      </c>
      <c r="X314" s="9" t="n">
        <v>757.56</v>
      </c>
      <c r="Y314" s="9" t="n">
        <v>757.56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1054</v>
      </c>
      <c r="B315" s="3" t="s">
        <v>1055</v>
      </c>
      <c r="C315" s="3" t="s">
        <v>368</v>
      </c>
      <c r="D315" s="3" t="s">
        <v>369</v>
      </c>
      <c r="E315" s="3" t="n">
        <v>1972</v>
      </c>
      <c r="F315" s="3" t="s">
        <v>53</v>
      </c>
      <c r="G315" s="3" t="s">
        <v>54</v>
      </c>
      <c r="H315" s="3" t="s">
        <v>1056</v>
      </c>
      <c r="I315" s="3" t="s">
        <v>56</v>
      </c>
      <c r="J315" s="7" t="n">
        <v>655000</v>
      </c>
      <c r="K315" s="3" t="s">
        <v>471</v>
      </c>
      <c r="L315" s="7" t="n">
        <v>16201.98</v>
      </c>
      <c r="M315" s="7" t="n">
        <v>2025.25</v>
      </c>
      <c r="N315" s="7" t="n">
        <v>2025.25</v>
      </c>
      <c r="O315" s="7" t="n">
        <v>12151.5</v>
      </c>
      <c r="P315" s="7" t="n">
        <v>1215.15</v>
      </c>
      <c r="Q315" s="7" t="n">
        <v>1215.15</v>
      </c>
      <c r="R315" s="7" t="n">
        <v>1215.15</v>
      </c>
      <c r="S315" s="7" t="n">
        <v>1215.15</v>
      </c>
      <c r="T315" s="7" t="n">
        <v>1215.15</v>
      </c>
      <c r="U315" s="7" t="n">
        <v>1215.15</v>
      </c>
      <c r="V315" s="7" t="n">
        <v>1215.15</v>
      </c>
      <c r="W315" s="7" t="n">
        <v>1215.15</v>
      </c>
      <c r="X315" s="7" t="n">
        <v>1215.15</v>
      </c>
      <c r="Y315" s="7" t="n">
        <v>1215.15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1057</v>
      </c>
      <c r="B316" s="8" t="s">
        <v>1058</v>
      </c>
      <c r="C316" s="8" t="s">
        <v>72</v>
      </c>
      <c r="D316" s="8" t="s">
        <v>73</v>
      </c>
      <c r="E316" s="8" t="n">
        <v>1977</v>
      </c>
      <c r="F316" s="8" t="s">
        <v>44</v>
      </c>
      <c r="G316" s="8" t="s">
        <v>45</v>
      </c>
      <c r="H316" s="8" t="s">
        <v>1059</v>
      </c>
      <c r="I316" s="8" t="s">
        <v>47</v>
      </c>
      <c r="J316" s="9" t="n">
        <v>395000</v>
      </c>
      <c r="K316" s="8" t="s">
        <v>149</v>
      </c>
      <c r="L316" s="9" t="n">
        <v>5366.04</v>
      </c>
      <c r="M316" s="9" t="n">
        <v>670.75</v>
      </c>
      <c r="N316" s="9" t="n">
        <v>670.75</v>
      </c>
      <c r="O316" s="9" t="n">
        <v>4024.5</v>
      </c>
      <c r="P316" s="9" t="n">
        <v>402.45</v>
      </c>
      <c r="Q316" s="9" t="n">
        <v>402.45</v>
      </c>
      <c r="R316" s="9" t="n">
        <v>402.45</v>
      </c>
      <c r="S316" s="9" t="n">
        <v>402.45</v>
      </c>
      <c r="T316" s="9" t="n">
        <v>402.45</v>
      </c>
      <c r="U316" s="9" t="n">
        <v>402.45</v>
      </c>
      <c r="V316" s="9" t="n">
        <v>402.45</v>
      </c>
      <c r="W316" s="9" t="n">
        <v>402.45</v>
      </c>
      <c r="X316" s="9" t="n">
        <v>402.45</v>
      </c>
      <c r="Y316" s="9" t="n">
        <v>402.45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1060</v>
      </c>
      <c r="B317" s="3" t="s">
        <v>65</v>
      </c>
      <c r="C317" s="3" t="s">
        <v>206</v>
      </c>
      <c r="D317" s="3" t="s">
        <v>207</v>
      </c>
      <c r="E317" s="3" t="n">
        <v>2012</v>
      </c>
      <c r="F317" s="3" t="s">
        <v>53</v>
      </c>
      <c r="G317" s="3" t="s">
        <v>258</v>
      </c>
      <c r="H317" s="3" t="s">
        <v>1061</v>
      </c>
      <c r="I317" s="3" t="s">
        <v>136</v>
      </c>
      <c r="J317" s="7" t="n">
        <v>1205000</v>
      </c>
      <c r="K317" s="3" t="s">
        <v>137</v>
      </c>
      <c r="L317" s="7" t="n">
        <v>10626.74</v>
      </c>
      <c r="M317" s="7" t="n">
        <v>1328.34</v>
      </c>
      <c r="N317" s="7" t="n">
        <v>1328.34</v>
      </c>
      <c r="O317" s="7" t="n">
        <v>7970.1</v>
      </c>
      <c r="P317" s="7" t="n">
        <v>797.01</v>
      </c>
      <c r="Q317" s="7" t="n">
        <v>797.01</v>
      </c>
      <c r="R317" s="7" t="n">
        <v>797.01</v>
      </c>
      <c r="S317" s="7" t="n">
        <v>797.01</v>
      </c>
      <c r="T317" s="7" t="n">
        <v>797.01</v>
      </c>
      <c r="U317" s="7" t="n">
        <v>797.01</v>
      </c>
      <c r="V317" s="7" t="n">
        <v>797.01</v>
      </c>
      <c r="W317" s="7" t="n">
        <v>797.01</v>
      </c>
      <c r="X317" s="7" t="n">
        <v>797.01</v>
      </c>
      <c r="Y317" s="7" t="n">
        <v>797.01</v>
      </c>
      <c r="Z317" s="7" t="n">
        <v>350</v>
      </c>
      <c r="AA317" s="7" t="n">
        <v>250</v>
      </c>
      <c r="AB317" s="7" t="n">
        <v>600</v>
      </c>
    </row>
    <row r="318" customFormat="false" ht="15" hidden="false" customHeight="false" outlineLevel="0" collapsed="false">
      <c r="A318" s="8" t="s">
        <v>1062</v>
      </c>
      <c r="B318" s="8" t="s">
        <v>1063</v>
      </c>
      <c r="C318" s="8" t="s">
        <v>200</v>
      </c>
      <c r="D318" s="8" t="s">
        <v>201</v>
      </c>
      <c r="E318" s="8" t="n">
        <v>1989</v>
      </c>
      <c r="F318" s="8" t="s">
        <v>387</v>
      </c>
      <c r="G318" s="8" t="s">
        <v>388</v>
      </c>
      <c r="H318" s="8" t="s">
        <v>1064</v>
      </c>
      <c r="I318" s="8" t="s">
        <v>56</v>
      </c>
      <c r="J318" s="9" t="n">
        <v>885000</v>
      </c>
      <c r="K318" s="8" t="s">
        <v>173</v>
      </c>
      <c r="L318" s="9" t="n">
        <v>18242.69</v>
      </c>
      <c r="M318" s="9" t="n">
        <v>2280.34</v>
      </c>
      <c r="N318" s="9" t="n">
        <v>2280.34</v>
      </c>
      <c r="O318" s="9" t="n">
        <v>13682</v>
      </c>
      <c r="P318" s="9" t="n">
        <v>1368.2</v>
      </c>
      <c r="Q318" s="9" t="n">
        <v>1368.2</v>
      </c>
      <c r="R318" s="9" t="n">
        <v>1368.2</v>
      </c>
      <c r="S318" s="9" t="n">
        <v>1368.2</v>
      </c>
      <c r="T318" s="9" t="n">
        <v>1368.2</v>
      </c>
      <c r="U318" s="9" t="n">
        <v>1368.2</v>
      </c>
      <c r="V318" s="9" t="n">
        <v>1368.2</v>
      </c>
      <c r="W318" s="9" t="n">
        <v>1368.2</v>
      </c>
      <c r="X318" s="9" t="n">
        <v>1368.2</v>
      </c>
      <c r="Y318" s="9" t="n">
        <v>1368.2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1065</v>
      </c>
      <c r="B319" s="3" t="s">
        <v>488</v>
      </c>
      <c r="C319" s="3" t="s">
        <v>78</v>
      </c>
      <c r="D319" s="3" t="s">
        <v>79</v>
      </c>
      <c r="E319" s="3" t="n">
        <v>1965</v>
      </c>
      <c r="F319" s="3" t="s">
        <v>88</v>
      </c>
      <c r="G319" s="3" t="s">
        <v>154</v>
      </c>
      <c r="H319" s="3" t="s">
        <v>1066</v>
      </c>
      <c r="I319" s="3" t="s">
        <v>136</v>
      </c>
      <c r="J319" s="7" t="n">
        <v>810000</v>
      </c>
      <c r="K319" s="3" t="s">
        <v>187</v>
      </c>
      <c r="L319" s="7" t="n">
        <v>7031.72</v>
      </c>
      <c r="M319" s="7" t="n">
        <v>878.97</v>
      </c>
      <c r="N319" s="7" t="n">
        <v>878.97</v>
      </c>
      <c r="O319" s="7" t="n">
        <v>5273.8</v>
      </c>
      <c r="P319" s="7" t="n">
        <v>527.38</v>
      </c>
      <c r="Q319" s="7" t="n">
        <v>527.38</v>
      </c>
      <c r="R319" s="7" t="n">
        <v>527.38</v>
      </c>
      <c r="S319" s="7" t="n">
        <v>527.38</v>
      </c>
      <c r="T319" s="7" t="n">
        <v>527.38</v>
      </c>
      <c r="U319" s="7" t="n">
        <v>527.38</v>
      </c>
      <c r="V319" s="7" t="n">
        <v>527.38</v>
      </c>
      <c r="W319" s="7" t="n">
        <v>527.38</v>
      </c>
      <c r="X319" s="7" t="n">
        <v>527.38</v>
      </c>
      <c r="Y319" s="7" t="n">
        <v>527.38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1067</v>
      </c>
      <c r="B320" s="8" t="s">
        <v>1068</v>
      </c>
      <c r="C320" s="8" t="s">
        <v>72</v>
      </c>
      <c r="D320" s="8" t="s">
        <v>73</v>
      </c>
      <c r="E320" s="8" t="n">
        <v>1991</v>
      </c>
      <c r="F320" s="8" t="s">
        <v>88</v>
      </c>
      <c r="G320" s="8" t="s">
        <v>89</v>
      </c>
      <c r="H320" s="8" t="s">
        <v>1069</v>
      </c>
      <c r="I320" s="8" t="s">
        <v>47</v>
      </c>
      <c r="J320" s="9" t="n">
        <v>820000</v>
      </c>
      <c r="K320" s="8" t="s">
        <v>451</v>
      </c>
      <c r="L320" s="9" t="n">
        <v>11162.83</v>
      </c>
      <c r="M320" s="9" t="n">
        <v>1395.35</v>
      </c>
      <c r="N320" s="9" t="n">
        <v>1395.35</v>
      </c>
      <c r="O320" s="9" t="n">
        <v>8372.1</v>
      </c>
      <c r="P320" s="9" t="n">
        <v>837.21</v>
      </c>
      <c r="Q320" s="9" t="n">
        <v>837.21</v>
      </c>
      <c r="R320" s="9" t="n">
        <v>837.21</v>
      </c>
      <c r="S320" s="9" t="n">
        <v>837.21</v>
      </c>
      <c r="T320" s="9" t="n">
        <v>837.21</v>
      </c>
      <c r="U320" s="9" t="n">
        <v>837.21</v>
      </c>
      <c r="V320" s="9" t="n">
        <v>837.21</v>
      </c>
      <c r="W320" s="9" t="n">
        <v>837.21</v>
      </c>
      <c r="X320" s="9" t="n">
        <v>837.21</v>
      </c>
      <c r="Y320" s="9" t="n">
        <v>837.21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1070</v>
      </c>
      <c r="B321" s="3" t="s">
        <v>1071</v>
      </c>
      <c r="C321" s="3" t="s">
        <v>282</v>
      </c>
      <c r="D321" s="3" t="s">
        <v>283</v>
      </c>
      <c r="E321" s="3" t="n">
        <v>1996</v>
      </c>
      <c r="F321" s="3" t="s">
        <v>146</v>
      </c>
      <c r="G321" s="3" t="s">
        <v>147</v>
      </c>
      <c r="H321" s="3" t="s">
        <v>1072</v>
      </c>
      <c r="I321" s="3" t="s">
        <v>47</v>
      </c>
      <c r="J321" s="7" t="n">
        <v>400000</v>
      </c>
      <c r="K321" s="3" t="s">
        <v>197</v>
      </c>
      <c r="L321" s="7" t="n">
        <v>8773.58</v>
      </c>
      <c r="M321" s="7" t="n">
        <v>1096.7</v>
      </c>
      <c r="N321" s="7" t="n">
        <v>1096.7</v>
      </c>
      <c r="O321" s="7" t="n">
        <v>6580.2</v>
      </c>
      <c r="P321" s="7" t="n">
        <v>658.02</v>
      </c>
      <c r="Q321" s="7" t="n">
        <v>658.02</v>
      </c>
      <c r="R321" s="7" t="n">
        <v>658.02</v>
      </c>
      <c r="S321" s="7" t="n">
        <v>658.02</v>
      </c>
      <c r="T321" s="7" t="n">
        <v>658.02</v>
      </c>
      <c r="U321" s="7" t="n">
        <v>658.02</v>
      </c>
      <c r="V321" s="7" t="n">
        <v>658.02</v>
      </c>
      <c r="W321" s="7" t="n">
        <v>658.02</v>
      </c>
      <c r="X321" s="7" t="n">
        <v>658.02</v>
      </c>
      <c r="Y321" s="7" t="n">
        <v>658.02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1073</v>
      </c>
      <c r="B322" s="8" t="s">
        <v>987</v>
      </c>
      <c r="C322" s="8" t="s">
        <v>152</v>
      </c>
      <c r="D322" s="8" t="s">
        <v>153</v>
      </c>
      <c r="E322" s="8" t="n">
        <v>1989</v>
      </c>
      <c r="F322" s="8" t="s">
        <v>146</v>
      </c>
      <c r="G322" s="8" t="s">
        <v>147</v>
      </c>
      <c r="H322" s="8" t="s">
        <v>1074</v>
      </c>
      <c r="I322" s="8" t="s">
        <v>47</v>
      </c>
      <c r="J322" s="9" t="n">
        <v>225000</v>
      </c>
      <c r="K322" s="8" t="s">
        <v>119</v>
      </c>
      <c r="L322" s="9" t="n">
        <v>4882.08</v>
      </c>
      <c r="M322" s="9" t="n">
        <v>610.26</v>
      </c>
      <c r="N322" s="9" t="n">
        <v>610.26</v>
      </c>
      <c r="O322" s="9" t="n">
        <v>3661.6</v>
      </c>
      <c r="P322" s="9" t="n">
        <v>366.16</v>
      </c>
      <c r="Q322" s="9" t="n">
        <v>366.16</v>
      </c>
      <c r="R322" s="9" t="n">
        <v>366.16</v>
      </c>
      <c r="S322" s="9" t="n">
        <v>366.16</v>
      </c>
      <c r="T322" s="9" t="n">
        <v>366.16</v>
      </c>
      <c r="U322" s="9" t="n">
        <v>366.16</v>
      </c>
      <c r="V322" s="9" t="n">
        <v>366.16</v>
      </c>
      <c r="W322" s="9" t="n">
        <v>366.16</v>
      </c>
      <c r="X322" s="9" t="n">
        <v>366.16</v>
      </c>
      <c r="Y322" s="9" t="n">
        <v>366.16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1075</v>
      </c>
      <c r="B323" s="3" t="s">
        <v>1076</v>
      </c>
      <c r="C323" s="3" t="s">
        <v>206</v>
      </c>
      <c r="D323" s="3" t="s">
        <v>207</v>
      </c>
      <c r="E323" s="3" t="n">
        <v>1977</v>
      </c>
      <c r="F323" s="3" t="s">
        <v>387</v>
      </c>
      <c r="G323" s="3" t="s">
        <v>388</v>
      </c>
      <c r="H323" s="3" t="s">
        <v>1077</v>
      </c>
      <c r="I323" s="3" t="s">
        <v>56</v>
      </c>
      <c r="J323" s="7" t="n">
        <v>1950000</v>
      </c>
      <c r="K323" s="3" t="s">
        <v>471</v>
      </c>
      <c r="L323" s="7" t="n">
        <v>40618.87</v>
      </c>
      <c r="M323" s="7" t="n">
        <v>5077.36</v>
      </c>
      <c r="N323" s="7" t="n">
        <v>5077.36</v>
      </c>
      <c r="O323" s="7" t="n">
        <v>30464.2</v>
      </c>
      <c r="P323" s="7" t="n">
        <v>3046.42</v>
      </c>
      <c r="Q323" s="7" t="n">
        <v>3046.42</v>
      </c>
      <c r="R323" s="7" t="n">
        <v>3046.42</v>
      </c>
      <c r="S323" s="7" t="n">
        <v>3046.42</v>
      </c>
      <c r="T323" s="7" t="n">
        <v>3046.42</v>
      </c>
      <c r="U323" s="7" t="n">
        <v>3046.42</v>
      </c>
      <c r="V323" s="7" t="n">
        <v>3046.42</v>
      </c>
      <c r="W323" s="7" t="n">
        <v>3046.42</v>
      </c>
      <c r="X323" s="7" t="n">
        <v>3046.42</v>
      </c>
      <c r="Y323" s="7" t="n">
        <v>3046.42</v>
      </c>
      <c r="Z323" s="7" t="n">
        <v>350</v>
      </c>
      <c r="AA323" s="7" t="n">
        <v>250</v>
      </c>
      <c r="AB323" s="7" t="n">
        <v>600</v>
      </c>
    </row>
    <row r="324" customFormat="false" ht="15" hidden="false" customHeight="false" outlineLevel="0" collapsed="false">
      <c r="A324" s="8" t="s">
        <v>1078</v>
      </c>
      <c r="B324" s="8" t="s">
        <v>1079</v>
      </c>
      <c r="C324" s="8" t="s">
        <v>342</v>
      </c>
      <c r="D324" s="8" t="s">
        <v>343</v>
      </c>
      <c r="E324" s="8" t="n">
        <v>2019</v>
      </c>
      <c r="F324" s="8" t="s">
        <v>292</v>
      </c>
      <c r="G324" s="8" t="s">
        <v>293</v>
      </c>
      <c r="H324" s="8" t="s">
        <v>1080</v>
      </c>
      <c r="I324" s="8" t="s">
        <v>125</v>
      </c>
      <c r="J324" s="9" t="n">
        <v>615000</v>
      </c>
      <c r="K324" s="8" t="s">
        <v>511</v>
      </c>
      <c r="L324" s="9" t="n">
        <v>4982.66</v>
      </c>
      <c r="M324" s="9" t="n">
        <v>622.83</v>
      </c>
      <c r="N324" s="9" t="n">
        <v>622.83</v>
      </c>
      <c r="O324" s="9" t="n">
        <v>3737</v>
      </c>
      <c r="P324" s="9" t="n">
        <v>373.7</v>
      </c>
      <c r="Q324" s="9" t="n">
        <v>373.7</v>
      </c>
      <c r="R324" s="9" t="n">
        <v>373.7</v>
      </c>
      <c r="S324" s="9" t="n">
        <v>373.7</v>
      </c>
      <c r="T324" s="9" t="n">
        <v>373.7</v>
      </c>
      <c r="U324" s="9" t="n">
        <v>373.7</v>
      </c>
      <c r="V324" s="9" t="n">
        <v>373.7</v>
      </c>
      <c r="W324" s="9" t="n">
        <v>373.7</v>
      </c>
      <c r="X324" s="9" t="n">
        <v>373.7</v>
      </c>
      <c r="Y324" s="9" t="n">
        <v>373.7</v>
      </c>
      <c r="Z324" s="9" t="n">
        <v>350</v>
      </c>
      <c r="AA324" s="9" t="n">
        <v>0</v>
      </c>
      <c r="AB324" s="9" t="n">
        <v>350</v>
      </c>
    </row>
    <row r="325" customFormat="false" ht="15" hidden="false" customHeight="false" outlineLevel="0" collapsed="false">
      <c r="A325" s="3" t="s">
        <v>1081</v>
      </c>
      <c r="B325" s="3" t="s">
        <v>1082</v>
      </c>
      <c r="C325" s="3" t="s">
        <v>250</v>
      </c>
      <c r="D325" s="3" t="s">
        <v>251</v>
      </c>
      <c r="E325" s="3" t="n">
        <v>2003</v>
      </c>
      <c r="F325" s="3" t="s">
        <v>88</v>
      </c>
      <c r="G325" s="3" t="s">
        <v>89</v>
      </c>
      <c r="H325" s="3" t="s">
        <v>1083</v>
      </c>
      <c r="I325" s="3" t="s">
        <v>47</v>
      </c>
      <c r="J325" s="7" t="n">
        <v>905000</v>
      </c>
      <c r="K325" s="3" t="s">
        <v>126</v>
      </c>
      <c r="L325" s="7" t="n">
        <v>10544.1</v>
      </c>
      <c r="M325" s="7" t="n">
        <v>1318.01</v>
      </c>
      <c r="N325" s="7" t="n">
        <v>1318.01</v>
      </c>
      <c r="O325" s="7" t="n">
        <v>7908.1</v>
      </c>
      <c r="P325" s="7" t="n">
        <v>790.81</v>
      </c>
      <c r="Q325" s="7" t="n">
        <v>790.81</v>
      </c>
      <c r="R325" s="7" t="n">
        <v>790.81</v>
      </c>
      <c r="S325" s="7" t="n">
        <v>790.81</v>
      </c>
      <c r="T325" s="7" t="n">
        <v>790.81</v>
      </c>
      <c r="U325" s="7" t="n">
        <v>790.81</v>
      </c>
      <c r="V325" s="7" t="n">
        <v>790.81</v>
      </c>
      <c r="W325" s="7" t="n">
        <v>790.81</v>
      </c>
      <c r="X325" s="7" t="n">
        <v>790.81</v>
      </c>
      <c r="Y325" s="7" t="n">
        <v>790.81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1084</v>
      </c>
      <c r="B326" s="8" t="s">
        <v>194</v>
      </c>
      <c r="C326" s="8" t="s">
        <v>51</v>
      </c>
      <c r="D326" s="8" t="s">
        <v>52</v>
      </c>
      <c r="E326" s="8" t="n">
        <v>2011</v>
      </c>
      <c r="F326" s="8" t="s">
        <v>88</v>
      </c>
      <c r="G326" s="8" t="s">
        <v>89</v>
      </c>
      <c r="H326" s="8" t="s">
        <v>1085</v>
      </c>
      <c r="I326" s="8" t="s">
        <v>47</v>
      </c>
      <c r="J326" s="9" t="n">
        <v>340000</v>
      </c>
      <c r="K326" s="8" t="s">
        <v>362</v>
      </c>
      <c r="L326" s="9" t="n">
        <v>6399.06</v>
      </c>
      <c r="M326" s="9" t="n">
        <v>799.88</v>
      </c>
      <c r="N326" s="9" t="n">
        <v>799.88</v>
      </c>
      <c r="O326" s="9" t="n">
        <v>4799.3</v>
      </c>
      <c r="P326" s="9" t="n">
        <v>479.93</v>
      </c>
      <c r="Q326" s="9" t="n">
        <v>479.93</v>
      </c>
      <c r="R326" s="9" t="n">
        <v>479.93</v>
      </c>
      <c r="S326" s="9" t="n">
        <v>479.93</v>
      </c>
      <c r="T326" s="9" t="n">
        <v>479.93</v>
      </c>
      <c r="U326" s="9" t="n">
        <v>479.93</v>
      </c>
      <c r="V326" s="9" t="n">
        <v>479.93</v>
      </c>
      <c r="W326" s="9" t="n">
        <v>479.93</v>
      </c>
      <c r="X326" s="9" t="n">
        <v>479.93</v>
      </c>
      <c r="Y326" s="9" t="n">
        <v>479.93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1086</v>
      </c>
      <c r="B327" s="3" t="s">
        <v>1087</v>
      </c>
      <c r="C327" s="3" t="s">
        <v>51</v>
      </c>
      <c r="D327" s="3" t="s">
        <v>52</v>
      </c>
      <c r="E327" s="3" t="n">
        <v>1980</v>
      </c>
      <c r="F327" s="3" t="s">
        <v>53</v>
      </c>
      <c r="G327" s="3" t="s">
        <v>236</v>
      </c>
      <c r="H327" s="3" t="s">
        <v>1088</v>
      </c>
      <c r="I327" s="3" t="s">
        <v>56</v>
      </c>
      <c r="J327" s="7" t="n">
        <v>1950000</v>
      </c>
      <c r="K327" s="3" t="s">
        <v>108</v>
      </c>
      <c r="L327" s="7" t="n">
        <v>33849.06</v>
      </c>
      <c r="M327" s="7" t="n">
        <v>4231.13</v>
      </c>
      <c r="N327" s="7" t="n">
        <v>4231.13</v>
      </c>
      <c r="O327" s="7" t="n">
        <v>25386.8</v>
      </c>
      <c r="P327" s="7" t="n">
        <v>2538.68</v>
      </c>
      <c r="Q327" s="7" t="n">
        <v>2538.68</v>
      </c>
      <c r="R327" s="7" t="n">
        <v>2538.68</v>
      </c>
      <c r="S327" s="7" t="n">
        <v>2538.68</v>
      </c>
      <c r="T327" s="7" t="n">
        <v>2538.68</v>
      </c>
      <c r="U327" s="7" t="n">
        <v>2538.68</v>
      </c>
      <c r="V327" s="7" t="n">
        <v>2538.68</v>
      </c>
      <c r="W327" s="7" t="n">
        <v>2538.68</v>
      </c>
      <c r="X327" s="7" t="n">
        <v>2538.68</v>
      </c>
      <c r="Y327" s="7" t="n">
        <v>2538.68</v>
      </c>
      <c r="Z327" s="7" t="n">
        <v>350</v>
      </c>
      <c r="AA327" s="7" t="n">
        <v>250</v>
      </c>
      <c r="AB327" s="7" t="n">
        <v>600</v>
      </c>
    </row>
    <row r="328" customFormat="false" ht="15" hidden="false" customHeight="false" outlineLevel="0" collapsed="false">
      <c r="A328" s="8" t="s">
        <v>1089</v>
      </c>
      <c r="B328" s="8" t="s">
        <v>1090</v>
      </c>
      <c r="C328" s="8" t="s">
        <v>158</v>
      </c>
      <c r="D328" s="8" t="s">
        <v>159</v>
      </c>
      <c r="E328" s="8" t="n">
        <v>1959</v>
      </c>
      <c r="F328" s="8" t="s">
        <v>88</v>
      </c>
      <c r="G328" s="8" t="s">
        <v>89</v>
      </c>
      <c r="H328" s="8" t="s">
        <v>1091</v>
      </c>
      <c r="I328" s="8" t="s">
        <v>47</v>
      </c>
      <c r="J328" s="9" t="n">
        <v>625000</v>
      </c>
      <c r="K328" s="8" t="s">
        <v>161</v>
      </c>
      <c r="L328" s="9" t="n">
        <v>7665.09</v>
      </c>
      <c r="M328" s="9" t="n">
        <v>958.14</v>
      </c>
      <c r="N328" s="9" t="n">
        <v>958.14</v>
      </c>
      <c r="O328" s="9" t="n">
        <v>5748.8</v>
      </c>
      <c r="P328" s="9" t="n">
        <v>574.88</v>
      </c>
      <c r="Q328" s="9" t="n">
        <v>574.88</v>
      </c>
      <c r="R328" s="9" t="n">
        <v>574.88</v>
      </c>
      <c r="S328" s="9" t="n">
        <v>574.88</v>
      </c>
      <c r="T328" s="9" t="n">
        <v>574.88</v>
      </c>
      <c r="U328" s="9" t="n">
        <v>574.88</v>
      </c>
      <c r="V328" s="9" t="n">
        <v>574.88</v>
      </c>
      <c r="W328" s="9" t="n">
        <v>574.88</v>
      </c>
      <c r="X328" s="9" t="n">
        <v>574.88</v>
      </c>
      <c r="Y328" s="9" t="n">
        <v>574.88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1092</v>
      </c>
      <c r="B329" s="3" t="s">
        <v>692</v>
      </c>
      <c r="C329" s="3" t="s">
        <v>274</v>
      </c>
      <c r="D329" s="3" t="s">
        <v>275</v>
      </c>
      <c r="E329" s="3" t="n">
        <v>2002</v>
      </c>
      <c r="F329" s="3" t="s">
        <v>53</v>
      </c>
      <c r="G329" s="3" t="s">
        <v>258</v>
      </c>
      <c r="H329" s="3" t="s">
        <v>1093</v>
      </c>
      <c r="I329" s="3" t="s">
        <v>136</v>
      </c>
      <c r="J329" s="7" t="n">
        <v>1295000</v>
      </c>
      <c r="K329" s="3" t="s">
        <v>279</v>
      </c>
      <c r="L329" s="7" t="n">
        <v>10584.79</v>
      </c>
      <c r="M329" s="7" t="n">
        <v>1323.1</v>
      </c>
      <c r="N329" s="7" t="n">
        <v>1323.1</v>
      </c>
      <c r="O329" s="7" t="n">
        <v>7938.6</v>
      </c>
      <c r="P329" s="7" t="n">
        <v>793.86</v>
      </c>
      <c r="Q329" s="7" t="n">
        <v>793.86</v>
      </c>
      <c r="R329" s="7" t="n">
        <v>793.86</v>
      </c>
      <c r="S329" s="7" t="n">
        <v>793.86</v>
      </c>
      <c r="T329" s="7" t="n">
        <v>793.86</v>
      </c>
      <c r="U329" s="7" t="n">
        <v>793.86</v>
      </c>
      <c r="V329" s="7" t="n">
        <v>793.86</v>
      </c>
      <c r="W329" s="7" t="n">
        <v>793.86</v>
      </c>
      <c r="X329" s="7" t="n">
        <v>793.86</v>
      </c>
      <c r="Y329" s="7" t="n">
        <v>793.86</v>
      </c>
      <c r="Z329" s="7" t="n">
        <v>350</v>
      </c>
      <c r="AA329" s="7" t="n">
        <v>250</v>
      </c>
      <c r="AB329" s="7" t="n">
        <v>600</v>
      </c>
    </row>
    <row r="330" customFormat="false" ht="15" hidden="false" customHeight="false" outlineLevel="0" collapsed="false">
      <c r="A330" s="8" t="s">
        <v>1094</v>
      </c>
      <c r="B330" s="8" t="s">
        <v>843</v>
      </c>
      <c r="C330" s="8" t="s">
        <v>206</v>
      </c>
      <c r="D330" s="8" t="s">
        <v>207</v>
      </c>
      <c r="E330" s="8" t="n">
        <v>1966</v>
      </c>
      <c r="F330" s="8" t="s">
        <v>146</v>
      </c>
      <c r="G330" s="8" t="s">
        <v>147</v>
      </c>
      <c r="H330" s="8" t="s">
        <v>1095</v>
      </c>
      <c r="I330" s="8" t="s">
        <v>47</v>
      </c>
      <c r="J330" s="9" t="n">
        <v>425000</v>
      </c>
      <c r="K330" s="8" t="s">
        <v>490</v>
      </c>
      <c r="L330" s="9" t="n">
        <v>7457.55</v>
      </c>
      <c r="M330" s="9" t="n">
        <v>932.19</v>
      </c>
      <c r="N330" s="9" t="n">
        <v>932.19</v>
      </c>
      <c r="O330" s="9" t="n">
        <v>5593.2</v>
      </c>
      <c r="P330" s="9" t="n">
        <v>559.32</v>
      </c>
      <c r="Q330" s="9" t="n">
        <v>559.32</v>
      </c>
      <c r="R330" s="9" t="n">
        <v>559.32</v>
      </c>
      <c r="S330" s="9" t="n">
        <v>559.32</v>
      </c>
      <c r="T330" s="9" t="n">
        <v>559.32</v>
      </c>
      <c r="U330" s="9" t="n">
        <v>559.32</v>
      </c>
      <c r="V330" s="9" t="n">
        <v>559.32</v>
      </c>
      <c r="W330" s="9" t="n">
        <v>559.32</v>
      </c>
      <c r="X330" s="9" t="n">
        <v>559.32</v>
      </c>
      <c r="Y330" s="9" t="n">
        <v>559.32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1096</v>
      </c>
      <c r="B331" s="3" t="s">
        <v>1097</v>
      </c>
      <c r="C331" s="3" t="s">
        <v>206</v>
      </c>
      <c r="D331" s="3" t="s">
        <v>207</v>
      </c>
      <c r="E331" s="3" t="n">
        <v>2003</v>
      </c>
      <c r="F331" s="3" t="s">
        <v>88</v>
      </c>
      <c r="G331" s="3" t="s">
        <v>89</v>
      </c>
      <c r="H331" s="3" t="s">
        <v>1098</v>
      </c>
      <c r="I331" s="3" t="s">
        <v>47</v>
      </c>
      <c r="J331" s="7" t="n">
        <v>145000</v>
      </c>
      <c r="K331" s="3" t="s">
        <v>141</v>
      </c>
      <c r="L331" s="7" t="n">
        <v>3070.72</v>
      </c>
      <c r="M331" s="7" t="n">
        <v>383.84</v>
      </c>
      <c r="N331" s="7" t="n">
        <v>383.84</v>
      </c>
      <c r="O331" s="7" t="n">
        <v>2303</v>
      </c>
      <c r="P331" s="7" t="n">
        <v>230.3</v>
      </c>
      <c r="Q331" s="7" t="n">
        <v>230.3</v>
      </c>
      <c r="R331" s="7" t="n">
        <v>230.3</v>
      </c>
      <c r="S331" s="7" t="n">
        <v>230.3</v>
      </c>
      <c r="T331" s="7" t="n">
        <v>230.3</v>
      </c>
      <c r="U331" s="7" t="n">
        <v>230.3</v>
      </c>
      <c r="V331" s="7" t="n">
        <v>230.3</v>
      </c>
      <c r="W331" s="7" t="n">
        <v>230.3</v>
      </c>
      <c r="X331" s="7" t="n">
        <v>230.3</v>
      </c>
      <c r="Y331" s="7" t="n">
        <v>230.3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1099</v>
      </c>
      <c r="B332" s="8" t="s">
        <v>919</v>
      </c>
      <c r="C332" s="8" t="s">
        <v>116</v>
      </c>
      <c r="D332" s="8" t="s">
        <v>117</v>
      </c>
      <c r="E332" s="8" t="n">
        <v>1966</v>
      </c>
      <c r="F332" s="8" t="s">
        <v>80</v>
      </c>
      <c r="G332" s="8" t="s">
        <v>81</v>
      </c>
      <c r="H332" s="8" t="s">
        <v>1100</v>
      </c>
      <c r="I332" s="8" t="s">
        <v>47</v>
      </c>
      <c r="J332" s="9" t="n">
        <v>665000</v>
      </c>
      <c r="K332" s="8" t="s">
        <v>355</v>
      </c>
      <c r="L332" s="9" t="n">
        <v>9134.34</v>
      </c>
      <c r="M332" s="9" t="n">
        <v>1141.79</v>
      </c>
      <c r="N332" s="9" t="n">
        <v>1141.79</v>
      </c>
      <c r="O332" s="9" t="n">
        <v>6850.8</v>
      </c>
      <c r="P332" s="9" t="n">
        <v>685.08</v>
      </c>
      <c r="Q332" s="9" t="n">
        <v>685.08</v>
      </c>
      <c r="R332" s="9" t="n">
        <v>685.08</v>
      </c>
      <c r="S332" s="9" t="n">
        <v>685.08</v>
      </c>
      <c r="T332" s="9" t="n">
        <v>685.08</v>
      </c>
      <c r="U332" s="9" t="n">
        <v>685.08</v>
      </c>
      <c r="V332" s="9" t="n">
        <v>685.08</v>
      </c>
      <c r="W332" s="9" t="n">
        <v>685.08</v>
      </c>
      <c r="X332" s="9" t="n">
        <v>685.08</v>
      </c>
      <c r="Y332" s="9" t="n">
        <v>685.08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1101</v>
      </c>
      <c r="B333" s="3" t="s">
        <v>1102</v>
      </c>
      <c r="C333" s="3" t="s">
        <v>559</v>
      </c>
      <c r="D333" s="3" t="s">
        <v>560</v>
      </c>
      <c r="E333" s="3" t="n">
        <v>1998</v>
      </c>
      <c r="F333" s="3" t="s">
        <v>53</v>
      </c>
      <c r="G333" s="3" t="s">
        <v>54</v>
      </c>
      <c r="H333" s="3" t="s">
        <v>1103</v>
      </c>
      <c r="I333" s="3" t="s">
        <v>56</v>
      </c>
      <c r="J333" s="7" t="n">
        <v>630000</v>
      </c>
      <c r="K333" s="3" t="s">
        <v>131</v>
      </c>
      <c r="L333" s="7" t="n">
        <v>14906.04</v>
      </c>
      <c r="M333" s="7" t="n">
        <v>1863.26</v>
      </c>
      <c r="N333" s="7" t="n">
        <v>1863.26</v>
      </c>
      <c r="O333" s="7" t="n">
        <v>11179.5</v>
      </c>
      <c r="P333" s="7" t="n">
        <v>1117.95</v>
      </c>
      <c r="Q333" s="7" t="n">
        <v>1117.95</v>
      </c>
      <c r="R333" s="7" t="n">
        <v>1117.95</v>
      </c>
      <c r="S333" s="7" t="n">
        <v>1117.95</v>
      </c>
      <c r="T333" s="7" t="n">
        <v>1117.95</v>
      </c>
      <c r="U333" s="7" t="n">
        <v>1117.95</v>
      </c>
      <c r="V333" s="7" t="n">
        <v>1117.95</v>
      </c>
      <c r="W333" s="7" t="n">
        <v>1117.95</v>
      </c>
      <c r="X333" s="7" t="n">
        <v>1117.95</v>
      </c>
      <c r="Y333" s="7" t="n">
        <v>1117.95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1104</v>
      </c>
      <c r="B334" s="8" t="s">
        <v>1105</v>
      </c>
      <c r="C334" s="8" t="s">
        <v>152</v>
      </c>
      <c r="D334" s="8" t="s">
        <v>153</v>
      </c>
      <c r="E334" s="8" t="n">
        <v>2004</v>
      </c>
      <c r="F334" s="8" t="s">
        <v>166</v>
      </c>
      <c r="G334" s="8" t="s">
        <v>167</v>
      </c>
      <c r="H334" s="8" t="s">
        <v>1106</v>
      </c>
      <c r="I334" s="8" t="s">
        <v>169</v>
      </c>
      <c r="J334" s="9" t="n">
        <v>1070000</v>
      </c>
      <c r="K334" s="8" t="s">
        <v>102</v>
      </c>
      <c r="L334" s="9" t="n">
        <v>18670.49</v>
      </c>
      <c r="M334" s="9" t="n">
        <v>2333.81</v>
      </c>
      <c r="N334" s="9" t="n">
        <v>2333.81</v>
      </c>
      <c r="O334" s="9" t="n">
        <v>14002.9</v>
      </c>
      <c r="P334" s="9" t="n">
        <v>1400.29</v>
      </c>
      <c r="Q334" s="9" t="n">
        <v>1400.29</v>
      </c>
      <c r="R334" s="9" t="n">
        <v>1400.29</v>
      </c>
      <c r="S334" s="9" t="n">
        <v>1400.29</v>
      </c>
      <c r="T334" s="9" t="n">
        <v>1400.29</v>
      </c>
      <c r="U334" s="9" t="n">
        <v>1400.29</v>
      </c>
      <c r="V334" s="9" t="n">
        <v>1400.29</v>
      </c>
      <c r="W334" s="9" t="n">
        <v>1400.29</v>
      </c>
      <c r="X334" s="9" t="n">
        <v>1400.29</v>
      </c>
      <c r="Y334" s="9" t="n">
        <v>1400.29</v>
      </c>
      <c r="Z334" s="9" t="n">
        <v>350</v>
      </c>
      <c r="AA334" s="9" t="n">
        <v>250</v>
      </c>
      <c r="AB334" s="9" t="n">
        <v>600</v>
      </c>
    </row>
    <row r="335" customFormat="false" ht="15" hidden="false" customHeight="false" outlineLevel="0" collapsed="false">
      <c r="A335" s="3" t="s">
        <v>1107</v>
      </c>
      <c r="B335" s="3" t="s">
        <v>513</v>
      </c>
      <c r="C335" s="3" t="s">
        <v>206</v>
      </c>
      <c r="D335" s="3" t="s">
        <v>207</v>
      </c>
      <c r="E335" s="3" t="n">
        <v>1992</v>
      </c>
      <c r="F335" s="3" t="s">
        <v>146</v>
      </c>
      <c r="G335" s="3" t="s">
        <v>147</v>
      </c>
      <c r="H335" s="3" t="s">
        <v>1108</v>
      </c>
      <c r="I335" s="3" t="s">
        <v>47</v>
      </c>
      <c r="J335" s="7" t="n">
        <v>605000</v>
      </c>
      <c r="K335" s="3" t="s">
        <v>173</v>
      </c>
      <c r="L335" s="7" t="n">
        <v>8532.78</v>
      </c>
      <c r="M335" s="7" t="n">
        <v>1066.6</v>
      </c>
      <c r="N335" s="7" t="n">
        <v>1066.6</v>
      </c>
      <c r="O335" s="7" t="n">
        <v>6399.6</v>
      </c>
      <c r="P335" s="7" t="n">
        <v>639.96</v>
      </c>
      <c r="Q335" s="7" t="n">
        <v>639.96</v>
      </c>
      <c r="R335" s="7" t="n">
        <v>639.96</v>
      </c>
      <c r="S335" s="7" t="n">
        <v>639.96</v>
      </c>
      <c r="T335" s="7" t="n">
        <v>639.96</v>
      </c>
      <c r="U335" s="7" t="n">
        <v>639.96</v>
      </c>
      <c r="V335" s="7" t="n">
        <v>639.96</v>
      </c>
      <c r="W335" s="7" t="n">
        <v>639.96</v>
      </c>
      <c r="X335" s="7" t="n">
        <v>639.96</v>
      </c>
      <c r="Y335" s="7" t="n">
        <v>639.96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1109</v>
      </c>
      <c r="B336" s="8" t="s">
        <v>1110</v>
      </c>
      <c r="C336" s="8" t="s">
        <v>256</v>
      </c>
      <c r="D336" s="8" t="s">
        <v>257</v>
      </c>
      <c r="E336" s="8" t="n">
        <v>1967</v>
      </c>
      <c r="F336" s="8" t="s">
        <v>88</v>
      </c>
      <c r="G336" s="8" t="s">
        <v>89</v>
      </c>
      <c r="H336" s="8" t="s">
        <v>1111</v>
      </c>
      <c r="I336" s="8" t="s">
        <v>47</v>
      </c>
      <c r="J336" s="9" t="n">
        <v>685000</v>
      </c>
      <c r="K336" s="8" t="s">
        <v>656</v>
      </c>
      <c r="L336" s="9" t="n">
        <v>8905</v>
      </c>
      <c r="M336" s="9" t="n">
        <v>1113.12</v>
      </c>
      <c r="N336" s="9" t="n">
        <v>1113.12</v>
      </c>
      <c r="O336" s="9" t="n">
        <v>6678.8</v>
      </c>
      <c r="P336" s="9" t="n">
        <v>667.88</v>
      </c>
      <c r="Q336" s="9" t="n">
        <v>667.88</v>
      </c>
      <c r="R336" s="9" t="n">
        <v>667.88</v>
      </c>
      <c r="S336" s="9" t="n">
        <v>667.88</v>
      </c>
      <c r="T336" s="9" t="n">
        <v>667.88</v>
      </c>
      <c r="U336" s="9" t="n">
        <v>667.88</v>
      </c>
      <c r="V336" s="9" t="n">
        <v>667.88</v>
      </c>
      <c r="W336" s="9" t="n">
        <v>667.88</v>
      </c>
      <c r="X336" s="9" t="n">
        <v>667.88</v>
      </c>
      <c r="Y336" s="9" t="n">
        <v>667.88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1112</v>
      </c>
      <c r="B337" s="3" t="s">
        <v>71</v>
      </c>
      <c r="C337" s="3" t="s">
        <v>250</v>
      </c>
      <c r="D337" s="3" t="s">
        <v>251</v>
      </c>
      <c r="E337" s="3" t="n">
        <v>2008</v>
      </c>
      <c r="F337" s="3" t="s">
        <v>387</v>
      </c>
      <c r="G337" s="3" t="s">
        <v>388</v>
      </c>
      <c r="H337" s="3" t="s">
        <v>1113</v>
      </c>
      <c r="I337" s="3" t="s">
        <v>56</v>
      </c>
      <c r="J337" s="7" t="n">
        <v>1840000</v>
      </c>
      <c r="K337" s="3" t="s">
        <v>173</v>
      </c>
      <c r="L337" s="7" t="n">
        <v>31939.62</v>
      </c>
      <c r="M337" s="7" t="n">
        <v>3992.45</v>
      </c>
      <c r="N337" s="7" t="n">
        <v>3992.45</v>
      </c>
      <c r="O337" s="7" t="n">
        <v>23954.7</v>
      </c>
      <c r="P337" s="7" t="n">
        <v>2395.47</v>
      </c>
      <c r="Q337" s="7" t="n">
        <v>2395.47</v>
      </c>
      <c r="R337" s="7" t="n">
        <v>2395.47</v>
      </c>
      <c r="S337" s="7" t="n">
        <v>2395.47</v>
      </c>
      <c r="T337" s="7" t="n">
        <v>2395.47</v>
      </c>
      <c r="U337" s="7" t="n">
        <v>2395.47</v>
      </c>
      <c r="V337" s="7" t="n">
        <v>2395.47</v>
      </c>
      <c r="W337" s="7" t="n">
        <v>2395.47</v>
      </c>
      <c r="X337" s="7" t="n">
        <v>2395.47</v>
      </c>
      <c r="Y337" s="7" t="n">
        <v>2395.47</v>
      </c>
      <c r="Z337" s="7" t="n">
        <v>350</v>
      </c>
      <c r="AA337" s="7" t="n">
        <v>250</v>
      </c>
      <c r="AB337" s="7" t="n">
        <v>600</v>
      </c>
    </row>
    <row r="338" customFormat="false" ht="15" hidden="false" customHeight="false" outlineLevel="0" collapsed="false">
      <c r="A338" s="8" t="s">
        <v>1114</v>
      </c>
      <c r="B338" s="8" t="s">
        <v>1115</v>
      </c>
      <c r="C338" s="8" t="s">
        <v>256</v>
      </c>
      <c r="D338" s="8" t="s">
        <v>257</v>
      </c>
      <c r="E338" s="8" t="n">
        <v>1977</v>
      </c>
      <c r="F338" s="8" t="s">
        <v>44</v>
      </c>
      <c r="G338" s="8" t="s">
        <v>45</v>
      </c>
      <c r="H338" s="8" t="s">
        <v>1116</v>
      </c>
      <c r="I338" s="8" t="s">
        <v>47</v>
      </c>
      <c r="J338" s="9" t="n">
        <v>440000</v>
      </c>
      <c r="K338" s="8" t="s">
        <v>451</v>
      </c>
      <c r="L338" s="9" t="n">
        <v>6911.32</v>
      </c>
      <c r="M338" s="9" t="n">
        <v>863.91</v>
      </c>
      <c r="N338" s="9" t="n">
        <v>863.91</v>
      </c>
      <c r="O338" s="9" t="n">
        <v>5183.5</v>
      </c>
      <c r="P338" s="9" t="n">
        <v>518.35</v>
      </c>
      <c r="Q338" s="9" t="n">
        <v>518.35</v>
      </c>
      <c r="R338" s="9" t="n">
        <v>518.35</v>
      </c>
      <c r="S338" s="9" t="n">
        <v>518.35</v>
      </c>
      <c r="T338" s="9" t="n">
        <v>518.35</v>
      </c>
      <c r="U338" s="9" t="n">
        <v>518.35</v>
      </c>
      <c r="V338" s="9" t="n">
        <v>518.35</v>
      </c>
      <c r="W338" s="9" t="n">
        <v>518.35</v>
      </c>
      <c r="X338" s="9" t="n">
        <v>518.35</v>
      </c>
      <c r="Y338" s="9" t="n">
        <v>518.35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1117</v>
      </c>
      <c r="B339" s="3" t="s">
        <v>1118</v>
      </c>
      <c r="C339" s="3" t="s">
        <v>200</v>
      </c>
      <c r="D339" s="3" t="s">
        <v>201</v>
      </c>
      <c r="E339" s="3" t="n">
        <v>2008</v>
      </c>
      <c r="F339" s="3" t="s">
        <v>146</v>
      </c>
      <c r="G339" s="3" t="s">
        <v>147</v>
      </c>
      <c r="H339" s="3" t="s">
        <v>1119</v>
      </c>
      <c r="I339" s="3" t="s">
        <v>47</v>
      </c>
      <c r="J339" s="7" t="n">
        <v>415000</v>
      </c>
      <c r="K339" s="3" t="s">
        <v>399</v>
      </c>
      <c r="L339" s="7" t="n">
        <v>5344.1</v>
      </c>
      <c r="M339" s="7" t="n">
        <v>668.01</v>
      </c>
      <c r="N339" s="7" t="n">
        <v>668.01</v>
      </c>
      <c r="O339" s="7" t="n">
        <v>4008.1</v>
      </c>
      <c r="P339" s="7" t="n">
        <v>400.81</v>
      </c>
      <c r="Q339" s="7" t="n">
        <v>400.81</v>
      </c>
      <c r="R339" s="7" t="n">
        <v>400.81</v>
      </c>
      <c r="S339" s="7" t="n">
        <v>400.81</v>
      </c>
      <c r="T339" s="7" t="n">
        <v>400.81</v>
      </c>
      <c r="U339" s="7" t="n">
        <v>400.81</v>
      </c>
      <c r="V339" s="7" t="n">
        <v>400.81</v>
      </c>
      <c r="W339" s="7" t="n">
        <v>400.81</v>
      </c>
      <c r="X339" s="7" t="n">
        <v>400.81</v>
      </c>
      <c r="Y339" s="7" t="n">
        <v>400.81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1120</v>
      </c>
      <c r="B340" s="8" t="s">
        <v>1121</v>
      </c>
      <c r="C340" s="8" t="s">
        <v>190</v>
      </c>
      <c r="D340" s="8" t="s">
        <v>191</v>
      </c>
      <c r="E340" s="8" t="n">
        <v>2013</v>
      </c>
      <c r="F340" s="8" t="s">
        <v>99</v>
      </c>
      <c r="G340" s="8" t="s">
        <v>134</v>
      </c>
      <c r="H340" s="8" t="s">
        <v>1122</v>
      </c>
      <c r="I340" s="8" t="s">
        <v>136</v>
      </c>
      <c r="J340" s="9" t="n">
        <v>730000</v>
      </c>
      <c r="K340" s="8" t="s">
        <v>203</v>
      </c>
      <c r="L340" s="9" t="n">
        <v>8410.15</v>
      </c>
      <c r="M340" s="9" t="n">
        <v>1051.27</v>
      </c>
      <c r="N340" s="9" t="n">
        <v>1051.27</v>
      </c>
      <c r="O340" s="9" t="n">
        <v>6307.6</v>
      </c>
      <c r="P340" s="9" t="n">
        <v>630.76</v>
      </c>
      <c r="Q340" s="9" t="n">
        <v>630.76</v>
      </c>
      <c r="R340" s="9" t="n">
        <v>630.76</v>
      </c>
      <c r="S340" s="9" t="n">
        <v>630.76</v>
      </c>
      <c r="T340" s="9" t="n">
        <v>630.76</v>
      </c>
      <c r="U340" s="9" t="n">
        <v>630.76</v>
      </c>
      <c r="V340" s="9" t="n">
        <v>630.76</v>
      </c>
      <c r="W340" s="9" t="n">
        <v>630.76</v>
      </c>
      <c r="X340" s="9" t="n">
        <v>630.76</v>
      </c>
      <c r="Y340" s="9" t="n">
        <v>630.76</v>
      </c>
      <c r="Z340" s="9" t="n">
        <v>350</v>
      </c>
      <c r="AA340" s="9" t="n">
        <v>0</v>
      </c>
      <c r="AB340" s="9" t="n">
        <v>350</v>
      </c>
    </row>
    <row r="341" customFormat="false" ht="15" hidden="false" customHeight="false" outlineLevel="0" collapsed="false">
      <c r="A341" s="3" t="s">
        <v>1123</v>
      </c>
      <c r="B341" s="3" t="s">
        <v>840</v>
      </c>
      <c r="C341" s="3" t="s">
        <v>179</v>
      </c>
      <c r="D341" s="3" t="s">
        <v>180</v>
      </c>
      <c r="E341" s="3" t="n">
        <v>1976</v>
      </c>
      <c r="F341" s="3" t="s">
        <v>387</v>
      </c>
      <c r="G341" s="3" t="s">
        <v>388</v>
      </c>
      <c r="H341" s="3" t="s">
        <v>1124</v>
      </c>
      <c r="I341" s="3" t="s">
        <v>56</v>
      </c>
      <c r="J341" s="7" t="n">
        <v>265000</v>
      </c>
      <c r="K341" s="3" t="s">
        <v>173</v>
      </c>
      <c r="L341" s="7" t="n">
        <v>6612.5</v>
      </c>
      <c r="M341" s="7" t="n">
        <v>826.56</v>
      </c>
      <c r="N341" s="7" t="n">
        <v>826.56</v>
      </c>
      <c r="O341" s="7" t="n">
        <v>4959.4</v>
      </c>
      <c r="P341" s="7" t="n">
        <v>495.94</v>
      </c>
      <c r="Q341" s="7" t="n">
        <v>495.94</v>
      </c>
      <c r="R341" s="7" t="n">
        <v>495.94</v>
      </c>
      <c r="S341" s="7" t="n">
        <v>495.94</v>
      </c>
      <c r="T341" s="7" t="n">
        <v>495.94</v>
      </c>
      <c r="U341" s="7" t="n">
        <v>495.94</v>
      </c>
      <c r="V341" s="7" t="n">
        <v>495.94</v>
      </c>
      <c r="W341" s="7" t="n">
        <v>495.94</v>
      </c>
      <c r="X341" s="7" t="n">
        <v>495.94</v>
      </c>
      <c r="Y341" s="7" t="n">
        <v>495.94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1125</v>
      </c>
      <c r="B342" s="8" t="s">
        <v>1126</v>
      </c>
      <c r="C342" s="8" t="s">
        <v>179</v>
      </c>
      <c r="D342" s="8" t="s">
        <v>180</v>
      </c>
      <c r="E342" s="8" t="n">
        <v>1967</v>
      </c>
      <c r="F342" s="8" t="s">
        <v>80</v>
      </c>
      <c r="G342" s="8" t="s">
        <v>81</v>
      </c>
      <c r="H342" s="8" t="s">
        <v>1127</v>
      </c>
      <c r="I342" s="8" t="s">
        <v>47</v>
      </c>
      <c r="J342" s="9" t="n">
        <v>735000</v>
      </c>
      <c r="K342" s="8" t="s">
        <v>247</v>
      </c>
      <c r="L342" s="9" t="n">
        <v>9104.29</v>
      </c>
      <c r="M342" s="9" t="n">
        <v>1138.04</v>
      </c>
      <c r="N342" s="9" t="n">
        <v>1138.04</v>
      </c>
      <c r="O342" s="9" t="n">
        <v>6828.2</v>
      </c>
      <c r="P342" s="9" t="n">
        <v>682.82</v>
      </c>
      <c r="Q342" s="9" t="n">
        <v>682.82</v>
      </c>
      <c r="R342" s="9" t="n">
        <v>682.82</v>
      </c>
      <c r="S342" s="9" t="n">
        <v>682.82</v>
      </c>
      <c r="T342" s="9" t="n">
        <v>682.82</v>
      </c>
      <c r="U342" s="9" t="n">
        <v>682.82</v>
      </c>
      <c r="V342" s="9" t="n">
        <v>682.82</v>
      </c>
      <c r="W342" s="9" t="n">
        <v>682.82</v>
      </c>
      <c r="X342" s="9" t="n">
        <v>682.82</v>
      </c>
      <c r="Y342" s="9" t="n">
        <v>682.82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1128</v>
      </c>
      <c r="B343" s="3" t="s">
        <v>115</v>
      </c>
      <c r="C343" s="3" t="s">
        <v>190</v>
      </c>
      <c r="D343" s="3" t="s">
        <v>191</v>
      </c>
      <c r="E343" s="3" t="n">
        <v>1965</v>
      </c>
      <c r="F343" s="3" t="s">
        <v>265</v>
      </c>
      <c r="G343" s="3" t="s">
        <v>266</v>
      </c>
      <c r="H343" s="3" t="s">
        <v>1129</v>
      </c>
      <c r="I343" s="3" t="s">
        <v>47</v>
      </c>
      <c r="J343" s="7" t="n">
        <v>295000</v>
      </c>
      <c r="K343" s="3" t="s">
        <v>355</v>
      </c>
      <c r="L343" s="7" t="n">
        <v>4675.47</v>
      </c>
      <c r="M343" s="7" t="n">
        <v>584.43</v>
      </c>
      <c r="N343" s="7" t="n">
        <v>584.43</v>
      </c>
      <c r="O343" s="7" t="n">
        <v>3506.6</v>
      </c>
      <c r="P343" s="7" t="n">
        <v>350.66</v>
      </c>
      <c r="Q343" s="7" t="n">
        <v>350.66</v>
      </c>
      <c r="R343" s="7" t="n">
        <v>350.66</v>
      </c>
      <c r="S343" s="7" t="n">
        <v>350.66</v>
      </c>
      <c r="T343" s="7" t="n">
        <v>350.66</v>
      </c>
      <c r="U343" s="7" t="n">
        <v>350.66</v>
      </c>
      <c r="V343" s="7" t="n">
        <v>350.66</v>
      </c>
      <c r="W343" s="7" t="n">
        <v>350.66</v>
      </c>
      <c r="X343" s="7" t="n">
        <v>350.66</v>
      </c>
      <c r="Y343" s="7" t="n">
        <v>350.66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1130</v>
      </c>
      <c r="B344" s="8" t="s">
        <v>1131</v>
      </c>
      <c r="C344" s="8" t="s">
        <v>158</v>
      </c>
      <c r="D344" s="8" t="s">
        <v>159</v>
      </c>
      <c r="E344" s="8" t="n">
        <v>1977</v>
      </c>
      <c r="F344" s="8" t="s">
        <v>265</v>
      </c>
      <c r="G344" s="8" t="s">
        <v>266</v>
      </c>
      <c r="H344" s="8" t="s">
        <v>1132</v>
      </c>
      <c r="I344" s="8" t="s">
        <v>47</v>
      </c>
      <c r="J344" s="9" t="n">
        <v>455000</v>
      </c>
      <c r="K344" s="8" t="s">
        <v>69</v>
      </c>
      <c r="L344" s="9" t="n">
        <v>8241.51</v>
      </c>
      <c r="M344" s="9" t="n">
        <v>1030.19</v>
      </c>
      <c r="N344" s="9" t="n">
        <v>1030.19</v>
      </c>
      <c r="O344" s="9" t="n">
        <v>6181.1</v>
      </c>
      <c r="P344" s="9" t="n">
        <v>618.11</v>
      </c>
      <c r="Q344" s="9" t="n">
        <v>618.11</v>
      </c>
      <c r="R344" s="9" t="n">
        <v>618.11</v>
      </c>
      <c r="S344" s="9" t="n">
        <v>618.11</v>
      </c>
      <c r="T344" s="9" t="n">
        <v>618.11</v>
      </c>
      <c r="U344" s="9" t="n">
        <v>618.11</v>
      </c>
      <c r="V344" s="9" t="n">
        <v>618.11</v>
      </c>
      <c r="W344" s="9" t="n">
        <v>618.11</v>
      </c>
      <c r="X344" s="9" t="n">
        <v>618.11</v>
      </c>
      <c r="Y344" s="9" t="n">
        <v>618.11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1133</v>
      </c>
      <c r="B345" s="3" t="s">
        <v>139</v>
      </c>
      <c r="C345" s="3" t="s">
        <v>219</v>
      </c>
      <c r="D345" s="3" t="s">
        <v>220</v>
      </c>
      <c r="E345" s="3" t="n">
        <v>1956</v>
      </c>
      <c r="F345" s="3" t="s">
        <v>53</v>
      </c>
      <c r="G345" s="3" t="s">
        <v>54</v>
      </c>
      <c r="H345" s="3" t="s">
        <v>1134</v>
      </c>
      <c r="I345" s="3" t="s">
        <v>56</v>
      </c>
      <c r="J345" s="7" t="n">
        <v>430000</v>
      </c>
      <c r="K345" s="3" t="s">
        <v>287</v>
      </c>
      <c r="L345" s="7" t="n">
        <v>12129.25</v>
      </c>
      <c r="M345" s="7" t="n">
        <v>1516.16</v>
      </c>
      <c r="N345" s="7" t="n">
        <v>1516.16</v>
      </c>
      <c r="O345" s="7" t="n">
        <v>9096.9</v>
      </c>
      <c r="P345" s="7" t="n">
        <v>909.69</v>
      </c>
      <c r="Q345" s="7" t="n">
        <v>909.69</v>
      </c>
      <c r="R345" s="7" t="n">
        <v>909.69</v>
      </c>
      <c r="S345" s="7" t="n">
        <v>909.69</v>
      </c>
      <c r="T345" s="7" t="n">
        <v>909.69</v>
      </c>
      <c r="U345" s="7" t="n">
        <v>909.69</v>
      </c>
      <c r="V345" s="7" t="n">
        <v>909.69</v>
      </c>
      <c r="W345" s="7" t="n">
        <v>909.69</v>
      </c>
      <c r="X345" s="7" t="n">
        <v>909.69</v>
      </c>
      <c r="Y345" s="7" t="n">
        <v>909.69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1135</v>
      </c>
      <c r="B346" s="8" t="s">
        <v>1136</v>
      </c>
      <c r="C346" s="8" t="s">
        <v>78</v>
      </c>
      <c r="D346" s="8" t="s">
        <v>79</v>
      </c>
      <c r="E346" s="8" t="n">
        <v>1959</v>
      </c>
      <c r="F346" s="8" t="s">
        <v>105</v>
      </c>
      <c r="G346" s="8" t="s">
        <v>106</v>
      </c>
      <c r="H346" s="8" t="s">
        <v>1137</v>
      </c>
      <c r="I346" s="8" t="s">
        <v>56</v>
      </c>
      <c r="J346" s="9" t="n">
        <v>915000</v>
      </c>
      <c r="K346" s="8" t="s">
        <v>63</v>
      </c>
      <c r="L346" s="9" t="n">
        <v>20829.2</v>
      </c>
      <c r="M346" s="9" t="n">
        <v>2603.65</v>
      </c>
      <c r="N346" s="9" t="n">
        <v>2603.65</v>
      </c>
      <c r="O346" s="9" t="n">
        <v>15621.9</v>
      </c>
      <c r="P346" s="9" t="n">
        <v>1562.19</v>
      </c>
      <c r="Q346" s="9" t="n">
        <v>1562.19</v>
      </c>
      <c r="R346" s="9" t="n">
        <v>1562.19</v>
      </c>
      <c r="S346" s="9" t="n">
        <v>1562.19</v>
      </c>
      <c r="T346" s="9" t="n">
        <v>1562.19</v>
      </c>
      <c r="U346" s="9" t="n">
        <v>1562.19</v>
      </c>
      <c r="V346" s="9" t="n">
        <v>1562.19</v>
      </c>
      <c r="W346" s="9" t="n">
        <v>1562.19</v>
      </c>
      <c r="X346" s="9" t="n">
        <v>1562.19</v>
      </c>
      <c r="Y346" s="9" t="n">
        <v>1562.19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1138</v>
      </c>
      <c r="B347" s="3" t="s">
        <v>394</v>
      </c>
      <c r="C347" s="3" t="s">
        <v>179</v>
      </c>
      <c r="D347" s="3" t="s">
        <v>180</v>
      </c>
      <c r="E347" s="3" t="n">
        <v>1987</v>
      </c>
      <c r="F347" s="3" t="s">
        <v>53</v>
      </c>
      <c r="G347" s="3" t="s">
        <v>236</v>
      </c>
      <c r="H347" s="3" t="s">
        <v>1139</v>
      </c>
      <c r="I347" s="3" t="s">
        <v>56</v>
      </c>
      <c r="J347" s="7" t="n">
        <v>825000</v>
      </c>
      <c r="K347" s="3" t="s">
        <v>328</v>
      </c>
      <c r="L347" s="7" t="n">
        <v>14491.98</v>
      </c>
      <c r="M347" s="7" t="n">
        <v>1811.5</v>
      </c>
      <c r="N347" s="7" t="n">
        <v>1811.5</v>
      </c>
      <c r="O347" s="7" t="n">
        <v>10869</v>
      </c>
      <c r="P347" s="7" t="n">
        <v>1086.9</v>
      </c>
      <c r="Q347" s="7" t="n">
        <v>1086.9</v>
      </c>
      <c r="R347" s="7" t="n">
        <v>1086.9</v>
      </c>
      <c r="S347" s="7" t="n">
        <v>1086.9</v>
      </c>
      <c r="T347" s="7" t="n">
        <v>1086.9</v>
      </c>
      <c r="U347" s="7" t="n">
        <v>1086.9</v>
      </c>
      <c r="V347" s="7" t="n">
        <v>1086.9</v>
      </c>
      <c r="W347" s="7" t="n">
        <v>1086.9</v>
      </c>
      <c r="X347" s="7" t="n">
        <v>1086.9</v>
      </c>
      <c r="Y347" s="7" t="n">
        <v>1086.9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1140</v>
      </c>
      <c r="B348" s="8" t="s">
        <v>397</v>
      </c>
      <c r="C348" s="8" t="s">
        <v>368</v>
      </c>
      <c r="D348" s="8" t="s">
        <v>369</v>
      </c>
      <c r="E348" s="8" t="n">
        <v>1977</v>
      </c>
      <c r="F348" s="8" t="s">
        <v>99</v>
      </c>
      <c r="G348" s="8" t="s">
        <v>100</v>
      </c>
      <c r="H348" s="8" t="s">
        <v>1141</v>
      </c>
      <c r="I348" s="8" t="s">
        <v>47</v>
      </c>
      <c r="J348" s="9" t="n">
        <v>470000</v>
      </c>
      <c r="K348" s="8" t="s">
        <v>451</v>
      </c>
      <c r="L348" s="9" t="n">
        <v>7382.55</v>
      </c>
      <c r="M348" s="9" t="n">
        <v>922.82</v>
      </c>
      <c r="N348" s="9" t="n">
        <v>922.82</v>
      </c>
      <c r="O348" s="9" t="n">
        <v>5536.9</v>
      </c>
      <c r="P348" s="9" t="n">
        <v>553.69</v>
      </c>
      <c r="Q348" s="9" t="n">
        <v>553.69</v>
      </c>
      <c r="R348" s="9" t="n">
        <v>553.69</v>
      </c>
      <c r="S348" s="9" t="n">
        <v>553.69</v>
      </c>
      <c r="T348" s="9" t="n">
        <v>553.69</v>
      </c>
      <c r="U348" s="9" t="n">
        <v>553.69</v>
      </c>
      <c r="V348" s="9" t="n">
        <v>553.69</v>
      </c>
      <c r="W348" s="9" t="n">
        <v>553.69</v>
      </c>
      <c r="X348" s="9" t="n">
        <v>553.69</v>
      </c>
      <c r="Y348" s="9" t="n">
        <v>553.69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1142</v>
      </c>
      <c r="B349" s="3" t="s">
        <v>1087</v>
      </c>
      <c r="C349" s="3" t="s">
        <v>200</v>
      </c>
      <c r="D349" s="3" t="s">
        <v>201</v>
      </c>
      <c r="E349" s="3" t="n">
        <v>2010</v>
      </c>
      <c r="F349" s="3" t="s">
        <v>44</v>
      </c>
      <c r="G349" s="3" t="s">
        <v>45</v>
      </c>
      <c r="H349" s="3" t="s">
        <v>1143</v>
      </c>
      <c r="I349" s="3" t="s">
        <v>47</v>
      </c>
      <c r="J349" s="7" t="n">
        <v>765000</v>
      </c>
      <c r="K349" s="3" t="s">
        <v>279</v>
      </c>
      <c r="L349" s="7" t="n">
        <v>10695.57</v>
      </c>
      <c r="M349" s="7" t="n">
        <v>1336.95</v>
      </c>
      <c r="N349" s="7" t="n">
        <v>1336.95</v>
      </c>
      <c r="O349" s="7" t="n">
        <v>8021.7</v>
      </c>
      <c r="P349" s="7" t="n">
        <v>802.17</v>
      </c>
      <c r="Q349" s="7" t="n">
        <v>802.17</v>
      </c>
      <c r="R349" s="7" t="n">
        <v>802.17</v>
      </c>
      <c r="S349" s="7" t="n">
        <v>802.17</v>
      </c>
      <c r="T349" s="7" t="n">
        <v>802.17</v>
      </c>
      <c r="U349" s="7" t="n">
        <v>802.17</v>
      </c>
      <c r="V349" s="7" t="n">
        <v>802.17</v>
      </c>
      <c r="W349" s="7" t="n">
        <v>802.17</v>
      </c>
      <c r="X349" s="7" t="n">
        <v>802.17</v>
      </c>
      <c r="Y349" s="7" t="n">
        <v>802.17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1144</v>
      </c>
      <c r="B350" s="8" t="s">
        <v>658</v>
      </c>
      <c r="C350" s="8" t="s">
        <v>111</v>
      </c>
      <c r="D350" s="8" t="s">
        <v>112</v>
      </c>
      <c r="E350" s="8" t="n">
        <v>2018</v>
      </c>
      <c r="F350" s="8" t="s">
        <v>53</v>
      </c>
      <c r="G350" s="8" t="s">
        <v>54</v>
      </c>
      <c r="H350" s="8" t="s">
        <v>1145</v>
      </c>
      <c r="I350" s="8" t="s">
        <v>56</v>
      </c>
      <c r="J350" s="9" t="n">
        <v>1575000</v>
      </c>
      <c r="K350" s="8" t="s">
        <v>91</v>
      </c>
      <c r="L350" s="9" t="n">
        <v>30430.19</v>
      </c>
      <c r="M350" s="9" t="n">
        <v>3803.77</v>
      </c>
      <c r="N350" s="9" t="n">
        <v>3803.77</v>
      </c>
      <c r="O350" s="9" t="n">
        <v>22822.6</v>
      </c>
      <c r="P350" s="9" t="n">
        <v>2282.26</v>
      </c>
      <c r="Q350" s="9" t="n">
        <v>2282.26</v>
      </c>
      <c r="R350" s="9" t="n">
        <v>2282.26</v>
      </c>
      <c r="S350" s="9" t="n">
        <v>2282.26</v>
      </c>
      <c r="T350" s="9" t="n">
        <v>2282.26</v>
      </c>
      <c r="U350" s="9" t="n">
        <v>2282.26</v>
      </c>
      <c r="V350" s="9" t="n">
        <v>2282.26</v>
      </c>
      <c r="W350" s="9" t="n">
        <v>2282.26</v>
      </c>
      <c r="X350" s="9" t="n">
        <v>2282.26</v>
      </c>
      <c r="Y350" s="9" t="n">
        <v>2282.26</v>
      </c>
      <c r="Z350" s="9" t="n">
        <v>350</v>
      </c>
      <c r="AA350" s="9" t="n">
        <v>250</v>
      </c>
      <c r="AB350" s="9" t="n">
        <v>600</v>
      </c>
    </row>
    <row r="351" customFormat="false" ht="15" hidden="false" customHeight="false" outlineLevel="0" collapsed="false">
      <c r="A351" s="3" t="s">
        <v>1146</v>
      </c>
      <c r="B351" s="3" t="s">
        <v>1147</v>
      </c>
      <c r="C351" s="3" t="s">
        <v>206</v>
      </c>
      <c r="D351" s="3" t="s">
        <v>207</v>
      </c>
      <c r="E351" s="3" t="n">
        <v>1971</v>
      </c>
      <c r="F351" s="3" t="s">
        <v>53</v>
      </c>
      <c r="G351" s="3" t="s">
        <v>236</v>
      </c>
      <c r="H351" s="3" t="s">
        <v>1148</v>
      </c>
      <c r="I351" s="3" t="s">
        <v>56</v>
      </c>
      <c r="J351" s="7" t="n">
        <v>410000</v>
      </c>
      <c r="K351" s="3" t="s">
        <v>83</v>
      </c>
      <c r="L351" s="7" t="n">
        <v>12009.91</v>
      </c>
      <c r="M351" s="7" t="n">
        <v>1501.24</v>
      </c>
      <c r="N351" s="7" t="n">
        <v>1501.24</v>
      </c>
      <c r="O351" s="7" t="n">
        <v>9007.4</v>
      </c>
      <c r="P351" s="7" t="n">
        <v>900.74</v>
      </c>
      <c r="Q351" s="7" t="n">
        <v>900.74</v>
      </c>
      <c r="R351" s="7" t="n">
        <v>900.74</v>
      </c>
      <c r="S351" s="7" t="n">
        <v>900.74</v>
      </c>
      <c r="T351" s="7" t="n">
        <v>900.74</v>
      </c>
      <c r="U351" s="7" t="n">
        <v>900.74</v>
      </c>
      <c r="V351" s="7" t="n">
        <v>900.74</v>
      </c>
      <c r="W351" s="7" t="n">
        <v>900.74</v>
      </c>
      <c r="X351" s="7" t="n">
        <v>900.74</v>
      </c>
      <c r="Y351" s="7" t="n">
        <v>900.74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1149</v>
      </c>
      <c r="B352" s="8" t="s">
        <v>143</v>
      </c>
      <c r="C352" s="8" t="s">
        <v>179</v>
      </c>
      <c r="D352" s="8" t="s">
        <v>180</v>
      </c>
      <c r="E352" s="8" t="n">
        <v>1985</v>
      </c>
      <c r="F352" s="8" t="s">
        <v>53</v>
      </c>
      <c r="G352" s="8" t="s">
        <v>236</v>
      </c>
      <c r="H352" s="8" t="s">
        <v>1150</v>
      </c>
      <c r="I352" s="8" t="s">
        <v>56</v>
      </c>
      <c r="J352" s="9" t="n">
        <v>455000</v>
      </c>
      <c r="K352" s="8" t="s">
        <v>287</v>
      </c>
      <c r="L352" s="9" t="n">
        <v>12834.43</v>
      </c>
      <c r="M352" s="9" t="n">
        <v>1604.3</v>
      </c>
      <c r="N352" s="9" t="n">
        <v>1604.3</v>
      </c>
      <c r="O352" s="9" t="n">
        <v>9625.8</v>
      </c>
      <c r="P352" s="9" t="n">
        <v>962.58</v>
      </c>
      <c r="Q352" s="9" t="n">
        <v>962.58</v>
      </c>
      <c r="R352" s="9" t="n">
        <v>962.58</v>
      </c>
      <c r="S352" s="9" t="n">
        <v>962.58</v>
      </c>
      <c r="T352" s="9" t="n">
        <v>962.58</v>
      </c>
      <c r="U352" s="9" t="n">
        <v>962.58</v>
      </c>
      <c r="V352" s="9" t="n">
        <v>962.58</v>
      </c>
      <c r="W352" s="9" t="n">
        <v>962.58</v>
      </c>
      <c r="X352" s="9" t="n">
        <v>962.58</v>
      </c>
      <c r="Y352" s="9" t="n">
        <v>962.58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1151</v>
      </c>
      <c r="B353" s="3" t="s">
        <v>1152</v>
      </c>
      <c r="C353" s="3" t="s">
        <v>51</v>
      </c>
      <c r="D353" s="3" t="s">
        <v>52</v>
      </c>
      <c r="E353" s="3" t="n">
        <v>1961</v>
      </c>
      <c r="F353" s="3" t="s">
        <v>241</v>
      </c>
      <c r="G353" s="3" t="s">
        <v>242</v>
      </c>
      <c r="H353" s="3" t="s">
        <v>1153</v>
      </c>
      <c r="I353" s="3" t="s">
        <v>169</v>
      </c>
      <c r="J353" s="7" t="n">
        <v>730000</v>
      </c>
      <c r="K353" s="3" t="s">
        <v>57</v>
      </c>
      <c r="L353" s="7" t="n">
        <v>12569.77</v>
      </c>
      <c r="M353" s="7" t="n">
        <v>1571.22</v>
      </c>
      <c r="N353" s="7" t="n">
        <v>1571.22</v>
      </c>
      <c r="O353" s="7" t="n">
        <v>9427.3</v>
      </c>
      <c r="P353" s="7" t="n">
        <v>942.73</v>
      </c>
      <c r="Q353" s="7" t="n">
        <v>942.73</v>
      </c>
      <c r="R353" s="7" t="n">
        <v>942.73</v>
      </c>
      <c r="S353" s="7" t="n">
        <v>942.73</v>
      </c>
      <c r="T353" s="7" t="n">
        <v>942.73</v>
      </c>
      <c r="U353" s="7" t="n">
        <v>942.73</v>
      </c>
      <c r="V353" s="7" t="n">
        <v>942.73</v>
      </c>
      <c r="W353" s="7" t="n">
        <v>942.73</v>
      </c>
      <c r="X353" s="7" t="n">
        <v>942.73</v>
      </c>
      <c r="Y353" s="7" t="n">
        <v>942.73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1154</v>
      </c>
      <c r="B354" s="8" t="s">
        <v>1155</v>
      </c>
      <c r="C354" s="8" t="s">
        <v>206</v>
      </c>
      <c r="D354" s="8" t="s">
        <v>207</v>
      </c>
      <c r="E354" s="8" t="n">
        <v>1995</v>
      </c>
      <c r="F354" s="8" t="s">
        <v>265</v>
      </c>
      <c r="G354" s="8" t="s">
        <v>266</v>
      </c>
      <c r="H354" s="8" t="s">
        <v>1156</v>
      </c>
      <c r="I354" s="8" t="s">
        <v>47</v>
      </c>
      <c r="J354" s="9" t="n">
        <v>430000</v>
      </c>
      <c r="K354" s="8" t="s">
        <v>83</v>
      </c>
      <c r="L354" s="9" t="n">
        <v>8214.62</v>
      </c>
      <c r="M354" s="9" t="n">
        <v>1026.83</v>
      </c>
      <c r="N354" s="9" t="n">
        <v>1026.83</v>
      </c>
      <c r="O354" s="9" t="n">
        <v>6161</v>
      </c>
      <c r="P354" s="9" t="n">
        <v>616.1</v>
      </c>
      <c r="Q354" s="9" t="n">
        <v>616.1</v>
      </c>
      <c r="R354" s="9" t="n">
        <v>616.1</v>
      </c>
      <c r="S354" s="9" t="n">
        <v>616.1</v>
      </c>
      <c r="T354" s="9" t="n">
        <v>616.1</v>
      </c>
      <c r="U354" s="9" t="n">
        <v>616.1</v>
      </c>
      <c r="V354" s="9" t="n">
        <v>616.1</v>
      </c>
      <c r="W354" s="9" t="n">
        <v>616.1</v>
      </c>
      <c r="X354" s="9" t="n">
        <v>616.1</v>
      </c>
      <c r="Y354" s="9" t="n">
        <v>616.1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1157</v>
      </c>
      <c r="B355" s="3" t="s">
        <v>1158</v>
      </c>
      <c r="C355" s="3" t="s">
        <v>385</v>
      </c>
      <c r="D355" s="3" t="s">
        <v>386</v>
      </c>
      <c r="E355" s="3" t="n">
        <v>1995</v>
      </c>
      <c r="F355" s="3" t="s">
        <v>146</v>
      </c>
      <c r="G355" s="3" t="s">
        <v>147</v>
      </c>
      <c r="H355" s="3" t="s">
        <v>1159</v>
      </c>
      <c r="I355" s="3" t="s">
        <v>47</v>
      </c>
      <c r="J355" s="7" t="n">
        <v>325000</v>
      </c>
      <c r="K355" s="3" t="s">
        <v>556</v>
      </c>
      <c r="L355" s="7" t="n">
        <v>5150.94</v>
      </c>
      <c r="M355" s="7" t="n">
        <v>643.87</v>
      </c>
      <c r="N355" s="7" t="n">
        <v>643.87</v>
      </c>
      <c r="O355" s="7" t="n">
        <v>3863.2</v>
      </c>
      <c r="P355" s="7" t="n">
        <v>386.32</v>
      </c>
      <c r="Q355" s="7" t="n">
        <v>386.32</v>
      </c>
      <c r="R355" s="7" t="n">
        <v>386.32</v>
      </c>
      <c r="S355" s="7" t="n">
        <v>386.32</v>
      </c>
      <c r="T355" s="7" t="n">
        <v>386.32</v>
      </c>
      <c r="U355" s="7" t="n">
        <v>386.32</v>
      </c>
      <c r="V355" s="7" t="n">
        <v>386.32</v>
      </c>
      <c r="W355" s="7" t="n">
        <v>386.32</v>
      </c>
      <c r="X355" s="7" t="n">
        <v>386.32</v>
      </c>
      <c r="Y355" s="7" t="n">
        <v>386.32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1160</v>
      </c>
      <c r="B356" s="8" t="s">
        <v>291</v>
      </c>
      <c r="C356" s="8" t="s">
        <v>164</v>
      </c>
      <c r="D356" s="8" t="s">
        <v>165</v>
      </c>
      <c r="E356" s="8" t="n">
        <v>2012</v>
      </c>
      <c r="F356" s="8" t="s">
        <v>44</v>
      </c>
      <c r="G356" s="8" t="s">
        <v>45</v>
      </c>
      <c r="H356" s="8" t="s">
        <v>1161</v>
      </c>
      <c r="I356" s="8" t="s">
        <v>47</v>
      </c>
      <c r="J356" s="9" t="n">
        <v>395000</v>
      </c>
      <c r="K356" s="8" t="s">
        <v>83</v>
      </c>
      <c r="L356" s="9" t="n">
        <v>7545.99</v>
      </c>
      <c r="M356" s="9" t="n">
        <v>943.25</v>
      </c>
      <c r="N356" s="9" t="n">
        <v>943.25</v>
      </c>
      <c r="O356" s="9" t="n">
        <v>5659.5</v>
      </c>
      <c r="P356" s="9" t="n">
        <v>565.95</v>
      </c>
      <c r="Q356" s="9" t="n">
        <v>565.95</v>
      </c>
      <c r="R356" s="9" t="n">
        <v>565.95</v>
      </c>
      <c r="S356" s="9" t="n">
        <v>565.95</v>
      </c>
      <c r="T356" s="9" t="n">
        <v>565.95</v>
      </c>
      <c r="U356" s="9" t="n">
        <v>565.95</v>
      </c>
      <c r="V356" s="9" t="n">
        <v>565.95</v>
      </c>
      <c r="W356" s="9" t="n">
        <v>565.95</v>
      </c>
      <c r="X356" s="9" t="n">
        <v>565.95</v>
      </c>
      <c r="Y356" s="9" t="n">
        <v>565.95</v>
      </c>
      <c r="Z356" s="9" t="n">
        <v>350</v>
      </c>
      <c r="AA356" s="9" t="n">
        <v>0</v>
      </c>
      <c r="AB356" s="9" t="n">
        <v>350</v>
      </c>
    </row>
    <row r="357" customFormat="false" ht="15" hidden="false" customHeight="false" outlineLevel="0" collapsed="false">
      <c r="A357" s="3" t="s">
        <v>1162</v>
      </c>
      <c r="B357" s="3" t="s">
        <v>302</v>
      </c>
      <c r="C357" s="3" t="s">
        <v>42</v>
      </c>
      <c r="D357" s="3" t="s">
        <v>43</v>
      </c>
      <c r="E357" s="3" t="n">
        <v>1988</v>
      </c>
      <c r="F357" s="3" t="s">
        <v>105</v>
      </c>
      <c r="G357" s="3" t="s">
        <v>106</v>
      </c>
      <c r="H357" s="3" t="s">
        <v>1163</v>
      </c>
      <c r="I357" s="3" t="s">
        <v>56</v>
      </c>
      <c r="J357" s="7" t="n">
        <v>950000</v>
      </c>
      <c r="K357" s="3" t="s">
        <v>355</v>
      </c>
      <c r="L357" s="7" t="n">
        <v>19071.7</v>
      </c>
      <c r="M357" s="7" t="n">
        <v>2383.96</v>
      </c>
      <c r="N357" s="7" t="n">
        <v>2383.96</v>
      </c>
      <c r="O357" s="7" t="n">
        <v>14303.8</v>
      </c>
      <c r="P357" s="7" t="n">
        <v>1430.38</v>
      </c>
      <c r="Q357" s="7" t="n">
        <v>1430.38</v>
      </c>
      <c r="R357" s="7" t="n">
        <v>1430.38</v>
      </c>
      <c r="S357" s="7" t="n">
        <v>1430.38</v>
      </c>
      <c r="T357" s="7" t="n">
        <v>1430.38</v>
      </c>
      <c r="U357" s="7" t="n">
        <v>1430.38</v>
      </c>
      <c r="V357" s="7" t="n">
        <v>1430.38</v>
      </c>
      <c r="W357" s="7" t="n">
        <v>1430.38</v>
      </c>
      <c r="X357" s="7" t="n">
        <v>1430.38</v>
      </c>
      <c r="Y357" s="7" t="n">
        <v>1430.38</v>
      </c>
      <c r="Z357" s="7" t="n">
        <v>350</v>
      </c>
      <c r="AA357" s="7" t="n">
        <v>0</v>
      </c>
      <c r="AB357" s="7" t="n">
        <v>350</v>
      </c>
    </row>
    <row r="358" customFormat="false" ht="15" hidden="false" customHeight="false" outlineLevel="0" collapsed="false">
      <c r="A358" s="8" t="s">
        <v>1164</v>
      </c>
      <c r="B358" s="8" t="s">
        <v>1165</v>
      </c>
      <c r="C358" s="8" t="s">
        <v>94</v>
      </c>
      <c r="D358" s="8" t="s">
        <v>95</v>
      </c>
      <c r="E358" s="8" t="n">
        <v>1989</v>
      </c>
      <c r="F358" s="8" t="s">
        <v>276</v>
      </c>
      <c r="G358" s="8" t="s">
        <v>277</v>
      </c>
      <c r="H358" s="8" t="s">
        <v>1166</v>
      </c>
      <c r="I358" s="8" t="s">
        <v>136</v>
      </c>
      <c r="J358" s="9" t="n">
        <v>795000</v>
      </c>
      <c r="K358" s="8" t="s">
        <v>203</v>
      </c>
      <c r="L358" s="9" t="n">
        <v>9159</v>
      </c>
      <c r="M358" s="9" t="n">
        <v>1144.88</v>
      </c>
      <c r="N358" s="9" t="n">
        <v>1144.88</v>
      </c>
      <c r="O358" s="9" t="n">
        <v>6869.2</v>
      </c>
      <c r="P358" s="9" t="n">
        <v>686.92</v>
      </c>
      <c r="Q358" s="9" t="n">
        <v>686.92</v>
      </c>
      <c r="R358" s="9" t="n">
        <v>686.92</v>
      </c>
      <c r="S358" s="9" t="n">
        <v>686.92</v>
      </c>
      <c r="T358" s="9" t="n">
        <v>686.92</v>
      </c>
      <c r="U358" s="9" t="n">
        <v>686.92</v>
      </c>
      <c r="V358" s="9" t="n">
        <v>686.92</v>
      </c>
      <c r="W358" s="9" t="n">
        <v>686.92</v>
      </c>
      <c r="X358" s="9" t="n">
        <v>686.92</v>
      </c>
      <c r="Y358" s="9" t="n">
        <v>686.92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1167</v>
      </c>
      <c r="B359" s="3" t="s">
        <v>1168</v>
      </c>
      <c r="C359" s="3" t="s">
        <v>51</v>
      </c>
      <c r="D359" s="3" t="s">
        <v>52</v>
      </c>
      <c r="E359" s="3" t="n">
        <v>1983</v>
      </c>
      <c r="F359" s="3" t="s">
        <v>105</v>
      </c>
      <c r="G359" s="3" t="s">
        <v>106</v>
      </c>
      <c r="H359" s="3" t="s">
        <v>1169</v>
      </c>
      <c r="I359" s="3" t="s">
        <v>56</v>
      </c>
      <c r="J359" s="7" t="n">
        <v>765000</v>
      </c>
      <c r="K359" s="3" t="s">
        <v>119</v>
      </c>
      <c r="L359" s="7" t="n">
        <v>17140.33</v>
      </c>
      <c r="M359" s="7" t="n">
        <v>2142.54</v>
      </c>
      <c r="N359" s="7" t="n">
        <v>2142.54</v>
      </c>
      <c r="O359" s="7" t="n">
        <v>12855.2</v>
      </c>
      <c r="P359" s="7" t="n">
        <v>1285.52</v>
      </c>
      <c r="Q359" s="7" t="n">
        <v>1285.52</v>
      </c>
      <c r="R359" s="7" t="n">
        <v>1285.52</v>
      </c>
      <c r="S359" s="7" t="n">
        <v>1285.52</v>
      </c>
      <c r="T359" s="7" t="n">
        <v>1285.52</v>
      </c>
      <c r="U359" s="7" t="n">
        <v>1285.52</v>
      </c>
      <c r="V359" s="7" t="n">
        <v>1285.52</v>
      </c>
      <c r="W359" s="7" t="n">
        <v>1285.52</v>
      </c>
      <c r="X359" s="7" t="n">
        <v>1285.52</v>
      </c>
      <c r="Y359" s="7" t="n">
        <v>1285.52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1170</v>
      </c>
      <c r="B360" s="8" t="s">
        <v>1171</v>
      </c>
      <c r="C360" s="8" t="s">
        <v>206</v>
      </c>
      <c r="D360" s="8" t="s">
        <v>207</v>
      </c>
      <c r="E360" s="8" t="n">
        <v>1996</v>
      </c>
      <c r="F360" s="8" t="s">
        <v>241</v>
      </c>
      <c r="G360" s="8" t="s">
        <v>242</v>
      </c>
      <c r="H360" s="8" t="s">
        <v>1172</v>
      </c>
      <c r="I360" s="8" t="s">
        <v>169</v>
      </c>
      <c r="J360" s="9" t="n">
        <v>790000</v>
      </c>
      <c r="K360" s="8" t="s">
        <v>593</v>
      </c>
      <c r="L360" s="9" t="n">
        <v>10812.57</v>
      </c>
      <c r="M360" s="9" t="n">
        <v>1351.57</v>
      </c>
      <c r="N360" s="9" t="n">
        <v>1351.57</v>
      </c>
      <c r="O360" s="9" t="n">
        <v>8109.4</v>
      </c>
      <c r="P360" s="9" t="n">
        <v>810.94</v>
      </c>
      <c r="Q360" s="9" t="n">
        <v>810.94</v>
      </c>
      <c r="R360" s="9" t="n">
        <v>810.94</v>
      </c>
      <c r="S360" s="9" t="n">
        <v>810.94</v>
      </c>
      <c r="T360" s="9" t="n">
        <v>810.94</v>
      </c>
      <c r="U360" s="9" t="n">
        <v>810.94</v>
      </c>
      <c r="V360" s="9" t="n">
        <v>810.94</v>
      </c>
      <c r="W360" s="9" t="n">
        <v>810.94</v>
      </c>
      <c r="X360" s="9" t="n">
        <v>810.94</v>
      </c>
      <c r="Y360" s="9" t="n">
        <v>810.94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1173</v>
      </c>
      <c r="B361" s="3" t="s">
        <v>1158</v>
      </c>
      <c r="C361" s="3" t="s">
        <v>94</v>
      </c>
      <c r="D361" s="3" t="s">
        <v>95</v>
      </c>
      <c r="E361" s="3" t="n">
        <v>2009</v>
      </c>
      <c r="F361" s="3" t="s">
        <v>53</v>
      </c>
      <c r="G361" s="3" t="s">
        <v>236</v>
      </c>
      <c r="H361" s="3" t="s">
        <v>1174</v>
      </c>
      <c r="I361" s="3" t="s">
        <v>56</v>
      </c>
      <c r="J361" s="7" t="n">
        <v>1950000</v>
      </c>
      <c r="K361" s="3" t="s">
        <v>91</v>
      </c>
      <c r="L361" s="7" t="n">
        <v>37675.47</v>
      </c>
      <c r="M361" s="7" t="n">
        <v>4709.43</v>
      </c>
      <c r="N361" s="7" t="n">
        <v>4709.43</v>
      </c>
      <c r="O361" s="7" t="n">
        <v>28256.6</v>
      </c>
      <c r="P361" s="7" t="n">
        <v>2825.66</v>
      </c>
      <c r="Q361" s="7" t="n">
        <v>2825.66</v>
      </c>
      <c r="R361" s="7" t="n">
        <v>2825.66</v>
      </c>
      <c r="S361" s="7" t="n">
        <v>2825.66</v>
      </c>
      <c r="T361" s="7" t="n">
        <v>2825.66</v>
      </c>
      <c r="U361" s="7" t="n">
        <v>2825.66</v>
      </c>
      <c r="V361" s="7" t="n">
        <v>2825.66</v>
      </c>
      <c r="W361" s="7" t="n">
        <v>2825.66</v>
      </c>
      <c r="X361" s="7" t="n">
        <v>2825.66</v>
      </c>
      <c r="Y361" s="7" t="n">
        <v>2825.66</v>
      </c>
      <c r="Z361" s="7" t="n">
        <v>350</v>
      </c>
      <c r="AA361" s="7" t="n">
        <v>250</v>
      </c>
      <c r="AB361" s="7" t="n">
        <v>600</v>
      </c>
    </row>
    <row r="362" customFormat="false" ht="15" hidden="false" customHeight="false" outlineLevel="0" collapsed="false">
      <c r="A362" s="8" t="s">
        <v>1175</v>
      </c>
      <c r="B362" s="8" t="s">
        <v>1176</v>
      </c>
      <c r="C362" s="8" t="s">
        <v>282</v>
      </c>
      <c r="D362" s="8" t="s">
        <v>283</v>
      </c>
      <c r="E362" s="8" t="n">
        <v>2023</v>
      </c>
      <c r="F362" s="8" t="s">
        <v>44</v>
      </c>
      <c r="G362" s="8" t="s">
        <v>45</v>
      </c>
      <c r="H362" s="8" t="s">
        <v>1177</v>
      </c>
      <c r="I362" s="8" t="s">
        <v>47</v>
      </c>
      <c r="J362" s="9" t="n">
        <v>325000</v>
      </c>
      <c r="K362" s="8" t="s">
        <v>312</v>
      </c>
      <c r="L362" s="9" t="n">
        <v>5058.96</v>
      </c>
      <c r="M362" s="9" t="n">
        <v>632.37</v>
      </c>
      <c r="N362" s="9" t="n">
        <v>632.37</v>
      </c>
      <c r="O362" s="9" t="n">
        <v>3794.2</v>
      </c>
      <c r="P362" s="9" t="n">
        <v>379.42</v>
      </c>
      <c r="Q362" s="9" t="n">
        <v>379.42</v>
      </c>
      <c r="R362" s="9" t="n">
        <v>379.42</v>
      </c>
      <c r="S362" s="9" t="n">
        <v>379.42</v>
      </c>
      <c r="T362" s="9" t="n">
        <v>379.42</v>
      </c>
      <c r="U362" s="9" t="n">
        <v>379.42</v>
      </c>
      <c r="V362" s="9" t="n">
        <v>379.42</v>
      </c>
      <c r="W362" s="9" t="n">
        <v>379.42</v>
      </c>
      <c r="X362" s="9" t="n">
        <v>379.42</v>
      </c>
      <c r="Y362" s="9" t="n">
        <v>379.42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1178</v>
      </c>
      <c r="B363" s="3" t="s">
        <v>230</v>
      </c>
      <c r="C363" s="3" t="s">
        <v>250</v>
      </c>
      <c r="D363" s="3" t="s">
        <v>251</v>
      </c>
      <c r="E363" s="3" t="n">
        <v>2018</v>
      </c>
      <c r="F363" s="3" t="s">
        <v>105</v>
      </c>
      <c r="G363" s="3" t="s">
        <v>106</v>
      </c>
      <c r="H363" s="3" t="s">
        <v>1179</v>
      </c>
      <c r="I363" s="3" t="s">
        <v>56</v>
      </c>
      <c r="J363" s="7" t="n">
        <v>250000</v>
      </c>
      <c r="K363" s="3" t="s">
        <v>91</v>
      </c>
      <c r="L363" s="7" t="n">
        <v>6943.4</v>
      </c>
      <c r="M363" s="7" t="n">
        <v>867.92</v>
      </c>
      <c r="N363" s="7" t="n">
        <v>867.92</v>
      </c>
      <c r="O363" s="7" t="n">
        <v>5207.5</v>
      </c>
      <c r="P363" s="7" t="n">
        <v>520.75</v>
      </c>
      <c r="Q363" s="7" t="n">
        <v>520.75</v>
      </c>
      <c r="R363" s="7" t="n">
        <v>520.75</v>
      </c>
      <c r="S363" s="7" t="n">
        <v>520.75</v>
      </c>
      <c r="T363" s="7" t="n">
        <v>520.75</v>
      </c>
      <c r="U363" s="7" t="n">
        <v>520.75</v>
      </c>
      <c r="V363" s="7" t="n">
        <v>520.75</v>
      </c>
      <c r="W363" s="7" t="n">
        <v>520.75</v>
      </c>
      <c r="X363" s="7" t="n">
        <v>520.75</v>
      </c>
      <c r="Y363" s="7" t="n">
        <v>520.75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1180</v>
      </c>
      <c r="B364" s="8" t="s">
        <v>1181</v>
      </c>
      <c r="C364" s="8" t="s">
        <v>51</v>
      </c>
      <c r="D364" s="8" t="s">
        <v>52</v>
      </c>
      <c r="E364" s="8" t="n">
        <v>1956</v>
      </c>
      <c r="F364" s="8" t="s">
        <v>105</v>
      </c>
      <c r="G364" s="8" t="s">
        <v>106</v>
      </c>
      <c r="H364" s="8" t="s">
        <v>1182</v>
      </c>
      <c r="I364" s="8" t="s">
        <v>56</v>
      </c>
      <c r="J364" s="9" t="n">
        <v>845000</v>
      </c>
      <c r="K364" s="8" t="s">
        <v>1183</v>
      </c>
      <c r="L364" s="9" t="n">
        <v>20750.33</v>
      </c>
      <c r="M364" s="9" t="n">
        <v>2593.79</v>
      </c>
      <c r="N364" s="9" t="n">
        <v>2593.79</v>
      </c>
      <c r="O364" s="9" t="n">
        <v>15562.7</v>
      </c>
      <c r="P364" s="9" t="n">
        <v>1556.27</v>
      </c>
      <c r="Q364" s="9" t="n">
        <v>1556.27</v>
      </c>
      <c r="R364" s="9" t="n">
        <v>1556.27</v>
      </c>
      <c r="S364" s="9" t="n">
        <v>1556.27</v>
      </c>
      <c r="T364" s="9" t="n">
        <v>1556.27</v>
      </c>
      <c r="U364" s="9" t="n">
        <v>1556.27</v>
      </c>
      <c r="V364" s="9" t="n">
        <v>1556.27</v>
      </c>
      <c r="W364" s="9" t="n">
        <v>1556.27</v>
      </c>
      <c r="X364" s="9" t="n">
        <v>1556.27</v>
      </c>
      <c r="Y364" s="9" t="n">
        <v>1556.27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1184</v>
      </c>
      <c r="B365" s="3" t="s">
        <v>1006</v>
      </c>
      <c r="C365" s="3" t="s">
        <v>42</v>
      </c>
      <c r="D365" s="3" t="s">
        <v>43</v>
      </c>
      <c r="E365" s="3" t="n">
        <v>2014</v>
      </c>
      <c r="F365" s="3" t="s">
        <v>387</v>
      </c>
      <c r="G365" s="3" t="s">
        <v>388</v>
      </c>
      <c r="H365" s="3" t="s">
        <v>1185</v>
      </c>
      <c r="I365" s="3" t="s">
        <v>56</v>
      </c>
      <c r="J365" s="7" t="n">
        <v>595000</v>
      </c>
      <c r="K365" s="3" t="s">
        <v>475</v>
      </c>
      <c r="L365" s="7" t="n">
        <v>13864.62</v>
      </c>
      <c r="M365" s="7" t="n">
        <v>1733.08</v>
      </c>
      <c r="N365" s="7" t="n">
        <v>1733.08</v>
      </c>
      <c r="O365" s="7" t="n">
        <v>10398.5</v>
      </c>
      <c r="P365" s="7" t="n">
        <v>1039.85</v>
      </c>
      <c r="Q365" s="7" t="n">
        <v>1039.85</v>
      </c>
      <c r="R365" s="7" t="n">
        <v>1039.85</v>
      </c>
      <c r="S365" s="7" t="n">
        <v>1039.85</v>
      </c>
      <c r="T365" s="7" t="n">
        <v>1039.85</v>
      </c>
      <c r="U365" s="7" t="n">
        <v>1039.85</v>
      </c>
      <c r="V365" s="7" t="n">
        <v>1039.85</v>
      </c>
      <c r="W365" s="7" t="n">
        <v>1039.85</v>
      </c>
      <c r="X365" s="7" t="n">
        <v>1039.85</v>
      </c>
      <c r="Y365" s="7" t="n">
        <v>1039.85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1186</v>
      </c>
      <c r="B366" s="8" t="s">
        <v>731</v>
      </c>
      <c r="C366" s="8" t="s">
        <v>111</v>
      </c>
      <c r="D366" s="8" t="s">
        <v>112</v>
      </c>
      <c r="E366" s="8" t="n">
        <v>1955</v>
      </c>
      <c r="F366" s="8" t="s">
        <v>276</v>
      </c>
      <c r="G366" s="8" t="s">
        <v>277</v>
      </c>
      <c r="H366" s="8" t="s">
        <v>1187</v>
      </c>
      <c r="I366" s="8" t="s">
        <v>136</v>
      </c>
      <c r="J366" s="9" t="n">
        <v>555000</v>
      </c>
      <c r="K366" s="8" t="s">
        <v>260</v>
      </c>
      <c r="L366" s="9" t="n">
        <v>5628.54</v>
      </c>
      <c r="M366" s="9" t="n">
        <v>703.57</v>
      </c>
      <c r="N366" s="9" t="n">
        <v>703.57</v>
      </c>
      <c r="O366" s="9" t="n">
        <v>4221.4</v>
      </c>
      <c r="P366" s="9" t="n">
        <v>422.14</v>
      </c>
      <c r="Q366" s="9" t="n">
        <v>422.14</v>
      </c>
      <c r="R366" s="9" t="n">
        <v>422.14</v>
      </c>
      <c r="S366" s="9" t="n">
        <v>422.14</v>
      </c>
      <c r="T366" s="9" t="n">
        <v>422.14</v>
      </c>
      <c r="U366" s="9" t="n">
        <v>422.14</v>
      </c>
      <c r="V366" s="9" t="n">
        <v>422.14</v>
      </c>
      <c r="W366" s="9" t="n">
        <v>422.14</v>
      </c>
      <c r="X366" s="9" t="n">
        <v>422.14</v>
      </c>
      <c r="Y366" s="9" t="n">
        <v>422.14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1188</v>
      </c>
      <c r="B367" s="3" t="s">
        <v>975</v>
      </c>
      <c r="C367" s="3" t="s">
        <v>443</v>
      </c>
      <c r="D367" s="3" t="s">
        <v>444</v>
      </c>
      <c r="E367" s="3" t="n">
        <v>1963</v>
      </c>
      <c r="F367" s="3" t="s">
        <v>146</v>
      </c>
      <c r="G367" s="3" t="s">
        <v>195</v>
      </c>
      <c r="H367" s="3" t="s">
        <v>1189</v>
      </c>
      <c r="I367" s="3" t="s">
        <v>125</v>
      </c>
      <c r="J367" s="7" t="n">
        <v>630000</v>
      </c>
      <c r="K367" s="3" t="s">
        <v>312</v>
      </c>
      <c r="L367" s="7" t="n">
        <v>4968.68</v>
      </c>
      <c r="M367" s="7" t="n">
        <v>621.09</v>
      </c>
      <c r="N367" s="7" t="n">
        <v>621.09</v>
      </c>
      <c r="O367" s="7" t="n">
        <v>3726.5</v>
      </c>
      <c r="P367" s="7" t="n">
        <v>372.65</v>
      </c>
      <c r="Q367" s="7" t="n">
        <v>372.65</v>
      </c>
      <c r="R367" s="7" t="n">
        <v>372.65</v>
      </c>
      <c r="S367" s="7" t="n">
        <v>372.65</v>
      </c>
      <c r="T367" s="7" t="n">
        <v>372.65</v>
      </c>
      <c r="U367" s="7" t="n">
        <v>372.65</v>
      </c>
      <c r="V367" s="7" t="n">
        <v>372.65</v>
      </c>
      <c r="W367" s="7" t="n">
        <v>372.65</v>
      </c>
      <c r="X367" s="7" t="n">
        <v>372.65</v>
      </c>
      <c r="Y367" s="7" t="n">
        <v>372.65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1190</v>
      </c>
      <c r="B368" s="8" t="s">
        <v>1191</v>
      </c>
      <c r="C368" s="8" t="s">
        <v>263</v>
      </c>
      <c r="D368" s="8" t="s">
        <v>264</v>
      </c>
      <c r="E368" s="8" t="n">
        <v>1973</v>
      </c>
      <c r="F368" s="8" t="s">
        <v>146</v>
      </c>
      <c r="G368" s="8" t="s">
        <v>147</v>
      </c>
      <c r="H368" s="8" t="s">
        <v>1192</v>
      </c>
      <c r="I368" s="8" t="s">
        <v>47</v>
      </c>
      <c r="J368" s="9" t="n">
        <v>245000</v>
      </c>
      <c r="K368" s="8" t="s">
        <v>203</v>
      </c>
      <c r="L368" s="9" t="n">
        <v>6039.02</v>
      </c>
      <c r="M368" s="9" t="n">
        <v>754.88</v>
      </c>
      <c r="N368" s="9" t="n">
        <v>754.88</v>
      </c>
      <c r="O368" s="9" t="n">
        <v>4529.3</v>
      </c>
      <c r="P368" s="9" t="n">
        <v>452.93</v>
      </c>
      <c r="Q368" s="9" t="n">
        <v>452.93</v>
      </c>
      <c r="R368" s="9" t="n">
        <v>452.93</v>
      </c>
      <c r="S368" s="9" t="n">
        <v>452.93</v>
      </c>
      <c r="T368" s="9" t="n">
        <v>452.93</v>
      </c>
      <c r="U368" s="9" t="n">
        <v>452.93</v>
      </c>
      <c r="V368" s="9" t="n">
        <v>452.93</v>
      </c>
      <c r="W368" s="9" t="n">
        <v>452.93</v>
      </c>
      <c r="X368" s="9" t="n">
        <v>452.93</v>
      </c>
      <c r="Y368" s="9" t="n">
        <v>452.93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1193</v>
      </c>
      <c r="B369" s="3" t="s">
        <v>1194</v>
      </c>
      <c r="C369" s="3" t="s">
        <v>190</v>
      </c>
      <c r="D369" s="3" t="s">
        <v>191</v>
      </c>
      <c r="E369" s="3" t="n">
        <v>1996</v>
      </c>
      <c r="F369" s="3" t="s">
        <v>88</v>
      </c>
      <c r="G369" s="3" t="s">
        <v>89</v>
      </c>
      <c r="H369" s="3" t="s">
        <v>1195</v>
      </c>
      <c r="I369" s="3" t="s">
        <v>47</v>
      </c>
      <c r="J369" s="7" t="n">
        <v>240000</v>
      </c>
      <c r="K369" s="3" t="s">
        <v>75</v>
      </c>
      <c r="L369" s="7" t="n">
        <v>5790.79</v>
      </c>
      <c r="M369" s="7" t="n">
        <v>723.85</v>
      </c>
      <c r="N369" s="7" t="n">
        <v>723.85</v>
      </c>
      <c r="O369" s="7" t="n">
        <v>4343.1</v>
      </c>
      <c r="P369" s="7" t="n">
        <v>434.31</v>
      </c>
      <c r="Q369" s="7" t="n">
        <v>434.31</v>
      </c>
      <c r="R369" s="7" t="n">
        <v>434.31</v>
      </c>
      <c r="S369" s="7" t="n">
        <v>434.31</v>
      </c>
      <c r="T369" s="7" t="n">
        <v>434.31</v>
      </c>
      <c r="U369" s="7" t="n">
        <v>434.31</v>
      </c>
      <c r="V369" s="7" t="n">
        <v>434.31</v>
      </c>
      <c r="W369" s="7" t="n">
        <v>434.31</v>
      </c>
      <c r="X369" s="7" t="n">
        <v>434.31</v>
      </c>
      <c r="Y369" s="7" t="n">
        <v>434.31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1196</v>
      </c>
      <c r="B370" s="8" t="s">
        <v>654</v>
      </c>
      <c r="C370" s="8" t="s">
        <v>158</v>
      </c>
      <c r="D370" s="8" t="s">
        <v>159</v>
      </c>
      <c r="E370" s="8" t="n">
        <v>1986</v>
      </c>
      <c r="F370" s="8" t="s">
        <v>276</v>
      </c>
      <c r="G370" s="8" t="s">
        <v>277</v>
      </c>
      <c r="H370" s="8" t="s">
        <v>1197</v>
      </c>
      <c r="I370" s="8" t="s">
        <v>136</v>
      </c>
      <c r="J370" s="9" t="n">
        <v>765000</v>
      </c>
      <c r="K370" s="8" t="s">
        <v>83</v>
      </c>
      <c r="L370" s="9" t="n">
        <v>8378.92</v>
      </c>
      <c r="M370" s="9" t="n">
        <v>1047.37</v>
      </c>
      <c r="N370" s="9" t="n">
        <v>1047.37</v>
      </c>
      <c r="O370" s="9" t="n">
        <v>6284.2</v>
      </c>
      <c r="P370" s="9" t="n">
        <v>628.42</v>
      </c>
      <c r="Q370" s="9" t="n">
        <v>628.42</v>
      </c>
      <c r="R370" s="9" t="n">
        <v>628.42</v>
      </c>
      <c r="S370" s="9" t="n">
        <v>628.42</v>
      </c>
      <c r="T370" s="9" t="n">
        <v>628.42</v>
      </c>
      <c r="U370" s="9" t="n">
        <v>628.42</v>
      </c>
      <c r="V370" s="9" t="n">
        <v>628.42</v>
      </c>
      <c r="W370" s="9" t="n">
        <v>628.42</v>
      </c>
      <c r="X370" s="9" t="n">
        <v>628.42</v>
      </c>
      <c r="Y370" s="9" t="n">
        <v>628.42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1198</v>
      </c>
      <c r="B371" s="3" t="s">
        <v>739</v>
      </c>
      <c r="C371" s="3" t="s">
        <v>282</v>
      </c>
      <c r="D371" s="3" t="s">
        <v>283</v>
      </c>
      <c r="E371" s="3" t="n">
        <v>1963</v>
      </c>
      <c r="F371" s="3" t="s">
        <v>53</v>
      </c>
      <c r="G371" s="3" t="s">
        <v>54</v>
      </c>
      <c r="H371" s="3" t="s">
        <v>1199</v>
      </c>
      <c r="I371" s="3" t="s">
        <v>56</v>
      </c>
      <c r="J371" s="7" t="n">
        <v>1050000</v>
      </c>
      <c r="K371" s="3" t="s">
        <v>173</v>
      </c>
      <c r="L371" s="7" t="n">
        <v>18226.42</v>
      </c>
      <c r="M371" s="7" t="n">
        <v>2278.3</v>
      </c>
      <c r="N371" s="7" t="n">
        <v>2278.3</v>
      </c>
      <c r="O371" s="7" t="n">
        <v>13669.8</v>
      </c>
      <c r="P371" s="7" t="n">
        <v>1366.98</v>
      </c>
      <c r="Q371" s="7" t="n">
        <v>1366.98</v>
      </c>
      <c r="R371" s="7" t="n">
        <v>1366.98</v>
      </c>
      <c r="S371" s="7" t="n">
        <v>1366.98</v>
      </c>
      <c r="T371" s="7" t="n">
        <v>1366.98</v>
      </c>
      <c r="U371" s="7" t="n">
        <v>1366.98</v>
      </c>
      <c r="V371" s="7" t="n">
        <v>1366.98</v>
      </c>
      <c r="W371" s="7" t="n">
        <v>1366.98</v>
      </c>
      <c r="X371" s="7" t="n">
        <v>1366.98</v>
      </c>
      <c r="Y371" s="7" t="n">
        <v>1366.98</v>
      </c>
      <c r="Z371" s="7" t="n">
        <v>350</v>
      </c>
      <c r="AA371" s="7" t="n">
        <v>250</v>
      </c>
      <c r="AB371" s="7" t="n">
        <v>600</v>
      </c>
    </row>
    <row r="372" customFormat="false" ht="15" hidden="false" customHeight="false" outlineLevel="0" collapsed="false">
      <c r="A372" s="8" t="s">
        <v>1200</v>
      </c>
      <c r="B372" s="8" t="s">
        <v>1201</v>
      </c>
      <c r="C372" s="8" t="s">
        <v>116</v>
      </c>
      <c r="D372" s="8" t="s">
        <v>117</v>
      </c>
      <c r="E372" s="8" t="n">
        <v>2020</v>
      </c>
      <c r="F372" s="8" t="s">
        <v>44</v>
      </c>
      <c r="G372" s="8" t="s">
        <v>45</v>
      </c>
      <c r="H372" s="8" t="s">
        <v>1202</v>
      </c>
      <c r="I372" s="8" t="s">
        <v>47</v>
      </c>
      <c r="J372" s="9" t="n">
        <v>960000</v>
      </c>
      <c r="K372" s="8" t="s">
        <v>161</v>
      </c>
      <c r="L372" s="9" t="n">
        <v>11773.58</v>
      </c>
      <c r="M372" s="9" t="n">
        <v>1471.7</v>
      </c>
      <c r="N372" s="9" t="n">
        <v>1471.7</v>
      </c>
      <c r="O372" s="9" t="n">
        <v>8830.2</v>
      </c>
      <c r="P372" s="9" t="n">
        <v>883.02</v>
      </c>
      <c r="Q372" s="9" t="n">
        <v>883.02</v>
      </c>
      <c r="R372" s="9" t="n">
        <v>883.02</v>
      </c>
      <c r="S372" s="9" t="n">
        <v>883.02</v>
      </c>
      <c r="T372" s="9" t="n">
        <v>883.02</v>
      </c>
      <c r="U372" s="9" t="n">
        <v>883.02</v>
      </c>
      <c r="V372" s="9" t="n">
        <v>883.02</v>
      </c>
      <c r="W372" s="9" t="n">
        <v>883.02</v>
      </c>
      <c r="X372" s="9" t="n">
        <v>883.02</v>
      </c>
      <c r="Y372" s="9" t="n">
        <v>883.02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1203</v>
      </c>
      <c r="B373" s="3" t="s">
        <v>1204</v>
      </c>
      <c r="C373" s="3" t="s">
        <v>190</v>
      </c>
      <c r="D373" s="3" t="s">
        <v>191</v>
      </c>
      <c r="E373" s="3" t="n">
        <v>2017</v>
      </c>
      <c r="F373" s="3" t="s">
        <v>99</v>
      </c>
      <c r="G373" s="3" t="s">
        <v>100</v>
      </c>
      <c r="H373" s="3" t="s">
        <v>1205</v>
      </c>
      <c r="I373" s="3" t="s">
        <v>47</v>
      </c>
      <c r="J373" s="7" t="n">
        <v>520000</v>
      </c>
      <c r="K373" s="3" t="s">
        <v>69</v>
      </c>
      <c r="L373" s="7" t="n">
        <v>8163.02</v>
      </c>
      <c r="M373" s="7" t="n">
        <v>1020.38</v>
      </c>
      <c r="N373" s="7" t="n">
        <v>1020.38</v>
      </c>
      <c r="O373" s="7" t="n">
        <v>6122.3</v>
      </c>
      <c r="P373" s="7" t="n">
        <v>612.23</v>
      </c>
      <c r="Q373" s="7" t="n">
        <v>612.23</v>
      </c>
      <c r="R373" s="7" t="n">
        <v>612.23</v>
      </c>
      <c r="S373" s="7" t="n">
        <v>612.23</v>
      </c>
      <c r="T373" s="7" t="n">
        <v>612.23</v>
      </c>
      <c r="U373" s="7" t="n">
        <v>612.23</v>
      </c>
      <c r="V373" s="7" t="n">
        <v>612.23</v>
      </c>
      <c r="W373" s="7" t="n">
        <v>612.23</v>
      </c>
      <c r="X373" s="7" t="n">
        <v>612.23</v>
      </c>
      <c r="Y373" s="7" t="n">
        <v>612.23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1206</v>
      </c>
      <c r="B374" s="8" t="s">
        <v>1207</v>
      </c>
      <c r="C374" s="8" t="s">
        <v>368</v>
      </c>
      <c r="D374" s="8" t="s">
        <v>369</v>
      </c>
      <c r="E374" s="8" t="n">
        <v>1956</v>
      </c>
      <c r="F374" s="8" t="s">
        <v>53</v>
      </c>
      <c r="G374" s="8" t="s">
        <v>236</v>
      </c>
      <c r="H374" s="8" t="s">
        <v>1208</v>
      </c>
      <c r="I374" s="8" t="s">
        <v>56</v>
      </c>
      <c r="J374" s="9" t="n">
        <v>1500000</v>
      </c>
      <c r="K374" s="8" t="s">
        <v>173</v>
      </c>
      <c r="L374" s="9" t="n">
        <v>26037.74</v>
      </c>
      <c r="M374" s="9" t="n">
        <v>3254.72</v>
      </c>
      <c r="N374" s="9" t="n">
        <v>3254.72</v>
      </c>
      <c r="O374" s="9" t="n">
        <v>19528.3</v>
      </c>
      <c r="P374" s="9" t="n">
        <v>1952.83</v>
      </c>
      <c r="Q374" s="9" t="n">
        <v>1952.83</v>
      </c>
      <c r="R374" s="9" t="n">
        <v>1952.83</v>
      </c>
      <c r="S374" s="9" t="n">
        <v>1952.83</v>
      </c>
      <c r="T374" s="9" t="n">
        <v>1952.83</v>
      </c>
      <c r="U374" s="9" t="n">
        <v>1952.83</v>
      </c>
      <c r="V374" s="9" t="n">
        <v>1952.83</v>
      </c>
      <c r="W374" s="9" t="n">
        <v>1952.83</v>
      </c>
      <c r="X374" s="9" t="n">
        <v>1952.83</v>
      </c>
      <c r="Y374" s="9" t="n">
        <v>1952.83</v>
      </c>
      <c r="Z374" s="9" t="n">
        <v>350</v>
      </c>
      <c r="AA374" s="9" t="n">
        <v>250</v>
      </c>
      <c r="AB374" s="9" t="n">
        <v>600</v>
      </c>
    </row>
    <row r="375" customFormat="false" ht="15" hidden="false" customHeight="false" outlineLevel="0" collapsed="false">
      <c r="A375" s="3" t="s">
        <v>1209</v>
      </c>
      <c r="B375" s="3" t="s">
        <v>658</v>
      </c>
      <c r="C375" s="3" t="s">
        <v>219</v>
      </c>
      <c r="D375" s="3" t="s">
        <v>220</v>
      </c>
      <c r="E375" s="3" t="n">
        <v>2017</v>
      </c>
      <c r="F375" s="3" t="s">
        <v>276</v>
      </c>
      <c r="G375" s="3" t="s">
        <v>277</v>
      </c>
      <c r="H375" s="3" t="s">
        <v>1210</v>
      </c>
      <c r="I375" s="3" t="s">
        <v>136</v>
      </c>
      <c r="J375" s="7" t="n">
        <v>565000</v>
      </c>
      <c r="K375" s="3" t="s">
        <v>1183</v>
      </c>
      <c r="L375" s="7" t="n">
        <v>6280.03</v>
      </c>
      <c r="M375" s="7" t="n">
        <v>785</v>
      </c>
      <c r="N375" s="7" t="n">
        <v>785</v>
      </c>
      <c r="O375" s="7" t="n">
        <v>4710</v>
      </c>
      <c r="P375" s="7" t="n">
        <v>471</v>
      </c>
      <c r="Q375" s="7" t="n">
        <v>471</v>
      </c>
      <c r="R375" s="7" t="n">
        <v>471</v>
      </c>
      <c r="S375" s="7" t="n">
        <v>471</v>
      </c>
      <c r="T375" s="7" t="n">
        <v>471</v>
      </c>
      <c r="U375" s="7" t="n">
        <v>471</v>
      </c>
      <c r="V375" s="7" t="n">
        <v>471</v>
      </c>
      <c r="W375" s="7" t="n">
        <v>471</v>
      </c>
      <c r="X375" s="7" t="n">
        <v>471</v>
      </c>
      <c r="Y375" s="7" t="n">
        <v>471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1211</v>
      </c>
      <c r="B376" s="8" t="s">
        <v>459</v>
      </c>
      <c r="C376" s="8" t="s">
        <v>51</v>
      </c>
      <c r="D376" s="8" t="s">
        <v>52</v>
      </c>
      <c r="E376" s="8" t="n">
        <v>2023</v>
      </c>
      <c r="F376" s="8" t="s">
        <v>292</v>
      </c>
      <c r="G376" s="8" t="s">
        <v>293</v>
      </c>
      <c r="H376" s="8" t="s">
        <v>1212</v>
      </c>
      <c r="I376" s="8" t="s">
        <v>125</v>
      </c>
      <c r="J376" s="9" t="n">
        <v>1950000</v>
      </c>
      <c r="K376" s="8" t="s">
        <v>247</v>
      </c>
      <c r="L376" s="9" t="n">
        <v>12634.53</v>
      </c>
      <c r="M376" s="9" t="n">
        <v>1579.32</v>
      </c>
      <c r="N376" s="9" t="n">
        <v>1579.32</v>
      </c>
      <c r="O376" s="9" t="n">
        <v>9475.9</v>
      </c>
      <c r="P376" s="9" t="n">
        <v>947.59</v>
      </c>
      <c r="Q376" s="9" t="n">
        <v>947.59</v>
      </c>
      <c r="R376" s="9" t="n">
        <v>947.59</v>
      </c>
      <c r="S376" s="9" t="n">
        <v>947.59</v>
      </c>
      <c r="T376" s="9" t="n">
        <v>947.59</v>
      </c>
      <c r="U376" s="9" t="n">
        <v>947.59</v>
      </c>
      <c r="V376" s="9" t="n">
        <v>947.59</v>
      </c>
      <c r="W376" s="9" t="n">
        <v>947.59</v>
      </c>
      <c r="X376" s="9" t="n">
        <v>947.59</v>
      </c>
      <c r="Y376" s="9" t="n">
        <v>947.59</v>
      </c>
      <c r="Z376" s="9" t="n">
        <v>350</v>
      </c>
      <c r="AA376" s="9" t="n">
        <v>250</v>
      </c>
      <c r="AB376" s="9" t="n">
        <v>600</v>
      </c>
    </row>
    <row r="377" customFormat="false" ht="15" hidden="false" customHeight="false" outlineLevel="0" collapsed="false">
      <c r="A377" s="3" t="s">
        <v>1213</v>
      </c>
      <c r="B377" s="3" t="s">
        <v>1214</v>
      </c>
      <c r="C377" s="3" t="s">
        <v>219</v>
      </c>
      <c r="D377" s="3" t="s">
        <v>220</v>
      </c>
      <c r="E377" s="3" t="n">
        <v>1983</v>
      </c>
      <c r="F377" s="3" t="s">
        <v>99</v>
      </c>
      <c r="G377" s="3" t="s">
        <v>100</v>
      </c>
      <c r="H377" s="3" t="s">
        <v>1215</v>
      </c>
      <c r="I377" s="3" t="s">
        <v>47</v>
      </c>
      <c r="J377" s="7" t="n">
        <v>1330000</v>
      </c>
      <c r="K377" s="3" t="s">
        <v>75</v>
      </c>
      <c r="L377" s="7" t="n">
        <v>19184.62</v>
      </c>
      <c r="M377" s="7" t="n">
        <v>2398.08</v>
      </c>
      <c r="N377" s="7" t="n">
        <v>2398.08</v>
      </c>
      <c r="O377" s="7" t="n">
        <v>14388.5</v>
      </c>
      <c r="P377" s="7" t="n">
        <v>1438.85</v>
      </c>
      <c r="Q377" s="7" t="n">
        <v>1438.85</v>
      </c>
      <c r="R377" s="7" t="n">
        <v>1438.85</v>
      </c>
      <c r="S377" s="7" t="n">
        <v>1438.85</v>
      </c>
      <c r="T377" s="7" t="n">
        <v>1438.85</v>
      </c>
      <c r="U377" s="7" t="n">
        <v>1438.85</v>
      </c>
      <c r="V377" s="7" t="n">
        <v>1438.85</v>
      </c>
      <c r="W377" s="7" t="n">
        <v>1438.85</v>
      </c>
      <c r="X377" s="7" t="n">
        <v>1438.85</v>
      </c>
      <c r="Y377" s="7" t="n">
        <v>1438.85</v>
      </c>
      <c r="Z377" s="7" t="n">
        <v>350</v>
      </c>
      <c r="AA377" s="7" t="n">
        <v>250</v>
      </c>
      <c r="AB377" s="7" t="n">
        <v>600</v>
      </c>
    </row>
    <row r="378" customFormat="false" ht="15" hidden="false" customHeight="false" outlineLevel="0" collapsed="false">
      <c r="A378" s="8" t="s">
        <v>1216</v>
      </c>
      <c r="B378" s="8" t="s">
        <v>670</v>
      </c>
      <c r="C378" s="8" t="s">
        <v>66</v>
      </c>
      <c r="D378" s="8" t="s">
        <v>67</v>
      </c>
      <c r="E378" s="8" t="n">
        <v>1970</v>
      </c>
      <c r="F378" s="8" t="s">
        <v>387</v>
      </c>
      <c r="G378" s="8" t="s">
        <v>388</v>
      </c>
      <c r="H378" s="8" t="s">
        <v>1217</v>
      </c>
      <c r="I378" s="8" t="s">
        <v>56</v>
      </c>
      <c r="J378" s="9" t="n">
        <v>760000</v>
      </c>
      <c r="K378" s="8" t="s">
        <v>197</v>
      </c>
      <c r="L378" s="9" t="n">
        <v>21115.09</v>
      </c>
      <c r="M378" s="9" t="n">
        <v>2639.39</v>
      </c>
      <c r="N378" s="9" t="n">
        <v>2639.39</v>
      </c>
      <c r="O378" s="9" t="n">
        <v>15836.3</v>
      </c>
      <c r="P378" s="9" t="n">
        <v>1583.63</v>
      </c>
      <c r="Q378" s="9" t="n">
        <v>1583.63</v>
      </c>
      <c r="R378" s="9" t="n">
        <v>1583.63</v>
      </c>
      <c r="S378" s="9" t="n">
        <v>1583.63</v>
      </c>
      <c r="T378" s="9" t="n">
        <v>1583.63</v>
      </c>
      <c r="U378" s="9" t="n">
        <v>1583.63</v>
      </c>
      <c r="V378" s="9" t="n">
        <v>1583.63</v>
      </c>
      <c r="W378" s="9" t="n">
        <v>1583.63</v>
      </c>
      <c r="X378" s="9" t="n">
        <v>1583.63</v>
      </c>
      <c r="Y378" s="9" t="n">
        <v>1583.63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1218</v>
      </c>
      <c r="B379" s="3" t="s">
        <v>210</v>
      </c>
      <c r="C379" s="3" t="s">
        <v>111</v>
      </c>
      <c r="D379" s="3" t="s">
        <v>112</v>
      </c>
      <c r="E379" s="3" t="n">
        <v>2020</v>
      </c>
      <c r="F379" s="3" t="s">
        <v>44</v>
      </c>
      <c r="G379" s="3" t="s">
        <v>45</v>
      </c>
      <c r="H379" s="3" t="s">
        <v>1219</v>
      </c>
      <c r="I379" s="3" t="s">
        <v>47</v>
      </c>
      <c r="J379" s="7" t="n">
        <v>505000</v>
      </c>
      <c r="K379" s="3" t="s">
        <v>161</v>
      </c>
      <c r="L379" s="7" t="n">
        <v>6193.4</v>
      </c>
      <c r="M379" s="7" t="n">
        <v>774.17</v>
      </c>
      <c r="N379" s="7" t="n">
        <v>774.17</v>
      </c>
      <c r="O379" s="7" t="n">
        <v>4645</v>
      </c>
      <c r="P379" s="7" t="n">
        <v>464.5</v>
      </c>
      <c r="Q379" s="7" t="n">
        <v>464.5</v>
      </c>
      <c r="R379" s="7" t="n">
        <v>464.5</v>
      </c>
      <c r="S379" s="7" t="n">
        <v>464.5</v>
      </c>
      <c r="T379" s="7" t="n">
        <v>464.5</v>
      </c>
      <c r="U379" s="7" t="n">
        <v>464.5</v>
      </c>
      <c r="V379" s="7" t="n">
        <v>464.5</v>
      </c>
      <c r="W379" s="7" t="n">
        <v>464.5</v>
      </c>
      <c r="X379" s="7" t="n">
        <v>464.5</v>
      </c>
      <c r="Y379" s="7" t="n">
        <v>464.5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1220</v>
      </c>
      <c r="B380" s="8" t="s">
        <v>1221</v>
      </c>
      <c r="C380" s="8" t="s">
        <v>385</v>
      </c>
      <c r="D380" s="8" t="s">
        <v>386</v>
      </c>
      <c r="E380" s="8" t="n">
        <v>1965</v>
      </c>
      <c r="F380" s="8" t="s">
        <v>53</v>
      </c>
      <c r="G380" s="8" t="s">
        <v>258</v>
      </c>
      <c r="H380" s="8" t="s">
        <v>1222</v>
      </c>
      <c r="I380" s="8" t="s">
        <v>136</v>
      </c>
      <c r="J380" s="9" t="n">
        <v>1775000</v>
      </c>
      <c r="K380" s="8" t="s">
        <v>225</v>
      </c>
      <c r="L380" s="9" t="n">
        <v>13235.47</v>
      </c>
      <c r="M380" s="9" t="n">
        <v>1654.43</v>
      </c>
      <c r="N380" s="9" t="n">
        <v>1654.43</v>
      </c>
      <c r="O380" s="9" t="n">
        <v>9926.6</v>
      </c>
      <c r="P380" s="9" t="n">
        <v>992.66</v>
      </c>
      <c r="Q380" s="9" t="n">
        <v>992.66</v>
      </c>
      <c r="R380" s="9" t="n">
        <v>992.66</v>
      </c>
      <c r="S380" s="9" t="n">
        <v>992.66</v>
      </c>
      <c r="T380" s="9" t="n">
        <v>992.66</v>
      </c>
      <c r="U380" s="9" t="n">
        <v>992.66</v>
      </c>
      <c r="V380" s="9" t="n">
        <v>992.66</v>
      </c>
      <c r="W380" s="9" t="n">
        <v>992.66</v>
      </c>
      <c r="X380" s="9" t="n">
        <v>992.66</v>
      </c>
      <c r="Y380" s="9" t="n">
        <v>992.66</v>
      </c>
      <c r="Z380" s="9" t="n">
        <v>350</v>
      </c>
      <c r="AA380" s="9" t="n">
        <v>250</v>
      </c>
      <c r="AB380" s="9" t="n">
        <v>600</v>
      </c>
    </row>
    <row r="381" customFormat="false" ht="15" hidden="false" customHeight="false" outlineLevel="0" collapsed="false">
      <c r="A381" s="3" t="s">
        <v>1223</v>
      </c>
      <c r="B381" s="3" t="s">
        <v>133</v>
      </c>
      <c r="C381" s="3" t="s">
        <v>51</v>
      </c>
      <c r="D381" s="3" t="s">
        <v>52</v>
      </c>
      <c r="E381" s="3" t="n">
        <v>1972</v>
      </c>
      <c r="F381" s="3" t="s">
        <v>105</v>
      </c>
      <c r="G381" s="3" t="s">
        <v>106</v>
      </c>
      <c r="H381" s="3" t="s">
        <v>1224</v>
      </c>
      <c r="I381" s="3" t="s">
        <v>56</v>
      </c>
      <c r="J381" s="7" t="n">
        <v>835000</v>
      </c>
      <c r="K381" s="3" t="s">
        <v>203</v>
      </c>
      <c r="L381" s="7" t="n">
        <v>21253.11</v>
      </c>
      <c r="M381" s="7" t="n">
        <v>2656.64</v>
      </c>
      <c r="N381" s="7" t="n">
        <v>2656.64</v>
      </c>
      <c r="O381" s="7" t="n">
        <v>15939.8</v>
      </c>
      <c r="P381" s="7" t="n">
        <v>1593.98</v>
      </c>
      <c r="Q381" s="7" t="n">
        <v>1593.98</v>
      </c>
      <c r="R381" s="7" t="n">
        <v>1593.98</v>
      </c>
      <c r="S381" s="7" t="n">
        <v>1593.98</v>
      </c>
      <c r="T381" s="7" t="n">
        <v>1593.98</v>
      </c>
      <c r="U381" s="7" t="n">
        <v>1593.98</v>
      </c>
      <c r="V381" s="7" t="n">
        <v>1593.98</v>
      </c>
      <c r="W381" s="7" t="n">
        <v>1593.98</v>
      </c>
      <c r="X381" s="7" t="n">
        <v>1593.98</v>
      </c>
      <c r="Y381" s="7" t="n">
        <v>1593.98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1225</v>
      </c>
      <c r="B382" s="8" t="s">
        <v>378</v>
      </c>
      <c r="C382" s="8" t="s">
        <v>256</v>
      </c>
      <c r="D382" s="8" t="s">
        <v>257</v>
      </c>
      <c r="E382" s="8" t="n">
        <v>1979</v>
      </c>
      <c r="F382" s="8" t="s">
        <v>303</v>
      </c>
      <c r="G382" s="8" t="s">
        <v>304</v>
      </c>
      <c r="H382" s="8" t="s">
        <v>1226</v>
      </c>
      <c r="I382" s="8" t="s">
        <v>169</v>
      </c>
      <c r="J382" s="9" t="n">
        <v>275000</v>
      </c>
      <c r="K382" s="8" t="s">
        <v>1183</v>
      </c>
      <c r="L382" s="9" t="n">
        <v>6255.47</v>
      </c>
      <c r="M382" s="9" t="n">
        <v>781.93</v>
      </c>
      <c r="N382" s="9" t="n">
        <v>781.93</v>
      </c>
      <c r="O382" s="9" t="n">
        <v>4691.6</v>
      </c>
      <c r="P382" s="9" t="n">
        <v>469.16</v>
      </c>
      <c r="Q382" s="9" t="n">
        <v>469.16</v>
      </c>
      <c r="R382" s="9" t="n">
        <v>469.16</v>
      </c>
      <c r="S382" s="9" t="n">
        <v>469.16</v>
      </c>
      <c r="T382" s="9" t="n">
        <v>469.16</v>
      </c>
      <c r="U382" s="9" t="n">
        <v>469.16</v>
      </c>
      <c r="V382" s="9" t="n">
        <v>469.16</v>
      </c>
      <c r="W382" s="9" t="n">
        <v>469.16</v>
      </c>
      <c r="X382" s="9" t="n">
        <v>469.16</v>
      </c>
      <c r="Y382" s="9" t="n">
        <v>469.16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1227</v>
      </c>
      <c r="B383" s="3" t="s">
        <v>670</v>
      </c>
      <c r="C383" s="3" t="s">
        <v>179</v>
      </c>
      <c r="D383" s="3" t="s">
        <v>180</v>
      </c>
      <c r="E383" s="3" t="n">
        <v>1978</v>
      </c>
      <c r="F383" s="3" t="s">
        <v>146</v>
      </c>
      <c r="G383" s="3" t="s">
        <v>147</v>
      </c>
      <c r="H383" s="3" t="s">
        <v>1228</v>
      </c>
      <c r="I383" s="3" t="s">
        <v>47</v>
      </c>
      <c r="J383" s="7" t="n">
        <v>325000</v>
      </c>
      <c r="K383" s="3" t="s">
        <v>69</v>
      </c>
      <c r="L383" s="7" t="n">
        <v>5886.79</v>
      </c>
      <c r="M383" s="7" t="n">
        <v>735.85</v>
      </c>
      <c r="N383" s="7" t="n">
        <v>735.85</v>
      </c>
      <c r="O383" s="7" t="n">
        <v>4415.1</v>
      </c>
      <c r="P383" s="7" t="n">
        <v>441.51</v>
      </c>
      <c r="Q383" s="7" t="n">
        <v>441.51</v>
      </c>
      <c r="R383" s="7" t="n">
        <v>441.51</v>
      </c>
      <c r="S383" s="7" t="n">
        <v>441.51</v>
      </c>
      <c r="T383" s="7" t="n">
        <v>441.51</v>
      </c>
      <c r="U383" s="7" t="n">
        <v>441.51</v>
      </c>
      <c r="V383" s="7" t="n">
        <v>441.51</v>
      </c>
      <c r="W383" s="7" t="n">
        <v>441.51</v>
      </c>
      <c r="X383" s="7" t="n">
        <v>441.51</v>
      </c>
      <c r="Y383" s="7" t="n">
        <v>441.51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1229</v>
      </c>
      <c r="B384" s="8" t="s">
        <v>877</v>
      </c>
      <c r="C384" s="8" t="s">
        <v>206</v>
      </c>
      <c r="D384" s="8" t="s">
        <v>207</v>
      </c>
      <c r="E384" s="8" t="n">
        <v>1996</v>
      </c>
      <c r="F384" s="8" t="s">
        <v>88</v>
      </c>
      <c r="G384" s="8" t="s">
        <v>89</v>
      </c>
      <c r="H384" s="8" t="s">
        <v>1230</v>
      </c>
      <c r="I384" s="8" t="s">
        <v>47</v>
      </c>
      <c r="J384" s="9" t="n">
        <v>245000</v>
      </c>
      <c r="K384" s="8" t="s">
        <v>48</v>
      </c>
      <c r="L384" s="9" t="n">
        <v>4125.25</v>
      </c>
      <c r="M384" s="9" t="n">
        <v>515.66</v>
      </c>
      <c r="N384" s="9" t="n">
        <v>515.66</v>
      </c>
      <c r="O384" s="9" t="n">
        <v>3093.9</v>
      </c>
      <c r="P384" s="9" t="n">
        <v>309.39</v>
      </c>
      <c r="Q384" s="9" t="n">
        <v>309.39</v>
      </c>
      <c r="R384" s="9" t="n">
        <v>309.39</v>
      </c>
      <c r="S384" s="9" t="n">
        <v>309.39</v>
      </c>
      <c r="T384" s="9" t="n">
        <v>309.39</v>
      </c>
      <c r="U384" s="9" t="n">
        <v>309.39</v>
      </c>
      <c r="V384" s="9" t="n">
        <v>309.39</v>
      </c>
      <c r="W384" s="9" t="n">
        <v>309.39</v>
      </c>
      <c r="X384" s="9" t="n">
        <v>309.39</v>
      </c>
      <c r="Y384" s="9" t="n">
        <v>309.39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1231</v>
      </c>
      <c r="B385" s="3" t="s">
        <v>407</v>
      </c>
      <c r="C385" s="3" t="s">
        <v>78</v>
      </c>
      <c r="D385" s="3" t="s">
        <v>79</v>
      </c>
      <c r="E385" s="3" t="n">
        <v>2017</v>
      </c>
      <c r="F385" s="3" t="s">
        <v>88</v>
      </c>
      <c r="G385" s="3" t="s">
        <v>89</v>
      </c>
      <c r="H385" s="3" t="s">
        <v>1232</v>
      </c>
      <c r="I385" s="3" t="s">
        <v>47</v>
      </c>
      <c r="J385" s="7" t="n">
        <v>970000</v>
      </c>
      <c r="K385" s="3" t="s">
        <v>260</v>
      </c>
      <c r="L385" s="7" t="n">
        <v>14870.28</v>
      </c>
      <c r="M385" s="7" t="n">
        <v>1858.79</v>
      </c>
      <c r="N385" s="7" t="n">
        <v>1858.79</v>
      </c>
      <c r="O385" s="7" t="n">
        <v>11152.7</v>
      </c>
      <c r="P385" s="7" t="n">
        <v>1115.27</v>
      </c>
      <c r="Q385" s="7" t="n">
        <v>1115.27</v>
      </c>
      <c r="R385" s="7" t="n">
        <v>1115.27</v>
      </c>
      <c r="S385" s="7" t="n">
        <v>1115.27</v>
      </c>
      <c r="T385" s="7" t="n">
        <v>1115.27</v>
      </c>
      <c r="U385" s="7" t="n">
        <v>1115.27</v>
      </c>
      <c r="V385" s="7" t="n">
        <v>1115.27</v>
      </c>
      <c r="W385" s="7" t="n">
        <v>1115.27</v>
      </c>
      <c r="X385" s="7" t="n">
        <v>1115.27</v>
      </c>
      <c r="Y385" s="7" t="n">
        <v>1115.27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1233</v>
      </c>
      <c r="B386" s="8" t="s">
        <v>1234</v>
      </c>
      <c r="C386" s="8" t="s">
        <v>219</v>
      </c>
      <c r="D386" s="8" t="s">
        <v>220</v>
      </c>
      <c r="E386" s="8" t="n">
        <v>1969</v>
      </c>
      <c r="F386" s="8" t="s">
        <v>146</v>
      </c>
      <c r="G386" s="8" t="s">
        <v>147</v>
      </c>
      <c r="H386" s="8" t="s">
        <v>1235</v>
      </c>
      <c r="I386" s="8" t="s">
        <v>47</v>
      </c>
      <c r="J386" s="9" t="n">
        <v>640000</v>
      </c>
      <c r="K386" s="8" t="s">
        <v>131</v>
      </c>
      <c r="L386" s="9" t="n">
        <v>10360.75</v>
      </c>
      <c r="M386" s="9" t="n">
        <v>1295.09</v>
      </c>
      <c r="N386" s="9" t="n">
        <v>1295.09</v>
      </c>
      <c r="O386" s="9" t="n">
        <v>7770.6</v>
      </c>
      <c r="P386" s="9" t="n">
        <v>777.06</v>
      </c>
      <c r="Q386" s="9" t="n">
        <v>777.06</v>
      </c>
      <c r="R386" s="9" t="n">
        <v>777.06</v>
      </c>
      <c r="S386" s="9" t="n">
        <v>777.06</v>
      </c>
      <c r="T386" s="9" t="n">
        <v>777.06</v>
      </c>
      <c r="U386" s="9" t="n">
        <v>777.06</v>
      </c>
      <c r="V386" s="9" t="n">
        <v>777.06</v>
      </c>
      <c r="W386" s="9" t="n">
        <v>777.06</v>
      </c>
      <c r="X386" s="9" t="n">
        <v>777.06</v>
      </c>
      <c r="Y386" s="9" t="n">
        <v>777.06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1236</v>
      </c>
      <c r="B387" s="3" t="s">
        <v>1237</v>
      </c>
      <c r="C387" s="3" t="s">
        <v>78</v>
      </c>
      <c r="D387" s="3" t="s">
        <v>79</v>
      </c>
      <c r="E387" s="3" t="n">
        <v>1960</v>
      </c>
      <c r="F387" s="3" t="s">
        <v>99</v>
      </c>
      <c r="G387" s="3" t="s">
        <v>100</v>
      </c>
      <c r="H387" s="3" t="s">
        <v>1238</v>
      </c>
      <c r="I387" s="3" t="s">
        <v>47</v>
      </c>
      <c r="J387" s="7" t="n">
        <v>530000</v>
      </c>
      <c r="K387" s="3" t="s">
        <v>173</v>
      </c>
      <c r="L387" s="7" t="n">
        <v>7475</v>
      </c>
      <c r="M387" s="7" t="n">
        <v>934.38</v>
      </c>
      <c r="N387" s="7" t="n">
        <v>934.38</v>
      </c>
      <c r="O387" s="7" t="n">
        <v>5606.2</v>
      </c>
      <c r="P387" s="7" t="n">
        <v>560.62</v>
      </c>
      <c r="Q387" s="7" t="n">
        <v>560.62</v>
      </c>
      <c r="R387" s="7" t="n">
        <v>560.62</v>
      </c>
      <c r="S387" s="7" t="n">
        <v>560.62</v>
      </c>
      <c r="T387" s="7" t="n">
        <v>560.62</v>
      </c>
      <c r="U387" s="7" t="n">
        <v>560.62</v>
      </c>
      <c r="V387" s="7" t="n">
        <v>560.62</v>
      </c>
      <c r="W387" s="7" t="n">
        <v>560.62</v>
      </c>
      <c r="X387" s="7" t="n">
        <v>560.62</v>
      </c>
      <c r="Y387" s="7" t="n">
        <v>560.62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1239</v>
      </c>
      <c r="B388" s="8" t="s">
        <v>1207</v>
      </c>
      <c r="C388" s="8" t="s">
        <v>158</v>
      </c>
      <c r="D388" s="8" t="s">
        <v>159</v>
      </c>
      <c r="E388" s="8" t="n">
        <v>2016</v>
      </c>
      <c r="F388" s="8" t="s">
        <v>303</v>
      </c>
      <c r="G388" s="8" t="s">
        <v>304</v>
      </c>
      <c r="H388" s="8" t="s">
        <v>1240</v>
      </c>
      <c r="I388" s="8" t="s">
        <v>169</v>
      </c>
      <c r="J388" s="9" t="n">
        <v>240000</v>
      </c>
      <c r="K388" s="8" t="s">
        <v>355</v>
      </c>
      <c r="L388" s="9" t="n">
        <v>5325.28</v>
      </c>
      <c r="M388" s="9" t="n">
        <v>665.66</v>
      </c>
      <c r="N388" s="9" t="n">
        <v>665.66</v>
      </c>
      <c r="O388" s="9" t="n">
        <v>3994</v>
      </c>
      <c r="P388" s="9" t="n">
        <v>399.4</v>
      </c>
      <c r="Q388" s="9" t="n">
        <v>399.4</v>
      </c>
      <c r="R388" s="9" t="n">
        <v>399.4</v>
      </c>
      <c r="S388" s="9" t="n">
        <v>399.4</v>
      </c>
      <c r="T388" s="9" t="n">
        <v>399.4</v>
      </c>
      <c r="U388" s="9" t="n">
        <v>399.4</v>
      </c>
      <c r="V388" s="9" t="n">
        <v>399.4</v>
      </c>
      <c r="W388" s="9" t="n">
        <v>399.4</v>
      </c>
      <c r="X388" s="9" t="n">
        <v>399.4</v>
      </c>
      <c r="Y388" s="9" t="n">
        <v>399.4</v>
      </c>
      <c r="Z388" s="9" t="n">
        <v>350</v>
      </c>
      <c r="AA388" s="9" t="n">
        <v>0</v>
      </c>
      <c r="AB388" s="9" t="n">
        <v>350</v>
      </c>
    </row>
    <row r="389" customFormat="false" ht="15" hidden="false" customHeight="false" outlineLevel="0" collapsed="false">
      <c r="A389" s="3" t="s">
        <v>1241</v>
      </c>
      <c r="B389" s="3" t="s">
        <v>601</v>
      </c>
      <c r="C389" s="3" t="s">
        <v>116</v>
      </c>
      <c r="D389" s="3" t="s">
        <v>117</v>
      </c>
      <c r="E389" s="3" t="n">
        <v>2003</v>
      </c>
      <c r="F389" s="3" t="s">
        <v>80</v>
      </c>
      <c r="G389" s="3" t="s">
        <v>81</v>
      </c>
      <c r="H389" s="3" t="s">
        <v>1242</v>
      </c>
      <c r="I389" s="3" t="s">
        <v>47</v>
      </c>
      <c r="J389" s="7" t="n">
        <v>405000</v>
      </c>
      <c r="K389" s="3" t="s">
        <v>173</v>
      </c>
      <c r="L389" s="7" t="n">
        <v>6590.8</v>
      </c>
      <c r="M389" s="7" t="n">
        <v>823.85</v>
      </c>
      <c r="N389" s="7" t="n">
        <v>823.85</v>
      </c>
      <c r="O389" s="7" t="n">
        <v>4943.1</v>
      </c>
      <c r="P389" s="7" t="n">
        <v>494.31</v>
      </c>
      <c r="Q389" s="7" t="n">
        <v>494.31</v>
      </c>
      <c r="R389" s="7" t="n">
        <v>494.31</v>
      </c>
      <c r="S389" s="7" t="n">
        <v>494.31</v>
      </c>
      <c r="T389" s="7" t="n">
        <v>494.31</v>
      </c>
      <c r="U389" s="7" t="n">
        <v>494.31</v>
      </c>
      <c r="V389" s="7" t="n">
        <v>494.31</v>
      </c>
      <c r="W389" s="7" t="n">
        <v>494.31</v>
      </c>
      <c r="X389" s="7" t="n">
        <v>494.31</v>
      </c>
      <c r="Y389" s="7" t="n">
        <v>494.31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1243</v>
      </c>
      <c r="B390" s="8" t="s">
        <v>967</v>
      </c>
      <c r="C390" s="8" t="s">
        <v>94</v>
      </c>
      <c r="D390" s="8" t="s">
        <v>95</v>
      </c>
      <c r="E390" s="8" t="n">
        <v>1968</v>
      </c>
      <c r="F390" s="8" t="s">
        <v>99</v>
      </c>
      <c r="G390" s="8" t="s">
        <v>100</v>
      </c>
      <c r="H390" s="8" t="s">
        <v>1244</v>
      </c>
      <c r="I390" s="8" t="s">
        <v>47</v>
      </c>
      <c r="J390" s="9" t="n">
        <v>250000</v>
      </c>
      <c r="K390" s="8" t="s">
        <v>471</v>
      </c>
      <c r="L390" s="9" t="n">
        <v>4882.08</v>
      </c>
      <c r="M390" s="9" t="n">
        <v>610.26</v>
      </c>
      <c r="N390" s="9" t="n">
        <v>610.26</v>
      </c>
      <c r="O390" s="9" t="n">
        <v>3661.6</v>
      </c>
      <c r="P390" s="9" t="n">
        <v>366.16</v>
      </c>
      <c r="Q390" s="9" t="n">
        <v>366.16</v>
      </c>
      <c r="R390" s="9" t="n">
        <v>366.16</v>
      </c>
      <c r="S390" s="9" t="n">
        <v>366.16</v>
      </c>
      <c r="T390" s="9" t="n">
        <v>366.16</v>
      </c>
      <c r="U390" s="9" t="n">
        <v>366.16</v>
      </c>
      <c r="V390" s="9" t="n">
        <v>366.16</v>
      </c>
      <c r="W390" s="9" t="n">
        <v>366.16</v>
      </c>
      <c r="X390" s="9" t="n">
        <v>366.16</v>
      </c>
      <c r="Y390" s="9" t="n">
        <v>366.16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1245</v>
      </c>
      <c r="B391" s="3" t="s">
        <v>1246</v>
      </c>
      <c r="C391" s="3" t="s">
        <v>368</v>
      </c>
      <c r="D391" s="3" t="s">
        <v>369</v>
      </c>
      <c r="E391" s="3" t="n">
        <v>1999</v>
      </c>
      <c r="F391" s="3" t="s">
        <v>44</v>
      </c>
      <c r="G391" s="3" t="s">
        <v>45</v>
      </c>
      <c r="H391" s="3" t="s">
        <v>1247</v>
      </c>
      <c r="I391" s="3" t="s">
        <v>47</v>
      </c>
      <c r="J391" s="7" t="n">
        <v>345000</v>
      </c>
      <c r="K391" s="3" t="s">
        <v>656</v>
      </c>
      <c r="L391" s="7" t="n">
        <v>5175</v>
      </c>
      <c r="M391" s="7" t="n">
        <v>646.88</v>
      </c>
      <c r="N391" s="7" t="n">
        <v>646.88</v>
      </c>
      <c r="O391" s="7" t="n">
        <v>3881.2</v>
      </c>
      <c r="P391" s="7" t="n">
        <v>388.12</v>
      </c>
      <c r="Q391" s="7" t="n">
        <v>388.12</v>
      </c>
      <c r="R391" s="7" t="n">
        <v>388.12</v>
      </c>
      <c r="S391" s="7" t="n">
        <v>388.12</v>
      </c>
      <c r="T391" s="7" t="n">
        <v>388.12</v>
      </c>
      <c r="U391" s="7" t="n">
        <v>388.12</v>
      </c>
      <c r="V391" s="7" t="n">
        <v>388.12</v>
      </c>
      <c r="W391" s="7" t="n">
        <v>388.12</v>
      </c>
      <c r="X391" s="7" t="n">
        <v>388.12</v>
      </c>
      <c r="Y391" s="7" t="n">
        <v>388.12</v>
      </c>
      <c r="Z391" s="7" t="n">
        <v>350</v>
      </c>
      <c r="AA391" s="7" t="n">
        <v>0</v>
      </c>
      <c r="AB391" s="7" t="n">
        <v>350</v>
      </c>
    </row>
    <row r="392" customFormat="false" ht="15" hidden="false" customHeight="false" outlineLevel="0" collapsed="false">
      <c r="A392" s="8" t="s">
        <v>1248</v>
      </c>
      <c r="B392" s="8" t="s">
        <v>1249</v>
      </c>
      <c r="C392" s="8" t="s">
        <v>66</v>
      </c>
      <c r="D392" s="8" t="s">
        <v>67</v>
      </c>
      <c r="E392" s="8" t="n">
        <v>2005</v>
      </c>
      <c r="F392" s="8" t="s">
        <v>53</v>
      </c>
      <c r="G392" s="8" t="s">
        <v>236</v>
      </c>
      <c r="H392" s="8" t="s">
        <v>1250</v>
      </c>
      <c r="I392" s="8" t="s">
        <v>56</v>
      </c>
      <c r="J392" s="9" t="n">
        <v>1950000</v>
      </c>
      <c r="K392" s="8" t="s">
        <v>63</v>
      </c>
      <c r="L392" s="9" t="n">
        <v>37381.13</v>
      </c>
      <c r="M392" s="9" t="n">
        <v>4672.64</v>
      </c>
      <c r="N392" s="9" t="n">
        <v>4672.64</v>
      </c>
      <c r="O392" s="9" t="n">
        <v>28035.8</v>
      </c>
      <c r="P392" s="9" t="n">
        <v>2803.58</v>
      </c>
      <c r="Q392" s="9" t="n">
        <v>2803.58</v>
      </c>
      <c r="R392" s="9" t="n">
        <v>2803.58</v>
      </c>
      <c r="S392" s="9" t="n">
        <v>2803.58</v>
      </c>
      <c r="T392" s="9" t="n">
        <v>2803.58</v>
      </c>
      <c r="U392" s="9" t="n">
        <v>2803.58</v>
      </c>
      <c r="V392" s="9" t="n">
        <v>2803.58</v>
      </c>
      <c r="W392" s="9" t="n">
        <v>2803.58</v>
      </c>
      <c r="X392" s="9" t="n">
        <v>2803.58</v>
      </c>
      <c r="Y392" s="9" t="n">
        <v>2803.58</v>
      </c>
      <c r="Z392" s="9" t="n">
        <v>350</v>
      </c>
      <c r="AA392" s="9" t="n">
        <v>250</v>
      </c>
      <c r="AB392" s="9" t="n">
        <v>600</v>
      </c>
    </row>
    <row r="393" customFormat="false" ht="15" hidden="false" customHeight="false" outlineLevel="0" collapsed="false">
      <c r="A393" s="3" t="s">
        <v>1251</v>
      </c>
      <c r="B393" s="3" t="s">
        <v>1252</v>
      </c>
      <c r="C393" s="3" t="s">
        <v>116</v>
      </c>
      <c r="D393" s="3" t="s">
        <v>117</v>
      </c>
      <c r="E393" s="3" t="n">
        <v>1975</v>
      </c>
      <c r="F393" s="3" t="s">
        <v>387</v>
      </c>
      <c r="G393" s="3" t="s">
        <v>388</v>
      </c>
      <c r="H393" s="3" t="s">
        <v>1253</v>
      </c>
      <c r="I393" s="3" t="s">
        <v>56</v>
      </c>
      <c r="J393" s="7" t="n">
        <v>660000</v>
      </c>
      <c r="K393" s="3" t="s">
        <v>137</v>
      </c>
      <c r="L393" s="7" t="n">
        <v>14551.13</v>
      </c>
      <c r="M393" s="7" t="n">
        <v>1818.89</v>
      </c>
      <c r="N393" s="7" t="n">
        <v>1818.89</v>
      </c>
      <c r="O393" s="7" t="n">
        <v>10913.3</v>
      </c>
      <c r="P393" s="7" t="n">
        <v>1091.33</v>
      </c>
      <c r="Q393" s="7" t="n">
        <v>1091.33</v>
      </c>
      <c r="R393" s="7" t="n">
        <v>1091.33</v>
      </c>
      <c r="S393" s="7" t="n">
        <v>1091.33</v>
      </c>
      <c r="T393" s="7" t="n">
        <v>1091.33</v>
      </c>
      <c r="U393" s="7" t="n">
        <v>1091.33</v>
      </c>
      <c r="V393" s="7" t="n">
        <v>1091.33</v>
      </c>
      <c r="W393" s="7" t="n">
        <v>1091.33</v>
      </c>
      <c r="X393" s="7" t="n">
        <v>1091.33</v>
      </c>
      <c r="Y393" s="7" t="n">
        <v>1091.33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1254</v>
      </c>
      <c r="B394" s="8" t="s">
        <v>1255</v>
      </c>
      <c r="C394" s="8" t="s">
        <v>111</v>
      </c>
      <c r="D394" s="8" t="s">
        <v>112</v>
      </c>
      <c r="E394" s="8" t="n">
        <v>1972</v>
      </c>
      <c r="F394" s="8" t="s">
        <v>99</v>
      </c>
      <c r="G394" s="8" t="s">
        <v>100</v>
      </c>
      <c r="H394" s="8" t="s">
        <v>1256</v>
      </c>
      <c r="I394" s="8" t="s">
        <v>47</v>
      </c>
      <c r="J394" s="9" t="n">
        <v>745000</v>
      </c>
      <c r="K394" s="8" t="s">
        <v>203</v>
      </c>
      <c r="L394" s="9" t="n">
        <v>12974.25</v>
      </c>
      <c r="M394" s="9" t="n">
        <v>1621.78</v>
      </c>
      <c r="N394" s="9" t="n">
        <v>1621.78</v>
      </c>
      <c r="O394" s="9" t="n">
        <v>9730.7</v>
      </c>
      <c r="P394" s="9" t="n">
        <v>973.07</v>
      </c>
      <c r="Q394" s="9" t="n">
        <v>973.07</v>
      </c>
      <c r="R394" s="9" t="n">
        <v>973.07</v>
      </c>
      <c r="S394" s="9" t="n">
        <v>973.07</v>
      </c>
      <c r="T394" s="9" t="n">
        <v>973.07</v>
      </c>
      <c r="U394" s="9" t="n">
        <v>973.07</v>
      </c>
      <c r="V394" s="9" t="n">
        <v>973.07</v>
      </c>
      <c r="W394" s="9" t="n">
        <v>973.07</v>
      </c>
      <c r="X394" s="9" t="n">
        <v>973.07</v>
      </c>
      <c r="Y394" s="9" t="n">
        <v>973.07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1257</v>
      </c>
      <c r="B395" s="3" t="s">
        <v>1258</v>
      </c>
      <c r="C395" s="3" t="s">
        <v>66</v>
      </c>
      <c r="D395" s="3" t="s">
        <v>67</v>
      </c>
      <c r="E395" s="3" t="n">
        <v>1997</v>
      </c>
      <c r="F395" s="3" t="s">
        <v>265</v>
      </c>
      <c r="G395" s="3" t="s">
        <v>266</v>
      </c>
      <c r="H395" s="3" t="s">
        <v>1259</v>
      </c>
      <c r="I395" s="3" t="s">
        <v>47</v>
      </c>
      <c r="J395" s="7" t="n">
        <v>295000</v>
      </c>
      <c r="K395" s="3" t="s">
        <v>399</v>
      </c>
      <c r="L395" s="7" t="n">
        <v>3798.82</v>
      </c>
      <c r="M395" s="7" t="n">
        <v>474.85</v>
      </c>
      <c r="N395" s="7" t="n">
        <v>474.85</v>
      </c>
      <c r="O395" s="7" t="n">
        <v>2849.1</v>
      </c>
      <c r="P395" s="7" t="n">
        <v>284.91</v>
      </c>
      <c r="Q395" s="7" t="n">
        <v>284.91</v>
      </c>
      <c r="R395" s="7" t="n">
        <v>284.91</v>
      </c>
      <c r="S395" s="7" t="n">
        <v>284.91</v>
      </c>
      <c r="T395" s="7" t="n">
        <v>284.91</v>
      </c>
      <c r="U395" s="7" t="n">
        <v>284.91</v>
      </c>
      <c r="V395" s="7" t="n">
        <v>284.91</v>
      </c>
      <c r="W395" s="7" t="n">
        <v>284.91</v>
      </c>
      <c r="X395" s="7" t="n">
        <v>284.91</v>
      </c>
      <c r="Y395" s="7" t="n">
        <v>284.91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1260</v>
      </c>
      <c r="B396" s="8" t="s">
        <v>1136</v>
      </c>
      <c r="C396" s="8" t="s">
        <v>219</v>
      </c>
      <c r="D396" s="8" t="s">
        <v>220</v>
      </c>
      <c r="E396" s="8" t="n">
        <v>1966</v>
      </c>
      <c r="F396" s="8" t="s">
        <v>53</v>
      </c>
      <c r="G396" s="8" t="s">
        <v>54</v>
      </c>
      <c r="H396" s="8" t="s">
        <v>1261</v>
      </c>
      <c r="I396" s="8" t="s">
        <v>56</v>
      </c>
      <c r="J396" s="9" t="n">
        <v>1165000</v>
      </c>
      <c r="K396" s="8" t="s">
        <v>556</v>
      </c>
      <c r="L396" s="9" t="n">
        <v>19695.09</v>
      </c>
      <c r="M396" s="9" t="n">
        <v>2461.89</v>
      </c>
      <c r="N396" s="9" t="n">
        <v>2461.89</v>
      </c>
      <c r="O396" s="9" t="n">
        <v>14771.3</v>
      </c>
      <c r="P396" s="9" t="n">
        <v>1477.13</v>
      </c>
      <c r="Q396" s="9" t="n">
        <v>1477.13</v>
      </c>
      <c r="R396" s="9" t="n">
        <v>1477.13</v>
      </c>
      <c r="S396" s="9" t="n">
        <v>1477.13</v>
      </c>
      <c r="T396" s="9" t="n">
        <v>1477.13</v>
      </c>
      <c r="U396" s="9" t="n">
        <v>1477.13</v>
      </c>
      <c r="V396" s="9" t="n">
        <v>1477.13</v>
      </c>
      <c r="W396" s="9" t="n">
        <v>1477.13</v>
      </c>
      <c r="X396" s="9" t="n">
        <v>1477.13</v>
      </c>
      <c r="Y396" s="9" t="n">
        <v>1477.13</v>
      </c>
      <c r="Z396" s="9" t="n">
        <v>350</v>
      </c>
      <c r="AA396" s="9" t="n">
        <v>250</v>
      </c>
      <c r="AB396" s="9" t="n">
        <v>600</v>
      </c>
    </row>
    <row r="397" customFormat="false" ht="15" hidden="false" customHeight="false" outlineLevel="0" collapsed="false">
      <c r="A397" s="3" t="s">
        <v>1262</v>
      </c>
      <c r="B397" s="3" t="s">
        <v>1263</v>
      </c>
      <c r="C397" s="3" t="s">
        <v>342</v>
      </c>
      <c r="D397" s="3" t="s">
        <v>343</v>
      </c>
      <c r="E397" s="3" t="n">
        <v>1990</v>
      </c>
      <c r="F397" s="3" t="s">
        <v>146</v>
      </c>
      <c r="G397" s="3" t="s">
        <v>147</v>
      </c>
      <c r="H397" s="3" t="s">
        <v>1264</v>
      </c>
      <c r="I397" s="3" t="s">
        <v>47</v>
      </c>
      <c r="J397" s="7" t="n">
        <v>1185000</v>
      </c>
      <c r="K397" s="3" t="s">
        <v>260</v>
      </c>
      <c r="L397" s="7" t="n">
        <v>15371.46</v>
      </c>
      <c r="M397" s="7" t="n">
        <v>1921.43</v>
      </c>
      <c r="N397" s="7" t="n">
        <v>1921.43</v>
      </c>
      <c r="O397" s="7" t="n">
        <v>11528.6</v>
      </c>
      <c r="P397" s="7" t="n">
        <v>1152.86</v>
      </c>
      <c r="Q397" s="7" t="n">
        <v>1152.86</v>
      </c>
      <c r="R397" s="7" t="n">
        <v>1152.86</v>
      </c>
      <c r="S397" s="7" t="n">
        <v>1152.86</v>
      </c>
      <c r="T397" s="7" t="n">
        <v>1152.86</v>
      </c>
      <c r="U397" s="7" t="n">
        <v>1152.86</v>
      </c>
      <c r="V397" s="7" t="n">
        <v>1152.86</v>
      </c>
      <c r="W397" s="7" t="n">
        <v>1152.86</v>
      </c>
      <c r="X397" s="7" t="n">
        <v>1152.86</v>
      </c>
      <c r="Y397" s="7" t="n">
        <v>1152.86</v>
      </c>
      <c r="Z397" s="7" t="n">
        <v>350</v>
      </c>
      <c r="AA397" s="7" t="n">
        <v>250</v>
      </c>
      <c r="AB397" s="7" t="n">
        <v>600</v>
      </c>
    </row>
    <row r="398" customFormat="false" ht="15" hidden="false" customHeight="false" outlineLevel="0" collapsed="false">
      <c r="A398" s="8" t="s">
        <v>1265</v>
      </c>
      <c r="B398" s="8" t="s">
        <v>1020</v>
      </c>
      <c r="C398" s="8" t="s">
        <v>559</v>
      </c>
      <c r="D398" s="8" t="s">
        <v>560</v>
      </c>
      <c r="E398" s="8" t="n">
        <v>2004</v>
      </c>
      <c r="F398" s="8" t="s">
        <v>99</v>
      </c>
      <c r="G398" s="8" t="s">
        <v>100</v>
      </c>
      <c r="H398" s="8" t="s">
        <v>1266</v>
      </c>
      <c r="I398" s="8" t="s">
        <v>47</v>
      </c>
      <c r="J398" s="9" t="n">
        <v>420000</v>
      </c>
      <c r="K398" s="8" t="s">
        <v>149</v>
      </c>
      <c r="L398" s="9" t="n">
        <v>5705.66</v>
      </c>
      <c r="M398" s="9" t="n">
        <v>713.21</v>
      </c>
      <c r="N398" s="9" t="n">
        <v>713.21</v>
      </c>
      <c r="O398" s="9" t="n">
        <v>4279.2</v>
      </c>
      <c r="P398" s="9" t="n">
        <v>427.92</v>
      </c>
      <c r="Q398" s="9" t="n">
        <v>427.92</v>
      </c>
      <c r="R398" s="9" t="n">
        <v>427.92</v>
      </c>
      <c r="S398" s="9" t="n">
        <v>427.92</v>
      </c>
      <c r="T398" s="9" t="n">
        <v>427.92</v>
      </c>
      <c r="U398" s="9" t="n">
        <v>427.92</v>
      </c>
      <c r="V398" s="9" t="n">
        <v>427.92</v>
      </c>
      <c r="W398" s="9" t="n">
        <v>427.92</v>
      </c>
      <c r="X398" s="9" t="n">
        <v>427.92</v>
      </c>
      <c r="Y398" s="9" t="n">
        <v>427.92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1267</v>
      </c>
      <c r="B399" s="3" t="s">
        <v>1268</v>
      </c>
      <c r="C399" s="3" t="s">
        <v>263</v>
      </c>
      <c r="D399" s="3" t="s">
        <v>264</v>
      </c>
      <c r="E399" s="3" t="n">
        <v>2007</v>
      </c>
      <c r="F399" s="3" t="s">
        <v>99</v>
      </c>
      <c r="G399" s="3" t="s">
        <v>100</v>
      </c>
      <c r="H399" s="3" t="s">
        <v>1269</v>
      </c>
      <c r="I399" s="3" t="s">
        <v>47</v>
      </c>
      <c r="J399" s="7" t="n">
        <v>310000</v>
      </c>
      <c r="K399" s="3" t="s">
        <v>556</v>
      </c>
      <c r="L399" s="7" t="n">
        <v>4913.21</v>
      </c>
      <c r="M399" s="7" t="n">
        <v>614.15</v>
      </c>
      <c r="N399" s="7" t="n">
        <v>614.15</v>
      </c>
      <c r="O399" s="7" t="n">
        <v>3684.9</v>
      </c>
      <c r="P399" s="7" t="n">
        <v>368.49</v>
      </c>
      <c r="Q399" s="7" t="n">
        <v>368.49</v>
      </c>
      <c r="R399" s="7" t="n">
        <v>368.49</v>
      </c>
      <c r="S399" s="7" t="n">
        <v>368.49</v>
      </c>
      <c r="T399" s="7" t="n">
        <v>368.49</v>
      </c>
      <c r="U399" s="7" t="n">
        <v>368.49</v>
      </c>
      <c r="V399" s="7" t="n">
        <v>368.49</v>
      </c>
      <c r="W399" s="7" t="n">
        <v>368.49</v>
      </c>
      <c r="X399" s="7" t="n">
        <v>368.49</v>
      </c>
      <c r="Y399" s="7" t="n">
        <v>368.49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1270</v>
      </c>
      <c r="B400" s="8" t="s">
        <v>758</v>
      </c>
      <c r="C400" s="8" t="s">
        <v>190</v>
      </c>
      <c r="D400" s="8" t="s">
        <v>191</v>
      </c>
      <c r="E400" s="8" t="n">
        <v>1973</v>
      </c>
      <c r="F400" s="8" t="s">
        <v>80</v>
      </c>
      <c r="G400" s="8" t="s">
        <v>81</v>
      </c>
      <c r="H400" s="8" t="s">
        <v>1271</v>
      </c>
      <c r="I400" s="8" t="s">
        <v>47</v>
      </c>
      <c r="J400" s="9" t="n">
        <v>1035000</v>
      </c>
      <c r="K400" s="8" t="s">
        <v>238</v>
      </c>
      <c r="L400" s="9" t="n">
        <v>12996.08</v>
      </c>
      <c r="M400" s="9" t="n">
        <v>1624.51</v>
      </c>
      <c r="N400" s="9" t="n">
        <v>1624.51</v>
      </c>
      <c r="O400" s="9" t="n">
        <v>9747.1</v>
      </c>
      <c r="P400" s="9" t="n">
        <v>974.71</v>
      </c>
      <c r="Q400" s="9" t="n">
        <v>974.71</v>
      </c>
      <c r="R400" s="9" t="n">
        <v>974.71</v>
      </c>
      <c r="S400" s="9" t="n">
        <v>974.71</v>
      </c>
      <c r="T400" s="9" t="n">
        <v>974.71</v>
      </c>
      <c r="U400" s="9" t="n">
        <v>974.71</v>
      </c>
      <c r="V400" s="9" t="n">
        <v>974.71</v>
      </c>
      <c r="W400" s="9" t="n">
        <v>974.71</v>
      </c>
      <c r="X400" s="9" t="n">
        <v>974.71</v>
      </c>
      <c r="Y400" s="9" t="n">
        <v>974.71</v>
      </c>
      <c r="Z400" s="9" t="n">
        <v>350</v>
      </c>
      <c r="AA400" s="9" t="n">
        <v>250</v>
      </c>
      <c r="AB400" s="9" t="n">
        <v>600</v>
      </c>
    </row>
    <row r="401" customFormat="false" ht="15" hidden="false" customHeight="false" outlineLevel="0" collapsed="false">
      <c r="A401" s="3" t="s">
        <v>1272</v>
      </c>
      <c r="B401" s="3" t="s">
        <v>394</v>
      </c>
      <c r="C401" s="3" t="s">
        <v>190</v>
      </c>
      <c r="D401" s="3" t="s">
        <v>191</v>
      </c>
      <c r="E401" s="3" t="n">
        <v>1961</v>
      </c>
      <c r="F401" s="3" t="s">
        <v>80</v>
      </c>
      <c r="G401" s="3" t="s">
        <v>81</v>
      </c>
      <c r="H401" s="3" t="s">
        <v>1273</v>
      </c>
      <c r="I401" s="3" t="s">
        <v>47</v>
      </c>
      <c r="J401" s="7" t="n">
        <v>545000</v>
      </c>
      <c r="K401" s="3" t="s">
        <v>131</v>
      </c>
      <c r="L401" s="7" t="n">
        <v>8822.83</v>
      </c>
      <c r="M401" s="7" t="n">
        <v>1102.85</v>
      </c>
      <c r="N401" s="7" t="n">
        <v>1102.85</v>
      </c>
      <c r="O401" s="7" t="n">
        <v>6617.1</v>
      </c>
      <c r="P401" s="7" t="n">
        <v>661.71</v>
      </c>
      <c r="Q401" s="7" t="n">
        <v>661.71</v>
      </c>
      <c r="R401" s="7" t="n">
        <v>661.71</v>
      </c>
      <c r="S401" s="7" t="n">
        <v>661.71</v>
      </c>
      <c r="T401" s="7" t="n">
        <v>661.71</v>
      </c>
      <c r="U401" s="7" t="n">
        <v>661.71</v>
      </c>
      <c r="V401" s="7" t="n">
        <v>661.71</v>
      </c>
      <c r="W401" s="7" t="n">
        <v>661.71</v>
      </c>
      <c r="X401" s="7" t="n">
        <v>661.71</v>
      </c>
      <c r="Y401" s="7" t="n">
        <v>661.71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1274</v>
      </c>
      <c r="B402" s="8" t="s">
        <v>818</v>
      </c>
      <c r="C402" s="8" t="s">
        <v>179</v>
      </c>
      <c r="D402" s="8" t="s">
        <v>180</v>
      </c>
      <c r="E402" s="8" t="n">
        <v>2022</v>
      </c>
      <c r="F402" s="8" t="s">
        <v>53</v>
      </c>
      <c r="G402" s="8" t="s">
        <v>236</v>
      </c>
      <c r="H402" s="8" t="s">
        <v>1275</v>
      </c>
      <c r="I402" s="8" t="s">
        <v>56</v>
      </c>
      <c r="J402" s="9" t="n">
        <v>1060000</v>
      </c>
      <c r="K402" s="8" t="s">
        <v>451</v>
      </c>
      <c r="L402" s="9" t="n">
        <v>17760</v>
      </c>
      <c r="M402" s="9" t="n">
        <v>2220</v>
      </c>
      <c r="N402" s="9" t="n">
        <v>2220</v>
      </c>
      <c r="O402" s="9" t="n">
        <v>13320</v>
      </c>
      <c r="P402" s="9" t="n">
        <v>1332</v>
      </c>
      <c r="Q402" s="9" t="n">
        <v>1332</v>
      </c>
      <c r="R402" s="9" t="n">
        <v>1332</v>
      </c>
      <c r="S402" s="9" t="n">
        <v>1332</v>
      </c>
      <c r="T402" s="9" t="n">
        <v>1332</v>
      </c>
      <c r="U402" s="9" t="n">
        <v>1332</v>
      </c>
      <c r="V402" s="9" t="n">
        <v>1332</v>
      </c>
      <c r="W402" s="9" t="n">
        <v>1332</v>
      </c>
      <c r="X402" s="9" t="n">
        <v>1332</v>
      </c>
      <c r="Y402" s="9" t="n">
        <v>1332</v>
      </c>
      <c r="Z402" s="9" t="n">
        <v>350</v>
      </c>
      <c r="AA402" s="9" t="n">
        <v>250</v>
      </c>
      <c r="AB402" s="9" t="n">
        <v>600</v>
      </c>
    </row>
    <row r="403" customFormat="false" ht="15" hidden="false" customHeight="false" outlineLevel="0" collapsed="false">
      <c r="A403" s="3" t="s">
        <v>1276</v>
      </c>
      <c r="B403" s="3" t="s">
        <v>1277</v>
      </c>
      <c r="C403" s="3" t="s">
        <v>158</v>
      </c>
      <c r="D403" s="3" t="s">
        <v>159</v>
      </c>
      <c r="E403" s="3" t="n">
        <v>1965</v>
      </c>
      <c r="F403" s="3" t="s">
        <v>387</v>
      </c>
      <c r="G403" s="3" t="s">
        <v>388</v>
      </c>
      <c r="H403" s="3" t="s">
        <v>1278</v>
      </c>
      <c r="I403" s="3" t="s">
        <v>56</v>
      </c>
      <c r="J403" s="7" t="n">
        <v>1155000</v>
      </c>
      <c r="K403" s="3" t="s">
        <v>629</v>
      </c>
      <c r="L403" s="7" t="n">
        <v>17259.62</v>
      </c>
      <c r="M403" s="7" t="n">
        <v>2157.45</v>
      </c>
      <c r="N403" s="7" t="n">
        <v>2157.45</v>
      </c>
      <c r="O403" s="7" t="n">
        <v>12944.7</v>
      </c>
      <c r="P403" s="7" t="n">
        <v>1294.47</v>
      </c>
      <c r="Q403" s="7" t="n">
        <v>1294.47</v>
      </c>
      <c r="R403" s="7" t="n">
        <v>1294.47</v>
      </c>
      <c r="S403" s="7" t="n">
        <v>1294.47</v>
      </c>
      <c r="T403" s="7" t="n">
        <v>1294.47</v>
      </c>
      <c r="U403" s="7" t="n">
        <v>1294.47</v>
      </c>
      <c r="V403" s="7" t="n">
        <v>1294.47</v>
      </c>
      <c r="W403" s="7" t="n">
        <v>1294.47</v>
      </c>
      <c r="X403" s="7" t="n">
        <v>1294.47</v>
      </c>
      <c r="Y403" s="7" t="n">
        <v>1294.47</v>
      </c>
      <c r="Z403" s="7" t="n">
        <v>350</v>
      </c>
      <c r="AA403" s="7" t="n">
        <v>250</v>
      </c>
      <c r="AB403" s="7" t="n">
        <v>600</v>
      </c>
    </row>
    <row r="404" customFormat="false" ht="15" hidden="false" customHeight="false" outlineLevel="0" collapsed="false">
      <c r="A404" s="8" t="s">
        <v>1279</v>
      </c>
      <c r="B404" s="8" t="s">
        <v>1280</v>
      </c>
      <c r="C404" s="8" t="s">
        <v>116</v>
      </c>
      <c r="D404" s="8" t="s">
        <v>117</v>
      </c>
      <c r="E404" s="8" t="n">
        <v>1965</v>
      </c>
      <c r="F404" s="8" t="s">
        <v>88</v>
      </c>
      <c r="G404" s="8" t="s">
        <v>89</v>
      </c>
      <c r="H404" s="8" t="s">
        <v>1281</v>
      </c>
      <c r="I404" s="8" t="s">
        <v>47</v>
      </c>
      <c r="J404" s="9" t="n">
        <v>770000</v>
      </c>
      <c r="K404" s="8" t="s">
        <v>355</v>
      </c>
      <c r="L404" s="9" t="n">
        <v>10576.6</v>
      </c>
      <c r="M404" s="9" t="n">
        <v>1322.08</v>
      </c>
      <c r="N404" s="9" t="n">
        <v>1322.08</v>
      </c>
      <c r="O404" s="9" t="n">
        <v>7932.5</v>
      </c>
      <c r="P404" s="9" t="n">
        <v>793.25</v>
      </c>
      <c r="Q404" s="9" t="n">
        <v>793.25</v>
      </c>
      <c r="R404" s="9" t="n">
        <v>793.25</v>
      </c>
      <c r="S404" s="9" t="n">
        <v>793.25</v>
      </c>
      <c r="T404" s="9" t="n">
        <v>793.25</v>
      </c>
      <c r="U404" s="9" t="n">
        <v>793.25</v>
      </c>
      <c r="V404" s="9" t="n">
        <v>793.25</v>
      </c>
      <c r="W404" s="9" t="n">
        <v>793.25</v>
      </c>
      <c r="X404" s="9" t="n">
        <v>793.25</v>
      </c>
      <c r="Y404" s="9" t="n">
        <v>793.25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1282</v>
      </c>
      <c r="B405" s="3" t="s">
        <v>1283</v>
      </c>
      <c r="C405" s="3" t="s">
        <v>385</v>
      </c>
      <c r="D405" s="3" t="s">
        <v>386</v>
      </c>
      <c r="E405" s="3" t="n">
        <v>1995</v>
      </c>
      <c r="F405" s="3" t="s">
        <v>88</v>
      </c>
      <c r="G405" s="3" t="s">
        <v>89</v>
      </c>
      <c r="H405" s="3" t="s">
        <v>1284</v>
      </c>
      <c r="I405" s="3" t="s">
        <v>47</v>
      </c>
      <c r="J405" s="7" t="n">
        <v>1250000</v>
      </c>
      <c r="K405" s="3" t="s">
        <v>83</v>
      </c>
      <c r="L405" s="7" t="n">
        <v>17511.79</v>
      </c>
      <c r="M405" s="7" t="n">
        <v>2188.97</v>
      </c>
      <c r="N405" s="7" t="n">
        <v>2188.97</v>
      </c>
      <c r="O405" s="7" t="n">
        <v>13133.8</v>
      </c>
      <c r="P405" s="7" t="n">
        <v>1313.38</v>
      </c>
      <c r="Q405" s="7" t="n">
        <v>1313.38</v>
      </c>
      <c r="R405" s="7" t="n">
        <v>1313.38</v>
      </c>
      <c r="S405" s="7" t="n">
        <v>1313.38</v>
      </c>
      <c r="T405" s="7" t="n">
        <v>1313.38</v>
      </c>
      <c r="U405" s="7" t="n">
        <v>1313.38</v>
      </c>
      <c r="V405" s="7" t="n">
        <v>1313.38</v>
      </c>
      <c r="W405" s="7" t="n">
        <v>1313.38</v>
      </c>
      <c r="X405" s="7" t="n">
        <v>1313.38</v>
      </c>
      <c r="Y405" s="7" t="n">
        <v>1313.38</v>
      </c>
      <c r="Z405" s="7" t="n">
        <v>350</v>
      </c>
      <c r="AA405" s="7" t="n">
        <v>250</v>
      </c>
      <c r="AB405" s="7" t="n">
        <v>600</v>
      </c>
    </row>
    <row r="406" customFormat="false" ht="15" hidden="false" customHeight="false" outlineLevel="0" collapsed="false">
      <c r="A406" s="8" t="s">
        <v>1285</v>
      </c>
      <c r="B406" s="8" t="s">
        <v>319</v>
      </c>
      <c r="C406" s="8" t="s">
        <v>116</v>
      </c>
      <c r="D406" s="8" t="s">
        <v>117</v>
      </c>
      <c r="E406" s="8" t="n">
        <v>2021</v>
      </c>
      <c r="F406" s="8" t="s">
        <v>387</v>
      </c>
      <c r="G406" s="8" t="s">
        <v>388</v>
      </c>
      <c r="H406" s="8" t="s">
        <v>1286</v>
      </c>
      <c r="I406" s="8" t="s">
        <v>56</v>
      </c>
      <c r="J406" s="9" t="n">
        <v>1520000</v>
      </c>
      <c r="K406" s="8" t="s">
        <v>187</v>
      </c>
      <c r="L406" s="9" t="n">
        <v>24549.43</v>
      </c>
      <c r="M406" s="9" t="n">
        <v>3068.68</v>
      </c>
      <c r="N406" s="9" t="n">
        <v>3068.68</v>
      </c>
      <c r="O406" s="9" t="n">
        <v>18412.1</v>
      </c>
      <c r="P406" s="9" t="n">
        <v>1841.21</v>
      </c>
      <c r="Q406" s="9" t="n">
        <v>1841.21</v>
      </c>
      <c r="R406" s="9" t="n">
        <v>1841.21</v>
      </c>
      <c r="S406" s="9" t="n">
        <v>1841.21</v>
      </c>
      <c r="T406" s="9" t="n">
        <v>1841.21</v>
      </c>
      <c r="U406" s="9" t="n">
        <v>1841.21</v>
      </c>
      <c r="V406" s="9" t="n">
        <v>1841.21</v>
      </c>
      <c r="W406" s="9" t="n">
        <v>1841.21</v>
      </c>
      <c r="X406" s="9" t="n">
        <v>1841.21</v>
      </c>
      <c r="Y406" s="9" t="n">
        <v>1841.21</v>
      </c>
      <c r="Z406" s="9" t="n">
        <v>350</v>
      </c>
      <c r="AA406" s="9" t="n">
        <v>250</v>
      </c>
      <c r="AB406" s="9" t="n">
        <v>600</v>
      </c>
    </row>
    <row r="407" customFormat="false" ht="15" hidden="false" customHeight="false" outlineLevel="0" collapsed="false">
      <c r="A407" s="3" t="s">
        <v>1287</v>
      </c>
      <c r="B407" s="3" t="s">
        <v>1288</v>
      </c>
      <c r="C407" s="3" t="s">
        <v>94</v>
      </c>
      <c r="D407" s="3" t="s">
        <v>95</v>
      </c>
      <c r="E407" s="3" t="n">
        <v>1967</v>
      </c>
      <c r="F407" s="3" t="s">
        <v>99</v>
      </c>
      <c r="G407" s="3" t="s">
        <v>134</v>
      </c>
      <c r="H407" s="3" t="s">
        <v>1289</v>
      </c>
      <c r="I407" s="3" t="s">
        <v>136</v>
      </c>
      <c r="J407" s="7" t="n">
        <v>855000</v>
      </c>
      <c r="K407" s="3" t="s">
        <v>362</v>
      </c>
      <c r="L407" s="7" t="n">
        <v>9225.93</v>
      </c>
      <c r="M407" s="7" t="n">
        <v>1153.24</v>
      </c>
      <c r="N407" s="7" t="n">
        <v>1153.24</v>
      </c>
      <c r="O407" s="7" t="n">
        <v>6919.4</v>
      </c>
      <c r="P407" s="7" t="n">
        <v>691.94</v>
      </c>
      <c r="Q407" s="7" t="n">
        <v>691.94</v>
      </c>
      <c r="R407" s="7" t="n">
        <v>691.94</v>
      </c>
      <c r="S407" s="7" t="n">
        <v>691.94</v>
      </c>
      <c r="T407" s="7" t="n">
        <v>691.94</v>
      </c>
      <c r="U407" s="7" t="n">
        <v>691.94</v>
      </c>
      <c r="V407" s="7" t="n">
        <v>691.94</v>
      </c>
      <c r="W407" s="7" t="n">
        <v>691.94</v>
      </c>
      <c r="X407" s="7" t="n">
        <v>691.94</v>
      </c>
      <c r="Y407" s="7" t="n">
        <v>691.94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1290</v>
      </c>
      <c r="B408" s="8" t="s">
        <v>1291</v>
      </c>
      <c r="C408" s="8" t="s">
        <v>86</v>
      </c>
      <c r="D408" s="8" t="s">
        <v>87</v>
      </c>
      <c r="E408" s="8" t="n">
        <v>1971</v>
      </c>
      <c r="F408" s="8" t="s">
        <v>53</v>
      </c>
      <c r="G408" s="8" t="s">
        <v>236</v>
      </c>
      <c r="H408" s="8" t="s">
        <v>1292</v>
      </c>
      <c r="I408" s="8" t="s">
        <v>56</v>
      </c>
      <c r="J408" s="9" t="n">
        <v>440000</v>
      </c>
      <c r="K408" s="8" t="s">
        <v>324</v>
      </c>
      <c r="L408" s="9" t="n">
        <v>11361.13</v>
      </c>
      <c r="M408" s="9" t="n">
        <v>1420.14</v>
      </c>
      <c r="N408" s="9" t="n">
        <v>1420.14</v>
      </c>
      <c r="O408" s="9" t="n">
        <v>8520.8</v>
      </c>
      <c r="P408" s="9" t="n">
        <v>852.08</v>
      </c>
      <c r="Q408" s="9" t="n">
        <v>852.08</v>
      </c>
      <c r="R408" s="9" t="n">
        <v>852.08</v>
      </c>
      <c r="S408" s="9" t="n">
        <v>852.08</v>
      </c>
      <c r="T408" s="9" t="n">
        <v>852.08</v>
      </c>
      <c r="U408" s="9" t="n">
        <v>852.08</v>
      </c>
      <c r="V408" s="9" t="n">
        <v>852.08</v>
      </c>
      <c r="W408" s="9" t="n">
        <v>852.08</v>
      </c>
      <c r="X408" s="9" t="n">
        <v>852.08</v>
      </c>
      <c r="Y408" s="9" t="n">
        <v>852.08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1293</v>
      </c>
      <c r="B409" s="3" t="s">
        <v>1006</v>
      </c>
      <c r="C409" s="3" t="s">
        <v>282</v>
      </c>
      <c r="D409" s="3" t="s">
        <v>283</v>
      </c>
      <c r="E409" s="3" t="n">
        <v>2008</v>
      </c>
      <c r="F409" s="3" t="s">
        <v>146</v>
      </c>
      <c r="G409" s="3" t="s">
        <v>147</v>
      </c>
      <c r="H409" s="3" t="s">
        <v>1294</v>
      </c>
      <c r="I409" s="3" t="s">
        <v>47</v>
      </c>
      <c r="J409" s="7" t="n">
        <v>450000</v>
      </c>
      <c r="K409" s="3" t="s">
        <v>102</v>
      </c>
      <c r="L409" s="7" t="n">
        <v>8660.38</v>
      </c>
      <c r="M409" s="7" t="n">
        <v>1082.55</v>
      </c>
      <c r="N409" s="7" t="n">
        <v>1082.55</v>
      </c>
      <c r="O409" s="7" t="n">
        <v>6495.3</v>
      </c>
      <c r="P409" s="7" t="n">
        <v>649.53</v>
      </c>
      <c r="Q409" s="7" t="n">
        <v>649.53</v>
      </c>
      <c r="R409" s="7" t="n">
        <v>649.53</v>
      </c>
      <c r="S409" s="7" t="n">
        <v>649.53</v>
      </c>
      <c r="T409" s="7" t="n">
        <v>649.53</v>
      </c>
      <c r="U409" s="7" t="n">
        <v>649.53</v>
      </c>
      <c r="V409" s="7" t="n">
        <v>649.53</v>
      </c>
      <c r="W409" s="7" t="n">
        <v>649.53</v>
      </c>
      <c r="X409" s="7" t="n">
        <v>649.53</v>
      </c>
      <c r="Y409" s="7" t="n">
        <v>649.53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1295</v>
      </c>
      <c r="B410" s="8" t="s">
        <v>151</v>
      </c>
      <c r="C410" s="8" t="s">
        <v>42</v>
      </c>
      <c r="D410" s="8" t="s">
        <v>43</v>
      </c>
      <c r="E410" s="8" t="n">
        <v>1956</v>
      </c>
      <c r="F410" s="8" t="s">
        <v>44</v>
      </c>
      <c r="G410" s="8" t="s">
        <v>45</v>
      </c>
      <c r="H410" s="8" t="s">
        <v>1296</v>
      </c>
      <c r="I410" s="8" t="s">
        <v>47</v>
      </c>
      <c r="J410" s="9" t="n">
        <v>735000</v>
      </c>
      <c r="K410" s="8" t="s">
        <v>260</v>
      </c>
      <c r="L410" s="9" t="n">
        <v>11267.69</v>
      </c>
      <c r="M410" s="9" t="n">
        <v>1408.46</v>
      </c>
      <c r="N410" s="9" t="n">
        <v>1408.46</v>
      </c>
      <c r="O410" s="9" t="n">
        <v>8450.8</v>
      </c>
      <c r="P410" s="9" t="n">
        <v>845.08</v>
      </c>
      <c r="Q410" s="9" t="n">
        <v>845.08</v>
      </c>
      <c r="R410" s="9" t="n">
        <v>845.08</v>
      </c>
      <c r="S410" s="9" t="n">
        <v>845.08</v>
      </c>
      <c r="T410" s="9" t="n">
        <v>845.08</v>
      </c>
      <c r="U410" s="9" t="n">
        <v>845.08</v>
      </c>
      <c r="V410" s="9" t="n">
        <v>845.08</v>
      </c>
      <c r="W410" s="9" t="n">
        <v>845.08</v>
      </c>
      <c r="X410" s="9" t="n">
        <v>845.08</v>
      </c>
      <c r="Y410" s="9" t="n">
        <v>845.08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1297</v>
      </c>
      <c r="B411" s="3" t="s">
        <v>1298</v>
      </c>
      <c r="C411" s="3" t="s">
        <v>152</v>
      </c>
      <c r="D411" s="3" t="s">
        <v>153</v>
      </c>
      <c r="E411" s="3" t="n">
        <v>2003</v>
      </c>
      <c r="F411" s="3" t="s">
        <v>88</v>
      </c>
      <c r="G411" s="3" t="s">
        <v>89</v>
      </c>
      <c r="H411" s="3" t="s">
        <v>1299</v>
      </c>
      <c r="I411" s="3" t="s">
        <v>47</v>
      </c>
      <c r="J411" s="7" t="n">
        <v>585000</v>
      </c>
      <c r="K411" s="3" t="s">
        <v>260</v>
      </c>
      <c r="L411" s="7" t="n">
        <v>8968.16</v>
      </c>
      <c r="M411" s="7" t="n">
        <v>1121.02</v>
      </c>
      <c r="N411" s="7" t="n">
        <v>1121.02</v>
      </c>
      <c r="O411" s="7" t="n">
        <v>6726.1</v>
      </c>
      <c r="P411" s="7" t="n">
        <v>672.61</v>
      </c>
      <c r="Q411" s="7" t="n">
        <v>672.61</v>
      </c>
      <c r="R411" s="7" t="n">
        <v>672.61</v>
      </c>
      <c r="S411" s="7" t="n">
        <v>672.61</v>
      </c>
      <c r="T411" s="7" t="n">
        <v>672.61</v>
      </c>
      <c r="U411" s="7" t="n">
        <v>672.61</v>
      </c>
      <c r="V411" s="7" t="n">
        <v>672.61</v>
      </c>
      <c r="W411" s="7" t="n">
        <v>672.61</v>
      </c>
      <c r="X411" s="7" t="n">
        <v>672.61</v>
      </c>
      <c r="Y411" s="7" t="n">
        <v>672.61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10" t="s">
        <v>1300</v>
      </c>
      <c r="J412" s="11" t="n">
        <f aca="false">SUM(J5:J411)</f>
        <v>300885000</v>
      </c>
      <c r="L412" s="11" t="n">
        <f aca="false">SUM(L5:L411)</f>
        <v>4598256.96</v>
      </c>
      <c r="M412" s="11" t="n">
        <f aca="false">SUM(M5:M411)</f>
        <v>574782.08</v>
      </c>
      <c r="N412" s="11" t="n">
        <f aca="false">SUM(N5:N411)</f>
        <v>574782.08</v>
      </c>
      <c r="O412" s="11" t="n">
        <f aca="false">SUM(O5:O411)</f>
        <v>3448692.6</v>
      </c>
      <c r="P412" s="11" t="n">
        <f aca="false">SUM(P5:P411)</f>
        <v>344869.26</v>
      </c>
      <c r="Q412" s="11" t="n">
        <f aca="false">SUM(Q5:Q411)</f>
        <v>344869.26</v>
      </c>
      <c r="R412" s="11" t="n">
        <f aca="false">SUM(R5:R411)</f>
        <v>344869.26</v>
      </c>
      <c r="S412" s="11" t="n">
        <f aca="false">SUM(S5:S411)</f>
        <v>344869.26</v>
      </c>
      <c r="T412" s="11" t="n">
        <f aca="false">SUM(T5:T411)</f>
        <v>344869.26</v>
      </c>
      <c r="U412" s="11" t="n">
        <f aca="false">SUM(U5:U411)</f>
        <v>344869.26</v>
      </c>
      <c r="V412" s="11" t="n">
        <f aca="false">SUM(V5:V411)</f>
        <v>344869.26</v>
      </c>
      <c r="W412" s="11" t="n">
        <f aca="false">SUM(W5:W411)</f>
        <v>344869.26</v>
      </c>
      <c r="X412" s="11" t="n">
        <f aca="false">SUM(X5:X411)</f>
        <v>344869.26</v>
      </c>
      <c r="Y412" s="11" t="n">
        <f aca="false">SUM(Y5:Y411)</f>
        <v>344869.26</v>
      </c>
      <c r="Z412" s="11" t="n">
        <f aca="false">SUM(Z5:Z411)</f>
        <v>142450</v>
      </c>
      <c r="AA412" s="11" t="n">
        <f aca="false">SUM(AA5:AA411)</f>
        <v>22750</v>
      </c>
      <c r="AB412" s="11" t="n">
        <f aca="false">SUM(AB5:AB411)</f>
        <v>165200</v>
      </c>
    </row>
    <row r="413" customFormat="false" ht="15" hidden="false" customHeight="false" outlineLevel="0" collapsed="false">
      <c r="A413" s="10" t="s">
        <v>1301</v>
      </c>
      <c r="L413" s="11" t="n">
        <f aca="false">M412+N412+SUM(P412:Y412)</f>
        <v>4598256.76</v>
      </c>
    </row>
    <row r="414" customFormat="false" ht="15" hidden="false" customHeight="false" outlineLevel="0" collapsed="false">
      <c r="A414" s="10" t="s">
        <v>1302</v>
      </c>
      <c r="L414" s="11" t="n">
        <f aca="false">ROUND(L412-(M412+N412+SUM(P412:Y412)),2)</f>
        <v>0.2</v>
      </c>
    </row>
    <row r="415" customFormat="false" ht="15" hidden="false" customHeight="false" outlineLevel="0" collapsed="false">
      <c r="A415" s="10" t="s">
        <v>1303</v>
      </c>
      <c r="L415" s="11" t="n">
        <f aca="false">M412+N412+SUM(P412:Y412)+L414</f>
        <v>4598256.96</v>
      </c>
    </row>
  </sheetData>
  <autoFilter ref="A4:AB411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1304</v>
      </c>
      <c r="B1" s="4"/>
      <c r="C1" s="4"/>
    </row>
    <row r="2" customFormat="false" ht="15" hidden="false" customHeight="false" outlineLevel="0" collapsed="false">
      <c r="A2" s="5" t="s">
        <v>1305</v>
      </c>
      <c r="B2" s="5"/>
      <c r="C2" s="5"/>
    </row>
    <row r="4" customFormat="false" ht="15" hidden="false" customHeight="false" outlineLevel="0" collapsed="false">
      <c r="A4" s="6" t="s">
        <v>1306</v>
      </c>
      <c r="B4" s="6" t="s">
        <v>1307</v>
      </c>
      <c r="C4" s="6" t="s">
        <v>1308</v>
      </c>
    </row>
    <row r="5" customFormat="false" ht="15" hidden="false" customHeight="false" outlineLevel="0" collapsed="false">
      <c r="A5" s="12" t="s">
        <v>1309</v>
      </c>
      <c r="B5" s="13" t="n">
        <f aca="false">COUNTA(Bordereau!A5:A411)</f>
        <v>407</v>
      </c>
      <c r="C5" s="14" t="n">
        <v>407</v>
      </c>
    </row>
    <row r="6" customFormat="false" ht="15" hidden="false" customHeight="false" outlineLevel="0" collapsed="false">
      <c r="A6" s="15" t="s">
        <v>4</v>
      </c>
      <c r="B6" s="16" t="n">
        <f aca="false">SUM(Bordereau!L5:L411)</f>
        <v>4598256.96</v>
      </c>
      <c r="C6" s="17" t="n">
        <v>4598256.96</v>
      </c>
    </row>
    <row r="7" customFormat="false" ht="15" hidden="false" customHeight="false" outlineLevel="0" collapsed="false">
      <c r="A7" s="15" t="s">
        <v>1310</v>
      </c>
      <c r="B7" s="16" t="n">
        <f aca="false">B6/B5</f>
        <v>11297.9286486486</v>
      </c>
      <c r="C7" s="17" t="n">
        <v>11297.93</v>
      </c>
    </row>
    <row r="8" customFormat="false" ht="15" hidden="false" customHeight="false" outlineLevel="0" collapsed="false">
      <c r="A8" s="15" t="s">
        <v>1311</v>
      </c>
      <c r="B8" s="16" t="n">
        <f aca="false">SUM(Bordereau!M5:M411)</f>
        <v>574782.08</v>
      </c>
      <c r="C8" s="18"/>
    </row>
    <row r="9" customFormat="false" ht="15" hidden="false" customHeight="false" outlineLevel="0" collapsed="false">
      <c r="A9" s="15" t="s">
        <v>1312</v>
      </c>
      <c r="B9" s="16" t="n">
        <f aca="false">SUM(Bordereau!N5:N411)</f>
        <v>574782.08</v>
      </c>
      <c r="C9" s="18"/>
    </row>
    <row r="10" customFormat="false" ht="15" hidden="false" customHeight="false" outlineLevel="0" collapsed="false">
      <c r="A10" s="15" t="s">
        <v>1313</v>
      </c>
      <c r="B10" s="16" t="n">
        <f aca="false">SUM(Bordereau!O5:O411)</f>
        <v>3448692.6</v>
      </c>
      <c r="C10" s="18"/>
    </row>
    <row r="11" customFormat="false" ht="15" hidden="false" customHeight="false" outlineLevel="0" collapsed="false">
      <c r="A11" s="15" t="s">
        <v>1314</v>
      </c>
      <c r="B11" s="16" t="n">
        <f aca="false">SUM(Bordereau!P5:P411)</f>
        <v>344869.26</v>
      </c>
      <c r="C11" s="18"/>
    </row>
    <row r="12" customFormat="false" ht="15" hidden="false" customHeight="false" outlineLevel="0" collapsed="false">
      <c r="A12" s="15" t="s">
        <v>1315</v>
      </c>
      <c r="B12" s="16" t="n">
        <f aca="false">SUM(Bordereau!Q5:Q411)</f>
        <v>344869.26</v>
      </c>
      <c r="C12" s="18"/>
    </row>
    <row r="13" customFormat="false" ht="15" hidden="false" customHeight="false" outlineLevel="0" collapsed="false">
      <c r="A13" s="15" t="s">
        <v>1316</v>
      </c>
      <c r="B13" s="16" t="n">
        <f aca="false">SUM(Bordereau!R5:R411)</f>
        <v>344869.26</v>
      </c>
      <c r="C13" s="18"/>
    </row>
    <row r="14" customFormat="false" ht="15" hidden="false" customHeight="false" outlineLevel="0" collapsed="false">
      <c r="A14" s="15" t="s">
        <v>1317</v>
      </c>
      <c r="B14" s="16" t="n">
        <f aca="false">SUM(Bordereau!S5:S411)</f>
        <v>344869.26</v>
      </c>
      <c r="C14" s="18"/>
    </row>
    <row r="15" customFormat="false" ht="15" hidden="false" customHeight="false" outlineLevel="0" collapsed="false">
      <c r="A15" s="15" t="s">
        <v>1318</v>
      </c>
      <c r="B15" s="16" t="n">
        <f aca="false">SUM(Bordereau!T5:T411)</f>
        <v>344869.26</v>
      </c>
      <c r="C15" s="18"/>
    </row>
    <row r="16" customFormat="false" ht="15" hidden="false" customHeight="false" outlineLevel="0" collapsed="false">
      <c r="A16" s="15" t="s">
        <v>1319</v>
      </c>
      <c r="B16" s="16" t="n">
        <f aca="false">SUM(Bordereau!U5:U411)</f>
        <v>344869.26</v>
      </c>
      <c r="C16" s="18"/>
    </row>
    <row r="17" customFormat="false" ht="15" hidden="false" customHeight="false" outlineLevel="0" collapsed="false">
      <c r="A17" s="15" t="s">
        <v>1320</v>
      </c>
      <c r="B17" s="16" t="n">
        <f aca="false">SUM(Bordereau!V5:V411)</f>
        <v>344869.26</v>
      </c>
      <c r="C17" s="18"/>
    </row>
    <row r="18" customFormat="false" ht="15" hidden="false" customHeight="false" outlineLevel="0" collapsed="false">
      <c r="A18" s="15" t="s">
        <v>1321</v>
      </c>
      <c r="B18" s="16" t="n">
        <f aca="false">SUM(Bordereau!W5:W411)</f>
        <v>344869.26</v>
      </c>
      <c r="C18" s="18"/>
    </row>
    <row r="19" customFormat="false" ht="15" hidden="false" customHeight="false" outlineLevel="0" collapsed="false">
      <c r="A19" s="15" t="s">
        <v>1322</v>
      </c>
      <c r="B19" s="16" t="n">
        <f aca="false">SUM(Bordereau!X5:X411)</f>
        <v>344869.26</v>
      </c>
      <c r="C19" s="18"/>
    </row>
    <row r="20" customFormat="false" ht="15" hidden="false" customHeight="false" outlineLevel="0" collapsed="false">
      <c r="A20" s="15" t="s">
        <v>1323</v>
      </c>
      <c r="B20" s="16" t="n">
        <f aca="false">SUM(Bordereau!Y5:Y411)</f>
        <v>344869.26</v>
      </c>
      <c r="C20" s="18"/>
    </row>
    <row r="21" customFormat="false" ht="15" hidden="false" customHeight="false" outlineLevel="0" collapsed="false">
      <c r="A21" s="15" t="s">
        <v>1324</v>
      </c>
      <c r="B21" s="16" t="n">
        <f aca="false">SUM(Bordereau!Z5:Z411)</f>
        <v>142450</v>
      </c>
      <c r="C21" s="18"/>
    </row>
    <row r="22" customFormat="false" ht="15" hidden="false" customHeight="false" outlineLevel="0" collapsed="false">
      <c r="A22" s="15" t="s">
        <v>1325</v>
      </c>
      <c r="B22" s="16" t="n">
        <f aca="false">SUM(Bordereau!AA5:AA411)</f>
        <v>22750</v>
      </c>
      <c r="C22" s="18"/>
    </row>
    <row r="23" customFormat="false" ht="15" hidden="false" customHeight="false" outlineLevel="0" collapsed="false">
      <c r="A23" s="15" t="s">
        <v>1326</v>
      </c>
      <c r="B23" s="16" t="n">
        <f aca="false">SUM(Bordereau!AB5:AB411)</f>
        <v>165200</v>
      </c>
      <c r="C23" s="18"/>
    </row>
    <row r="24" customFormat="false" ht="15" hidden="false" customHeight="false" outlineLevel="0" collapsed="false">
      <c r="A24" s="12" t="s">
        <v>1327</v>
      </c>
      <c r="B24" s="19" t="n">
        <f aca="false">B8+B9+B10</f>
        <v>4598256.76</v>
      </c>
      <c r="C24" s="18"/>
    </row>
    <row r="25" customFormat="false" ht="15" hidden="false" customHeight="false" outlineLevel="0" collapsed="false">
      <c r="A25" s="12" t="s">
        <v>1302</v>
      </c>
      <c r="B25" s="19" t="n">
        <f aca="false">ROUND(B6-(B8+B9+B10),2)</f>
        <v>0.2</v>
      </c>
      <c r="C25" s="18"/>
    </row>
    <row r="26" customFormat="false" ht="15" hidden="false" customHeight="false" outlineLevel="0" collapsed="false">
      <c r="A26" s="12" t="s">
        <v>1328</v>
      </c>
      <c r="B26" s="19" t="n">
        <f aca="false">B24+B25</f>
        <v>4598256.96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2026-08-28T18:30:51Z</dcterms:created>
  <dc:creator>openpyxl</dc:creator>
  <dc:description/>
  <dc:language>en-US</dc:language>
  <cp:lastModifiedBy/>
  <dcterms:modified xsi:type="dcterms:W3CDTF">2026-08-28T18:30:52Z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