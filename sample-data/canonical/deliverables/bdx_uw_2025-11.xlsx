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broedel-my.sharepoint.com/personal/joshua_broedel_net/Documents/Desktop/kent deliverables/kents templates/"/>
    </mc:Choice>
  </mc:AlternateContent>
  <xr:revisionPtr revIDLastSave="0" documentId="8_{72C4BDAB-BDEC-4D9D-9268-B635C22EBEC5}" xr6:coauthVersionLast="47" xr6:coauthVersionMax="47" xr10:uidLastSave="{00000000-0000-0000-0000-000000000000}"/>
  <bookViews>
    <workbookView xWindow="7665" yWindow="7665" windowWidth="14145" windowHeight="23445" tabRatio="500" activeTab="1" xr2:uid="{00000000-000D-0000-FFFF-FFFF00000000}"/>
  </bookViews>
  <sheets>
    <sheet name="README" sheetId="1" r:id="rId1"/>
    <sheet name="Header" sheetId="2" r:id="rId2"/>
    <sheet name="UW Bordereaux" sheetId="3" r:id="rId3"/>
    <sheet name="Reconciliation" sheetId="4" r:id="rId4"/>
    <sheet name="Field Definitions" sheetId="5" r:id="rId5"/>
    <sheet name="Lists" sheetId="6" r:id="rId6"/>
  </sheets>
  <externalReferences>
    <externalReference r:id="rId7"/>
  </externalReferences>
  <calcPr calcId="191029" iterateDelta="1E-4"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<sst xmlns="http://schemas.openxmlformats.org/spreadsheetml/2006/main" count="621" uniqueCount="445">
  <si>
    <t>EXOTIC &amp; COLLECTOR AUTOMOBILE MGA  —  UNDERWRITING BORDEREAUX</t>
  </si>
  <si>
    <t>Monthly delegated authority underwriting reporting to the Lloyd's syndicate panel. Distinct from the claims bordereaux — this reports bound policies, not claims.</t>
  </si>
  <si>
    <t>SHEETS IN THIS WORKBOOK</t>
  </si>
  <si>
    <t>Header</t>
  </si>
  <si>
    <t>Contract identification, reporting period, binding and discount authority limits, syndicate participation table, and a live submission control summary linking to the bordereaux data.</t>
  </si>
  <si>
    <t>UW Bordereaux</t>
  </si>
  <si>
    <t>The data sheet. One row per policy per reporting period. 56 columns, 200 pre-formatted rows. Blue columns are for entry; grey columns calculate. Report every risk — new business, renewals, endorsements, cancellations.</t>
  </si>
  <si>
    <t>Reconciliation</t>
  </si>
  <si>
    <t>Premium reconciliation (GWP minus commission equals net to capacity; total due reconciles through fees and tax) plus twelve automated submission control checks. Run before every submission.</t>
  </si>
  <si>
    <t>Field Definitions</t>
  </si>
  <si>
    <t>Every column explained with its population rule and source.</t>
  </si>
  <si>
    <t>Lists</t>
  </si>
  <si>
    <t>Source of every drop-down. Amend here to change available options.</t>
  </si>
  <si>
    <t>HOW THIS BORDEREAUX DIFFERS FROM THE CLAIMS BORDEREAUX</t>
  </si>
  <si>
    <t>-  The underwriting bordereaux reports POLICIES BOUND. The claims bordereaux reports CLAIMS NOTIFIED. Both go to the same syndicate panel under the same binding authority, but they are separate documents with separate submission schedules.</t>
  </si>
  <si>
    <t>-  The underwriting bordereaux is typically submitted monthly (or quarterly for lower-volume binders) and covers every risk bound, renewed, endorsed or cancelled in the period. It is the primary document the syndicates use to monitor premium volume, rate adequacy and class mix.</t>
  </si>
  <si>
    <t>-  Rate adequacy is the metric the lead syndicate watches most closely on a delegated motor book. The rate adequacy column and the Header summary are the underwriting bdx's equivalent of the loss ratio on the claims bdx — they tell the syndicate whether the coverholder is generating business at an adequate price.</t>
  </si>
  <si>
    <t>-  This bordereaux does not feed the claims bdx automatically — the two documents are matched by certificate number and insured name at the syndicate level during the bureau reconciliation process.</t>
  </si>
  <si>
    <t>HOW TO USE</t>
  </si>
  <si>
    <t>-  Complete the Header sheet before the first submission: UMR, coverholder name, PIN, reporting period, authority limits. These cells carry through to every calculation in the bordereaux data sheet.</t>
  </si>
  <si>
    <t>-  Enter one row per policy. For endorsements and renewals, carry the original certificate number and set the movement type accordingly — do not create a new certificate number.</t>
  </si>
  <si>
    <t>-  The technical premium column (AB) must be entered manually or copied from the Portfolio Register. It represents the rate-adequate price the rater produced before any UW judgement adjustment. If it is left blank, the GWP, rate adequacy and all downstream commission calculations will be blank too.</t>
  </si>
  <si>
    <t>-  Surplus lines tax rate (column AF) must be entered for every bound risk. The formula calculates the dollar amount, but the rate itself is your responsibility — verify it with the stamping office or your filing service before the bordereaux is sent.</t>
  </si>
  <si>
    <t>-  Run the Reconciliation sheet before every submission. Any FAIL must be resolved. A WARN on rate adequacy should be noted and explained to the lead syndicate; it does not block submission but will be questioned.</t>
  </si>
  <si>
    <t>-  Six specimen risks are pre-loaded to show the intended level of detail. Delete them before issuing to the syndicates.</t>
  </si>
  <si>
    <t>IMPORTANT — This template follows the general structure and field set of Lloyd's coverholder underwriting reporting, but it is NOT a certified Lloyd's Coverholder Reporting Standards file. Before your first submission, obtain the exact required template, mandatory field list and column order from your Lloyd's broker or the lead syndicate's delegated authority team. Requirements differ by syndicate, by class and by year of account, and they change annually. The LCRS v5.2 schema (and its successors) governs the accepted electronic format.</t>
  </si>
  <si>
    <t>UNDERWRITING BORDEREAUX  —  HEADER AND SUBMISSION DETAILS</t>
  </si>
  <si>
    <t>Complete before every submission. These fields identify the contract and reporting period.</t>
  </si>
  <si>
    <t>Commission stack: 25% total = 12.5% broker + 12.5% Torque Underwriters (MGA). Net to capacity 75%.</t>
  </si>
  <si>
    <t>Total ceding</t>
  </si>
  <si>
    <t>Broker</t>
  </si>
  <si>
    <t>Torque (MGA)</t>
  </si>
  <si>
    <t>PC hurdle</t>
  </si>
  <si>
    <t>PC share</t>
  </si>
  <si>
    <t>SECTION A  —  CONTRACT IDENTIFICATION</t>
  </si>
  <si>
    <t>Unique Market Reference (UMR)</t>
  </si>
  <si>
    <t>B1234EXOTIC26</t>
  </si>
  <si>
    <t>Must match exactly on every submission and on every certificate issued under the binder.</t>
  </si>
  <si>
    <t>Binding authority reference</t>
  </si>
  <si>
    <t>BA-EXO-2026-01</t>
  </si>
  <si>
    <t>Coverholder name</t>
  </si>
  <si>
    <t>[Your MGA legal entity name]</t>
  </si>
  <si>
    <t>Lloyd's coverholder PIN</t>
  </si>
  <si>
    <t>[PIN]</t>
  </si>
  <si>
    <t>Issued on coverholder approval. Required on every submission.</t>
  </si>
  <si>
    <t>Risk code</t>
  </si>
  <si>
    <t>MT</t>
  </si>
  <si>
    <t>Lloyd's risk code. MT = Motor. Confirm with your Lloyd's broker.</t>
  </si>
  <si>
    <t>Year of account</t>
  </si>
  <si>
    <t>Class of business</t>
  </si>
  <si>
    <t>Exotic, supercar and collector automobile</t>
  </si>
  <si>
    <t>Reporting period start</t>
  </si>
  <si>
    <t>Reporting period end</t>
  </si>
  <si>
    <t>Submission date</t>
  </si>
  <si>
    <t>Most binders require submission within 15–30 days of period end. Verify yours.</t>
  </si>
  <si>
    <t>Prepared by</t>
  </si>
  <si>
    <t>[Name, title]</t>
  </si>
  <si>
    <t>Reporting currency</t>
  </si>
  <si>
    <t>USD</t>
  </si>
  <si>
    <t>Settlement currency</t>
  </si>
  <si>
    <t>Coverholder binding authority limit (AV)</t>
  </si>
  <si>
    <t>$2,000,000</t>
  </si>
  <si>
    <t>Per Technical Premium row 16. Risks above this value require individual referral.</t>
  </si>
  <si>
    <t>Discount authority limit</t>
  </si>
  <si>
    <t>−15.0%</t>
  </si>
  <si>
    <t>Per Technical Premium row 19. Risks priced beyond this require senior approval.</t>
  </si>
  <si>
    <t>Minimum premium per policy</t>
  </si>
  <si>
    <t>Confirm in the binding authority wording. Applies irrespective of the formula result.</t>
  </si>
  <si>
    <t>SECTION B  —  SYNDICATE PARTICIPATION AND SHARE ALLOCATION</t>
  </si>
  <si>
    <t>Syndicate</t>
  </si>
  <si>
    <t>Managing agent</t>
  </si>
  <si>
    <t>Line % (share of risk)</t>
  </si>
  <si>
    <t>GWP at line</t>
  </si>
  <si>
    <t>Technical prem at line</t>
  </si>
  <si>
    <t>NET TO CAPACITY at line</t>
  </si>
  <si>
    <t>2623 / 623</t>
  </si>
  <si>
    <t>Beazley Furlonge Ltd</t>
  </si>
  <si>
    <t>33</t>
  </si>
  <si>
    <t>Hiscox Syndicates Ltd</t>
  </si>
  <si>
    <t>1084</t>
  </si>
  <si>
    <t>Chaucer Syndicates Ltd</t>
  </si>
  <si>
    <t>4020</t>
  </si>
  <si>
    <t>Ark Syndicate Management</t>
  </si>
  <si>
    <t>2987</t>
  </si>
  <si>
    <t>Brit Syndicates Ltd</t>
  </si>
  <si>
    <t>4444</t>
  </si>
  <si>
    <t>Canopius Managing Agents</t>
  </si>
  <si>
    <t>1969</t>
  </si>
  <si>
    <t>Apollo Syndicate Management</t>
  </si>
  <si>
    <t>1274</t>
  </si>
  <si>
    <t>Antares Managing Agency</t>
  </si>
  <si>
    <t>2001</t>
  </si>
  <si>
    <t>MS Amlin Underwriting</t>
  </si>
  <si>
    <t>1414</t>
  </si>
  <si>
    <t>Ascot Underwriting Ltd</t>
  </si>
  <si>
    <t>PANEL TOTAL</t>
  </si>
  <si>
    <t>SECTION C  —  SUBMISSION CONTROL SUMMARY  (live from UW Bordereaux)</t>
  </si>
  <si>
    <t>Policies reported this period</t>
  </si>
  <si>
    <t xml:space="preserve">  of which bound</t>
  </si>
  <si>
    <t xml:space="preserve">  of which declined / lapsed</t>
  </si>
  <si>
    <t>TOTAL GWP BOUND</t>
  </si>
  <si>
    <t>TOTAL TECHNICAL PREMIUM</t>
  </si>
  <si>
    <t>PORTFOLIO RATE ADEQUACY</t>
  </si>
  <si>
    <t>Total net premium to capacity</t>
  </si>
  <si>
    <t>Total policy fees collected</t>
  </si>
  <si>
    <t>Total surplus lines tax collected</t>
  </si>
  <si>
    <t>Risks above auto-bind limit</t>
  </si>
  <si>
    <t>Risks bound beyond discount auth.</t>
  </si>
  <si>
    <t>Missing certificate numbers</t>
  </si>
  <si>
    <t>Rows failing mandatory checks</t>
  </si>
  <si>
    <t>UNDERWRITING BORDEREAUX</t>
  </si>
  <si>
    <t>One row per policy per reporting period. Blue columns are for entry; grey columns calculate from the Portfolio Register or from other inputs. Report every bound risk — new business, renewals and endorsements.</t>
  </si>
  <si>
    <t>POLICY IDENTIFICATION</t>
  </si>
  <si>
    <t>RISK DATA</t>
  </si>
  <si>
    <t>GARAGING &amp; CAT</t>
  </si>
  <si>
    <t>COVERAGE TERMS</t>
  </si>
  <si>
    <t>PREMIUM  —  100% GROSS</t>
  </si>
  <si>
    <t>COMMISSION &amp; NET</t>
  </si>
  <si>
    <t>RATING METRICS</t>
  </si>
  <si>
    <t>CONTROLS</t>
  </si>
  <si>
    <t>DATA QUALITY</t>
  </si>
  <si>
    <t>Certificate / policy ref</t>
  </si>
  <si>
    <t>Named insured</t>
  </si>
  <si>
    <t>Effective date</t>
  </si>
  <si>
    <t>Binding status</t>
  </si>
  <si>
    <t>Movement type</t>
  </si>
  <si>
    <t>UMR</t>
  </si>
  <si>
    <t>Vehicle year</t>
  </si>
  <si>
    <t>Make</t>
  </si>
  <si>
    <t>Model</t>
  </si>
  <si>
    <t>VIN / chassis</t>
  </si>
  <si>
    <t>Vehicle class</t>
  </si>
  <si>
    <t>Agreed value (USD)</t>
  </si>
  <si>
    <t>Policy type</t>
  </si>
  <si>
    <t>Usage description</t>
  </si>
  <si>
    <t>Annual mileage band</t>
  </si>
  <si>
    <t>Garaging state</t>
  </si>
  <si>
    <t>Garaging ZIP</t>
  </si>
  <si>
    <t>Catastrophe zone</t>
  </si>
  <si>
    <t>Zone multiplier</t>
  </si>
  <si>
    <t>Cat deductible</t>
  </si>
  <si>
    <t>Valuation basis</t>
  </si>
  <si>
    <t>PD deductible</t>
  </si>
  <si>
    <t>Liability limit (CSL)</t>
  </si>
  <si>
    <t>Endorsements / special terms</t>
  </si>
  <si>
    <t>Conditions</t>
  </si>
  <si>
    <t>Surplus lines / admitted</t>
  </si>
  <si>
    <t>Technical premium (100%)</t>
  </si>
  <si>
    <t>UW judgement adj %</t>
  </si>
  <si>
    <t>GROSS WRITTEN PREMIUM (100%)</t>
  </si>
  <si>
    <t>Policy fee (100%)</t>
  </si>
  <si>
    <t>Inspection / appraisal fee</t>
  </si>
  <si>
    <t>Surplus lines tax %</t>
  </si>
  <si>
    <t>Surplus lines tax $</t>
  </si>
  <si>
    <t>Stamping fee $</t>
  </si>
  <si>
    <t>TOTAL DUE FROM INSURED (100%)</t>
  </si>
  <si>
    <t>Rate adequacy check</t>
  </si>
  <si>
    <t>Bind band</t>
  </si>
  <si>
    <t>Total ceding commission %</t>
  </si>
  <si>
    <t>Commission $ (100%)</t>
  </si>
  <si>
    <t>Broker commission $ 12.5% (100%)</t>
  </si>
  <si>
    <t>Torque (MGA) commission $ 12.5% (100%)</t>
  </si>
  <si>
    <t>NET TO CAPACITY 75% (100%)</t>
  </si>
  <si>
    <t>GWP at signed line</t>
  </si>
  <si>
    <t>Tech prem at signed line</t>
  </si>
  <si>
    <t>Technical rate per $100</t>
  </si>
  <si>
    <t>Charged rate per $100</t>
  </si>
  <si>
    <t>Portfolio rate adequacy</t>
  </si>
  <si>
    <t>Profit commission accrual</t>
  </si>
  <si>
    <t>MANDATORY FIELD CHECK</t>
  </si>
  <si>
    <t>Above auto-bind limit?</t>
  </si>
  <si>
    <t>Min premium met?</t>
  </si>
  <si>
    <t>Surplus lines tax verified?</t>
  </si>
  <si>
    <t>Signed by approver?</t>
  </si>
  <si>
    <t>Notes</t>
  </si>
  <si>
    <t>Class / year consistency</t>
  </si>
  <si>
    <t>Row foots to GWP</t>
  </si>
  <si>
    <t>EXO-2026-C-0001</t>
  </si>
  <si>
    <t>Carrera Holdings LLC</t>
  </si>
  <si>
    <t>Bound - within authority</t>
  </si>
  <si>
    <t>New business</t>
  </si>
  <si>
    <t>Ferrari</t>
  </si>
  <si>
    <t>296 GTB</t>
  </si>
  <si>
    <t>ZFF01SMA5P0290114</t>
  </si>
  <si>
    <t>03 - Supercar</t>
  </si>
  <si>
    <t>Personal</t>
  </si>
  <si>
    <t>Personal - regular use</t>
  </si>
  <si>
    <t>2,500 - 5,000</t>
  </si>
  <si>
    <t>Florida</t>
  </si>
  <si>
    <t>33139</t>
  </si>
  <si>
    <t>Tier 1 - Coastal wind / surge (0-1 mile, FEMA V or Coastal A)</t>
  </si>
  <si>
    <t>2% of agreed value, minimum $10,000</t>
  </si>
  <si>
    <t>Agreed Value</t>
  </si>
  <si>
    <t>$5,000</t>
  </si>
  <si>
    <t>$1,000,000 CSL</t>
  </si>
  <si>
    <t>EX-14 OEM parts guarantee</t>
  </si>
  <si>
    <t>Surplus Lines</t>
  </si>
  <si>
    <t>EXO-2026-C-0002</t>
  </si>
  <si>
    <t>Sonoran Collection Trust</t>
  </si>
  <si>
    <t>Bound - approved referral</t>
  </si>
  <si>
    <t>Bugatti</t>
  </si>
  <si>
    <t>Chiron Pur Sport</t>
  </si>
  <si>
    <t>VF9SP3V33MM795112</t>
  </si>
  <si>
    <t>04 - Hypercar</t>
  </si>
  <si>
    <t>Collector - pleasure use only</t>
  </si>
  <si>
    <t>Under 1,000</t>
  </si>
  <si>
    <t>Arizona</t>
  </si>
  <si>
    <t>85253</t>
  </si>
  <si>
    <t>Severe convective - hail / tornado (moderate)</t>
  </si>
  <si>
    <t>Agreed Value + Appreciation clause</t>
  </si>
  <si>
    <t>$100,000</t>
  </si>
  <si>
    <t>$5,000,000 CSL</t>
  </si>
  <si>
    <t>EX-04 Appreciation; EX-05 DIV; EX-09 Worldwide 90 days</t>
  </si>
  <si>
    <t>EXO-2026-C-0003</t>
  </si>
  <si>
    <t>Shelby</t>
  </si>
  <si>
    <t>Cobra 427</t>
  </si>
  <si>
    <t>CSX3178</t>
  </si>
  <si>
    <t>07 - Post-War Classic (1946-1972)</t>
  </si>
  <si>
    <t>Club touring / rallies (non-timed)</t>
  </si>
  <si>
    <t>1,000 - 2,500</t>
  </si>
  <si>
    <t>1% of agreed value, minimum $5,000</t>
  </si>
  <si>
    <t>$25,000</t>
  </si>
  <si>
    <t>$2,000,000 CSL</t>
  </si>
  <si>
    <t>EX-17 Pair &amp; Set</t>
  </si>
  <si>
    <t>EXO-2026-C-0004</t>
  </si>
  <si>
    <t>Meridian Motorcars LLC</t>
  </si>
  <si>
    <t>Lamborghini</t>
  </si>
  <si>
    <t>Huracan Tecnica</t>
  </si>
  <si>
    <t>ZHWUT4ZF2PLA20441</t>
  </si>
  <si>
    <t>Commercial</t>
  </si>
  <si>
    <t>Rental / exotic driving experience</t>
  </si>
  <si>
    <t>Over 15,000</t>
  </si>
  <si>
    <t>Nevada</t>
  </si>
  <si>
    <t>89109</t>
  </si>
  <si>
    <t>Low hazard - inland benign</t>
  </si>
  <si>
    <t>None - flat deductible applies</t>
  </si>
  <si>
    <t>Stated Value (up to)</t>
  </si>
  <si>
    <t>$10,000</t>
  </si>
  <si>
    <t>Renter agreement; GPS active</t>
  </si>
  <si>
    <t>EXO-2026-C-0005</t>
  </si>
  <si>
    <t>K. Reyes</t>
  </si>
  <si>
    <t>Porsche</t>
  </si>
  <si>
    <t>911 GT3 (991.2)</t>
  </si>
  <si>
    <t>WP0AC2A94HS270118</t>
  </si>
  <si>
    <t>02 - Sports / GT</t>
  </si>
  <si>
    <t>Rhode Island</t>
  </si>
  <si>
    <t>02906</t>
  </si>
  <si>
    <t>Tier 2 - Coastal wind (1-25 miles)</t>
  </si>
  <si>
    <t>HPDE certificate on file</t>
  </si>
  <si>
    <t>EXO-2026-C-0006</t>
  </si>
  <si>
    <t>Pacific Crest Garage LLC</t>
  </si>
  <si>
    <t>Singer Vehicle Design</t>
  </si>
  <si>
    <t>DLS Turbo Study</t>
  </si>
  <si>
    <t>SVD-TS-0042</t>
  </si>
  <si>
    <t>11 - Restomod / Coachbuilt / Bespoke</t>
  </si>
  <si>
    <t>California</t>
  </si>
  <si>
    <t>91302</t>
  </si>
  <si>
    <t>Wildfire - WUI high hazard</t>
  </si>
  <si>
    <t>1% of agreed value</t>
  </si>
  <si>
    <t>EX-05 DIV; EX-16 full glass</t>
  </si>
  <si>
    <t>UNDERWRITING BORDEREAUX  —  RECONCILIATION AND CONTROL CHECKS</t>
  </si>
  <si>
    <t>Run every check before submitting. A bordereaux with missing mandatory fields or a panel that does not sign 100% will be rejected.</t>
  </si>
  <si>
    <t>SECTION A  —  PREMIUM RECONCILIATION</t>
  </si>
  <si>
    <t>TOTAL GROSS WRITTEN PREMIUM (bound risks, 100%)</t>
  </si>
  <si>
    <t xml:space="preserve">  less: total commission (100%)</t>
  </si>
  <si>
    <t>NET PREMIUM TO CAPACITY (100%)</t>
  </si>
  <si>
    <t xml:space="preserve">  check: GWP less commission</t>
  </si>
  <si>
    <t>VARIANCE (should be zero)</t>
  </si>
  <si>
    <t>TOTAL DUE FROM INSUREDS</t>
  </si>
  <si>
    <t>Sum of GWP + fees + tax (check)</t>
  </si>
  <si>
    <t>Lead syndicate GWP at signed line</t>
  </si>
  <si>
    <t>Panel total GWP at signed line</t>
  </si>
  <si>
    <t>SECTION B  —  SUBMISSION CONTROL CHECKS</t>
  </si>
  <si>
    <t>Check</t>
  </si>
  <si>
    <t>Result</t>
  </si>
  <si>
    <t>Every bound risk has a certificate number</t>
  </si>
  <si>
    <t>Every row has a binding status</t>
  </si>
  <si>
    <t>Effective date present on all bound risks</t>
  </si>
  <si>
    <t>Technical premium entered on all bound risks</t>
  </si>
  <si>
    <t>Surplus lines tax % entered on all bound risks</t>
  </si>
  <si>
    <t>Verify rate with the stamping office before invoicing. Do not rely on defaults.</t>
  </si>
  <si>
    <t>No negative agreed values</t>
  </si>
  <si>
    <t>No agreed value below programme minimum ($100,000)</t>
  </si>
  <si>
    <t>Syndicate panel signs 100%</t>
  </si>
  <si>
    <t>Rate adequacy — no risk below 85%</t>
  </si>
  <si>
    <t>Warning only — not a hard stop. Refer risks below 85% to the lead syndicate.</t>
  </si>
  <si>
    <t>Risks at or above auto-bind limit</t>
  </si>
  <si>
    <t>Risks bound beyond discount authority</t>
  </si>
  <si>
    <t>Mandatory field check — all rows passing</t>
  </si>
  <si>
    <t>Do not submit until all rows show PASS in column AW of the bordereaux.</t>
  </si>
  <si>
    <t>Vehicle class matches vehicle year</t>
  </si>
  <si>
    <t>Every row foots: broker + Torque + net = GWP</t>
  </si>
  <si>
    <t>Commission splits sum to total ceding rate</t>
  </si>
  <si>
    <t>10 markets each at a 10% line, panel = 100%</t>
  </si>
  <si>
    <t>COMMISSION RECONCILIATION</t>
  </si>
  <si>
    <t>Gross written premium (100%)</t>
  </si>
  <si>
    <t xml:space="preserve">  Broker commission 12.5%</t>
  </si>
  <si>
    <t xml:space="preserve">  Torque (MGA) commission 12.5%</t>
  </si>
  <si>
    <t xml:space="preserve">  Net to capacity 75%</t>
  </si>
  <si>
    <t>Sum of the three components</t>
  </si>
  <si>
    <t>VARIANCE TO GWP</t>
  </si>
  <si>
    <t>Broker as % of GWP</t>
  </si>
  <si>
    <t>Torque as % of GWP</t>
  </si>
  <si>
    <t>Net to capacity as % of GWP</t>
  </si>
  <si>
    <t>Each 10% line receives (% of GWP)</t>
  </si>
  <si>
    <t>Rounding: broker and Torque commission are each ROUNDed to 2 decimals; net to capacity is derived as GWP less the two rounded commissions. Every row therefore foots to the cent and the book total foots exactly - no rounding plug is ever required.</t>
  </si>
  <si>
    <t>UNDERWRITING BORDEREAUX  —  FIELD DEFINITIONS</t>
  </si>
  <si>
    <t>Every column explained, with population rules and source.</t>
  </si>
  <si>
    <t>Col</t>
  </si>
  <si>
    <t>Field</t>
  </si>
  <si>
    <t>Type</t>
  </si>
  <si>
    <t>Source / notes</t>
  </si>
  <si>
    <t>A</t>
  </si>
  <si>
    <t>Free text</t>
  </si>
  <si>
    <t>Your unique certificate number for this risk. Must be consistent across all submissions and across both the claims and underwriting bordereaux for the same policy.</t>
  </si>
  <si>
    <t>B</t>
  </si>
  <si>
    <t>C</t>
  </si>
  <si>
    <t>Date</t>
  </si>
  <si>
    <t>D</t>
  </si>
  <si>
    <t>Drop-down</t>
  </si>
  <si>
    <t>E</t>
  </si>
  <si>
    <t>F</t>
  </si>
  <si>
    <t>G</t>
  </si>
  <si>
    <t>CALCULATED</t>
  </si>
  <si>
    <t>Calculated from the effective date. Lloyd's accounts are managed by year of account; do not use the reporting period date.</t>
  </si>
  <si>
    <t>H</t>
  </si>
  <si>
    <t>Number</t>
  </si>
  <si>
    <t>I</t>
  </si>
  <si>
    <t>J</t>
  </si>
  <si>
    <t>K</t>
  </si>
  <si>
    <t>L</t>
  </si>
  <si>
    <t>M</t>
  </si>
  <si>
    <t>Currency</t>
  </si>
  <si>
    <t>N</t>
  </si>
  <si>
    <t>O</t>
  </si>
  <si>
    <t>P</t>
  </si>
  <si>
    <t>Q</t>
  </si>
  <si>
    <t>R</t>
  </si>
  <si>
    <t>S</t>
  </si>
  <si>
    <t>T</t>
  </si>
  <si>
    <t>Calculated from the catastrophe zone using the multipliers on the Natural Catastrophe sheet. Feeds into the cat load component of the technical premium.</t>
  </si>
  <si>
    <t>U</t>
  </si>
  <si>
    <t>V</t>
  </si>
  <si>
    <t>W</t>
  </si>
  <si>
    <t>X</t>
  </si>
  <si>
    <t>Y</t>
  </si>
  <si>
    <t>Z</t>
  </si>
  <si>
    <t>AA</t>
  </si>
  <si>
    <t>AB</t>
  </si>
  <si>
    <t>Enter the technical premium from the Portfolio Register or the Rating Engine for this risk. It must reflect the rate-adequate price before any UW judgement adjustment.</t>
  </si>
  <si>
    <t>AC</t>
  </si>
  <si>
    <t>Percentage</t>
  </si>
  <si>
    <t>The adjustment applied above or below technical. Negative = below. Feeds the GWP calculation. Must be consistent with the value entered on the Portfolio Register.</t>
  </si>
  <si>
    <t>AD</t>
  </si>
  <si>
    <t>Calculated: technical premium × (1 + UW judgement adjustment %). Report at 100% of the risk regardless of syndicate share.</t>
  </si>
  <si>
    <t>AE</t>
  </si>
  <si>
    <t>AF</t>
  </si>
  <si>
    <t>AG</t>
  </si>
  <si>
    <t>AH</t>
  </si>
  <si>
    <t>Calculated: (GWP + policy fee + inspection fee) × surplus lines tax %. Verify the rate for every state — rates change frequently and the formula carries the rate you enter, not a live lookup.</t>
  </si>
  <si>
    <t>AI</t>
  </si>
  <si>
    <t>AJ</t>
  </si>
  <si>
    <t>Calculated: GWP + policy fee + inspection fee + surplus lines tax + stamping fee. This is the gross invoice amount before any commission is netted off.</t>
  </si>
  <si>
    <t>AK</t>
  </si>
  <si>
    <t>Calculated: total due ÷ technical premium. The portfolio rate adequacy in the Header summary uses GWP; this cell uses total due including fees, so it will be slightly above 100% even at technical.</t>
  </si>
  <si>
    <t>AL</t>
  </si>
  <si>
    <t>Whether the risk was written above, at, or below technical rate. BEYOND AUTHORITY means the discount exceeded the authority limit. Must match the Portfolio Register for the same risk.</t>
  </si>
  <si>
    <t>AM</t>
  </si>
  <si>
    <t>Linked from the Commission Structure sheet. If the commission rate is specific to this risk (e.g. a non-standard agreement), override manually and note it in the Notes column.</t>
  </si>
  <si>
    <t>AN</t>
  </si>
  <si>
    <t>From Portfolio Register</t>
  </si>
  <si>
    <t>AO</t>
  </si>
  <si>
    <t>Broker commission $ (100%)</t>
  </si>
  <si>
    <t>AP</t>
  </si>
  <si>
    <t>MGA net commission $ (100%)</t>
  </si>
  <si>
    <t>AQ</t>
  </si>
  <si>
    <t>GWP less total ceding commission. This is what reaches the Lloyd's trust fund before deduction of Lloyd's charges, central fund contributions and reinsurance.</t>
  </si>
  <si>
    <t>AR</t>
  </si>
  <si>
    <t>The lead syndicate's proportional share of GWP. Uses the lead line from the Header panel table; adjust if the lead line differs by risk.</t>
  </si>
  <si>
    <t>AS</t>
  </si>
  <si>
    <t>AT</t>
  </si>
  <si>
    <t>AU</t>
  </si>
  <si>
    <t>AV</t>
  </si>
  <si>
    <t>AW</t>
  </si>
  <si>
    <t>AX</t>
  </si>
  <si>
    <t>Calculated. Reads PASS when all sixteen mandatory fields are populated, FAIL followed by a description of what is missing when any are blank. Do not submit rows showing FAIL.</t>
  </si>
  <si>
    <t>AY</t>
  </si>
  <si>
    <t>Calculated against the threshold in Header row 18. A YES means an individual referral must be on file in the Referral Log before this row is submitted.</t>
  </si>
  <si>
    <t>AZ</t>
  </si>
  <si>
    <t>Calculated against the minimum premium in Header row 20. BELOW MIN PREMIUM means the premium must be loaded to the minimum, subject to the insured's consent.</t>
  </si>
  <si>
    <t>BA</t>
  </si>
  <si>
    <t>BB</t>
  </si>
  <si>
    <t>BC</t>
  </si>
  <si>
    <t>VALIDATION LISTS</t>
  </si>
  <si>
    <t>Source of every drop-down in this workbook.</t>
  </si>
  <si>
    <t>Movement Type</t>
  </si>
  <si>
    <t>Binding Status</t>
  </si>
  <si>
    <t>Policy Type</t>
  </si>
  <si>
    <t>Vehicle Class</t>
  </si>
  <si>
    <t>Valuation Basis</t>
  </si>
  <si>
    <t>Liability Limit</t>
  </si>
  <si>
    <t>Cat Zone</t>
  </si>
  <si>
    <t>Bind Band</t>
  </si>
  <si>
    <t>Yes No</t>
  </si>
  <si>
    <t>Surplus Lines Admitted</t>
  </si>
  <si>
    <t>01 - Luxury Sedan / SUV</t>
  </si>
  <si>
    <t>$300,000 CSL</t>
  </si>
  <si>
    <t>Above technical</t>
  </si>
  <si>
    <t>Yes</t>
  </si>
  <si>
    <t>Renewal</t>
  </si>
  <si>
    <t>$500,000 CSL</t>
  </si>
  <si>
    <t>At technical</t>
  </si>
  <si>
    <t>GBP</t>
  </si>
  <si>
    <t>No</t>
  </si>
  <si>
    <t>Admitted</t>
  </si>
  <si>
    <t>Mid-term endorsement</t>
  </si>
  <si>
    <t>Quoted - not yet bound</t>
  </si>
  <si>
    <t>Tier 3 - Coastal wind (25-100 miles)</t>
  </si>
  <si>
    <t>BELOW technical</t>
  </si>
  <si>
    <t>EUR</t>
  </si>
  <si>
    <t>London Direct</t>
  </si>
  <si>
    <t>Mid-term cancellation</t>
  </si>
  <si>
    <t>Declined</t>
  </si>
  <si>
    <t>Actual Cash Value</t>
  </si>
  <si>
    <t>Inland - hurricane remnant only (100+ miles)</t>
  </si>
  <si>
    <t>BEYOND AUTHORITY</t>
  </si>
  <si>
    <t>CAD</t>
  </si>
  <si>
    <t>Reinstatement</t>
  </si>
  <si>
    <t>Cancelled</t>
  </si>
  <si>
    <t>05 - Limited Edition / Track-Focused</t>
  </si>
  <si>
    <t>Severe convective - hail alley (high)</t>
  </si>
  <si>
    <t>Correction / restatement</t>
  </si>
  <si>
    <t>Lapsed</t>
  </si>
  <si>
    <t>06 - Vintage Pre-War (pre-1946)</t>
  </si>
  <si>
    <t>$10,000,000 CSL</t>
  </si>
  <si>
    <t>No change this period</t>
  </si>
  <si>
    <t>Void</t>
  </si>
  <si>
    <t>08 - Modern Classic (1973-1999)</t>
  </si>
  <si>
    <t>Wildfire - moderate hazard</t>
  </si>
  <si>
    <t>09 - Youngtimer / Collectible (2000-2010)</t>
  </si>
  <si>
    <t>Earthquake - high (CA, Cascadia, New Madrid)</t>
  </si>
  <si>
    <t>10 - Competition / Race Car</t>
  </si>
  <si>
    <t>Flood - FEMA SFHA (zone A / AE / V)</t>
  </si>
  <si>
    <t>Winter freeze / ice / severe road salt</t>
  </si>
  <si>
    <t>12 - Performance EV / Electric Hyper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</si>
</sst>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0;&quot;($&quot;#,##0\);\-"/>
    <numFmt numFmtId="165" formatCode="dd\-mmm\-yyyy"/>
    <numFmt numFmtId="166" formatCode="\$#,##0"/>
    <numFmt numFmtId="167" formatCode="0.0%"/>
    <numFmt numFmtId="168" formatCode="0.000"/>
    <numFmt numFmtId="169" formatCode="0.00%;\(0.00%\);\-"/>
    <numFmt numFmtId="170" formatCode="0.0%;\(0.0%\);\-"/>
    <numFmt numFmtId="171" formatCode="\$0.000"/>
    <numFmt numFmtId="172" formatCode="\$#,##0.00"/>
    <numFmt numFmtId="173" formatCode="0.000%"/>
  </numFmts>
  <fonts count="19" x14ac:knownFonts="1">
    <font>
      <sz val="11"/>
      <color theme="1"/>
      <name val="Calibri"/>
      <family val="2"/>
      <charset val="1"/>
    </font>
    <font>
      <b/>
      <sz val="14"/>
      <color rgb="FFFFFFFF"/>
      <name val="Arial"/>
      <charset val="1"/>
    </font>
    <font>
      <i/>
      <sz val="9"/>
      <color rgb="FFFFFFFF"/>
      <name val="Arial"/>
      <charset val="1"/>
    </font>
    <font>
      <b/>
      <sz val="11"/>
      <color rgb="FFFFFFFF"/>
      <name val="Arial"/>
      <charset val="1"/>
    </font>
    <font>
      <b/>
      <sz val="10"/>
      <name val="Arial"/>
      <charset val="1"/>
    </font>
    <font>
      <sz val="9"/>
      <name val="Arial"/>
      <charset val="1"/>
    </font>
    <font>
      <b/>
      <i/>
      <sz val="9"/>
      <color rgb="FFC00000"/>
      <name val="Arial"/>
      <charset val="1"/>
    </font>
    <font>
      <i/>
      <sz val="9"/>
      <color rgb="FF595959"/>
      <name val="Arial"/>
      <charset val="1"/>
    </font>
    <font>
      <sz val="9"/>
      <color rgb="FF0000FF"/>
      <name val="Arial"/>
      <charset val="1"/>
    </font>
    <font>
      <sz val="10"/>
      <name val="Arial"/>
      <charset val="1"/>
    </font>
    <font>
      <b/>
      <sz val="8"/>
      <color rgb="FFFFFFFF"/>
      <name val="Arial"/>
      <charset val="1"/>
    </font>
    <font>
      <b/>
      <sz val="11"/>
      <color rgb="FF1F3864"/>
      <name val="Arial"/>
      <charset val="1"/>
    </font>
    <font>
      <b/>
      <sz val="9"/>
      <color rgb="FFFFFFFF"/>
      <name val="Arial"/>
      <charset val="1"/>
    </font>
    <font>
      <sz val="8"/>
      <color rgb="FF0000FF"/>
      <name val="Arial"/>
      <charset val="1"/>
    </font>
    <font>
      <sz val="8"/>
      <color rgb="FF000000"/>
      <name val="Arial"/>
      <charset val="1"/>
    </font>
    <font>
      <b/>
      <sz val="8"/>
      <color rgb="FF1F3864"/>
      <name val="Arial"/>
      <charset val="1"/>
    </font>
    <font>
      <sz val="8"/>
      <name val="Arial"/>
      <charset val="1"/>
    </font>
    <font>
      <b/>
      <sz val="9"/>
      <color rgb="FFC00000"/>
      <name val="Arial"/>
      <charset val="1"/>
    </font>
    <font>
      <b/>
      <sz val="9"/>
      <name val="Arial"/>
      <charset val="1"/>
    </font>
  </fonts>
  <fills count="8">
    <fill>
      <patternFill patternType="none"/>
    </fill>
    <fill>
      <patternFill patternType="gray125"/>
    </fill>
    <fill>
      <patternFill patternType="solid">
        <fgColor rgb="FF1F3864"/>
        <bgColor rgb="FF333333"/>
      </patternFill>
    </fill>
    <fill>
      <patternFill patternType="solid">
        <fgColor rgb="FF2E5A88"/>
        <bgColor rgb="FF595959"/>
      </patternFill>
    </fill>
    <fill>
      <patternFill patternType="solid">
        <fgColor rgb="FFFFF2CC"/>
        <bgColor rgb="FFEDEDED"/>
      </patternFill>
    </fill>
    <fill>
      <patternFill patternType="solid">
        <fgColor rgb="FFF2F5FA"/>
        <bgColor rgb="FFEDEDED"/>
      </patternFill>
    </fill>
    <fill>
      <patternFill patternType="solid">
        <fgColor rgb="FFD9E2F3"/>
        <bgColor rgb="FFEDEDED"/>
      </patternFill>
    </fill>
    <fill>
      <patternFill patternType="solid">
        <fgColor rgb="FFEDEDED"/>
        <bgColor rgb="FFF2F5FA"/>
      </patternFill>
    </fill>
  </fills>
  <borders count="3">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bottom/>
      <diagonal/>
    </border>
  </borders>
  <cellStyleXfs count="1">
    <xf numFmtId="0" fontId="0" fillId="0" borderId="0"/>
  </cellStyleXfs>
  <cellXfs count="82">
    <xf numFmtId="0" fontId="0" fillId="0" borderId="0" xfId="0"/>
    <xf numFmtId="0" fontId="12" fillId="3" borderId="0" xfId="0" applyFont="1" applyFill="1" applyAlignment="1">
      <alignment horizontal="center"/>
    </xf>
    <xf numFmtId="0" fontId="6" fillId="0" borderId="0" xfId="0" applyFont="1"/>
    <xf numFmtId="0" fontId="5" fillId="0" borderId="0" xfId="0" applyFont="1" applyAlignment="1">
      <alignment vertical="top" wrapText="1"/>
    </xf>
    <xf numFmtId="0" fontId="4" fillId="0" borderId="0" xfId="0" applyFont="1"/>
    <xf numFmtId="0" fontId="5" fillId="0" borderId="0" xfId="0" applyFont="1"/>
    <xf numFmtId="10" fontId="8" fillId="4" borderId="1" xfId="0" applyNumberFormat="1" applyFont="1" applyFill="1" applyBorder="1" applyAlignment="1">
      <alignment horizontal="center"/>
    </xf>
    <xf numFmtId="0" fontId="9" fillId="0" borderId="0" xfId="0" applyFont="1"/>
    <xf numFmtId="0" fontId="8" fillId="4" borderId="1" xfId="0" applyFont="1" applyFill="1" applyBorder="1" applyAlignment="1">
      <alignment horizontal="center"/>
    </xf>
    <xf numFmtId="0" fontId="7" fillId="0" borderId="0" xfId="0" applyFont="1"/>
    <xf numFmtId="164" fontId="8" fillId="4" borderId="1" xfId="0" applyNumberFormat="1" applyFont="1" applyFill="1" applyBorder="1" applyAlignment="1">
      <alignment horizontal="center"/>
    </xf>
    <xf numFmtId="165" fontId="8" fillId="4" borderId="1" xfId="0" applyNumberFormat="1" applyFont="1" applyFill="1" applyBorder="1" applyAlignment="1">
      <alignment horizontal="center"/>
    </xf>
    <xf numFmtId="0" fontId="10" fillId="3" borderId="1" xfId="0" applyFont="1" applyFill="1" applyBorder="1" applyAlignment="1">
      <alignment horizontal="center" vertical="center" wrapText="1"/>
    </xf>
    <xf numFmtId="0" fontId="4" fillId="0" borderId="1" xfId="0" applyFont="1" applyBorder="1" applyAlignment="1">
      <alignment horizontal="center"/>
    </xf>
    <xf numFmtId="0" fontId="5" fillId="0" borderId="1" xfId="0" applyFont="1" applyBorder="1" applyAlignment="1">
      <alignment horizontal="left"/>
    </xf>
    <xf numFmtId="164" fontId="5" fillId="0" borderId="1" xfId="0" applyNumberFormat="1" applyFont="1" applyBorder="1" applyAlignment="1">
      <alignment horizontal="center"/>
    </xf>
    <xf numFmtId="0" fontId="4" fillId="5" borderId="1" xfId="0" applyFont="1" applyFill="1" applyBorder="1" applyAlignment="1">
      <alignment horizontal="center"/>
    </xf>
    <xf numFmtId="0" fontId="5" fillId="5" borderId="1" xfId="0" applyFont="1" applyFill="1" applyBorder="1" applyAlignment="1">
      <alignment horizontal="left"/>
    </xf>
    <xf numFmtId="10" fontId="8" fillId="5" borderId="1" xfId="0" applyNumberFormat="1" applyFont="1" applyFill="1" applyBorder="1" applyAlignment="1">
      <alignment horizontal="center"/>
    </xf>
    <xf numFmtId="164" fontId="5" fillId="5" borderId="1" xfId="0" applyNumberFormat="1" applyFont="1" applyFill="1" applyBorder="1" applyAlignment="1">
      <alignment horizontal="center"/>
    </xf>
    <xf numFmtId="0" fontId="11" fillId="6" borderId="1" xfId="0" applyFont="1" applyFill="1" applyBorder="1" applyAlignment="1">
      <alignment horizontal="center"/>
    </xf>
    <xf numFmtId="10" fontId="11" fillId="6" borderId="1" xfId="0" applyNumberFormat="1" applyFont="1" applyFill="1" applyBorder="1" applyAlignment="1">
      <alignment horizontal="center"/>
    </xf>
    <xf numFmtId="164" fontId="11" fillId="6" borderId="1" xfId="0" applyNumberFormat="1" applyFont="1" applyFill="1" applyBorder="1" applyAlignment="1">
      <alignment horizontal="center"/>
    </xf>
    <xf numFmtId="0" fontId="9" fillId="0" borderId="1" xfId="0" applyFont="1" applyBorder="1"/>
    <xf numFmtId="3" fontId="9" fillId="0" borderId="1" xfId="0" applyNumberFormat="1" applyFont="1" applyBorder="1" applyAlignment="1">
      <alignment horizontal="center"/>
    </xf>
    <xf numFmtId="0" fontId="11" fillId="6" borderId="1" xfId="0" applyFont="1" applyFill="1" applyBorder="1"/>
    <xf numFmtId="166" fontId="11" fillId="6" borderId="1" xfId="0" applyNumberFormat="1" applyFont="1" applyFill="1" applyBorder="1" applyAlignment="1">
      <alignment horizontal="center"/>
    </xf>
    <xf numFmtId="167" fontId="11" fillId="6" borderId="1" xfId="0" applyNumberFormat="1" applyFont="1" applyFill="1" applyBorder="1" applyAlignment="1">
      <alignment horizontal="center"/>
    </xf>
    <xf numFmtId="166" fontId="9" fillId="0" borderId="1" xfId="0" applyNumberFormat="1" applyFont="1" applyBorder="1" applyAlignment="1">
      <alignment horizontal="center"/>
    </xf>
    <xf numFmtId="0" fontId="0" fillId="3" borderId="0" xfId="0" applyFill="1"/>
    <xf numFmtId="0" fontId="13" fillId="0" borderId="1" xfId="0" applyFont="1" applyBorder="1" applyAlignment="1">
      <alignment horizontal="left" vertical="center" wrapText="1"/>
    </xf>
    <xf numFmtId="165" fontId="13" fillId="0" borderId="1" xfId="0" applyNumberFormat="1" applyFont="1" applyBorder="1" applyAlignment="1">
      <alignment horizontal="center" vertical="center" wrapText="1"/>
    </xf>
    <xf numFmtId="0" fontId="13" fillId="0" borderId="1" xfId="0" applyFont="1" applyBorder="1" applyAlignment="1">
      <alignment horizontal="center" vertical="center" wrapText="1"/>
    </xf>
    <xf numFmtId="3" fontId="14" fillId="7" borderId="1" xfId="0" applyNumberFormat="1" applyFont="1" applyFill="1" applyBorder="1" applyAlignment="1">
      <alignment horizontal="center" vertical="center" wrapText="1"/>
    </xf>
    <xf numFmtId="3" fontId="13" fillId="0" borderId="1" xfId="0" applyNumberFormat="1" applyFont="1" applyBorder="1" applyAlignment="1">
      <alignment horizontal="center" vertical="center" wrapText="1"/>
    </xf>
    <xf numFmtId="164" fontId="13" fillId="0" borderId="1" xfId="0" applyNumberFormat="1" applyFont="1" applyBorder="1" applyAlignment="1">
      <alignment horizontal="center" vertical="center" wrapText="1"/>
    </xf>
    <xf numFmtId="168" fontId="14" fillId="7" borderId="1" xfId="0" applyNumberFormat="1" applyFont="1" applyFill="1" applyBorder="1" applyAlignment="1">
      <alignment horizontal="center" vertical="center" wrapText="1"/>
    </xf>
    <xf numFmtId="169" fontId="13" fillId="0" borderId="1" xfId="0" applyNumberFormat="1" applyFont="1" applyBorder="1" applyAlignment="1">
      <alignment horizontal="center" vertical="center" wrapText="1"/>
    </xf>
    <xf numFmtId="164" fontId="15" fillId="7" borderId="1" xfId="0" applyNumberFormat="1" applyFont="1" applyFill="1" applyBorder="1" applyAlignment="1">
      <alignment horizontal="center" vertical="center" wrapText="1"/>
    </xf>
    <xf numFmtId="164" fontId="14" fillId="7" borderId="1" xfId="0" applyNumberFormat="1" applyFont="1" applyFill="1" applyBorder="1" applyAlignment="1">
      <alignment horizontal="center" vertical="center" wrapText="1"/>
    </xf>
    <xf numFmtId="170" fontId="14" fillId="7" borderId="1" xfId="0" applyNumberFormat="1" applyFont="1" applyFill="1" applyBorder="1" applyAlignment="1">
      <alignment horizontal="center" vertical="center" wrapText="1"/>
    </xf>
    <xf numFmtId="169" fontId="14" fillId="7" borderId="1" xfId="0" applyNumberFormat="1" applyFont="1" applyFill="1" applyBorder="1" applyAlignment="1">
      <alignment horizontal="center" vertical="center" wrapText="1"/>
    </xf>
    <xf numFmtId="171" fontId="14" fillId="7" borderId="1" xfId="0" applyNumberFormat="1" applyFont="1" applyFill="1" applyBorder="1" applyAlignment="1">
      <alignment horizontal="center" vertical="center" wrapText="1"/>
    </xf>
    <xf numFmtId="0" fontId="15" fillId="7" borderId="1" xfId="0" applyFont="1" applyFill="1" applyBorder="1" applyAlignment="1">
      <alignment horizontal="center" vertical="center" wrapText="1"/>
    </xf>
    <xf numFmtId="0" fontId="14" fillId="7" borderId="1" xfId="0" applyFont="1" applyFill="1" applyBorder="1" applyAlignment="1">
      <alignment horizontal="center" vertical="center" wrapText="1"/>
    </xf>
    <xf numFmtId="0" fontId="16" fillId="0" borderId="1" xfId="0" applyFont="1" applyBorder="1" applyAlignment="1">
      <alignment horizontal="center" wrapText="1"/>
    </xf>
    <xf numFmtId="0" fontId="13" fillId="5" borderId="1" xfId="0" applyFont="1" applyFill="1" applyBorder="1" applyAlignment="1">
      <alignment horizontal="left" vertical="center" wrapText="1"/>
    </xf>
    <xf numFmtId="165" fontId="13" fillId="5" borderId="1" xfId="0" applyNumberFormat="1" applyFont="1" applyFill="1" applyBorder="1" applyAlignment="1">
      <alignment horizontal="center" vertical="center" wrapText="1"/>
    </xf>
    <xf numFmtId="0" fontId="13" fillId="5" borderId="1" xfId="0" applyFont="1" applyFill="1" applyBorder="1" applyAlignment="1">
      <alignment horizontal="center" vertical="center" wrapText="1"/>
    </xf>
    <xf numFmtId="3" fontId="13" fillId="5" borderId="1" xfId="0" applyNumberFormat="1" applyFont="1" applyFill="1" applyBorder="1" applyAlignment="1">
      <alignment horizontal="center" vertical="center" wrapText="1"/>
    </xf>
    <xf numFmtId="164" fontId="13" fillId="5" borderId="1" xfId="0" applyNumberFormat="1" applyFont="1" applyFill="1" applyBorder="1" applyAlignment="1">
      <alignment horizontal="center" vertical="center" wrapText="1"/>
    </xf>
    <xf numFmtId="169" fontId="13" fillId="5" borderId="1" xfId="0" applyNumberFormat="1" applyFont="1" applyFill="1" applyBorder="1" applyAlignment="1">
      <alignment horizontal="center" vertical="center" wrapText="1"/>
    </xf>
    <xf numFmtId="164" fontId="9" fillId="0" borderId="1" xfId="0" applyNumberFormat="1" applyFont="1" applyBorder="1" applyAlignment="1">
      <alignment horizontal="center"/>
    </xf>
    <xf numFmtId="0" fontId="17" fillId="0" borderId="0" xfId="0" applyFont="1"/>
    <xf numFmtId="172" fontId="9" fillId="0" borderId="1" xfId="0" applyNumberFormat="1" applyFont="1" applyBorder="1" applyAlignment="1">
      <alignment horizontal="center"/>
    </xf>
    <xf numFmtId="0" fontId="5" fillId="0" borderId="1" xfId="0" applyFont="1" applyBorder="1"/>
    <xf numFmtId="0" fontId="5" fillId="5" borderId="1" xfId="0" applyFont="1" applyFill="1" applyBorder="1"/>
    <xf numFmtId="0" fontId="5" fillId="0" borderId="1" xfId="0" applyFont="1" applyBorder="1" applyAlignment="1">
      <alignment vertical="top" wrapText="1"/>
    </xf>
    <xf numFmtId="172" fontId="11" fillId="6" borderId="1" xfId="0" applyNumberFormat="1" applyFont="1" applyFill="1" applyBorder="1" applyAlignment="1">
      <alignment horizontal="center"/>
    </xf>
    <xf numFmtId="172" fontId="5" fillId="0" borderId="1" xfId="0" applyNumberFormat="1" applyFont="1" applyBorder="1" applyAlignment="1">
      <alignment horizontal="center"/>
    </xf>
    <xf numFmtId="173" fontId="5" fillId="0" borderId="1" xfId="0" applyNumberFormat="1" applyFont="1" applyBorder="1" applyAlignment="1">
      <alignment horizontal="center"/>
    </xf>
    <xf numFmtId="0" fontId="5" fillId="0" borderId="1" xfId="0" applyFont="1" applyBorder="1" applyAlignment="1">
      <alignment horizontal="center"/>
    </xf>
    <xf numFmtId="0" fontId="4" fillId="0" borderId="1" xfId="0" applyFont="1" applyBorder="1"/>
    <xf numFmtId="0" fontId="5" fillId="5" borderId="1" xfId="0" applyFont="1" applyFill="1" applyBorder="1" applyAlignment="1">
      <alignment horizontal="center"/>
    </xf>
    <xf numFmtId="0" fontId="4" fillId="5" borderId="1" xfId="0" applyFont="1" applyFill="1" applyBorder="1"/>
    <xf numFmtId="0" fontId="17" fillId="0" borderId="1" xfId="0" applyFont="1" applyBorder="1" applyAlignment="1">
      <alignment horizontal="center"/>
    </xf>
    <xf numFmtId="0" fontId="17" fillId="5" borderId="1" xfId="0" applyFont="1" applyFill="1" applyBorder="1" applyAlignment="1">
      <alignment horizontal="center"/>
    </xf>
    <xf numFmtId="0" fontId="6" fillId="0" borderId="0" xfId="0" applyFont="1"/>
    <xf numFmtId="0" fontId="3" fillId="3" borderId="0" xfId="0" applyFont="1" applyFill="1"/>
    <xf numFmtId="0" fontId="1" fillId="2" borderId="0" xfId="0" applyFont="1" applyFill="1"/>
    <xf numFmtId="0" fontId="2" fillId="2" borderId="0" xfId="0" applyFont="1" applyFill="1"/>
    <xf numFmtId="0" fontId="7" fillId="0" borderId="0" xfId="0" applyFont="1" applyAlignment="1">
      <alignment wrapText="1"/>
    </xf>
    <xf numFmtId="0" fontId="6" fillId="0" borderId="0" xfId="0" applyFont="1" applyAlignment="1">
      <alignment vertical="top" wrapText="1"/>
    </xf>
    <xf numFmtId="0" fontId="5" fillId="0" borderId="0" xfId="0" applyFont="1" applyAlignment="1">
      <alignment vertical="top" wrapText="1"/>
    </xf>
    <xf numFmtId="0" fontId="12" fillId="3" borderId="0" xfId="0" applyFont="1" applyFill="1" applyAlignment="1">
      <alignment horizontal="center"/>
    </xf>
    <xf numFmtId="0" fontId="18" fillId="5" borderId="1" xfId="0" applyFont="1" applyFill="1" applyBorder="1"/>
    <xf numFmtId="0" fontId="18" fillId="0" borderId="1" xfId="0" applyFont="1" applyBorder="1"/>
    <xf numFmtId="0" fontId="7" fillId="0" borderId="0" xfId="0" applyFont="1" applyAlignment="1">
      <alignment vertical="top" wrapText="1"/>
    </xf>
    <xf numFmtId="0" fontId="7" fillId="0" borderId="2" xfId="0" applyFont="1" applyBorder="1"/>
    <xf numFmtId="0" fontId="7" fillId="5" borderId="2" xfId="0" applyFont="1" applyFill="1" applyBorder="1"/>
    <xf numFmtId="0" fontId="5" fillId="5" borderId="1" xfId="0" applyFont="1" applyFill="1" applyBorder="1" applyAlignment="1">
      <alignment vertical="center" wrapText="1"/>
    </xf>
    <xf numFmtId="0" fontId="5" fillId="0" borderId="1" xfId="0" applyFont="1" applyBorder="1" applyAlignment="1">
      <alignmen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5FA"/>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EDEDED"/>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2E5A8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natural%20catastroph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tural catastrophe"/>
    </sheetNames>
    <sheetDataSet>
      <sheetData sheetId="0" refreshError="1"/>
    </sheetDataSet>
  </externalBook>
</externalLink>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1"/>
  <sheetViews>
    <sheetView showGridLines="0" zoomScaleNormal="100" workbookViewId="0"/>
  </sheetViews>
  <sheetFormatPr defaultColWidth="8.5703125" defaultRowHeight="15" x14ac:dyDescent="0.25"/>
  <cols>
    <col min="1" max="1" width="2" customWidth="1"/>
    <col min="2" max="2" width="30" customWidth="1"/>
    <col min="3" max="3" width="100" customWidth="1"/>
    <col min="4" max="7" width="14" customWidth="1"/>
  </cols>
  <sheetData>
    <row r="1" spans="1:7" ht="25.5" customHeight="1" x14ac:dyDescent="0.25">
      <c r="A1" s="69" t="s">
        <v>0</v>
      </c>
      <c r="B1" s="69"/>
      <c r="C1" s="69"/>
      <c r="D1" s="69"/>
      <c r="E1" s="69"/>
      <c r="F1" s="69"/>
      <c r="G1" s="69"/>
    </row>
    <row r="2" spans="1:7" ht="15" customHeight="1" x14ac:dyDescent="0.25">
      <c r="A2" s="70" t="s">
        <v>1</v>
      </c>
      <c r="B2" s="70"/>
      <c r="C2" s="70"/>
      <c r="D2" s="70"/>
      <c r="E2" s="70"/>
      <c r="F2" s="70"/>
      <c r="G2" s="70"/>
    </row>
    <row r="4" spans="1:7" ht="18" customHeight="1" x14ac:dyDescent="0.25">
      <c r="B4" s="68" t="s">
        <v>2</v>
      </c>
      <c r="C4" s="68"/>
      <c r="D4" s="68"/>
      <c r="E4" s="68"/>
      <c r="F4" s="68"/>
      <c r="G4" s="68"/>
    </row>
    <row r="6" spans="1:7" ht="31.5" customHeight="1" x14ac:dyDescent="0.25">
      <c r="B6" s="4" t="s">
        <v>3</v>
      </c>
      <c r="C6" s="3" t="s">
        <v>4</v>
      </c>
    </row>
    <row r="7" spans="1:7" ht="31.5" customHeight="1" x14ac:dyDescent="0.25">
      <c r="B7" s="4" t="s">
        <v>5</v>
      </c>
      <c r="C7" s="3" t="s">
        <v>6</v>
      </c>
    </row>
    <row r="8" spans="1:7" ht="31.5" customHeight="1" x14ac:dyDescent="0.25">
      <c r="B8" s="4" t="s">
        <v>7</v>
      </c>
      <c r="C8" s="3" t="s">
        <v>8</v>
      </c>
    </row>
    <row r="9" spans="1:7" ht="31.5" customHeight="1" x14ac:dyDescent="0.25">
      <c r="B9" s="4" t="s">
        <v>9</v>
      </c>
      <c r="C9" s="3" t="s">
        <v>10</v>
      </c>
    </row>
    <row r="10" spans="1:7" ht="31.5" customHeight="1" x14ac:dyDescent="0.25">
      <c r="B10" s="4" t="s">
        <v>11</v>
      </c>
      <c r="C10" s="3" t="s">
        <v>12</v>
      </c>
    </row>
    <row r="12" spans="1:7" ht="18" customHeight="1" x14ac:dyDescent="0.25">
      <c r="B12" s="68" t="s">
        <v>13</v>
      </c>
      <c r="C12" s="68"/>
      <c r="D12" s="68"/>
      <c r="E12" s="68"/>
      <c r="F12" s="68"/>
      <c r="G12" s="68"/>
    </row>
    <row r="14" spans="1:7" ht="30" customHeight="1" x14ac:dyDescent="0.25">
      <c r="B14" s="73" t="s">
        <v>14</v>
      </c>
      <c r="C14" s="73"/>
      <c r="D14" s="73"/>
      <c r="E14" s="73"/>
      <c r="F14" s="73"/>
      <c r="G14" s="73"/>
    </row>
    <row r="15" spans="1:7" ht="30" customHeight="1" x14ac:dyDescent="0.25">
      <c r="B15" s="73" t="s">
        <v>15</v>
      </c>
      <c r="C15" s="73"/>
      <c r="D15" s="73"/>
      <c r="E15" s="73"/>
      <c r="F15" s="73"/>
      <c r="G15" s="73"/>
    </row>
    <row r="16" spans="1:7" ht="30" customHeight="1" x14ac:dyDescent="0.25">
      <c r="B16" s="73" t="s">
        <v>16</v>
      </c>
      <c r="C16" s="73"/>
      <c r="D16" s="73"/>
      <c r="E16" s="73"/>
      <c r="F16" s="73"/>
      <c r="G16" s="73"/>
    </row>
    <row r="17" spans="2:7" ht="30" customHeight="1" x14ac:dyDescent="0.25">
      <c r="B17" s="73" t="s">
        <v>17</v>
      </c>
      <c r="C17" s="73"/>
      <c r="D17" s="73"/>
      <c r="E17" s="73"/>
      <c r="F17" s="73"/>
      <c r="G17" s="73"/>
    </row>
    <row r="19" spans="2:7" ht="18" customHeight="1" x14ac:dyDescent="0.25">
      <c r="B19" s="68" t="s">
        <v>18</v>
      </c>
      <c r="C19" s="68"/>
      <c r="D19" s="68"/>
      <c r="E19" s="68"/>
      <c r="F19" s="68"/>
      <c r="G19" s="68"/>
    </row>
    <row r="21" spans="2:7" ht="27.75" customHeight="1" x14ac:dyDescent="0.25">
      <c r="B21" s="73" t="s">
        <v>19</v>
      </c>
      <c r="C21" s="73"/>
      <c r="D21" s="73"/>
      <c r="E21" s="73"/>
      <c r="F21" s="73"/>
      <c r="G21" s="73"/>
    </row>
    <row r="22" spans="2:7" ht="27.75" customHeight="1" x14ac:dyDescent="0.25">
      <c r="B22" s="73" t="s">
        <v>20</v>
      </c>
      <c r="C22" s="73"/>
      <c r="D22" s="73"/>
      <c r="E22" s="73"/>
      <c r="F22" s="73"/>
      <c r="G22" s="73"/>
    </row>
    <row r="23" spans="2:7" ht="27.75" customHeight="1" x14ac:dyDescent="0.25">
      <c r="B23" s="73" t="s">
        <v>21</v>
      </c>
      <c r="C23" s="73"/>
      <c r="D23" s="73"/>
      <c r="E23" s="73"/>
      <c r="F23" s="73"/>
      <c r="G23" s="73"/>
    </row>
    <row r="24" spans="2:7" ht="27.75" customHeight="1" x14ac:dyDescent="0.25">
      <c r="B24" s="73" t="s">
        <v>22</v>
      </c>
      <c r="C24" s="73"/>
      <c r="D24" s="73"/>
      <c r="E24" s="73"/>
      <c r="F24" s="73"/>
      <c r="G24" s="73"/>
    </row>
    <row r="25" spans="2:7" ht="27.75" customHeight="1" x14ac:dyDescent="0.25">
      <c r="B25" s="73" t="s">
        <v>23</v>
      </c>
      <c r="C25" s="73"/>
      <c r="D25" s="73"/>
      <c r="E25" s="73"/>
      <c r="F25" s="73"/>
      <c r="G25" s="73"/>
    </row>
    <row r="26" spans="2:7" ht="27.75" customHeight="1" x14ac:dyDescent="0.25">
      <c r="B26" s="73" t="s">
        <v>24</v>
      </c>
      <c r="C26" s="73"/>
      <c r="D26" s="73"/>
      <c r="E26" s="73"/>
      <c r="F26" s="73"/>
      <c r="G26" s="73"/>
    </row>
    <row r="28" spans="2:7" ht="15" customHeight="1" x14ac:dyDescent="0.25">
      <c r="B28" s="72" t="s">
        <v>25</v>
      </c>
      <c r="C28" s="72"/>
      <c r="D28" s="72"/>
      <c r="E28" s="72"/>
      <c r="F28" s="72"/>
      <c r="G28" s="72"/>
    </row>
    <row r="29" spans="2:7" ht="15" customHeight="1" x14ac:dyDescent="0.25">
      <c r="B29" s="72"/>
      <c r="C29" s="72"/>
      <c r="D29" s="72"/>
      <c r="E29" s="72"/>
      <c r="F29" s="72"/>
      <c r="G29" s="72"/>
    </row>
    <row r="30" spans="2:7" ht="15" customHeight="1" x14ac:dyDescent="0.25">
      <c r="B30" s="72"/>
      <c r="C30" s="72"/>
      <c r="D30" s="72"/>
      <c r="E30" s="72"/>
      <c r="F30" s="72"/>
      <c r="G30" s="72"/>
    </row>
    <row r="31" spans="2:7" ht="15" customHeight="1" x14ac:dyDescent="0.25">
      <c r="B31" s="72"/>
      <c r="C31" s="72"/>
      <c r="D31" s="72"/>
      <c r="E31" s="72"/>
      <c r="F31" s="72"/>
      <c r="G31" s="72"/>
    </row>
  </sheetData>
  <mergeCells count="16">
    <mergeCell ref="A1:G1"/>
    <mergeCell ref="A2:G2"/>
    <mergeCell ref="B4:G4"/>
    <mergeCell ref="B12:G12"/>
    <mergeCell ref="B14:G14"/>
    <mergeCell ref="B15:G15"/>
    <mergeCell ref="B16:G16"/>
    <mergeCell ref="B17:G17"/>
    <mergeCell ref="B19:G19"/>
    <mergeCell ref="B21:G21"/>
    <mergeCell ref="B28:G31"/>
    <mergeCell ref="B22:G22"/>
    <mergeCell ref="B23:G23"/>
    <mergeCell ref="B24:G24"/>
    <mergeCell ref="B25:G25"/>
    <mergeCell ref="B26:G26"/>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50"/>
  <sheetViews>
    <sheetView showGridLines="0" tabSelected="1" topLeftCell="A13" zoomScaleNormal="100" workbookViewId="0">
      <selection activeCell="A28" sqref="A28"/>
    </sheetView>
  </sheetViews>
  <sheetFormatPr defaultColWidth="8.5703125" defaultRowHeight="15" x14ac:dyDescent="0.25"/>
  <cols>
    <col min="1" max="1" width="2" customWidth="1"/>
    <col min="2" max="2" width="40" customWidth="1"/>
    <col min="3" max="3" width="34" customWidth="1"/>
    <col min="4" max="6" width="16" customWidth="1"/>
    <col min="7" max="7" width="62" customWidth="1"/>
  </cols>
  <sheetData>
    <row r="1" spans="1:18" ht="25.5" customHeight="1" x14ac:dyDescent="0.25">
      <c r="A1" s="69" t="s">
        <v>26</v>
      </c>
      <c r="B1" s="69"/>
      <c r="C1" s="69"/>
      <c r="D1" s="69"/>
      <c r="E1" s="69"/>
      <c r="F1" s="69"/>
      <c r="G1" s="69"/>
    </row>
    <row r="2" spans="1:18" ht="15" customHeight="1" x14ac:dyDescent="0.25">
      <c r="A2" s="70" t="s">
        <v>27</v>
      </c>
      <c r="B2" s="70"/>
      <c r="C2" s="70"/>
      <c r="D2" s="70"/>
      <c r="E2" s="70"/>
      <c r="F2" s="70"/>
      <c r="G2" s="70"/>
    </row>
    <row r="3" spans="1:18" ht="27.75" customHeight="1" x14ac:dyDescent="0.25">
      <c r="B3" s="71" t="s">
        <v>28</v>
      </c>
      <c r="C3" s="71"/>
      <c r="D3" s="71"/>
      <c r="E3" s="71"/>
      <c r="F3" s="71"/>
      <c r="G3" s="71"/>
      <c r="H3" s="5" t="s">
        <v>29</v>
      </c>
      <c r="I3" s="6">
        <v>0.25</v>
      </c>
      <c r="J3" s="5" t="s">
        <v>30</v>
      </c>
      <c r="K3" s="6">
        <v>0.125</v>
      </c>
      <c r="L3" s="5" t="s">
        <v>31</v>
      </c>
      <c r="M3" s="6">
        <v>0.125</v>
      </c>
      <c r="N3" s="5" t="s">
        <v>32</v>
      </c>
      <c r="O3" s="6">
        <v>0.6</v>
      </c>
      <c r="P3" s="5" t="s">
        <v>33</v>
      </c>
      <c r="Q3" s="6">
        <v>0.15</v>
      </c>
      <c r="R3" s="2" t="str">
        <f>IF(ROUND($K$3+$M$3-$I$3,6)=0,"Splits foot — OK","ERROR: broker + Torque &lt;&gt; total")</f>
      </c>
    </row>
    <row r="4" spans="1:18" ht="18" customHeight="1" x14ac:dyDescent="0.25">
      <c r="B4" s="68" t="s">
        <v>34</v>
      </c>
      <c r="C4" s="68"/>
      <c r="D4" s="68"/>
      <c r="E4" s="68"/>
      <c r="F4" s="68"/>
      <c r="G4" s="68"/>
    </row>
    <row r="5" spans="1:18" ht="15" customHeight="1" x14ac:dyDescent="0.25">
      <c r="B5" s="7" t="s">
        <v>35</v>
      </c>
      <c r="C5" s="8" t="s">
        <v>36</v>
      </c>
      <c r="G5" s="9" t="s">
        <v>37</v>
      </c>
    </row>
    <row r="6" spans="1:18" ht="15" customHeight="1" x14ac:dyDescent="0.25">
      <c r="B6" s="7" t="s">
        <v>38</v>
      </c>
      <c r="C6" s="8" t="s">
        <v>39</v>
      </c>
      <c r="G6" s="9"/>
    </row>
    <row r="7" spans="1:18" ht="15" customHeight="1" x14ac:dyDescent="0.25">
      <c r="B7" s="7" t="s">
        <v>40</v>
      </c>
      <c r="C7" s="8" t="s">
        <v>41</v>
      </c>
      <c r="G7" s="9"/>
    </row>
    <row r="8" spans="1:18" ht="15" customHeight="1" x14ac:dyDescent="0.25">
      <c r="B8" s="7" t="s">
        <v>42</v>
      </c>
      <c r="C8" s="8" t="s">
        <v>43</v>
      </c>
      <c r="G8" s="9" t="s">
        <v>44</v>
      </c>
    </row>
    <row r="9" spans="1:18" ht="15" customHeight="1" x14ac:dyDescent="0.25">
      <c r="B9" s="7" t="s">
        <v>45</v>
      </c>
      <c r="C9" s="8" t="s">
        <v>46</v>
      </c>
      <c r="G9" s="9" t="s">
        <v>47</v>
      </c>
    </row>
    <row r="10" spans="1:18" ht="15" customHeight="1" x14ac:dyDescent="0.25">
      <c r="B10" s="7" t="s">
        <v>48</v>
      </c>
      <c r="C10" s="10">
        <v>2026</v>
      </c>
      <c r="G10" s="9"/>
    </row>
    <row r="11" spans="1:18" ht="15" customHeight="1" x14ac:dyDescent="0.25">
      <c r="B11" s="7" t="s">
        <v>49</v>
      </c>
      <c r="C11" s="8" t="s">
        <v>50</v>
      </c>
      <c r="G11" s="9"/>
    </row>
    <row r="12" spans="1:18" ht="15" customHeight="1" x14ac:dyDescent="0.25">
      <c r="B12" s="7" t="s">
        <v>51</v>
      </c>
      <c r="C12" s="11">
        <v>46204</v>
      </c>
      <c r="G12" s="9"/>
    </row>
    <row r="13" spans="1:18" ht="15" customHeight="1" x14ac:dyDescent="0.25">
      <c r="B13" s="7" t="s">
        <v>52</v>
      </c>
      <c r="C13" s="11">
        <v>46234</v>
      </c>
      <c r="G13" s="9"/>
    </row>
    <row r="14" spans="1:18" ht="15" customHeight="1" x14ac:dyDescent="0.25">
      <c r="B14" s="7" t="s">
        <v>53</v>
      </c>
      <c r="C14" s="11">
        <v>46244</v>
      </c>
      <c r="G14" s="9" t="s">
        <v>54</v>
      </c>
    </row>
    <row r="15" spans="1:18" ht="15" customHeight="1" x14ac:dyDescent="0.25">
      <c r="B15" s="7" t="s">
        <v>55</v>
      </c>
      <c r="C15" s="8" t="s">
        <v>56</v>
      </c>
      <c r="G15" s="9"/>
    </row>
    <row r="16" spans="1:18" ht="15" customHeight="1" x14ac:dyDescent="0.25">
      <c r="B16" s="7" t="s">
        <v>57</v>
      </c>
      <c r="C16" s="8" t="s">
        <v>58</v>
      </c>
      <c r="G16" s="9"/>
    </row>
    <row r="17" spans="2:7" ht="15" customHeight="1" x14ac:dyDescent="0.25">
      <c r="B17" s="7" t="s">
        <v>59</v>
      </c>
      <c r="C17" s="8" t="s">
        <v>58</v>
      </c>
      <c r="G17" s="9"/>
    </row>
    <row r="18" spans="2:7" ht="15" customHeight="1" x14ac:dyDescent="0.25">
      <c r="B18" s="7" t="s">
        <v>60</v>
      </c>
      <c r="C18" s="8" t="s">
        <v>61</v>
      </c>
      <c r="G18" s="9" t="s">
        <v>62</v>
      </c>
    </row>
    <row r="19" spans="2:7" ht="15" customHeight="1" x14ac:dyDescent="0.25">
      <c r="B19" s="7" t="s">
        <v>63</v>
      </c>
      <c r="C19" s="8" t="s">
        <v>64</v>
      </c>
      <c r="G19" s="9" t="s">
        <v>65</v>
      </c>
    </row>
    <row r="20" spans="2:7" ht="15" customHeight="1" x14ac:dyDescent="0.25">
      <c r="B20" s="7" t="s">
        <v>66</v>
      </c>
      <c r="C20" s="10">
        <v>5000</v>
      </c>
      <c r="G20" s="9" t="s">
        <v>67</v>
      </c>
    </row>
    <row r="22" spans="2:7" ht="18" customHeight="1" x14ac:dyDescent="0.25">
      <c r="B22" s="68" t="s">
        <v>68</v>
      </c>
      <c r="C22" s="68"/>
      <c r="D22" s="68"/>
      <c r="E22" s="68"/>
      <c r="F22" s="68"/>
      <c r="G22" s="68"/>
    </row>
    <row r="23" spans="2:7" ht="33.75" customHeight="1" x14ac:dyDescent="0.25">
      <c r="B23" s="12" t="s">
        <v>69</v>
      </c>
      <c r="C23" s="12" t="s">
        <v>70</v>
      </c>
      <c r="D23" s="12" t="s">
        <v>71</v>
      </c>
      <c r="E23" s="12" t="s">
        <v>72</v>
      </c>
      <c r="F23" s="12" t="s">
        <v>73</v>
      </c>
      <c r="G23" s="12" t="s">
        <v>74</v>
      </c>
    </row>
    <row r="24" spans="2:7" ht="15" customHeight="1" x14ac:dyDescent="0.25">
      <c r="B24" s="13" t="s">
        <v>75</v>
      </c>
      <c r="C24" s="14" t="s">
        <v>76</v>
      </c>
      <c r="D24" s="6">
        <v>0.1</v>
      </c>
      <c r="E24" s="15">
        <f>(SUMIF('UW Bordereaux'!$D$5:$D$579,"Bound*",'UW Bordereaux'!$AD$5:$AD$579))*$D24</f>
      </c>
      <c r="F24" s="15">
        <f>(SUMIF('UW Bordereaux'!$D$5:$D$579,"Bound*",'UW Bordereaux'!$AB$5:$AB$579))*$D24</f>
      </c>
      <c r="G24" s="15">
        <f>(SUMIF('UW Bordereaux'!$D$5:$D$579,"Bound*",'UW Bordereaux'!$AQ$5:$AQ$579))*$D24</f>
      </c>
    </row>
    <row r="25" spans="2:7" ht="15" customHeight="1" x14ac:dyDescent="0.25">
      <c r="B25" s="16" t="s">
        <v>77</v>
      </c>
      <c r="C25" s="17" t="s">
        <v>78</v>
      </c>
      <c r="D25" s="18">
        <v>0.1</v>
      </c>
      <c r="E25" s="19">
        <f>(SUMIF('UW Bordereaux'!$D$5:$D$579,"Bound*",'UW Bordereaux'!$AD$5:$AD$579))*$D25</f>
      </c>
      <c r="F25" s="19">
        <f>(SUMIF('UW Bordereaux'!$D$5:$D$579,"Bound*",'UW Bordereaux'!$AB$5:$AB$579))*$D25</f>
      </c>
      <c r="G25" s="19">
        <f>(SUMIF('UW Bordereaux'!$D$5:$D$579,"Bound*",'UW Bordereaux'!$AQ$5:$AQ$579))*$D25</f>
      </c>
    </row>
    <row r="26" spans="2:7" ht="15" customHeight="1" x14ac:dyDescent="0.25">
      <c r="B26" s="13" t="s">
        <v>79</v>
      </c>
      <c r="C26" s="14" t="s">
        <v>80</v>
      </c>
      <c r="D26" s="6">
        <v>0.1</v>
      </c>
      <c r="E26" s="15">
        <f>(SUMIF('UW Bordereaux'!$D$5:$D$579,"Bound*",'UW Bordereaux'!$AD$5:$AD$579))*$D26</f>
      </c>
      <c r="F26" s="15">
        <f>(SUMIF('UW Bordereaux'!$D$5:$D$579,"Bound*",'UW Bordereaux'!$AB$5:$AB$579))*$D26</f>
      </c>
      <c r="G26" s="15">
        <f>(SUMIF('UW Bordereaux'!$D$5:$D$579,"Bound*",'UW Bordereaux'!$AQ$5:$AQ$579))*$D26</f>
      </c>
    </row>
    <row r="27" spans="2:7" ht="15" customHeight="1" x14ac:dyDescent="0.25">
      <c r="B27" s="16" t="s">
        <v>81</v>
      </c>
      <c r="C27" s="17" t="s">
        <v>82</v>
      </c>
      <c r="D27" s="18">
        <v>0.1</v>
      </c>
      <c r="E27" s="19">
        <f>(SUMIF('UW Bordereaux'!$D$5:$D$579,"Bound*",'UW Bordereaux'!$AD$5:$AD$579))*$D27</f>
      </c>
      <c r="F27" s="19">
        <f>(SUMIF('UW Bordereaux'!$D$5:$D$579,"Bound*",'UW Bordereaux'!$AB$5:$AB$579))*$D27</f>
      </c>
      <c r="G27" s="19">
        <f>(SUMIF('UW Bordereaux'!$D$5:$D$579,"Bound*",'UW Bordereaux'!$AQ$5:$AQ$579))*$D27</f>
      </c>
    </row>
    <row r="28" spans="2:7" ht="15" customHeight="1" x14ac:dyDescent="0.25">
      <c r="B28" s="13" t="s">
        <v>83</v>
      </c>
      <c r="C28" s="14" t="s">
        <v>84</v>
      </c>
      <c r="D28" s="6">
        <v>0.1</v>
      </c>
      <c r="E28" s="15">
        <f>(SUMIF('UW Bordereaux'!$D$5:$D$579,"Bound*",'UW Bordereaux'!$AD$5:$AD$579))*$D28</f>
      </c>
      <c r="F28" s="15">
        <f>(SUMIF('UW Bordereaux'!$D$5:$D$579,"Bound*",'UW Bordereaux'!$AB$5:$AB$579))*$D28</f>
      </c>
      <c r="G28" s="15">
        <f>(SUMIF('UW Bordereaux'!$D$5:$D$579,"Bound*",'UW Bordereaux'!$AQ$5:$AQ$579))*$D28</f>
      </c>
    </row>
    <row r="29" spans="2:7" ht="15" customHeight="1" x14ac:dyDescent="0.25">
      <c r="B29" s="16" t="s">
        <v>85</v>
      </c>
      <c r="C29" s="17" t="s">
        <v>86</v>
      </c>
      <c r="D29" s="18">
        <v>0.1</v>
      </c>
      <c r="E29" s="19">
        <f>(SUMIF('UW Bordereaux'!$D$5:$D$579,"Bound*",'UW Bordereaux'!$AD$5:$AD$579))*$D29</f>
      </c>
      <c r="F29" s="19">
        <f>(SUMIF('UW Bordereaux'!$D$5:$D$579,"Bound*",'UW Bordereaux'!$AB$5:$AB$579))*$D29</f>
      </c>
      <c r="G29" s="19">
        <f>(SUMIF('UW Bordereaux'!$D$5:$D$579,"Bound*",'UW Bordereaux'!$AQ$5:$AQ$579))*$D29</f>
      </c>
    </row>
    <row r="30" spans="2:7" ht="15" customHeight="1" x14ac:dyDescent="0.25">
      <c r="B30" s="13" t="s">
        <v>87</v>
      </c>
      <c r="C30" s="14" t="s">
        <v>88</v>
      </c>
      <c r="D30" s="6">
        <v>0.1</v>
      </c>
      <c r="E30" s="15">
        <f>(SUMIF('UW Bordereaux'!$D$5:$D$579,"Bound*",'UW Bordereaux'!$AD$5:$AD$579))*$D30</f>
      </c>
      <c r="F30" s="15">
        <f>(SUMIF('UW Bordereaux'!$D$5:$D$579,"Bound*",'UW Bordereaux'!$AB$5:$AB$579))*$D30</f>
      </c>
      <c r="G30" s="15">
        <f>(SUMIF('UW Bordereaux'!$D$5:$D$579,"Bound*",'UW Bordereaux'!$AQ$5:$AQ$579))*$D30</f>
      </c>
    </row>
    <row r="31" spans="2:7" ht="15" customHeight="1" x14ac:dyDescent="0.25">
      <c r="B31" s="16" t="s">
        <v>89</v>
      </c>
      <c r="C31" s="17" t="s">
        <v>90</v>
      </c>
      <c r="D31" s="18">
        <v>0.1</v>
      </c>
      <c r="E31" s="19">
        <f>(SUMIF('UW Bordereaux'!$D$5:$D$579,"Bound*",'UW Bordereaux'!$AD$5:$AD$579))*$D31</f>
      </c>
      <c r="F31" s="19">
        <f>(SUMIF('UW Bordereaux'!$D$5:$D$579,"Bound*",'UW Bordereaux'!$AB$5:$AB$579))*$D31</f>
      </c>
      <c r="G31" s="19">
        <f>(SUMIF('UW Bordereaux'!$D$5:$D$579,"Bound*",'UW Bordereaux'!$AQ$5:$AQ$579))*$D31</f>
      </c>
    </row>
    <row r="32" spans="2:7" ht="15" customHeight="1" x14ac:dyDescent="0.25">
      <c r="B32" s="13" t="s">
        <v>91</v>
      </c>
      <c r="C32" s="14" t="s">
        <v>92</v>
      </c>
      <c r="D32" s="6">
        <v>0.1</v>
      </c>
      <c r="E32" s="15">
        <f>(SUMIF('UW Bordereaux'!$D$5:$D$579,"Bound*",'UW Bordereaux'!$AD$5:$AD$579))*$D32</f>
      </c>
      <c r="F32" s="15">
        <f>(SUMIF('UW Bordereaux'!$D$5:$D$579,"Bound*",'UW Bordereaux'!$AB$5:$AB$579))*$D32</f>
      </c>
      <c r="G32" s="15">
        <f>(SUMIF('UW Bordereaux'!$D$5:$D$579,"Bound*",'UW Bordereaux'!$AQ$5:$AQ$579))*$D32</f>
      </c>
    </row>
    <row r="33" spans="2:7" ht="15" customHeight="1" x14ac:dyDescent="0.25">
      <c r="B33" s="16" t="s">
        <v>93</v>
      </c>
      <c r="C33" s="17" t="s">
        <v>94</v>
      </c>
      <c r="D33" s="18">
        <v>0.1</v>
      </c>
      <c r="E33" s="19">
        <f>(SUMIF('UW Bordereaux'!$D$5:$D$579,"Bound*",'UW Bordereaux'!$AD$5:$AD$579))*$D33</f>
      </c>
      <c r="F33" s="19">
        <f>(SUMIF('UW Bordereaux'!$D$5:$D$579,"Bound*",'UW Bordereaux'!$AB$5:$AB$579))*$D33</f>
      </c>
      <c r="G33" s="19">
        <f>(SUMIF('UW Bordereaux'!$D$5:$D$579,"Bound*",'UW Bordereaux'!$AQ$5:$AQ$579))*$D33</f>
      </c>
    </row>
    <row r="34" spans="2:7" ht="15" customHeight="1" x14ac:dyDescent="0.25">
      <c r="C34" s="20" t="s">
        <v>95</v>
      </c>
      <c r="D34" s="21">
        <f>SUM(D24:D33)</f>
      </c>
      <c r="E34" s="22">
        <f>SUMIF('UW Bordereaux'!$D$5:$D$579,"Bound*",'UW Bordereaux'!$AD$5:$AD$579)</f>
      </c>
      <c r="F34" s="22">
        <f>SUMIF('UW Bordereaux'!$D$5:$D$579,"Bound*",'UW Bordereaux'!$AB$5:$AB$579)</f>
      </c>
      <c r="G34" s="22">
        <f>SUMIF('UW Bordereaux'!$D$5:$D$579,"Bound*",'UW Bordereaux'!$AQ$5:$AQ$579)</f>
      </c>
    </row>
    <row r="35" spans="2:7" ht="15" customHeight="1" x14ac:dyDescent="0.25">
      <c r="D35" s="67" t="str">
        <f>IF(ROUND(D34,6)=1,"Panel signs 100% — OK","ERROR: panel signs "&amp;TEXT(D34,"0.00%"))</f>
      </c>
      <c r="E35" s="67"/>
      <c r="F35" s="67"/>
      <c r="G35" s="67"/>
    </row>
    <row r="37" spans="2:7" ht="18" customHeight="1" x14ac:dyDescent="0.25">
      <c r="B37" s="68" t="s">
        <v>96</v>
      </c>
      <c r="C37" s="68"/>
      <c r="D37" s="68"/>
      <c r="E37" s="68"/>
      <c r="F37" s="68"/>
      <c r="G37" s="68"/>
    </row>
    <row r="38" spans="2:7" ht="15" customHeight="1" x14ac:dyDescent="0.25">
      <c r="B38" s="23" t="s">
        <v>97</v>
      </c>
      <c r="C38" s="24">
        <f>COUNTA('UW Bordereaux'!$A$5:$A$579)</f>
      </c>
    </row>
    <row r="39" spans="2:7" ht="15" customHeight="1" x14ac:dyDescent="0.25">
      <c r="B39" s="23" t="s">
        <v>98</v>
      </c>
      <c r="C39" s="24">
        <f>COUNTIF('UW Bordereaux'!$D$5:$D$579,"Bound*")</f>
      </c>
    </row>
    <row r="40" spans="2:7" ht="15" customHeight="1" x14ac:dyDescent="0.25">
      <c r="B40" s="23" t="s">
        <v>99</v>
      </c>
      <c r="C40" s="24">
        <f>COUNTIF('UW Bordereaux'!$D$5:$D$579,"Declined")+COUNTIF('UW Bordereaux'!$D$5:$D$579,"Cancelled")+COUNTIF('UW Bordereaux'!$D$5:$D$579,"Lapsed")</f>
      </c>
    </row>
    <row r="41" spans="2:7" ht="15" customHeight="1" x14ac:dyDescent="0.25">
      <c r="B41" s="25" t="s">
        <v>100</v>
      </c>
      <c r="C41" s="26">
        <f>SUMIF('UW Bordereaux'!$D$5:$D$579,"Bound*",'UW Bordereaux'!$AD$5:$AD$579)</f>
      </c>
    </row>
    <row r="42" spans="2:7" ht="15" customHeight="1" x14ac:dyDescent="0.25">
      <c r="B42" s="25" t="s">
        <v>101</v>
      </c>
      <c r="C42" s="26">
        <f>SUMIF('UW Bordereaux'!$D$5:$D$579,"Bound*",'UW Bordereaux'!$AB$5:$AB$579)</f>
      </c>
    </row>
    <row r="43" spans="2:7" ht="15" customHeight="1" x14ac:dyDescent="0.25">
      <c r="B43" s="25" t="s">
        <v>102</v>
      </c>
      <c r="C43" s="27">
        <f>IFERROR((SUMIF('UW Bordereaux'!$D$5:$D$579,"Bound*",'UW Bordereaux'!$AD$5:$AD$579))/(SUMIF('UW Bordereaux'!$D$5:$D$579,"Bound*",'UW Bordereaux'!$AB$5:$AB$579)),0)</f>
      </c>
    </row>
    <row r="44" spans="2:7" ht="15" customHeight="1" x14ac:dyDescent="0.25">
      <c r="B44" s="23" t="s">
        <v>103</v>
      </c>
      <c r="C44" s="28">
        <f>SUMIF('UW Bordereaux'!$D$5:$D$579,"Bound*",'UW Bordereaux'!$AQ$5:$AQ$579)</f>
      </c>
    </row>
    <row r="45" spans="2:7" ht="15" customHeight="1" x14ac:dyDescent="0.25">
      <c r="B45" s="23" t="s">
        <v>104</v>
      </c>
      <c r="C45" s="28">
        <f>SUMIF('UW Bordereaux'!$D$5:$D$579,"Bound*",'UW Bordereaux'!$AE$5:$AE$579)</f>
      </c>
    </row>
    <row r="46" spans="2:7" ht="15" customHeight="1" x14ac:dyDescent="0.25">
      <c r="B46" s="23" t="s">
        <v>105</v>
      </c>
      <c r="C46" s="28">
        <f>SUMIF('UW Bordereaux'!$D$5:$D$579,"Bound*",'UW Bordereaux'!$AH$5:$AH$579)</f>
      </c>
    </row>
    <row r="47" spans="2:7" ht="15" customHeight="1" x14ac:dyDescent="0.25">
      <c r="B47" s="23" t="s">
        <v>106</v>
      </c>
      <c r="C47" s="24">
        <f>COUNTIFS('UW Bordereaux'!$AD$5:$AD$579,"&gt;="&amp;Header!$C$18,'UW Bordereaux'!$D$5:$D$579,"Bound*")</f>
      </c>
    </row>
    <row r="48" spans="2:7" ht="15" customHeight="1" x14ac:dyDescent="0.25">
      <c r="B48" s="23" t="s">
        <v>107</v>
      </c>
      <c r="C48" s="24">
        <f>COUNTIF('UW Bordereaux'!$AL$5:$AL$579,"BEYOND AUTHORITY")</f>
      </c>
    </row>
    <row r="49" spans="2:3" ht="15" customHeight="1" x14ac:dyDescent="0.25">
      <c r="B49" s="23" t="s">
        <v>108</v>
      </c>
      <c r="C49" s="24">
        <f>COUNTA('UW Bordereaux'!$A$5:$A$579)-COUNTIF('UW Bordereaux'!$D$5:$D$579,"Bound*")-COUNTIF('UW Bordereaux'!$D$5:$D$579,"Declined")-COUNTIF('UW Bordereaux'!$D$5:$D$579,"Cancelled")-COUNTIF('UW Bordereaux'!$D$5:$D$579,"Lapsed")-COUNTIF('UW Bordereaux'!$D$5:$D$579,"Quoted*")-COUNTIF('UW Bordereaux'!$D$5:$D$579,"Void")-COUNTIF('UW Bordereaux'!$D$5:$D$579,"Reinstatement")</f>
      </c>
    </row>
    <row r="50" spans="2:3" ht="15" customHeight="1" x14ac:dyDescent="0.25">
      <c r="B50" s="23" t="s">
        <v>109</v>
      </c>
      <c r="C50" s="24">
        <f>COUNTIF('UW Bordereaux'!$AX$5:$AX$579,"FAIL*")</f>
      </c>
    </row>
  </sheetData>
  <mergeCells count="7">
    <mergeCell ref="D35:G35"/>
    <mergeCell ref="B37:G37"/>
    <mergeCell ref="A1:G1"/>
    <mergeCell ref="A2:G2"/>
    <mergeCell ref="B3:G3"/>
    <mergeCell ref="B4:G4"/>
    <mergeCell ref="B22:G2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F579"/>
  <sheetViews>
    <sheetView showGridLines="0" zoomScaleNormal="100" workbookViewId="0">
      <pane xSplit="8" ySplit="4" topLeftCell="I5" activePane="bottomRight" state="frozen"/>
      <selection pane="topRight" activeCell="I1" sqref="I1"/>
      <selection pane="bottomLeft" activeCell="A5" sqref="A5"/>
      <selection pane="bottomRight"/>
    </sheetView>
  </sheetViews>
  <sheetFormatPr defaultColWidth="8.5703125" defaultRowHeight="15" x14ac:dyDescent="0.25"/>
  <cols>
    <col min="1" max="1" width="14" customWidth="1"/>
    <col min="2" max="2" width="22" customWidth="1"/>
    <col min="3" max="3" width="12" customWidth="1"/>
    <col min="4" max="5" width="20" customWidth="1"/>
    <col min="6" max="6" width="14" customWidth="1"/>
    <col min="7" max="7" width="10" customWidth="1"/>
    <col min="8" max="8" width="9" customWidth="1"/>
    <col min="9" max="9" width="16" customWidth="1"/>
    <col min="10" max="10" width="20" customWidth="1"/>
    <col min="11" max="11" width="18" customWidth="1"/>
    <col min="12" max="12" width="24" customWidth="1"/>
    <col min="13" max="13" width="13" customWidth="1"/>
    <col min="14" max="14" width="11" customWidth="1"/>
    <col min="15" max="15" width="22" customWidth="1"/>
    <col min="16" max="16" width="13" customWidth="1"/>
    <col min="17" max="17" width="11" customWidth="1"/>
    <col min="18" max="18" width="10" customWidth="1"/>
    <col min="19" max="19" width="26" customWidth="1"/>
    <col min="20" max="20" width="10" customWidth="1"/>
    <col min="21" max="21" width="22" customWidth="1"/>
    <col min="22" max="22" width="18" customWidth="1"/>
    <col min="23" max="23" width="13" customWidth="1"/>
    <col min="24" max="24" width="14" customWidth="1"/>
    <col min="25" max="25" width="26" customWidth="1"/>
    <col min="26" max="26" width="22" customWidth="1"/>
    <col min="27" max="27" width="18" customWidth="1"/>
    <col min="28" max="28" width="15" customWidth="1"/>
    <col min="29" max="29" width="10" customWidth="1"/>
    <col min="30" max="30" width="16" customWidth="1"/>
    <col min="31" max="32" width="12" customWidth="1"/>
    <col min="33" max="33" width="10" customWidth="1"/>
    <col min="34" max="34" width="12" customWidth="1"/>
    <col min="35" max="35" width="10" customWidth="1"/>
    <col min="36" max="36" width="16" customWidth="1"/>
    <col min="37" max="37" width="14" customWidth="1"/>
    <col min="38" max="38" width="16" customWidth="1"/>
    <col min="39" max="39" width="14" customWidth="1"/>
    <col min="40" max="42" width="13" customWidth="1"/>
    <col min="43" max="43" width="16" customWidth="1"/>
    <col min="44" max="45" width="13" customWidth="1"/>
    <col min="46" max="48" width="11" customWidth="1"/>
    <col min="49" max="49" width="12" customWidth="1"/>
    <col min="50" max="50" width="18" customWidth="1"/>
    <col min="51" max="52" width="12" customWidth="1"/>
    <col min="53" max="54" width="14" customWidth="1"/>
    <col min="55" max="55" width="36" customWidth="1"/>
    <col min="57" max="57" width="16" customWidth="1"/>
    <col min="58" max="58" width="14" customWidth="1"/>
  </cols>
  <sheetData>
    <row r="1" spans="1:58" ht="25.5" customHeight="1" x14ac:dyDescent="0.25">
      <c r="A1" s="69" t="s">
        <v>110</v>
      </c>
      <c r="B1" s="69"/>
      <c r="C1" s="69"/>
      <c r="D1" s="69"/>
      <c r="E1" s="69"/>
      <c r="F1" s="69"/>
      <c r="G1" s="69"/>
      <c r="H1" s="69"/>
      <c r="I1" s="69"/>
      <c r="J1" s="69"/>
      <c r="K1" s="69"/>
      <c r="L1" s="69"/>
      <c r="M1" s="69"/>
      <c r="N1" s="69"/>
      <c r="O1" s="69"/>
      <c r="P1" s="69"/>
      <c r="Q1" s="69"/>
      <c r="R1" s="69"/>
      <c r="S1" s="69"/>
      <c r="T1" s="69"/>
      <c r="U1" s="69"/>
      <c r="V1" s="69"/>
      <c r="W1" s="69"/>
      <c r="X1" s="69"/>
      <c r="Y1" s="69"/>
      <c r="Z1" s="69"/>
      <c r="AA1" s="69"/>
      <c r="AB1" s="69"/>
      <c r="AC1" s="69"/>
      <c r="AD1" s="69"/>
      <c r="AE1" s="69"/>
      <c r="AF1" s="69"/>
      <c r="AG1" s="69"/>
      <c r="AH1" s="69"/>
      <c r="AI1" s="69"/>
      <c r="AJ1" s="69"/>
      <c r="AK1" s="69"/>
      <c r="AL1" s="69"/>
      <c r="AM1" s="69"/>
      <c r="AN1" s="69"/>
      <c r="AO1" s="69"/>
      <c r="AP1" s="69"/>
      <c r="AQ1" s="69"/>
      <c r="AR1" s="69"/>
      <c r="AS1" s="69"/>
    </row>
    <row r="2" spans="1:58" ht="15" customHeight="1" x14ac:dyDescent="0.25">
      <c r="A2" s="70" t="s">
        <v>111</v>
      </c>
      <c r="B2" s="70"/>
      <c r="C2" s="70"/>
      <c r="D2" s="70"/>
      <c r="E2" s="70"/>
      <c r="F2" s="70"/>
      <c r="G2" s="70"/>
      <c r="H2" s="70"/>
      <c r="I2" s="70"/>
      <c r="J2" s="70"/>
      <c r="K2" s="70"/>
      <c r="L2" s="70"/>
      <c r="M2" s="70"/>
      <c r="N2" s="70"/>
      <c r="O2" s="70"/>
      <c r="P2" s="70"/>
      <c r="Q2" s="70"/>
      <c r="R2" s="70"/>
      <c r="S2" s="70"/>
      <c r="T2" s="70"/>
      <c r="U2" s="70"/>
      <c r="V2" s="70"/>
      <c r="W2" s="70"/>
      <c r="X2" s="70"/>
      <c r="Y2" s="70"/>
      <c r="Z2" s="70"/>
      <c r="AA2" s="70"/>
      <c r="AB2" s="70"/>
      <c r="AC2" s="70"/>
      <c r="AD2" s="70"/>
      <c r="AE2" s="70"/>
      <c r="AF2" s="70"/>
      <c r="AG2" s="70"/>
      <c r="AH2" s="70"/>
      <c r="AI2" s="70"/>
      <c r="AJ2" s="70"/>
      <c r="AK2" s="70"/>
      <c r="AL2" s="70"/>
      <c r="AM2" s="70"/>
      <c r="AN2" s="70"/>
      <c r="AO2" s="70"/>
      <c r="AP2" s="70"/>
      <c r="AQ2" s="70"/>
      <c r="AR2" s="70"/>
      <c r="AS2" s="70"/>
    </row>
    <row r="3" spans="1:58" ht="19.5" customHeight="1" x14ac:dyDescent="0.25">
      <c r="A3" s="74" t="s">
        <v>112</v>
      </c>
      <c r="B3" s="74"/>
      <c r="C3" s="74"/>
      <c r="D3" s="74"/>
      <c r="E3" s="74"/>
      <c r="F3" s="74"/>
      <c r="G3" s="74"/>
      <c r="H3" s="74" t="s">
        <v>113</v>
      </c>
      <c r="I3" s="74"/>
      <c r="J3" s="74"/>
      <c r="K3" s="74"/>
      <c r="L3" s="74"/>
      <c r="M3" s="74"/>
      <c r="N3" s="74"/>
      <c r="O3" s="74"/>
      <c r="P3" s="74"/>
      <c r="Q3" s="74"/>
      <c r="R3" s="74" t="s">
        <v>114</v>
      </c>
      <c r="S3" s="74"/>
      <c r="T3" s="74"/>
      <c r="U3" s="74"/>
      <c r="V3" s="74"/>
      <c r="W3" s="74" t="s">
        <v>115</v>
      </c>
      <c r="X3" s="74"/>
      <c r="Y3" s="74"/>
      <c r="Z3" s="74"/>
      <c r="AA3" s="74"/>
      <c r="AB3" s="74"/>
      <c r="AC3" s="74" t="s">
        <v>116</v>
      </c>
      <c r="AD3" s="74"/>
      <c r="AE3" s="74"/>
      <c r="AF3" s="74"/>
      <c r="AG3" s="74"/>
      <c r="AH3" s="74"/>
      <c r="AI3" s="74"/>
      <c r="AJ3" s="74"/>
      <c r="AK3" s="74"/>
      <c r="AL3" s="74"/>
      <c r="AM3" s="74"/>
      <c r="AN3" s="74"/>
      <c r="AO3" s="74" t="s">
        <v>117</v>
      </c>
      <c r="AP3" s="74"/>
      <c r="AQ3" s="74"/>
      <c r="AR3" s="74"/>
      <c r="AS3" s="74"/>
      <c r="AT3" s="74" t="s">
        <v>118</v>
      </c>
      <c r="AU3" s="74"/>
      <c r="AV3" s="74"/>
      <c r="AW3" s="74"/>
      <c r="AX3" s="74"/>
      <c r="AY3" s="74"/>
      <c r="AZ3" s="74" t="s">
        <v>119</v>
      </c>
      <c r="BA3" s="74"/>
      <c r="BB3" s="74"/>
      <c r="BC3" s="74"/>
      <c r="BD3" s="74"/>
      <c r="BE3" s="1" t="s">
        <v>120</v>
      </c>
      <c r="BF3" s="29"/>
    </row>
    <row r="4" spans="1:58" ht="43.5" customHeight="1" x14ac:dyDescent="0.25">
      <c r="A4" s="12" t="s">
        <v>121</v>
      </c>
      <c r="B4" s="12" t="s">
        <v>122</v>
      </c>
      <c r="C4" s="12" t="s">
        <v>123</v>
      </c>
      <c r="D4" s="12" t="s">
        <v>124</v>
      </c>
      <c r="E4" s="12" t="s">
        <v>125</v>
      </c>
      <c r="F4" s="12" t="s">
        <v>126</v>
      </c>
      <c r="G4" s="12" t="s">
        <v>48</v>
      </c>
      <c r="H4" s="12" t="s">
        <v>127</v>
      </c>
      <c r="I4" s="12" t="s">
        <v>128</v>
      </c>
      <c r="J4" s="12" t="s">
        <v>129</v>
      </c>
      <c r="K4" s="12" t="s">
        <v>130</v>
      </c>
      <c r="L4" s="12" t="s">
        <v>131</v>
      </c>
      <c r="M4" s="12" t="s">
        <v>132</v>
      </c>
      <c r="N4" s="12" t="s">
        <v>133</v>
      </c>
      <c r="O4" s="12" t="s">
        <v>134</v>
      </c>
      <c r="P4" s="12" t="s">
        <v>135</v>
      </c>
      <c r="Q4" s="12" t="s">
        <v>136</v>
      </c>
      <c r="R4" s="12" t="s">
        <v>137</v>
      </c>
      <c r="S4" s="12" t="s">
        <v>138</v>
      </c>
      <c r="T4" s="12" t="s">
        <v>139</v>
      </c>
      <c r="U4" s="12" t="s">
        <v>140</v>
      </c>
      <c r="V4" s="12" t="s">
        <v>141</v>
      </c>
      <c r="W4" s="12" t="s">
        <v>142</v>
      </c>
      <c r="X4" s="12" t="s">
        <v>143</v>
      </c>
      <c r="Y4" s="12" t="s">
        <v>144</v>
      </c>
      <c r="Z4" s="12" t="s">
        <v>145</v>
      </c>
      <c r="AA4" s="12" t="s">
        <v>146</v>
      </c>
      <c r="AB4" s="12" t="s">
        <v>147</v>
      </c>
      <c r="AC4" s="12" t="s">
        <v>148</v>
      </c>
      <c r="AD4" s="12" t="s">
        <v>149</v>
      </c>
      <c r="AE4" s="12" t="s">
        <v>150</v>
      </c>
      <c r="AF4" s="12" t="s">
        <v>151</v>
      </c>
      <c r="AG4" s="12" t="s">
        <v>152</v>
      </c>
      <c r="AH4" s="12" t="s">
        <v>153</v>
      </c>
      <c r="AI4" s="12" t="s">
        <v>154</v>
      </c>
      <c r="AJ4" s="12" t="s">
        <v>155</v>
      </c>
      <c r="AK4" s="12" t="s">
        <v>156</v>
      </c>
      <c r="AL4" s="12" t="s">
        <v>157</v>
      </c>
      <c r="AM4" s="12" t="s">
        <v>158</v>
      </c>
      <c r="AN4" s="12" t="s">
        <v>159</v>
      </c>
      <c r="AO4" s="12" t="s">
        <v>160</v>
      </c>
      <c r="AP4" s="12" t="s">
        <v>161</v>
      </c>
      <c r="AQ4" s="12" t="s">
        <v>162</v>
      </c>
      <c r="AR4" s="12" t="s">
        <v>163</v>
      </c>
      <c r="AS4" s="12" t="s">
        <v>164</v>
      </c>
      <c r="AT4" s="12" t="s">
        <v>165</v>
      </c>
      <c r="AU4" s="12" t="s">
        <v>166</v>
      </c>
      <c r="AV4" s="12" t="s">
        <v>167</v>
      </c>
      <c r="AW4" s="12" t="s">
        <v>168</v>
      </c>
      <c r="AX4" s="12" t="s">
        <v>169</v>
      </c>
      <c r="AY4" s="12" t="s">
        <v>170</v>
      </c>
      <c r="AZ4" s="12" t="s">
        <v>171</v>
      </c>
      <c r="BA4" s="12" t="s">
        <v>172</v>
      </c>
      <c r="BB4" s="12" t="s">
        <v>173</v>
      </c>
      <c r="BC4" s="12" t="s">
        <v>174</v>
      </c>
      <c r="BE4" s="12" t="s">
        <v>175</v>
      </c>
      <c r="BF4" s="12" t="s">
        <v>176</v>
      </c>
    </row>
    <row r="5" spans="1:58" ht="18.75" customHeight="1" x14ac:dyDescent="0.25">
      <c r="A5" s="30" t="inlineStr">
        <is>
          <t xml:space="preserve">CANON-202511-002166</t>
        </is>
      </c>
      <c r="B5" s="30" t="inlineStr">
        <is>
          <t xml:space="preserve">Ottilie Ashcombe</t>
        </is>
      </c>
      <c r="C5" s="31">
        <v>45982</v>
      </c>
      <c r="D5" s="32" t="inlineStr">
        <is>
          <t xml:space="preserve">Bound - within authority</t>
        </is>
      </c>
      <c r="E5" s="32" t="inlineStr">
        <is>
          <t xml:space="preserve">New business</t>
        </is>
      </c>
      <c r="F5" s="30" t="inlineStr">
        <is>
          <t xml:space="preserve">B1234EXOTIC26</t>
        </is>
      </c>
      <c r="G5" s="33">
        <f>IF($A5="","",IF($C5="","",YEAR($C5)))</f>
      </c>
      <c r="H5" s="34">
        <v>1976</v>
      </c>
      <c r="I5" s="30" t="inlineStr">
        <is>
          <t xml:space="preserve">Aston Martin</t>
        </is>
      </c>
      <c r="J5" s="30" t="inlineStr">
        <is>
          <t xml:space="preserve">DB12</t>
        </is>
      </c>
      <c r="K5" s="30" t="inlineStr">
        <is>
          <t xml:space="preserve">H8PLZC9K6423FTSJV</t>
        </is>
      </c>
      <c r="L5" s="32" t="inlineStr">
        <is>
          <t xml:space="preserve">02 - Sports / GT</t>
        </is>
      </c>
      <c r="M5" s="35">
        <v>690000</v>
      </c>
      <c r="N5" s="32" t="inlineStr">
        <is>
          <t xml:space="preserve">Personal</t>
        </is>
      </c>
      <c r="O5" s="30" t="inlineStr">
        <is>
          <t xml:space="preserve">Personal - regular use</t>
        </is>
      </c>
      <c r="P5" s="30" t="inlineStr">
        <is>
          <t xml:space="preserve">Under 1,000</t>
        </is>
      </c>
      <c r="Q5" s="30" t="inlineStr">
        <is>
          <t xml:space="preserve">Florida</t>
        </is>
      </c>
      <c r="R5" s="30" t="inlineStr">
        <is>
          <t xml:space="preserve">33139</t>
        </is>
      </c>
      <c r="S5" s="32" t="inlineStr">
        <is>
          <t xml:space="preserve">Tier 2 - Coastal wind (1-25 miles)</t>
        </is>
      </c>
      <c r="T5" s="36">
        <f>IF($A5="","",IF($S5="","",IFERROR(INDEX('[1]natural catastrophe'!$D$6:$D$17,MATCH($S5,'[1]natural catastrophe'!$B$6:$B$17,0)),"?")))</f>
      </c>
      <c r="U5" s="30" t="inlineStr">
        <is>
          <t xml:space="preserve">2% of agreed value, minimum $10,000</t>
        </is>
      </c>
      <c r="V5" s="32" t="inlineStr">
        <is>
          <t xml:space="preserve">Agreed Value</t>
        </is>
      </c>
      <c r="W5" s="30" t="inlineStr">
        <is>
          <t xml:space="preserve">$1,000</t>
        </is>
      </c>
      <c r="X5" s="32" t="inlineStr">
        <is>
          <t xml:space="preserve">$1,000,000 CSL</t>
        </is>
      </c>
      <c r="Y5" s="30"/>
      <c r="Z5" s="30"/>
      <c r="AA5" s="32" t="inlineStr">
        <is>
          <t xml:space="preserve">Surplus Lines</t>
        </is>
      </c>
      <c r="AB5" s="35">
        <v>11047.9</v>
      </c>
      <c r="AC5" s="37">
        <v>0</v>
      </c>
      <c r="AD5" s="38">
        <f>IF(ISNUMBER($AB5),$AB5*(1+N($AC5)),"")</f>
      </c>
      <c r="AE5" s="35">
        <v>350</v>
      </c>
      <c r="AF5" s="35">
        <v>0</v>
      </c>
      <c r="AG5" s="37"/>
      <c r="AH5" s="39">
        <f>IF(ISNUMBER($AD5),($AD5+$AE5+$AF5)*$AG5,"")</f>
      </c>
      <c r="AI5" s="35"/>
      <c r="AJ5" s="38">
        <f>IF(ISNUMBER($AD5),SUM($AD5:$AH5),"")</f>
      </c>
      <c r="AK5" s="40">
        <f>IF(AND(ISNUMBER($AB5),ISNUMBER($AD5)),IF($AB5&gt;0,$AD5/$AB5,""),"")</f>
      </c>
      <c r="AL5" s="32" t="inlineStr">
        <is>
          <t xml:space="preserve">At technical</t>
        </is>
      </c>
      <c r="AM5" s="41">
        <f>IF(ISNUMBER($AD5),Header!$I$3,"")</f>
      </c>
      <c r="AN5" s="39">
        <f>IF(ISNUMBER($AD5),$AO5+$AP5,"")</f>
      </c>
      <c r="AO5" s="39">
        <f>IF(ISNUMBER($AD5),ROUND($AD5*Header!$K$3,2),"")</f>
      </c>
      <c r="AP5" s="39">
        <f>IF(ISNUMBER($AD5),ROUND($AD5*Header!$M$3,2),"")</f>
      </c>
      <c r="AQ5" s="38">
        <f>IF(ISNUMBER($AD5),ROUND($AD5,2)-$AO5-$AP5,"")</f>
      </c>
      <c r="AR5" s="39">
        <f>IF(ISNUMBER($AD5),IF(Header!$D$34="","?",$AD5*Header!$D$34),"")</f>
      </c>
      <c r="AS5" s="39">
        <f>IF(ISNUMBER($AB5),IF(Header!$D$34="","?",$AB5*Header!$D$34),"")</f>
      </c>
      <c r="AT5" s="42">
        <f>IF(AND(ISNUMBER($AB5),$M5&gt;0),$AB5/$M5*100,"")</f>
      </c>
      <c r="AU5" s="42">
        <f>IF(AND(ISNUMBER($AD5),$M5&gt;0),$AD5/$M5*100,"")</f>
      </c>
      <c r="AV5" s="40">
        <f>IF(AND(ISNUMBER($AB5),ISNUMBER($AD5),ABS($AB5)&gt;0),$AD5/$AB5,"")</f>
      </c>
      <c r="AW5" s="39">
        <f>IF(ISNUMBER($AD5),MAX(0,(1-0.55-Header!$O$3)*Header!$Q$3*$AQ5),"")</f>
      </c>
      <c r="AX5" s="43">
        <f>IF($A5="","",IF(TRIM(IF($A5="","Missing certificate ref. ","") &amp; IF($C5="","Missing effective date. ","") &amp; IF($D5="","Missing binding status. ","") &amp; IF($E5="","Missing movement type. ","") &amp; IF($I5="","Missing make. ","") &amp; IF($L5="","Missing vehicle class. ","") &amp; IF($M5="","Missing agreed value. ","") &amp; IF($N5="","Missing policy type. ","") &amp; IF($Q5="","Missing garaging state. ","") &amp; IF($R5="","Missing garaging ZIP. ","") &amp; IF($S5="","Missing cat zone. ","") &amp; IF($V5="","Missing valuation basis. ","") &amp; IF($W5="","Missing PD deductible. ","") &amp; IF($X5="","Missing liability limit. ","") &amp; IF($AB5="","Missing technical premium. ","") &amp; IF($AF5="","Missing surplus lines tax %. ",""))="","PASS","FAIL: "&amp;TRIM(IF($A5="","Missing certificate ref. ","") &amp; IF($C5="","Missing effective date. ","") &amp; IF($D5="","Missing binding status. ","") &amp; IF($E5="","Missing movement type. ","") &amp; IF($I5="","Missing make. ","") &amp; IF($L5="","Missing vehicle class. ","") &amp; IF($M5="","Missing agreed value. ","") &amp; IF($N5="","Missing policy type. ","") &amp; IF($Q5="","Missing garaging state. ","") &amp; IF($R5="","Missing garaging ZIP. ","") &amp; IF($S5="","Missing cat zone. ","") &amp; IF($V5="","Missing valuation basis. ","") &amp; IF($W5="","Missing PD deductible. ","") &amp; IF($X5="","Missing liability limit. ","") &amp; IF($AB5="","Missing technical premium. ","") &amp; IF($AF5="","Missing surplus lines tax %. ",""))))</f>
      </c>
      <c r="AY5" s="44">
        <f>IF($M5="","",IF(ISNUMBER($M5),IF($M5&gt;=Header!$C$18,"YES — refer","No"),""))</f>
      </c>
      <c r="AZ5" s="44">
        <f>IF($AD5="","",IF(ISNUMBER($AD5),IF($AD5&lt;Header!$C$20,"BELOW MIN PREMIUM","OK"),""))</f>
      </c>
      <c r="BA5" s="32" t="inlineStr">
        <is>
          <t xml:space="preserve">Yes</t>
        </is>
      </c>
      <c r="BB5" s="32" t="inlineStr">
        <is>
          <t xml:space="preserve">Yes</t>
        </is>
      </c>
      <c r="BC5" s="30" t="inlineStr">
        <is>
          <t xml:space="preserve">Synthetic demo data</t>
        </is>
      </c>
      <c r="BE5" s="45">
        <f>IF(OR($A5="",$L5="",$H5=""),"",IF(AND(LEFT($L5,2)="06",$H5&gt;1945),"FAIL - pre-war class, year "&amp;$H5,IF(AND(LEFT($L5,2)="07",OR($H5&lt;1946,$H5&gt;1972)),"FAIL - 1946-72 class, year "&amp;$H5,IF(AND(LEFT($L5,2)="08",OR($H5&lt;1973,$H5&gt;1999)),"FAIL - 1973-99 class, year "&amp;$H5,IF(AND(LEFT($L5,2)="09",OR($H5&lt;2000,$H5&gt;2010)),"FAIL - 2000-10 class, year "&amp;$H5,"OK")))))</f>
      </c>
      <c r="BF5" s="45">
        <f>IF($AD5="","",IF(ROUND($AO5+$AP5+$AQ5-$AD5,2)=0,"OK","FAIL - out by "&amp;TEXT($AO5+$AP5+$AQ5-$AD5,"$0.00")))</f>
      </c>
    </row>
    <row r="6" spans="1:58" ht="18.75" customHeight="1" x14ac:dyDescent="0.25">
      <c r="A6" s="46" t="inlineStr">
        <is>
          <t xml:space="preserve">CANON-202511-002168</t>
        </is>
      </c>
      <c r="B6" s="46" t="inlineStr">
        <is>
          <t xml:space="preserve">Ingrid Nakashima</t>
        </is>
      </c>
      <c r="C6" s="47">
        <v>45962</v>
      </c>
      <c r="D6" s="48" t="inlineStr">
        <is>
          <t xml:space="preserve">Bound - within authority</t>
        </is>
      </c>
      <c r="E6" s="48" t="inlineStr">
        <is>
          <t xml:space="preserve">New business</t>
        </is>
      </c>
      <c r="F6" s="46" t="inlineStr">
        <is>
          <t xml:space="preserve">B1234EXOTIC26</t>
        </is>
      </c>
      <c r="G6" s="33">
        <f>IF($A6="","",IF($C6="","",YEAR($C6)))</f>
      </c>
      <c r="H6" s="49">
        <v>2006</v>
      </c>
      <c r="I6" s="46" t="inlineStr">
        <is>
          <t xml:space="preserve">BMW</t>
        </is>
      </c>
      <c r="J6" s="46" t="inlineStr">
        <is>
          <t xml:space="preserve">M8 Competition</t>
        </is>
      </c>
      <c r="K6" s="46" t="inlineStr">
        <is>
          <t xml:space="preserve">NDVLYVED756ZZ7WGW</t>
        </is>
      </c>
      <c r="L6" s="48" t="inlineStr">
        <is>
          <t xml:space="preserve">02 - Sports / GT</t>
        </is>
      </c>
      <c r="M6" s="50">
        <v>285000</v>
      </c>
      <c r="N6" s="48" t="inlineStr">
        <is>
          <t xml:space="preserve">Personal</t>
        </is>
      </c>
      <c r="O6" s="46" t="inlineStr">
        <is>
          <t xml:space="preserve">Personal - regular use</t>
        </is>
      </c>
      <c r="P6" s="46" t="inlineStr">
        <is>
          <t xml:space="preserve">1,000 - 2,500</t>
        </is>
      </c>
      <c r="Q6" s="46" t="inlineStr">
        <is>
          <t xml:space="preserve">Ohio</t>
        </is>
      </c>
      <c r="R6" s="46" t="inlineStr">
        <is>
          <t xml:space="preserve">43215</t>
        </is>
      </c>
      <c r="S6" s="48" t="inlineStr">
        <is>
          <t xml:space="preserve">Severe convective - hail / tornado (moderate)</t>
        </is>
      </c>
      <c r="T6" s="36">
        <f>IF($A6="","",IF($S6="","",IFERROR(INDEX('[1]natural catastrophe'!$D$6:$D$17,MATCH($S6,'[1]natural catastrophe'!$B$6:$B$17,0)),"?")))</f>
      </c>
      <c r="U6" s="46" t="inlineStr">
        <is>
          <t xml:space="preserve">$5,000</t>
        </is>
      </c>
      <c r="V6" s="48" t="inlineStr">
        <is>
          <t xml:space="preserve">Agreed Value</t>
        </is>
      </c>
      <c r="W6" s="46" t="inlineStr">
        <is>
          <t xml:space="preserve">$1,000</t>
        </is>
      </c>
      <c r="X6" s="48" t="inlineStr">
        <is>
          <t xml:space="preserve">$1,000,000 CSL</t>
        </is>
      </c>
      <c r="Y6" s="46"/>
      <c r="Z6" s="46"/>
      <c r="AA6" s="48" t="inlineStr">
        <is>
          <t xml:space="preserve">Surplus Lines</t>
        </is>
      </c>
      <c r="AB6" s="50">
        <v>5154.06</v>
      </c>
      <c r="AC6" s="51">
        <v>0</v>
      </c>
      <c r="AD6" s="38">
        <f>IF(ISNUMBER($AB6),$AB6*(1+N($AC6)),"")</f>
      </c>
      <c r="AE6" s="50">
        <v>350</v>
      </c>
      <c r="AF6" s="50">
        <v>0</v>
      </c>
      <c r="AG6" s="51"/>
      <c r="AH6" s="39">
        <f>IF(ISNUMBER($AD6),($AD6+$AE6+$AF6)*$AG6,"")</f>
      </c>
      <c r="AI6" s="50"/>
      <c r="AJ6" s="38">
        <f>IF(ISNUMBER($AD6),SUM($AD6:$AH6),"")</f>
      </c>
      <c r="AK6" s="40">
        <f>IF(AND(ISNUMBER($AB6),ISNUMBER($AD6)),IF($AB6&gt;0,$AD6/$AB6,""),"")</f>
      </c>
      <c r="AL6" s="48" t="inlineStr">
        <is>
          <t xml:space="preserve">At technical</t>
        </is>
      </c>
      <c r="AM6" s="41">
        <f>IF(ISNUMBER($AD6),Header!$I$3,"")</f>
      </c>
      <c r="AN6" s="39">
        <f>IF(ISNUMBER($AD6),$AO6+$AP6,"")</f>
      </c>
      <c r="AO6" s="39">
        <f>IF(ISNUMBER($AD6),ROUND($AD6*Header!$K$3,2),"")</f>
      </c>
      <c r="AP6" s="39">
        <f>IF(ISNUMBER($AD6),ROUND($AD6*Header!$M$3,2),"")</f>
      </c>
      <c r="AQ6" s="38">
        <f>IF(ISNUMBER($AD6),ROUND($AD6,2)-$AO6-$AP6,"")</f>
      </c>
      <c r="AR6" s="39">
        <f>IF(ISNUMBER($AD6),IF(Header!$D$34="","?",$AD6*Header!$D$34),"")</f>
      </c>
      <c r="AS6" s="39">
        <f>IF(ISNUMBER($AB6),IF(Header!$D$34="","?",$AB6*Header!$D$34),"")</f>
      </c>
      <c r="AT6" s="42">
        <f>IF(AND(ISNUMBER($AB6),$M6&gt;0),$AB6/$M6*100,"")</f>
      </c>
      <c r="AU6" s="42">
        <f>IF(AND(ISNUMBER($AD6),$M6&gt;0),$AD6/$M6*100,"")</f>
      </c>
      <c r="AV6" s="40">
        <f>IF(AND(ISNUMBER($AB6),ISNUMBER($AD6),ABS($AB6)&gt;0),$AD6/$AB6,"")</f>
      </c>
      <c r="AW6" s="39">
        <f>IF(ISNUMBER($AD6),MAX(0,(1-0.55-Header!$O$3)*Header!$Q$3*$AQ6),"")</f>
      </c>
      <c r="AX6" s="43">
        <f>IF($A6="","",IF(TRIM(IF($A6="","Missing certificate ref. ","") &amp; IF($C6="","Missing effective date. ","") &amp; IF($D6="","Missing binding status. ","") &amp; IF($E6="","Missing movement type. ","") &amp; IF($I6="","Missing make. ","") &amp; IF($L6="","Missing vehicle class. ","") &amp; IF($M6="","Missing agreed value. ","") &amp; IF($N6="","Missing policy type. ","") &amp; IF($Q6="","Missing garaging state. ","") &amp; IF($R6="","Missing garaging ZIP. ","") &amp; IF($S6="","Missing cat zone. ","") &amp; IF($V6="","Missing valuation basis. ","") &amp; IF($W6="","Missing PD deductible. ","") &amp; IF($X6="","Missing liability limit. ","") &amp; IF($AB6="","Missing technical premium. ","") &amp; IF($AF6="","Missing surplus lines tax %. ",""))="","PASS","FAIL: "&amp;TRIM(IF($A6="","Missing certificate ref. ","") &amp; IF($C6="","Missing effective date. ","") &amp; IF($D6="","Missing binding status. ","") &amp; IF($E6="","Missing movement type. ","") &amp; IF($I6="","Missing make. ","") &amp; IF($L6="","Missing vehicle class. ","") &amp; IF($M6="","Missing agreed value. ","") &amp; IF($N6="","Missing policy type. ","") &amp; IF($Q6="","Missing garaging state. ","") &amp; IF($R6="","Missing garaging ZIP. ","") &amp; IF($S6="","Missing cat zone. ","") &amp; IF($V6="","Missing valuation basis. ","") &amp; IF($W6="","Missing PD deductible. ","") &amp; IF($X6="","Missing liability limit. ","") &amp; IF($AB6="","Missing technical premium. ","") &amp; IF($AF6="","Missing surplus lines tax %. ",""))))</f>
      </c>
      <c r="AY6" s="44">
        <f>IF($M6="","",IF(ISNUMBER($M6),IF($M6&gt;=Header!$C$18,"YES — refer","No"),""))</f>
      </c>
      <c r="AZ6" s="44">
        <f>IF($AD6="","",IF(ISNUMBER($AD6),IF($AD6&lt;Header!$C$20,"BELOW MIN PREMIUM","OK"),""))</f>
      </c>
      <c r="BA6" s="48" t="inlineStr">
        <is>
          <t xml:space="preserve">Yes</t>
        </is>
      </c>
      <c r="BB6" s="48" t="inlineStr">
        <is>
          <t xml:space="preserve">Yes</t>
        </is>
      </c>
      <c r="BC6" s="46" t="inlineStr">
        <is>
          <t xml:space="preserve">Synthetic demo data</t>
        </is>
      </c>
      <c r="BE6" s="45">
        <f>IF(OR($A6="",$L6="",$H6=""),"",IF(AND(LEFT($L6,2)="06",$H6&gt;1945),"FAIL - pre-war class, year "&amp;$H6,IF(AND(LEFT($L6,2)="07",OR($H6&lt;1946,$H6&gt;1972)),"FAIL - 1946-72 class, year "&amp;$H6,IF(AND(LEFT($L6,2)="08",OR($H6&lt;1973,$H6&gt;1999)),"FAIL - 1973-99 class, year "&amp;$H6,IF(AND(LEFT($L6,2)="09",OR($H6&lt;2000,$H6&gt;2010)),"FAIL - 2000-10 class, year "&amp;$H6,"OK")))))</f>
      </c>
      <c r="BF6" s="45">
        <f>IF($AD6="","",IF(ROUND($AO6+$AP6+$AQ6-$AD6,2)=0,"OK","FAIL - out by "&amp;TEXT($AO6+$AP6+$AQ6-$AD6,"$0.00")))</f>
      </c>
    </row>
    <row r="7" spans="1:58" ht="18.75" customHeight="1" x14ac:dyDescent="0.25">
      <c r="A7" s="30" t="inlineStr">
        <is>
          <t xml:space="preserve">CANON-202511-002169</t>
        </is>
      </c>
      <c r="B7" s="30" t="inlineStr">
        <is>
          <t xml:space="preserve">Horace Delacroix</t>
        </is>
      </c>
      <c r="C7" s="31">
        <v>45977</v>
      </c>
      <c r="D7" s="32" t="inlineStr">
        <is>
          <t xml:space="preserve">Bound - within authority</t>
        </is>
      </c>
      <c r="E7" s="32" t="inlineStr">
        <is>
          <t xml:space="preserve">New business</t>
        </is>
      </c>
      <c r="F7" s="30" t="inlineStr">
        <is>
          <t xml:space="preserve">B1234EXOTIC26</t>
        </is>
      </c>
      <c r="G7" s="33">
        <f>IF($A7="","",IF($C7="","",YEAR($C7)))</f>
      </c>
      <c r="H7" s="34">
        <v>1995</v>
      </c>
      <c r="I7" s="30" t="inlineStr">
        <is>
          <t xml:space="preserve">Bentley</t>
        </is>
      </c>
      <c r="J7" s="30" t="inlineStr">
        <is>
          <t xml:space="preserve">Continental GT</t>
        </is>
      </c>
      <c r="K7" s="30" t="inlineStr">
        <is>
          <t xml:space="preserve">HWDPC1U9TJT0EJUGY</t>
        </is>
      </c>
      <c r="L7" s="32" t="inlineStr">
        <is>
          <t xml:space="preserve">02 - Sports / GT</t>
        </is>
      </c>
      <c r="M7" s="35">
        <v>385000</v>
      </c>
      <c r="N7" s="32" t="inlineStr">
        <is>
          <t xml:space="preserve">Personal</t>
        </is>
      </c>
      <c r="O7" s="30" t="inlineStr">
        <is>
          <t xml:space="preserve">Personal - regular use</t>
        </is>
      </c>
      <c r="P7" s="30" t="inlineStr">
        <is>
          <t xml:space="preserve">Under 1,000</t>
        </is>
      </c>
      <c r="Q7" s="30" t="inlineStr">
        <is>
          <t xml:space="preserve">West Virginia</t>
        </is>
      </c>
      <c r="R7" s="30" t="inlineStr">
        <is>
          <t xml:space="preserve">25301</t>
        </is>
      </c>
      <c r="S7" s="32" t="inlineStr">
        <is>
          <t xml:space="preserve">Low hazard - inland benign</t>
        </is>
      </c>
      <c r="T7" s="36">
        <f>IF($A7="","",IF($S7="","",IFERROR(INDEX('[1]natural catastrophe'!$D$6:$D$17,MATCH($S7,'[1]natural catastrophe'!$B$6:$B$17,0)),"?")))</f>
      </c>
      <c r="U7" s="30" t="inlineStr">
        <is>
          <t xml:space="preserve">$5,000</t>
        </is>
      </c>
      <c r="V7" s="32" t="inlineStr">
        <is>
          <t xml:space="preserve">Agreed Value</t>
        </is>
      </c>
      <c r="W7" s="30" t="inlineStr">
        <is>
          <t xml:space="preserve">$1,000</t>
        </is>
      </c>
      <c r="X7" s="32" t="inlineStr">
        <is>
          <t xml:space="preserve">$1,000,000 CSL</t>
        </is>
      </c>
      <c r="Y7" s="30"/>
      <c r="Z7" s="30"/>
      <c r="AA7" s="32" t="inlineStr">
        <is>
          <t xml:space="preserve">Surplus Lines</t>
        </is>
      </c>
      <c r="AB7" s="35">
        <v>6661.96</v>
      </c>
      <c r="AC7" s="37">
        <v>0</v>
      </c>
      <c r="AD7" s="38">
        <f>IF(ISNUMBER($AB7),$AB7*(1+N($AC7)),"")</f>
      </c>
      <c r="AE7" s="35">
        <v>350</v>
      </c>
      <c r="AF7" s="35">
        <v>0</v>
      </c>
      <c r="AG7" s="37"/>
      <c r="AH7" s="39">
        <f>IF(ISNUMBER($AD7),($AD7+$AE7+$AF7)*$AG7,"")</f>
      </c>
      <c r="AI7" s="35"/>
      <c r="AJ7" s="38">
        <f>IF(ISNUMBER($AD7),SUM($AD7:$AH7),"")</f>
      </c>
      <c r="AK7" s="40">
        <f>IF(AND(ISNUMBER($AB7),ISNUMBER($AD7)),IF($AB7&gt;0,$AD7/$AB7,""),"")</f>
      </c>
      <c r="AL7" s="32" t="inlineStr">
        <is>
          <t xml:space="preserve">At technical</t>
        </is>
      </c>
      <c r="AM7" s="41">
        <f>IF(ISNUMBER($AD7),Header!$I$3,"")</f>
      </c>
      <c r="AN7" s="39">
        <f>IF(ISNUMBER($AD7),$AO7+$AP7,"")</f>
      </c>
      <c r="AO7" s="39">
        <f>IF(ISNUMBER($AD7),ROUND($AD7*Header!$K$3,2),"")</f>
      </c>
      <c r="AP7" s="39">
        <f>IF(ISNUMBER($AD7),ROUND($AD7*Header!$M$3,2),"")</f>
      </c>
      <c r="AQ7" s="38">
        <f>IF(ISNUMBER($AD7),ROUND($AD7,2)-$AO7-$AP7,"")</f>
      </c>
      <c r="AR7" s="39">
        <f>IF(ISNUMBER($AD7),IF(Header!$D$34="","?",$AD7*Header!$D$34),"")</f>
      </c>
      <c r="AS7" s="39">
        <f>IF(ISNUMBER($AB7),IF(Header!$D$34="","?",$AB7*Header!$D$34),"")</f>
      </c>
      <c r="AT7" s="42">
        <f>IF(AND(ISNUMBER($AB7),$M7&gt;0),$AB7/$M7*100,"")</f>
      </c>
      <c r="AU7" s="42">
        <f>IF(AND(ISNUMBER($AD7),$M7&gt;0),$AD7/$M7*100,"")</f>
      </c>
      <c r="AV7" s="40">
        <f>IF(AND(ISNUMBER($AB7),ISNUMBER($AD7),ABS($AB7)&gt;0),$AD7/$AB7,"")</f>
      </c>
      <c r="AW7" s="39">
        <f>IF(ISNUMBER($AD7),MAX(0,(1-0.55-Header!$O$3)*Header!$Q$3*$AQ7),"")</f>
      </c>
      <c r="AX7" s="43">
        <f>IF($A7="","",IF(TRIM(IF($A7="","Missing certificate ref. ","") &amp; IF($C7="","Missing effective date. ","") &amp; IF($D7="","Missing binding status. ","") &amp; IF($E7="","Missing movement type. ","") &amp; IF($I7="","Missing make. ","") &amp; IF($L7="","Missing vehicle class. ","") &amp; IF($M7="","Missing agreed value. ","") &amp; IF($N7="","Missing policy type. ","") &amp; IF($Q7="","Missing garaging state. ","") &amp; IF($R7="","Missing garaging ZIP. ","") &amp; IF($S7="","Missing cat zone. ","") &amp; IF($V7="","Missing valuation basis. ","") &amp; IF($W7="","Missing PD deductible. ","") &amp; IF($X7="","Missing liability limit. ","") &amp; IF($AB7="","Missing technical premium. ","") &amp; IF($AF7="","Missing surplus lines tax %. ",""))="","PASS","FAIL: "&amp;TRIM(IF($A7="","Missing certificate ref. ","") &amp; IF($C7="","Missing effective date. ","") &amp; IF($D7="","Missing binding status. ","") &amp; IF($E7="","Missing movement type. ","") &amp; IF($I7="","Missing make. ","") &amp; IF($L7="","Missing vehicle class. ","") &amp; IF($M7="","Missing agreed value. ","") &amp; IF($N7="","Missing policy type. ","") &amp; IF($Q7="","Missing garaging state. ","") &amp; IF($R7="","Missing garaging ZIP. ","") &amp; IF($S7="","Missing cat zone. ","") &amp; IF($V7="","Missing valuation basis. ","") &amp; IF($W7="","Missing PD deductible. ","") &amp; IF($X7="","Missing liability limit. ","") &amp; IF($AB7="","Missing technical premium. ","") &amp; IF($AF7="","Missing surplus lines tax %. ",""))))</f>
      </c>
      <c r="AY7" s="44">
        <f>IF($M7="","",IF(ISNUMBER($M7),IF($M7&gt;=Header!$C$18,"YES — refer","No"),""))</f>
      </c>
      <c r="AZ7" s="44">
        <f>IF($AD7="","",IF(ISNUMBER($AD7),IF($AD7&lt;Header!$C$20,"BELOW MIN PREMIUM","OK"),""))</f>
      </c>
      <c r="BA7" s="32" t="inlineStr">
        <is>
          <t xml:space="preserve">Yes</t>
        </is>
      </c>
      <c r="BB7" s="32" t="inlineStr">
        <is>
          <t xml:space="preserve">Yes</t>
        </is>
      </c>
      <c r="BC7" s="30" t="inlineStr">
        <is>
          <t xml:space="preserve">Synthetic demo data</t>
        </is>
      </c>
      <c r="BE7" s="45">
        <f>IF(OR($A7="",$L7="",$H7=""),"",IF(AND(LEFT($L7,2)="06",$H7&gt;1945),"FAIL - pre-war class, year "&amp;$H7,IF(AND(LEFT($L7,2)="07",OR($H7&lt;1946,$H7&gt;1972)),"FAIL - 1946-72 class, year "&amp;$H7,IF(AND(LEFT($L7,2)="08",OR($H7&lt;1973,$H7&gt;1999)),"FAIL - 1973-99 class, year "&amp;$H7,IF(AND(LEFT($L7,2)="09",OR($H7&lt;2000,$H7&gt;2010)),"FAIL - 2000-10 class, year "&amp;$H7,"OK")))))</f>
      </c>
      <c r="BF7" s="45">
        <f>IF($AD7="","",IF(ROUND($AO7+$AP7+$AQ7-$AD7,2)=0,"OK","FAIL - out by "&amp;TEXT($AO7+$AP7+$AQ7-$AD7,"$0.00")))</f>
      </c>
    </row>
    <row r="8" spans="1:58" ht="18.75" customHeight="1" x14ac:dyDescent="0.25">
      <c r="A8" s="46" t="inlineStr">
        <is>
          <t xml:space="preserve">CANON-202511-002171</t>
        </is>
      </c>
      <c r="B8" s="46" t="inlineStr">
        <is>
          <t xml:space="preserve">Leopold Delacroix</t>
        </is>
      </c>
      <c r="C8" s="47">
        <v>45973</v>
      </c>
      <c r="D8" s="48" t="inlineStr">
        <is>
          <t xml:space="preserve">Bound - within authority</t>
        </is>
      </c>
      <c r="E8" s="48" t="inlineStr">
        <is>
          <t xml:space="preserve">New business</t>
        </is>
      </c>
      <c r="F8" s="46" t="inlineStr">
        <is>
          <t xml:space="preserve">B1234EXOTIC26</t>
        </is>
      </c>
      <c r="G8" s="33">
        <f>IF($A8="","",IF($C8="","",YEAR($C8)))</f>
      </c>
      <c r="H8" s="49">
        <v>1964</v>
      </c>
      <c r="I8" s="46" t="inlineStr">
        <is>
          <t xml:space="preserve">Aston Martin</t>
        </is>
      </c>
      <c r="J8" s="46" t="inlineStr">
        <is>
          <t xml:space="preserve">DB5</t>
        </is>
      </c>
      <c r="K8" s="46" t="inlineStr">
        <is>
          <t xml:space="preserve">YK816H56L9M3M4DN5</t>
        </is>
      </c>
      <c r="L8" s="48" t="inlineStr">
        <is>
          <t xml:space="preserve">07 - Post-War Classic (1946-1972)</t>
        </is>
      </c>
      <c r="M8" s="50">
        <v>760000</v>
      </c>
      <c r="N8" s="48" t="inlineStr">
        <is>
          <t xml:space="preserve">Personal</t>
        </is>
      </c>
      <c r="O8" s="46" t="inlineStr">
        <is>
          <t xml:space="preserve">Personal - regular use</t>
        </is>
      </c>
      <c r="P8" s="46" t="inlineStr">
        <is>
          <t xml:space="preserve">1,000 - 2,500</t>
        </is>
      </c>
      <c r="Q8" s="46" t="inlineStr">
        <is>
          <t xml:space="preserve">Minnesota</t>
        </is>
      </c>
      <c r="R8" s="46" t="inlineStr">
        <is>
          <t xml:space="preserve">55401</t>
        </is>
      </c>
      <c r="S8" s="48" t="inlineStr">
        <is>
          <t xml:space="preserve">Severe convective - hail / tornado (moderate)</t>
        </is>
      </c>
      <c r="T8" s="36">
        <f>IF($A8="","",IF($S8="","",IFERROR(INDEX('[1]natural catastrophe'!$D$6:$D$17,MATCH($S8,'[1]natural catastrophe'!$B$6:$B$17,0)),"?")))</f>
      </c>
      <c r="U8" s="46" t="inlineStr">
        <is>
          <t xml:space="preserve">$5,000</t>
        </is>
      </c>
      <c r="V8" s="48" t="inlineStr">
        <is>
          <t xml:space="preserve">Agreed Value</t>
        </is>
      </c>
      <c r="W8" s="46" t="inlineStr">
        <is>
          <t xml:space="preserve">$1,000</t>
        </is>
      </c>
      <c r="X8" s="48" t="inlineStr">
        <is>
          <t xml:space="preserve">$1,000,000 CSL</t>
        </is>
      </c>
      <c r="Y8" s="46"/>
      <c r="Z8" s="46"/>
      <c r="AA8" s="48" t="inlineStr">
        <is>
          <t xml:space="preserve">Surplus Lines</t>
        </is>
      </c>
      <c r="AB8" s="50">
        <v>7483.15</v>
      </c>
      <c r="AC8" s="51">
        <v>0</v>
      </c>
      <c r="AD8" s="38">
        <f>IF(ISNUMBER($AB8),$AB8*(1+N($AC8)),"")</f>
      </c>
      <c r="AE8" s="50">
        <v>350</v>
      </c>
      <c r="AF8" s="50">
        <v>0</v>
      </c>
      <c r="AG8" s="51"/>
      <c r="AH8" s="39">
        <f>IF(ISNUMBER($AD8),($AD8+$AE8+$AF8)*$AG8,"")</f>
      </c>
      <c r="AI8" s="50"/>
      <c r="AJ8" s="38">
        <f>IF(ISNUMBER($AD8),SUM($AD8:$AH8),"")</f>
      </c>
      <c r="AK8" s="40">
        <f>IF(AND(ISNUMBER($AB8),ISNUMBER($AD8)),IF($AB8&gt;0,$AD8/$AB8,""),"")</f>
      </c>
      <c r="AL8" s="48" t="inlineStr">
        <is>
          <t xml:space="preserve">At technical</t>
        </is>
      </c>
      <c r="AM8" s="41">
        <f>IF(ISNUMBER($AD8),Header!$I$3,"")</f>
      </c>
      <c r="AN8" s="39">
        <f>IF(ISNUMBER($AD8),$AO8+$AP8,"")</f>
      </c>
      <c r="AO8" s="39">
        <f>IF(ISNUMBER($AD8),ROUND($AD8*Header!$K$3,2),"")</f>
      </c>
      <c r="AP8" s="39">
        <f>IF(ISNUMBER($AD8),ROUND($AD8*Header!$M$3,2),"")</f>
      </c>
      <c r="AQ8" s="38">
        <f>IF(ISNUMBER($AD8),ROUND($AD8,2)-$AO8-$AP8,"")</f>
      </c>
      <c r="AR8" s="39">
        <f>IF(ISNUMBER($AD8),IF(Header!$D$34="","?",$AD8*Header!$D$34),"")</f>
      </c>
      <c r="AS8" s="39">
        <f>IF(ISNUMBER($AB8),IF(Header!$D$34="","?",$AB8*Header!$D$34),"")</f>
      </c>
      <c r="AT8" s="42">
        <f>IF(AND(ISNUMBER($AB8),$M8&gt;0),$AB8/$M8*100,"")</f>
      </c>
      <c r="AU8" s="42">
        <f>IF(AND(ISNUMBER($AD8),$M8&gt;0),$AD8/$M8*100,"")</f>
      </c>
      <c r="AV8" s="40">
        <f>IF(AND(ISNUMBER($AB8),ISNUMBER($AD8),ABS($AB8)&gt;0),$AD8/$AB8,"")</f>
      </c>
      <c r="AW8" s="39">
        <f>IF(ISNUMBER($AD8),MAX(0,(1-0.55-Header!$O$3)*Header!$Q$3*$AQ8),"")</f>
      </c>
      <c r="AX8" s="43">
        <f>IF($A8="","",IF(TRIM(IF($A8="","Missing certificate ref. ","") &amp; IF($C8="","Missing effective date. ","") &amp; IF($D8="","Missing binding status. ","") &amp; IF($E8="","Missing movement type. ","") &amp; IF($I8="","Missing make. ","") &amp; IF($L8="","Missing vehicle class. ","") &amp; IF($M8="","Missing agreed value. ","") &amp; IF($N8="","Missing policy type. ","") &amp; IF($Q8="","Missing garaging state. ","") &amp; IF($R8="","Missing garaging ZIP. ","") &amp; IF($S8="","Missing cat zone. ","") &amp; IF($V8="","Missing valuation basis. ","") &amp; IF($W8="","Missing PD deductible. ","") &amp; IF($X8="","Missing liability limit. ","") &amp; IF($AB8="","Missing technical premium. ","") &amp; IF($AF8="","Missing surplus lines tax %. ",""))="","PASS","FAIL: "&amp;TRIM(IF($A8="","Missing certificate ref. ","") &amp; IF($C8="","Missing effective date. ","") &amp; IF($D8="","Missing binding status. ","") &amp; IF($E8="","Missing movement type. ","") &amp; IF($I8="","Missing make. ","") &amp; IF($L8="","Missing vehicle class. ","") &amp; IF($M8="","Missing agreed value. ","") &amp; IF($N8="","Missing policy type. ","") &amp; IF($Q8="","Missing garaging state. ","") &amp; IF($R8="","Missing garaging ZIP. ","") &amp; IF($S8="","Missing cat zone. ","") &amp; IF($V8="","Missing valuation basis. ","") &amp; IF($W8="","Missing PD deductible. ","") &amp; IF($X8="","Missing liability limit. ","") &amp; IF($AB8="","Missing technical premium. ","") &amp; IF($AF8="","Missing surplus lines tax %. ",""))))</f>
      </c>
      <c r="AY8" s="44">
        <f>IF($M8="","",IF(ISNUMBER($M8),IF($M8&gt;=Header!$C$18,"YES — refer","No"),""))</f>
      </c>
      <c r="AZ8" s="44">
        <f>IF($AD8="","",IF(ISNUMBER($AD8),IF($AD8&lt;Header!$C$20,"BELOW MIN PREMIUM","OK"),""))</f>
      </c>
      <c r="BA8" s="48" t="inlineStr">
        <is>
          <t xml:space="preserve">Yes</t>
        </is>
      </c>
      <c r="BB8" s="48" t="inlineStr">
        <is>
          <t xml:space="preserve">Yes</t>
        </is>
      </c>
      <c r="BC8" s="46" t="inlineStr">
        <is>
          <t xml:space="preserve">Synthetic demo data</t>
        </is>
      </c>
      <c r="BE8" s="45">
        <f>IF(OR($A8="",$L8="",$H8=""),"",IF(AND(LEFT($L8,2)="06",$H8&gt;1945),"FAIL - pre-war class, year "&amp;$H8,IF(AND(LEFT($L8,2)="07",OR($H8&lt;1946,$H8&gt;1972)),"FAIL - 1946-72 class, year "&amp;$H8,IF(AND(LEFT($L8,2)="08",OR($H8&lt;1973,$H8&gt;1999)),"FAIL - 1973-99 class, year "&amp;$H8,IF(AND(LEFT($L8,2)="09",OR($H8&lt;2000,$H8&gt;2010)),"FAIL - 2000-10 class, year "&amp;$H8,"OK")))))</f>
      </c>
      <c r="BF8" s="45">
        <f>IF($AD8="","",IF(ROUND($AO8+$AP8+$AQ8-$AD8,2)=0,"OK","FAIL - out by "&amp;TEXT($AO8+$AP8+$AQ8-$AD8,"$0.00")))</f>
      </c>
    </row>
    <row r="9" spans="1:58" ht="18.75" customHeight="1" x14ac:dyDescent="0.25">
      <c r="A9" s="30" t="inlineStr">
        <is>
          <t xml:space="preserve">CANON-202511-002173</t>
        </is>
      </c>
      <c r="B9" s="30" t="inlineStr">
        <is>
          <t xml:space="preserve">Lorenzo Rourke</t>
        </is>
      </c>
      <c r="C9" s="31">
        <v>45978</v>
      </c>
      <c r="D9" s="32" t="inlineStr">
        <is>
          <t xml:space="preserve">Bound - within authority</t>
        </is>
      </c>
      <c r="E9" s="32" t="inlineStr">
        <is>
          <t xml:space="preserve">New business</t>
        </is>
      </c>
      <c r="F9" s="30" t="inlineStr">
        <is>
          <t xml:space="preserve">B1234EXOTIC26</t>
        </is>
      </c>
      <c r="G9" s="33">
        <f>IF($A9="","",IF($C9="","",YEAR($C9)))</f>
      </c>
      <c r="H9" s="34">
        <v>1997</v>
      </c>
      <c r="I9" s="30" t="inlineStr">
        <is>
          <t xml:space="preserve">BMW</t>
        </is>
      </c>
      <c r="J9" s="30" t="inlineStr">
        <is>
          <t xml:space="preserve">M8 Competition</t>
        </is>
      </c>
      <c r="K9" s="30" t="inlineStr">
        <is>
          <t xml:space="preserve">LFS8NTB00JUKH0HNU</t>
        </is>
      </c>
      <c r="L9" s="32" t="inlineStr">
        <is>
          <t xml:space="preserve">02 - Sports / GT</t>
        </is>
      </c>
      <c r="M9" s="35">
        <v>705000</v>
      </c>
      <c r="N9" s="32" t="inlineStr">
        <is>
          <t xml:space="preserve">Personal</t>
        </is>
      </c>
      <c r="O9" s="30" t="inlineStr">
        <is>
          <t xml:space="preserve">Personal - regular use</t>
        </is>
      </c>
      <c r="P9" s="30" t="inlineStr">
        <is>
          <t xml:space="preserve">2,500 - 5,000</t>
        </is>
      </c>
      <c r="Q9" s="30" t="inlineStr">
        <is>
          <t xml:space="preserve">North Carolina</t>
        </is>
      </c>
      <c r="R9" s="30" t="inlineStr">
        <is>
          <t xml:space="preserve">28202</t>
        </is>
      </c>
      <c r="S9" s="32" t="inlineStr">
        <is>
          <t xml:space="preserve">Tier 2 - Coastal wind (1-25 miles)</t>
        </is>
      </c>
      <c r="T9" s="36">
        <f>IF($A9="","",IF($S9="","",IFERROR(INDEX('[1]natural catastrophe'!$D$6:$D$17,MATCH($S9,'[1]natural catastrophe'!$B$6:$B$17,0)),"?")))</f>
      </c>
      <c r="U9" s="30" t="inlineStr">
        <is>
          <t xml:space="preserve">2% of agreed value, minimum $10,000</t>
        </is>
      </c>
      <c r="V9" s="32" t="inlineStr">
        <is>
          <t xml:space="preserve">Agreed Value</t>
        </is>
      </c>
      <c r="W9" s="30" t="inlineStr">
        <is>
          <t xml:space="preserve">$1,000</t>
        </is>
      </c>
      <c r="X9" s="32" t="inlineStr">
        <is>
          <t xml:space="preserve">$1,000,000 CSL</t>
        </is>
      </c>
      <c r="Y9" s="30"/>
      <c r="Z9" s="30"/>
      <c r="AA9" s="32" t="inlineStr">
        <is>
          <t xml:space="preserve">Surplus Lines</t>
        </is>
      </c>
      <c r="AB9" s="35">
        <v>9141.74</v>
      </c>
      <c r="AC9" s="37">
        <v>0</v>
      </c>
      <c r="AD9" s="38">
        <f>IF(ISNUMBER($AB9),$AB9*(1+N($AC9)),"")</f>
      </c>
      <c r="AE9" s="35">
        <v>350</v>
      </c>
      <c r="AF9" s="35">
        <v>0</v>
      </c>
      <c r="AG9" s="37"/>
      <c r="AH9" s="39">
        <f>IF(ISNUMBER($AD9),($AD9+$AE9+$AF9)*$AG9,"")</f>
      </c>
      <c r="AI9" s="35"/>
      <c r="AJ9" s="38">
        <f>IF(ISNUMBER($AD9),SUM($AD9:$AH9),"")</f>
      </c>
      <c r="AK9" s="40">
        <f>IF(AND(ISNUMBER($AB9),ISNUMBER($AD9)),IF($AB9&gt;0,$AD9/$AB9,""),"")</f>
      </c>
      <c r="AL9" s="32" t="inlineStr">
        <is>
          <t xml:space="preserve">At technical</t>
        </is>
      </c>
      <c r="AM9" s="41">
        <f>IF(ISNUMBER($AD9),Header!$I$3,"")</f>
      </c>
      <c r="AN9" s="39">
        <f>IF(ISNUMBER($AD9),$AO9+$AP9,"")</f>
      </c>
      <c r="AO9" s="39">
        <f>IF(ISNUMBER($AD9),ROUND($AD9*Header!$K$3,2),"")</f>
      </c>
      <c r="AP9" s="39">
        <f>IF(ISNUMBER($AD9),ROUND($AD9*Header!$M$3,2),"")</f>
      </c>
      <c r="AQ9" s="38">
        <f>IF(ISNUMBER($AD9),ROUND($AD9,2)-$AO9-$AP9,"")</f>
      </c>
      <c r="AR9" s="39">
        <f>IF(ISNUMBER($AD9),IF(Header!$D$34="","?",$AD9*Header!$D$34),"")</f>
      </c>
      <c r="AS9" s="39">
        <f>IF(ISNUMBER($AB9),IF(Header!$D$34="","?",$AB9*Header!$D$34),"")</f>
      </c>
      <c r="AT9" s="42">
        <f>IF(AND(ISNUMBER($AB9),$M9&gt;0),$AB9/$M9*100,"")</f>
      </c>
      <c r="AU9" s="42">
        <f>IF(AND(ISNUMBER($AD9),$M9&gt;0),$AD9/$M9*100,"")</f>
      </c>
      <c r="AV9" s="40">
        <f>IF(AND(ISNUMBER($AB9),ISNUMBER($AD9),ABS($AB9)&gt;0),$AD9/$AB9,"")</f>
      </c>
      <c r="AW9" s="39">
        <f>IF(ISNUMBER($AD9),MAX(0,(1-0.55-Header!$O$3)*Header!$Q$3*$AQ9),"")</f>
      </c>
      <c r="AX9" s="43">
        <f>IF($A9="","",IF(TRIM(IF($A9="","Missing certificate ref. ","") &amp; IF($C9="","Missing effective date. ","") &amp; IF($D9="","Missing binding status. ","") &amp; IF($E9="","Missing movement type. ","") &amp; IF($I9="","Missing make. ","") &amp; IF($L9="","Missing vehicle class. ","") &amp; IF($M9="","Missing agreed value. ","") &amp; IF($N9="","Missing policy type. ","") &amp; IF($Q9="","Missing garaging state. ","") &amp; IF($R9="","Missing garaging ZIP. ","") &amp; IF($S9="","Missing cat zone. ","") &amp; IF($V9="","Missing valuation basis. ","") &amp; IF($W9="","Missing PD deductible. ","") &amp; IF($X9="","Missing liability limit. ","") &amp; IF($AB9="","Missing technical premium. ","") &amp; IF($AF9="","Missing surplus lines tax %. ",""))="","PASS","FAIL: "&amp;TRIM(IF($A9="","Missing certificate ref. ","") &amp; IF($C9="","Missing effective date. ","") &amp; IF($D9="","Missing binding status. ","") &amp; IF($E9="","Missing movement type. ","") &amp; IF($I9="","Missing make. ","") &amp; IF($L9="","Missing vehicle class. ","") &amp; IF($M9="","Missing agreed value. ","") &amp; IF($N9="","Missing policy type. ","") &amp; IF($Q9="","Missing garaging state. ","") &amp; IF($R9="","Missing garaging ZIP. ","") &amp; IF($S9="","Missing cat zone. ","") &amp; IF($V9="","Missing valuation basis. ","") &amp; IF($W9="","Missing PD deductible. ","") &amp; IF($X9="","Missing liability limit. ","") &amp; IF($AB9="","Missing technical premium. ","") &amp; IF($AF9="","Missing surplus lines tax %. ",""))))</f>
      </c>
      <c r="AY9" s="44">
        <f>IF($M9="","",IF(ISNUMBER($M9),IF($M9&gt;=Header!$C$18,"YES — refer","No"),""))</f>
      </c>
      <c r="AZ9" s="44">
        <f>IF($AD9="","",IF(ISNUMBER($AD9),IF($AD9&lt;Header!$C$20,"BELOW MIN PREMIUM","OK"),""))</f>
      </c>
      <c r="BA9" s="32" t="inlineStr">
        <is>
          <t xml:space="preserve">Yes</t>
        </is>
      </c>
      <c r="BB9" s="32" t="inlineStr">
        <is>
          <t xml:space="preserve">Yes</t>
        </is>
      </c>
      <c r="BC9" s="30" t="inlineStr">
        <is>
          <t xml:space="preserve">Synthetic demo data</t>
        </is>
      </c>
      <c r="BE9" s="45">
        <f>IF(OR($A9="",$L9="",$H9=""),"",IF(AND(LEFT($L9,2)="06",$H9&gt;1945),"FAIL - pre-war class, year "&amp;$H9,IF(AND(LEFT($L9,2)="07",OR($H9&lt;1946,$H9&gt;1972)),"FAIL - 1946-72 class, year "&amp;$H9,IF(AND(LEFT($L9,2)="08",OR($H9&lt;1973,$H9&gt;1999)),"FAIL - 1973-99 class, year "&amp;$H9,IF(AND(LEFT($L9,2)="09",OR($H9&lt;2000,$H9&gt;2010)),"FAIL - 2000-10 class, year "&amp;$H9,"OK")))))</f>
      </c>
      <c r="BF9" s="45">
        <f>IF($AD9="","",IF(ROUND($AO9+$AP9+$AQ9-$AD9,2)=0,"OK","FAIL - out by "&amp;TEXT($AO9+$AP9+$AQ9-$AD9,"$0.00")))</f>
      </c>
    </row>
    <row r="10" spans="1:58" ht="18.75" customHeight="1" x14ac:dyDescent="0.25">
      <c r="A10" s="46" t="inlineStr">
        <is>
          <t xml:space="preserve">CANON-202511-002176</t>
        </is>
      </c>
      <c r="B10" s="46" t="inlineStr">
        <is>
          <t xml:space="preserve">Fenwick Larsson</t>
        </is>
      </c>
      <c r="C10" s="47">
        <v>45978</v>
      </c>
      <c r="D10" s="48" t="inlineStr">
        <is>
          <t xml:space="preserve">Bound - within authority</t>
        </is>
      </c>
      <c r="E10" s="48" t="inlineStr">
        <is>
          <t xml:space="preserve">New business</t>
        </is>
      </c>
      <c r="F10" s="46" t="inlineStr">
        <is>
          <t xml:space="preserve">B1234EXOTIC26</t>
        </is>
      </c>
      <c r="G10" s="33">
        <f>IF($A10="","",IF($C10="","",YEAR($C10)))</f>
      </c>
      <c r="H10" s="49">
        <v>2001</v>
      </c>
      <c r="I10" s="46" t="inlineStr">
        <is>
          <t xml:space="preserve">Lamborghini</t>
        </is>
      </c>
      <c r="J10" s="46" t="inlineStr">
        <is>
          <t xml:space="preserve">Huracan EVO</t>
        </is>
      </c>
      <c r="K10" s="46" t="inlineStr">
        <is>
          <t xml:space="preserve">ARB439WEDNKPUAA7D</t>
        </is>
      </c>
      <c r="L10" s="48" t="inlineStr">
        <is>
          <t xml:space="preserve">03 - Supercar</t>
        </is>
      </c>
      <c r="M10" s="50">
        <v>505000</v>
      </c>
      <c r="N10" s="48" t="inlineStr">
        <is>
          <t xml:space="preserve">Personal</t>
        </is>
      </c>
      <c r="O10" s="46" t="inlineStr">
        <is>
          <t xml:space="preserve">Personal - regular use</t>
        </is>
      </c>
      <c r="P10" s="46" t="inlineStr">
        <is>
          <t xml:space="preserve">Under 1,000</t>
        </is>
      </c>
      <c r="Q10" s="46" t="inlineStr">
        <is>
          <t xml:space="preserve">Maine</t>
        </is>
      </c>
      <c r="R10" s="46" t="inlineStr">
        <is>
          <t xml:space="preserve">04101</t>
        </is>
      </c>
      <c r="S10" s="48" t="inlineStr">
        <is>
          <t xml:space="preserve">Tier 3 - Coastal wind (25-100 miles)</t>
        </is>
      </c>
      <c r="T10" s="36">
        <f>IF($A10="","",IF($S10="","",IFERROR(INDEX('[1]natural catastrophe'!$D$6:$D$17,MATCH($S10,'[1]natural catastrophe'!$B$6:$B$17,0)),"?")))</f>
      </c>
      <c r="U10" s="46" t="inlineStr">
        <is>
          <t xml:space="preserve">2% of agreed value, minimum $10,000</t>
        </is>
      </c>
      <c r="V10" s="48" t="inlineStr">
        <is>
          <t xml:space="preserve">Agreed Value</t>
        </is>
      </c>
      <c r="W10" s="46" t="inlineStr">
        <is>
          <t xml:space="preserve">$1,000</t>
        </is>
      </c>
      <c r="X10" s="48" t="inlineStr">
        <is>
          <t xml:space="preserve">$1,000,000 CSL</t>
        </is>
      </c>
      <c r="Y10" s="46"/>
      <c r="Z10" s="46"/>
      <c r="AA10" s="48" t="inlineStr">
        <is>
          <t xml:space="preserve">Surplus Lines</t>
        </is>
      </c>
      <c r="AB10" s="50">
        <v>8988.09</v>
      </c>
      <c r="AC10" s="51">
        <v>0</v>
      </c>
      <c r="AD10" s="38">
        <f>IF(ISNUMBER($AB10),$AB10*(1+N($AC10)),"")</f>
      </c>
      <c r="AE10" s="50">
        <v>350</v>
      </c>
      <c r="AF10" s="50">
        <v>0</v>
      </c>
      <c r="AG10" s="51"/>
      <c r="AH10" s="39">
        <f>IF(ISNUMBER($AD10),($AD10+$AE10+$AF10)*$AG10,"")</f>
      </c>
      <c r="AI10" s="50"/>
      <c r="AJ10" s="38">
        <f>IF(ISNUMBER($AD10),SUM($AD10:$AH10),"")</f>
      </c>
      <c r="AK10" s="40">
        <f>IF(AND(ISNUMBER($AB10),ISNUMBER($AD10)),IF($AB10&gt;0,$AD10/$AB10,""),"")</f>
      </c>
      <c r="AL10" s="48" t="inlineStr">
        <is>
          <t xml:space="preserve">At technical</t>
        </is>
      </c>
      <c r="AM10" s="41">
        <f>IF(ISNUMBER($AD10),Header!$I$3,"")</f>
      </c>
      <c r="AN10" s="39">
        <f>IF(ISNUMBER($AD10),$AO10+$AP10,"")</f>
      </c>
      <c r="AO10" s="39">
        <f>IF(ISNUMBER($AD10),ROUND($AD10*Header!$K$3,2),"")</f>
      </c>
      <c r="AP10" s="39">
        <f>IF(ISNUMBER($AD10),ROUND($AD10*Header!$M$3,2),"")</f>
      </c>
      <c r="AQ10" s="38">
        <f>IF(ISNUMBER($AD10),ROUND($AD10,2)-$AO10-$AP10,"")</f>
      </c>
      <c r="AR10" s="39">
        <f>IF(ISNUMBER($AD10),IF(Header!$D$34="","?",$AD10*Header!$D$34),"")</f>
      </c>
      <c r="AS10" s="39">
        <f>IF(ISNUMBER($AB10),IF(Header!$D$34="","?",$AB10*Header!$D$34),"")</f>
      </c>
      <c r="AT10" s="42">
        <f>IF(AND(ISNUMBER($AB10),$M10&gt;0),$AB10/$M10*100,"")</f>
      </c>
      <c r="AU10" s="42">
        <f>IF(AND(ISNUMBER($AD10),$M10&gt;0),$AD10/$M10*100,"")</f>
      </c>
      <c r="AV10" s="40">
        <f>IF(AND(ISNUMBER($AB10),ISNUMBER($AD10),ABS($AB10)&gt;0),$AD10/$AB10,"")</f>
      </c>
      <c r="AW10" s="39">
        <f>IF(ISNUMBER($AD10),MAX(0,(1-0.55-Header!$O$3)*Header!$Q$3*$AQ10),"")</f>
      </c>
      <c r="AX10" s="43">
        <f>IF($A10="","",IF(TRIM(IF($A10="","Missing certificate ref. ","") &amp; IF($C10="","Missing effective date. ","") &amp; IF($D10="","Missing binding status. ","") &amp; IF($E10="","Missing movement type. ","") &amp; IF($I10="","Missing make. ","") &amp; IF($L10="","Missing vehicle class. ","") &amp; IF($M10="","Missing agreed value. ","") &amp; IF($N10="","Missing policy type. ","") &amp; IF($Q10="","Missing garaging state. ","") &amp; IF($R10="","Missing garaging ZIP. ","") &amp; IF($S10="","Missing cat zone. ","") &amp; IF($V10="","Missing valuation basis. ","") &amp; IF($W10="","Missing PD deductible. ","") &amp; IF($X10="","Missing liability limit. ","") &amp; IF($AB10="","Missing technical premium. ","") &amp; IF($AF10="","Missing surplus lines tax %. ",""))="","PASS","FAIL: "&amp;TRIM(IF($A10="","Missing certificate ref. ","") &amp; IF($C10="","Missing effective date. ","") &amp; IF($D10="","Missing binding status. ","") &amp; IF($E10="","Missing movement type. ","") &amp; IF($I10="","Missing make. ","") &amp; IF($L10="","Missing vehicle class. ","") &amp; IF($M10="","Missing agreed value. ","") &amp; IF($N10="","Missing policy type. ","") &amp; IF($Q10="","Missing garaging state. ","") &amp; IF($R10="","Missing garaging ZIP. ","") &amp; IF($S10="","Missing cat zone. ","") &amp; IF($V10="","Missing valuation basis. ","") &amp; IF($W10="","Missing PD deductible. ","") &amp; IF($X10="","Missing liability limit. ","") &amp; IF($AB10="","Missing technical premium. ","") &amp; IF($AF10="","Missing surplus lines tax %. ",""))))</f>
      </c>
      <c r="AY10" s="44">
        <f>IF($M10="","",IF(ISNUMBER($M10),IF($M10&gt;=Header!$C$18,"YES — refer","No"),""))</f>
      </c>
      <c r="AZ10" s="44">
        <f>IF($AD10="","",IF(ISNUMBER($AD10),IF($AD10&lt;Header!$C$20,"BELOW MIN PREMIUM","OK"),""))</f>
      </c>
      <c r="BA10" s="48" t="inlineStr">
        <is>
          <t xml:space="preserve">Yes</t>
        </is>
      </c>
      <c r="BB10" s="48" t="inlineStr">
        <is>
          <t xml:space="preserve">Yes</t>
        </is>
      </c>
      <c r="BC10" s="46" t="inlineStr">
        <is>
          <t xml:space="preserve">Synthetic demo data</t>
        </is>
      </c>
      <c r="BE10" s="45">
        <f>IF(OR($A10="",$L10="",$H10=""),"",IF(AND(LEFT($L10,2)="06",$H10&gt;1945),"FAIL - pre-war class, year "&amp;$H10,IF(AND(LEFT($L10,2)="07",OR($H10&lt;1946,$H10&gt;1972)),"FAIL - 1946-72 class, year "&amp;$H10,IF(AND(LEFT($L10,2)="08",OR($H10&lt;1973,$H10&gt;1999)),"FAIL - 1973-99 class, year "&amp;$H10,IF(AND(LEFT($L10,2)="09",OR($H10&lt;2000,$H10&gt;2010)),"FAIL - 2000-10 class, year "&amp;$H10,"OK")))))</f>
      </c>
      <c r="BF10" s="45">
        <f>IF($AD10="","",IF(ROUND($AO10+$AP10+$AQ10-$AD10,2)=0,"OK","FAIL - out by "&amp;TEXT($AO10+$AP10+$AQ10-$AD10,"$0.00")))</f>
      </c>
    </row>
    <row r="11" spans="1:58" ht="18.75" customHeight="1" x14ac:dyDescent="0.25">
      <c r="A11" s="30" t="inlineStr">
        <is>
          <t xml:space="preserve">CANON-202511-002177</t>
        </is>
      </c>
      <c r="B11" s="30" t="inlineStr">
        <is>
          <t xml:space="preserve">Ramona Harrington</t>
        </is>
      </c>
      <c r="C11" s="31">
        <v>45985</v>
      </c>
      <c r="D11" s="32" t="inlineStr">
        <is>
          <t xml:space="preserve">Bound - within authority</t>
        </is>
      </c>
      <c r="E11" s="32" t="inlineStr">
        <is>
          <t xml:space="preserve">New business</t>
        </is>
      </c>
      <c r="F11" s="30" t="inlineStr">
        <is>
          <t xml:space="preserve">B1234EXOTIC26</t>
        </is>
      </c>
      <c r="G11" s="33">
        <f>IF($A11="","",IF($C11="","",YEAR($C11)))</f>
      </c>
      <c r="H11" s="34">
        <v>1977</v>
      </c>
      <c r="I11" s="30" t="inlineStr">
        <is>
          <t xml:space="preserve">Lamborghini</t>
        </is>
      </c>
      <c r="J11" s="30" t="inlineStr">
        <is>
          <t xml:space="preserve">Huracan EVO</t>
        </is>
      </c>
      <c r="K11" s="30" t="inlineStr">
        <is>
          <t xml:space="preserve">U0A8DAYD7FBJGMH2J</t>
        </is>
      </c>
      <c r="L11" s="32" t="inlineStr">
        <is>
          <t xml:space="preserve">03 - Supercar</t>
        </is>
      </c>
      <c r="M11" s="35">
        <v>905000</v>
      </c>
      <c r="N11" s="32" t="inlineStr">
        <is>
          <t xml:space="preserve">Personal</t>
        </is>
      </c>
      <c r="O11" s="30" t="inlineStr">
        <is>
          <t xml:space="preserve">Personal - regular use</t>
        </is>
      </c>
      <c r="P11" s="30" t="inlineStr">
        <is>
          <t xml:space="preserve">2,500 - 5,000</t>
        </is>
      </c>
      <c r="Q11" s="30" t="inlineStr">
        <is>
          <t xml:space="preserve">Ohio</t>
        </is>
      </c>
      <c r="R11" s="30" t="inlineStr">
        <is>
          <t xml:space="preserve">43215</t>
        </is>
      </c>
      <c r="S11" s="32" t="inlineStr">
        <is>
          <t xml:space="preserve">Severe convective - hail / tornado (moderate)</t>
        </is>
      </c>
      <c r="T11" s="36">
        <f>IF($A11="","",IF($S11="","",IFERROR(INDEX('[1]natural catastrophe'!$D$6:$D$17,MATCH($S11,'[1]natural catastrophe'!$B$6:$B$17,0)),"?")))</f>
      </c>
      <c r="U11" s="30" t="inlineStr">
        <is>
          <t xml:space="preserve">$5,000</t>
        </is>
      </c>
      <c r="V11" s="32" t="inlineStr">
        <is>
          <t xml:space="preserve">Agreed Value</t>
        </is>
      </c>
      <c r="W11" s="30" t="inlineStr">
        <is>
          <t xml:space="preserve">$1,000</t>
        </is>
      </c>
      <c r="X11" s="32" t="inlineStr">
        <is>
          <t xml:space="preserve">$1,000,000 CSL</t>
        </is>
      </c>
      <c r="Y11" s="30"/>
      <c r="Z11" s="30"/>
      <c r="AA11" s="32" t="inlineStr">
        <is>
          <t xml:space="preserve">Surplus Lines</t>
        </is>
      </c>
      <c r="AB11" s="35">
        <v>20730.78</v>
      </c>
      <c r="AC11" s="37">
        <v>0</v>
      </c>
      <c r="AD11" s="38">
        <f>IF(ISNUMBER($AB11),$AB11*(1+N($AC11)),"")</f>
      </c>
      <c r="AE11" s="35">
        <v>350</v>
      </c>
      <c r="AF11" s="35">
        <v>0</v>
      </c>
      <c r="AG11" s="37"/>
      <c r="AH11" s="39">
        <f>IF(ISNUMBER($AD11),($AD11+$AE11+$AF11)*$AG11,"")</f>
      </c>
      <c r="AI11" s="35"/>
      <c r="AJ11" s="38">
        <f>IF(ISNUMBER($AD11),SUM($AD11:$AH11),"")</f>
      </c>
      <c r="AK11" s="40">
        <f>IF(AND(ISNUMBER($AB11),ISNUMBER($AD11)),IF($AB11&gt;0,$AD11/$AB11,""),"")</f>
      </c>
      <c r="AL11" s="32" t="inlineStr">
        <is>
          <t xml:space="preserve">At technical</t>
        </is>
      </c>
      <c r="AM11" s="41">
        <f>IF(ISNUMBER($AD11),Header!$I$3,"")</f>
      </c>
      <c r="AN11" s="39">
        <f>IF(ISNUMBER($AD11),$AO11+$AP11,"")</f>
      </c>
      <c r="AO11" s="39">
        <f>IF(ISNUMBER($AD11),ROUND($AD11*Header!$K$3,2),"")</f>
      </c>
      <c r="AP11" s="39">
        <f>IF(ISNUMBER($AD11),ROUND($AD11*Header!$M$3,2),"")</f>
      </c>
      <c r="AQ11" s="38">
        <f>IF(ISNUMBER($AD11),ROUND($AD11,2)-$AO11-$AP11,"")</f>
      </c>
      <c r="AR11" s="39">
        <f>IF(ISNUMBER($AD11),IF(Header!$D$34="","?",$AD11*Header!$D$34),"")</f>
      </c>
      <c r="AS11" s="39">
        <f>IF(ISNUMBER($AB11),IF(Header!$D$34="","?",$AB11*Header!$D$34),"")</f>
      </c>
      <c r="AT11" s="42">
        <f>IF(AND(ISNUMBER($AB11),$M11&gt;0),$AB11/$M11*100,"")</f>
      </c>
      <c r="AU11" s="42">
        <f>IF(AND(ISNUMBER($AD11),$M11&gt;0),$AD11/$M11*100,"")</f>
      </c>
      <c r="AV11" s="40">
        <f>IF(AND(ISNUMBER($AB11),ISNUMBER($AD11),ABS($AB11)&gt;0),$AD11/$AB11,"")</f>
      </c>
      <c r="AW11" s="39">
        <f>IF(ISNUMBER($AD11),MAX(0,(1-0.55-Header!$O$3)*Header!$Q$3*$AQ11),"")</f>
      </c>
      <c r="AX11" s="43">
        <f>IF($A11="","",IF(TRIM(IF($A11="","Missing certificate ref. ","") &amp; IF($C11="","Missing effective date. ","") &amp; IF($D11="","Missing binding status. ","") &amp; IF($E11="","Missing movement type. ","") &amp; IF($I11="","Missing make. ","") &amp; IF($L11="","Missing vehicle class. ","") &amp; IF($M11="","Missing agreed value. ","") &amp; IF($N11="","Missing policy type. ","") &amp; IF($Q11="","Missing garaging state. ","") &amp; IF($R11="","Missing garaging ZIP. ","") &amp; IF($S11="","Missing cat zone. ","") &amp; IF($V11="","Missing valuation basis. ","") &amp; IF($W11="","Missing PD deductible. ","") &amp; IF($X11="","Missing liability limit. ","") &amp; IF($AB11="","Missing technical premium. ","") &amp; IF($AF11="","Missing surplus lines tax %. ",""))="","PASS","FAIL: "&amp;TRIM(IF($A11="","Missing certificate ref. ","") &amp; IF($C11="","Missing effective date. ","") &amp; IF($D11="","Missing binding status. ","") &amp; IF($E11="","Missing movement type. ","") &amp; IF($I11="","Missing make. ","") &amp; IF($L11="","Missing vehicle class. ","") &amp; IF($M11="","Missing agreed value. ","") &amp; IF($N11="","Missing policy type. ","") &amp; IF($Q11="","Missing garaging state. ","") &amp; IF($R11="","Missing garaging ZIP. ","") &amp; IF($S11="","Missing cat zone. ","") &amp; IF($V11="","Missing valuation basis. ","") &amp; IF($W11="","Missing PD deductible. ","") &amp; IF($X11="","Missing liability limit. ","") &amp; IF($AB11="","Missing technical premium. ","") &amp; IF($AF11="","Missing surplus lines tax %. ",""))))</f>
      </c>
      <c r="AY11" s="44">
        <f>IF($M11="","",IF(ISNUMBER($M11),IF($M11&gt;=Header!$C$18,"YES — refer","No"),""))</f>
      </c>
      <c r="AZ11" s="44">
        <f>IF($AD11="","",IF(ISNUMBER($AD11),IF($AD11&lt;Header!$C$20,"BELOW MIN PREMIUM","OK"),""))</f>
      </c>
      <c r="BA11" s="32" t="inlineStr">
        <is>
          <t xml:space="preserve">Yes</t>
        </is>
      </c>
      <c r="BB11" s="32" t="inlineStr">
        <is>
          <t xml:space="preserve">Yes</t>
        </is>
      </c>
      <c r="BC11" s="30" t="inlineStr">
        <is>
          <t xml:space="preserve">Synthetic demo data</t>
        </is>
      </c>
      <c r="BE11" s="45">
        <f>IF(OR($A11="",$L11="",$H11=""),"",IF(AND(LEFT($L11,2)="06",$H11&gt;1945),"FAIL - pre-war class, year "&amp;$H11,IF(AND(LEFT($L11,2)="07",OR($H11&lt;1946,$H11&gt;1972)),"FAIL - 1946-72 class, year "&amp;$H11,IF(AND(LEFT($L11,2)="08",OR($H11&lt;1973,$H11&gt;1999)),"FAIL - 1973-99 class, year "&amp;$H11,IF(AND(LEFT($L11,2)="09",OR($H11&lt;2000,$H11&gt;2010)),"FAIL - 2000-10 class, year "&amp;$H11,"OK")))))</f>
      </c>
      <c r="BF11" s="45">
        <f>IF($AD11="","",IF(ROUND($AO11+$AP11+$AQ11-$AD11,2)=0,"OK","FAIL - out by "&amp;TEXT($AO11+$AP11+$AQ11-$AD11,"$0.00")))</f>
      </c>
    </row>
    <row r="12" spans="1:58" ht="18.75" customHeight="1" x14ac:dyDescent="0.25">
      <c r="A12" s="46" t="inlineStr">
        <is>
          <t xml:space="preserve">CANON-202511-002178</t>
        </is>
      </c>
      <c r="B12" s="46" t="inlineStr">
        <is>
          <t xml:space="preserve">Marisol Larsson</t>
        </is>
      </c>
      <c r="C12" s="47">
        <v>45991</v>
      </c>
      <c r="D12" s="48" t="inlineStr">
        <is>
          <t xml:space="preserve">Bound - within authority</t>
        </is>
      </c>
      <c r="E12" s="48" t="inlineStr">
        <is>
          <t xml:space="preserve">New business</t>
        </is>
      </c>
      <c r="F12" s="46" t="inlineStr">
        <is>
          <t xml:space="preserve">B1234EXOTIC26</t>
        </is>
      </c>
      <c r="G12" s="33">
        <f>IF($A12="","",IF($C12="","",YEAR($C12)))</f>
      </c>
      <c r="H12" s="49">
        <v>1965</v>
      </c>
      <c r="I12" s="46" t="inlineStr">
        <is>
          <t xml:space="preserve">Jaguar</t>
        </is>
      </c>
      <c r="J12" s="46" t="inlineStr">
        <is>
          <t xml:space="preserve">E-Type Series 1</t>
        </is>
      </c>
      <c r="K12" s="46" t="inlineStr">
        <is>
          <t xml:space="preserve">FL5KUK3PW72UFFS7L</t>
        </is>
      </c>
      <c r="L12" s="48" t="inlineStr">
        <is>
          <t xml:space="preserve">07 - Post-War Classic (1946-1972)</t>
        </is>
      </c>
      <c r="M12" s="50">
        <v>1950000</v>
      </c>
      <c r="N12" s="48" t="inlineStr">
        <is>
          <t xml:space="preserve">Personal</t>
        </is>
      </c>
      <c r="O12" s="46" t="inlineStr">
        <is>
          <t xml:space="preserve">Personal - regular use</t>
        </is>
      </c>
      <c r="P12" s="46" t="inlineStr">
        <is>
          <t xml:space="preserve">1,000 - 2,500</t>
        </is>
      </c>
      <c r="Q12" s="46" t="inlineStr">
        <is>
          <t xml:space="preserve">Maine</t>
        </is>
      </c>
      <c r="R12" s="46" t="inlineStr">
        <is>
          <t xml:space="preserve">04101</t>
        </is>
      </c>
      <c r="S12" s="48" t="inlineStr">
        <is>
          <t xml:space="preserve">Tier 3 - Coastal wind (25-100 miles)</t>
        </is>
      </c>
      <c r="T12" s="36">
        <f>IF($A12="","",IF($S12="","",IFERROR(INDEX('[1]natural catastrophe'!$D$6:$D$17,MATCH($S12,'[1]natural catastrophe'!$B$6:$B$17,0)),"?")))</f>
      </c>
      <c r="U12" s="46" t="inlineStr">
        <is>
          <t xml:space="preserve">2% of agreed value, minimum $10,000</t>
        </is>
      </c>
      <c r="V12" s="48" t="inlineStr">
        <is>
          <t xml:space="preserve">Agreed Value</t>
        </is>
      </c>
      <c r="W12" s="46" t="inlineStr">
        <is>
          <t xml:space="preserve">$1,000</t>
        </is>
      </c>
      <c r="X12" s="48" t="inlineStr">
        <is>
          <t xml:space="preserve">$1,000,000 CSL</t>
        </is>
      </c>
      <c r="Y12" s="46"/>
      <c r="Z12" s="46"/>
      <c r="AA12" s="48" t="inlineStr">
        <is>
          <t xml:space="preserve">Surplus Lines</t>
        </is>
      </c>
      <c r="AB12" s="50">
        <v>13882.59</v>
      </c>
      <c r="AC12" s="51">
        <v>0</v>
      </c>
      <c r="AD12" s="38">
        <f>IF(ISNUMBER($AB12),$AB12*(1+N($AC12)),"")</f>
      </c>
      <c r="AE12" s="50">
        <v>350</v>
      </c>
      <c r="AF12" s="50">
        <v>250</v>
      </c>
      <c r="AG12" s="51"/>
      <c r="AH12" s="39">
        <f>IF(ISNUMBER($AD12),($AD12+$AE12+$AF12)*$AG12,"")</f>
      </c>
      <c r="AI12" s="50"/>
      <c r="AJ12" s="38">
        <f>IF(ISNUMBER($AD12),SUM($AD12:$AH12),"")</f>
      </c>
      <c r="AK12" s="40">
        <f>IF(AND(ISNUMBER($AB12),ISNUMBER($AD12)),IF($AB12&gt;0,$AD12/$AB12,""),"")</f>
      </c>
      <c r="AL12" s="48" t="inlineStr">
        <is>
          <t xml:space="preserve">At technical</t>
        </is>
      </c>
      <c r="AM12" s="41">
        <f>IF(ISNUMBER($AD12),Header!$I$3,"")</f>
      </c>
      <c r="AN12" s="39">
        <f>IF(ISNUMBER($AD12),$AO12+$AP12,"")</f>
      </c>
      <c r="AO12" s="39">
        <f>IF(ISNUMBER($AD12),ROUND($AD12*Header!$K$3,2),"")</f>
      </c>
      <c r="AP12" s="39">
        <f>IF(ISNUMBER($AD12),ROUND($AD12*Header!$M$3,2),"")</f>
      </c>
      <c r="AQ12" s="38">
        <f>IF(ISNUMBER($AD12),ROUND($AD12,2)-$AO12-$AP12,"")</f>
      </c>
      <c r="AR12" s="39">
        <f>IF(ISNUMBER($AD12),IF(Header!$D$34="","?",$AD12*Header!$D$34),"")</f>
      </c>
      <c r="AS12" s="39">
        <f>IF(ISNUMBER($AB12),IF(Header!$D$34="","?",$AB12*Header!$D$34),"")</f>
      </c>
      <c r="AT12" s="42">
        <f>IF(AND(ISNUMBER($AB12),$M12&gt;0),$AB12/$M12*100,"")</f>
      </c>
      <c r="AU12" s="42">
        <f>IF(AND(ISNUMBER($AD12),$M12&gt;0),$AD12/$M12*100,"")</f>
      </c>
      <c r="AV12" s="40">
        <f>IF(AND(ISNUMBER($AB12),ISNUMBER($AD12),ABS($AB12)&gt;0),$AD12/$AB12,"")</f>
      </c>
      <c r="AW12" s="39">
        <f>IF(ISNUMBER($AD12),MAX(0,(1-0.55-Header!$O$3)*Header!$Q$3*$AQ12),"")</f>
      </c>
      <c r="AX12" s="43">
        <f>IF($A12="","",IF(TRIM(IF($A12="","Missing certificate ref. ","") &amp; IF($C12="","Missing effective date. ","") &amp; IF($D12="","Missing binding status. ","") &amp; IF($E12="","Missing movement type. ","") &amp; IF($I12="","Missing make. ","") &amp; IF($L12="","Missing vehicle class. ","") &amp; IF($M12="","Missing agreed value. ","") &amp; IF($N12="","Missing policy type. ","") &amp; IF($Q12="","Missing garaging state. ","") &amp; IF($R12="","Missing garaging ZIP. ","") &amp; IF($S12="","Missing cat zone. ","") &amp; IF($V12="","Missing valuation basis. ","") &amp; IF($W12="","Missing PD deductible. ","") &amp; IF($X12="","Missing liability limit. ","") &amp; IF($AB12="","Missing technical premium. ","") &amp; IF($AF12="","Missing surplus lines tax %. ",""))="","PASS","FAIL: "&amp;TRIM(IF($A12="","Missing certificate ref. ","") &amp; IF($C12="","Missing effective date. ","") &amp; IF($D12="","Missing binding status. ","") &amp; IF($E12="","Missing movement type. ","") &amp; IF($I12="","Missing make. ","") &amp; IF($L12="","Missing vehicle class. ","") &amp; IF($M12="","Missing agreed value. ","") &amp; IF($N12="","Missing policy type. ","") &amp; IF($Q12="","Missing garaging state. ","") &amp; IF($R12="","Missing garaging ZIP. ","") &amp; IF($S12="","Missing cat zone. ","") &amp; IF($V12="","Missing valuation basis. ","") &amp; IF($W12="","Missing PD deductible. ","") &amp; IF($X12="","Missing liability limit. ","") &amp; IF($AB12="","Missing technical premium. ","") &amp; IF($AF12="","Missing surplus lines tax %. ",""))))</f>
      </c>
      <c r="AY12" s="44">
        <f>IF($M12="","",IF(ISNUMBER($M12),IF($M12&gt;=Header!$C$18,"YES — refer","No"),""))</f>
      </c>
      <c r="AZ12" s="44">
        <f>IF($AD12="","",IF(ISNUMBER($AD12),IF($AD12&lt;Header!$C$20,"BELOW MIN PREMIUM","OK"),""))</f>
      </c>
      <c r="BA12" s="48" t="inlineStr">
        <is>
          <t xml:space="preserve">Yes</t>
        </is>
      </c>
      <c r="BB12" s="48" t="inlineStr">
        <is>
          <t xml:space="preserve">Yes</t>
        </is>
      </c>
      <c r="BC12" s="46" t="inlineStr">
        <is>
          <t xml:space="preserve">Synthetic demo data</t>
        </is>
      </c>
      <c r="BE12" s="45">
        <f>IF(OR($A12="",$L12="",$H12=""),"",IF(AND(LEFT($L12,2)="06",$H12&gt;1945),"FAIL - pre-war class, year "&amp;$H12,IF(AND(LEFT($L12,2)="07",OR($H12&lt;1946,$H12&gt;1972)),"FAIL - 1946-72 class, year "&amp;$H12,IF(AND(LEFT($L12,2)="08",OR($H12&lt;1973,$H12&gt;1999)),"FAIL - 1973-99 class, year "&amp;$H12,IF(AND(LEFT($L12,2)="09",OR($H12&lt;2000,$H12&gt;2010)),"FAIL - 2000-10 class, year "&amp;$H12,"OK")))))</f>
      </c>
      <c r="BF12" s="45">
        <f>IF($AD12="","",IF(ROUND($AO12+$AP12+$AQ12-$AD12,2)=0,"OK","FAIL - out by "&amp;TEXT($AO12+$AP12+$AQ12-$AD12,"$0.00")))</f>
      </c>
    </row>
    <row r="13" spans="1:58" ht="18.75" customHeight="1" x14ac:dyDescent="0.25">
      <c r="A13" s="30" t="inlineStr">
        <is>
          <t xml:space="preserve">CANON-202511-002180</t>
        </is>
      </c>
      <c r="B13" s="30" t="inlineStr">
        <is>
          <t xml:space="preserve">Wilhelmina Harrington</t>
        </is>
      </c>
      <c r="C13" s="31">
        <v>45984</v>
      </c>
      <c r="D13" s="32" t="inlineStr">
        <is>
          <t xml:space="preserve">Bound - within authority</t>
        </is>
      </c>
      <c r="E13" s="32" t="inlineStr">
        <is>
          <t xml:space="preserve">New business</t>
        </is>
      </c>
      <c r="F13" s="30" t="inlineStr">
        <is>
          <t xml:space="preserve">B1234EXOTIC26</t>
        </is>
      </c>
      <c r="G13" s="33">
        <f>IF($A13="","",IF($C13="","",YEAR($C13)))</f>
      </c>
      <c r="H13" s="34">
        <v>2014</v>
      </c>
      <c r="I13" s="30" t="inlineStr">
        <is>
          <t xml:space="preserve">Ferrari</t>
        </is>
      </c>
      <c r="J13" s="30" t="inlineStr">
        <is>
          <t xml:space="preserve">296 GTB</t>
        </is>
      </c>
      <c r="K13" s="30" t="inlineStr">
        <is>
          <t xml:space="preserve">RU2T2X0GMSKNS19AK</t>
        </is>
      </c>
      <c r="L13" s="32" t="inlineStr">
        <is>
          <t xml:space="preserve">03 - Supercar</t>
        </is>
      </c>
      <c r="M13" s="35">
        <v>380000</v>
      </c>
      <c r="N13" s="32" t="inlineStr">
        <is>
          <t xml:space="preserve">Personal</t>
        </is>
      </c>
      <c r="O13" s="30" t="inlineStr">
        <is>
          <t xml:space="preserve">Personal - regular use</t>
        </is>
      </c>
      <c r="P13" s="30" t="inlineStr">
        <is>
          <t xml:space="preserve">1,000 - 2,500</t>
        </is>
      </c>
      <c r="Q13" s="30" t="inlineStr">
        <is>
          <t xml:space="preserve">Colorado</t>
        </is>
      </c>
      <c r="R13" s="30" t="inlineStr">
        <is>
          <t xml:space="preserve">80202</t>
        </is>
      </c>
      <c r="S13" s="32" t="inlineStr">
        <is>
          <t xml:space="preserve">Severe convective - hail alley (high)</t>
        </is>
      </c>
      <c r="T13" s="36">
        <f>IF($A13="","",IF($S13="","",IFERROR(INDEX('[1]natural catastrophe'!$D$6:$D$17,MATCH($S13,'[1]natural catastrophe'!$B$6:$B$17,0)),"?")))</f>
      </c>
      <c r="U13" s="30" t="inlineStr">
        <is>
          <t xml:space="preserve">$5,000</t>
        </is>
      </c>
      <c r="V13" s="32" t="inlineStr">
        <is>
          <t xml:space="preserve">Agreed Value</t>
        </is>
      </c>
      <c r="W13" s="30" t="inlineStr">
        <is>
          <t xml:space="preserve">$1,000</t>
        </is>
      </c>
      <c r="X13" s="32" t="inlineStr">
        <is>
          <t xml:space="preserve">$1,000,000 CSL</t>
        </is>
      </c>
      <c r="Y13" s="30"/>
      <c r="Z13" s="30"/>
      <c r="AA13" s="32" t="inlineStr">
        <is>
          <t xml:space="preserve">Surplus Lines</t>
        </is>
      </c>
      <c r="AB13" s="35">
        <v>8338.78</v>
      </c>
      <c r="AC13" s="37">
        <v>0</v>
      </c>
      <c r="AD13" s="38">
        <f>IF(ISNUMBER($AB13),$AB13*(1+N($AC13)),"")</f>
      </c>
      <c r="AE13" s="35">
        <v>350</v>
      </c>
      <c r="AF13" s="35">
        <v>0</v>
      </c>
      <c r="AG13" s="37"/>
      <c r="AH13" s="39">
        <f>IF(ISNUMBER($AD13),($AD13+$AE13+$AF13)*$AG13,"")</f>
      </c>
      <c r="AI13" s="35"/>
      <c r="AJ13" s="38">
        <f>IF(ISNUMBER($AD13),SUM($AD13:$AH13),"")</f>
      </c>
      <c r="AK13" s="40">
        <f>IF(AND(ISNUMBER($AB13),ISNUMBER($AD13)),IF($AB13&gt;0,$AD13/$AB13,""),"")</f>
      </c>
      <c r="AL13" s="32" t="inlineStr">
        <is>
          <t xml:space="preserve">At technical</t>
        </is>
      </c>
      <c r="AM13" s="41">
        <f>IF(ISNUMBER($AD13),Header!$I$3,"")</f>
      </c>
      <c r="AN13" s="39">
        <f>IF(ISNUMBER($AD13),$AO13+$AP13,"")</f>
      </c>
      <c r="AO13" s="39">
        <f>IF(ISNUMBER($AD13),ROUND($AD13*Header!$K$3,2),"")</f>
      </c>
      <c r="AP13" s="39">
        <f>IF(ISNUMBER($AD13),ROUND($AD13*Header!$M$3,2),"")</f>
      </c>
      <c r="AQ13" s="38">
        <f>IF(ISNUMBER($AD13),ROUND($AD13,2)-$AO13-$AP13,"")</f>
      </c>
      <c r="AR13" s="39">
        <f>IF(ISNUMBER($AD13),IF(Header!$D$34="","?",$AD13*Header!$D$34),"")</f>
      </c>
      <c r="AS13" s="39">
        <f>IF(ISNUMBER($AB13),IF(Header!$D$34="","?",$AB13*Header!$D$34),"")</f>
      </c>
      <c r="AT13" s="42">
        <f>IF(AND(ISNUMBER($AB13),$M13&gt;0),$AB13/$M13*100,"")</f>
      </c>
      <c r="AU13" s="42">
        <f>IF(AND(ISNUMBER($AD13),$M13&gt;0),$AD13/$M13*100,"")</f>
      </c>
      <c r="AV13" s="40">
        <f>IF(AND(ISNUMBER($AB13),ISNUMBER($AD13),ABS($AB13)&gt;0),$AD13/$AB13,"")</f>
      </c>
      <c r="AW13" s="39">
        <f>IF(ISNUMBER($AD13),MAX(0,(1-0.55-Header!$O$3)*Header!$Q$3*$AQ13),"")</f>
      </c>
      <c r="AX13" s="43">
        <f>IF($A13="","",IF(TRIM(IF($A13="","Missing certificate ref. ","") &amp; IF($C13="","Missing effective date. ","") &amp; IF($D13="","Missing binding status. ","") &amp; IF($E13="","Missing movement type. ","") &amp; IF($I13="","Missing make. ","") &amp; IF($L13="","Missing vehicle class. ","") &amp; IF($M13="","Missing agreed value. ","") &amp; IF($N13="","Missing policy type. ","") &amp; IF($Q13="","Missing garaging state. ","") &amp; IF($R13="","Missing garaging ZIP. ","") &amp; IF($S13="","Missing cat zone. ","") &amp; IF($V13="","Missing valuation basis. ","") &amp; IF($W13="","Missing PD deductible. ","") &amp; IF($X13="","Missing liability limit. ","") &amp; IF($AB13="","Missing technical premium. ","") &amp; IF($AF13="","Missing surplus lines tax %. ",""))="","PASS","FAIL: "&amp;TRIM(IF($A13="","Missing certificate ref. ","") &amp; IF($C13="","Missing effective date. ","") &amp; IF($D13="","Missing binding status. ","") &amp; IF($E13="","Missing movement type. ","") &amp; IF($I13="","Missing make. ","") &amp; IF($L13="","Missing vehicle class. ","") &amp; IF($M13="","Missing agreed value. ","") &amp; IF($N13="","Missing policy type. ","") &amp; IF($Q13="","Missing garaging state. ","") &amp; IF($R13="","Missing garaging ZIP. ","") &amp; IF($S13="","Missing cat zone. ","") &amp; IF($V13="","Missing valuation basis. ","") &amp; IF($W13="","Missing PD deductible. ","") &amp; IF($X13="","Missing liability limit. ","") &amp; IF($AB13="","Missing technical premium. ","") &amp; IF($AF13="","Missing surplus lines tax %. ",""))))</f>
      </c>
      <c r="AY13" s="44">
        <f>IF($M13="","",IF(ISNUMBER($M13),IF($M13&gt;=Header!$C$18,"YES — refer","No"),""))</f>
      </c>
      <c r="AZ13" s="44">
        <f>IF($AD13="","",IF(ISNUMBER($AD13),IF($AD13&lt;Header!$C$20,"BELOW MIN PREMIUM","OK"),""))</f>
      </c>
      <c r="BA13" s="32" t="inlineStr">
        <is>
          <t xml:space="preserve">Yes</t>
        </is>
      </c>
      <c r="BB13" s="32" t="inlineStr">
        <is>
          <t xml:space="preserve">Yes</t>
        </is>
      </c>
      <c r="BC13" s="30" t="inlineStr">
        <is>
          <t xml:space="preserve">Synthetic demo data</t>
        </is>
      </c>
      <c r="BE13" s="45">
        <f>IF(OR($A13="",$L13="",$H13=""),"",IF(AND(LEFT($L13,2)="06",$H13&gt;1945),"FAIL - pre-war class, year "&amp;$H13,IF(AND(LEFT($L13,2)="07",OR($H13&lt;1946,$H13&gt;1972)),"FAIL - 1946-72 class, year "&amp;$H13,IF(AND(LEFT($L13,2)="08",OR($H13&lt;1973,$H13&gt;1999)),"FAIL - 1973-99 class, year "&amp;$H13,IF(AND(LEFT($L13,2)="09",OR($H13&lt;2000,$H13&gt;2010)),"FAIL - 2000-10 class, year "&amp;$H13,"OK")))))</f>
      </c>
      <c r="BF13" s="45">
        <f>IF($AD13="","",IF(ROUND($AO13+$AP13+$AQ13-$AD13,2)=0,"OK","FAIL - out by "&amp;TEXT($AO13+$AP13+$AQ13-$AD13,"$0.00")))</f>
      </c>
    </row>
    <row r="14" spans="1:58" ht="18.75" customHeight="1" x14ac:dyDescent="0.25">
      <c r="A14" s="46" t="inlineStr">
        <is>
          <t xml:space="preserve">CANON-202511-002182</t>
        </is>
      </c>
      <c r="B14" s="46" t="inlineStr">
        <is>
          <t xml:space="preserve">Horace Blackwood</t>
        </is>
      </c>
      <c r="C14" s="47">
        <v>45985</v>
      </c>
      <c r="D14" s="48" t="inlineStr">
        <is>
          <t xml:space="preserve">Bound - within authority</t>
        </is>
      </c>
      <c r="E14" s="48" t="inlineStr">
        <is>
          <t xml:space="preserve">New business</t>
        </is>
      </c>
      <c r="F14" s="46" t="inlineStr">
        <is>
          <t xml:space="preserve">B1234EXOTIC26</t>
        </is>
      </c>
      <c r="G14" s="33">
        <f>IF($A14="","",IF($C14="","",YEAR($C14)))</f>
      </c>
      <c r="H14" s="49">
        <v>1969</v>
      </c>
      <c r="I14" s="46" t="inlineStr">
        <is>
          <t xml:space="preserve">Porsche</t>
        </is>
      </c>
      <c r="J14" s="46" t="inlineStr">
        <is>
          <t xml:space="preserve">911 Turbo S</t>
        </is>
      </c>
      <c r="K14" s="46" t="inlineStr">
        <is>
          <t xml:space="preserve">55G1MV799GB2X4BXG</t>
        </is>
      </c>
      <c r="L14" s="48" t="inlineStr">
        <is>
          <t xml:space="preserve">02 - Sports / GT</t>
        </is>
      </c>
      <c r="M14" s="50">
        <v>950000</v>
      </c>
      <c r="N14" s="48" t="inlineStr">
        <is>
          <t xml:space="preserve">Personal</t>
        </is>
      </c>
      <c r="O14" s="46" t="inlineStr">
        <is>
          <t xml:space="preserve">Personal - regular use</t>
        </is>
      </c>
      <c r="P14" s="46" t="inlineStr">
        <is>
          <t xml:space="preserve">2,500 - 5,000</t>
        </is>
      </c>
      <c r="Q14" s="46" t="inlineStr">
        <is>
          <t xml:space="preserve">Nevada</t>
        </is>
      </c>
      <c r="R14" s="46" t="inlineStr">
        <is>
          <t xml:space="preserve">89101</t>
        </is>
      </c>
      <c r="S14" s="48" t="inlineStr">
        <is>
          <t xml:space="preserve">Wildfire - WUI high hazard</t>
        </is>
      </c>
      <c r="T14" s="36">
        <f>IF($A14="","",IF($S14="","",IFERROR(INDEX('[1]natural catastrophe'!$D$6:$D$17,MATCH($S14,'[1]natural catastrophe'!$B$6:$B$17,0)),"?")))</f>
      </c>
      <c r="U14" s="46" t="inlineStr">
        <is>
          <t xml:space="preserve">$5,000</t>
        </is>
      </c>
      <c r="V14" s="48" t="inlineStr">
        <is>
          <t xml:space="preserve">Agreed Value</t>
        </is>
      </c>
      <c r="W14" s="46" t="inlineStr">
        <is>
          <t xml:space="preserve">$1,000</t>
        </is>
      </c>
      <c r="X14" s="48" t="inlineStr">
        <is>
          <t xml:space="preserve">$1,000,000 CSL</t>
        </is>
      </c>
      <c r="Y14" s="46"/>
      <c r="Z14" s="46"/>
      <c r="AA14" s="48" t="inlineStr">
        <is>
          <t xml:space="preserve">Surplus Lines</t>
        </is>
      </c>
      <c r="AB14" s="50">
        <v>12532.89</v>
      </c>
      <c r="AC14" s="51">
        <v>0</v>
      </c>
      <c r="AD14" s="38">
        <f>IF(ISNUMBER($AB14),$AB14*(1+N($AC14)),"")</f>
      </c>
      <c r="AE14" s="50">
        <v>350</v>
      </c>
      <c r="AF14" s="50">
        <v>0</v>
      </c>
      <c r="AG14" s="51"/>
      <c r="AH14" s="39">
        <f>IF(ISNUMBER($AD14),($AD14+$AE14+$AF14)*$AG14,"")</f>
      </c>
      <c r="AI14" s="50"/>
      <c r="AJ14" s="38">
        <f>IF(ISNUMBER($AD14),SUM($AD14:$AH14),"")</f>
      </c>
      <c r="AK14" s="40">
        <f>IF(AND(ISNUMBER($AB14),ISNUMBER($AD14)),IF($AB14&gt;0,$AD14/$AB14,""),"")</f>
      </c>
      <c r="AL14" s="48" t="inlineStr">
        <is>
          <t xml:space="preserve">At technical</t>
        </is>
      </c>
      <c r="AM14" s="41">
        <f>IF(ISNUMBER($AD14),Header!$I$3,"")</f>
      </c>
      <c r="AN14" s="39">
        <f>IF(ISNUMBER($AD14),$AO14+$AP14,"")</f>
      </c>
      <c r="AO14" s="39">
        <f>IF(ISNUMBER($AD14),ROUND($AD14*Header!$K$3,2),"")</f>
      </c>
      <c r="AP14" s="39">
        <f>IF(ISNUMBER($AD14),ROUND($AD14*Header!$M$3,2),"")</f>
      </c>
      <c r="AQ14" s="38">
        <f>IF(ISNUMBER($AD14),ROUND($AD14,2)-$AO14-$AP14,"")</f>
      </c>
      <c r="AR14" s="39">
        <f>IF(ISNUMBER($AD14),IF(Header!$D$34="","?",$AD14*Header!$D$34),"")</f>
      </c>
      <c r="AS14" s="39">
        <f>IF(ISNUMBER($AB14),IF(Header!$D$34="","?",$AB14*Header!$D$34),"")</f>
      </c>
      <c r="AT14" s="42">
        <f>IF(AND(ISNUMBER($AB14),$M14&gt;0),$AB14/$M14*100,"")</f>
      </c>
      <c r="AU14" s="42">
        <f>IF(AND(ISNUMBER($AD14),$M14&gt;0),$AD14/$M14*100,"")</f>
      </c>
      <c r="AV14" s="40">
        <f>IF(AND(ISNUMBER($AB14),ISNUMBER($AD14),ABS($AB14)&gt;0),$AD14/$AB14,"")</f>
      </c>
      <c r="AW14" s="39">
        <f>IF(ISNUMBER($AD14),MAX(0,(1-0.55-Header!$O$3)*Header!$Q$3*$AQ14),"")</f>
      </c>
      <c r="AX14" s="43">
        <f>IF($A14="","",IF(TRIM(IF($A14="","Missing certificate ref. ","") &amp; IF($C14="","Missing effective date. ","") &amp; IF($D14="","Missing binding status. ","") &amp; IF($E14="","Missing movement type. ","") &amp; IF($I14="","Missing make. ","") &amp; IF($L14="","Missing vehicle class. ","") &amp; IF($M14="","Missing agreed value. ","") &amp; IF($N14="","Missing policy type. ","") &amp; IF($Q14="","Missing garaging state. ","") &amp; IF($R14="","Missing garaging ZIP. ","") &amp; IF($S14="","Missing cat zone. ","") &amp; IF($V14="","Missing valuation basis. ","") &amp; IF($W14="","Missing PD deductible. ","") &amp; IF($X14="","Missing liability limit. ","") &amp; IF($AB14="","Missing technical premium. ","") &amp; IF($AF14="","Missing surplus lines tax %. ",""))="","PASS","FAIL: "&amp;TRIM(IF($A14="","Missing certificate ref. ","") &amp; IF($C14="","Missing effective date. ","") &amp; IF($D14="","Missing binding status. ","") &amp; IF($E14="","Missing movement type. ","") &amp; IF($I14="","Missing make. ","") &amp; IF($L14="","Missing vehicle class. ","") &amp; IF($M14="","Missing agreed value. ","") &amp; IF($N14="","Missing policy type. ","") &amp; IF($Q14="","Missing garaging state. ","") &amp; IF($R14="","Missing garaging ZIP. ","") &amp; IF($S14="","Missing cat zone. ","") &amp; IF($V14="","Missing valuation basis. ","") &amp; IF($W14="","Missing PD deductible. ","") &amp; IF($X14="","Missing liability limit. ","") &amp; IF($AB14="","Missing technical premium. ","") &amp; IF($AF14="","Missing surplus lines tax %. ",""))))</f>
      </c>
      <c r="AY14" s="44">
        <f>IF($M14="","",IF(ISNUMBER($M14),IF($M14&gt;=Header!$C$18,"YES — refer","No"),""))</f>
      </c>
      <c r="AZ14" s="44">
        <f>IF($AD14="","",IF(ISNUMBER($AD14),IF($AD14&lt;Header!$C$20,"BELOW MIN PREMIUM","OK"),""))</f>
      </c>
      <c r="BA14" s="48" t="inlineStr">
        <is>
          <t xml:space="preserve">Yes</t>
        </is>
      </c>
      <c r="BB14" s="48" t="inlineStr">
        <is>
          <t xml:space="preserve">Yes</t>
        </is>
      </c>
      <c r="BC14" s="46" t="inlineStr">
        <is>
          <t xml:space="preserve">Synthetic demo data</t>
        </is>
      </c>
      <c r="BE14" s="45">
        <f>IF(OR($A14="",$L14="",$H14=""),"",IF(AND(LEFT($L14,2)="06",$H14&gt;1945),"FAIL - pre-war class, year "&amp;$H14,IF(AND(LEFT($L14,2)="07",OR($H14&lt;1946,$H14&gt;1972)),"FAIL - 1946-72 class, year "&amp;$H14,IF(AND(LEFT($L14,2)="08",OR($H14&lt;1973,$H14&gt;1999)),"FAIL - 1973-99 class, year "&amp;$H14,IF(AND(LEFT($L14,2)="09",OR($H14&lt;2000,$H14&gt;2010)),"FAIL - 2000-10 class, year "&amp;$H14,"OK")))))</f>
      </c>
      <c r="BF14" s="45">
        <f>IF($AD14="","",IF(ROUND($AO14+$AP14+$AQ14-$AD14,2)=0,"OK","FAIL - out by "&amp;TEXT($AO14+$AP14+$AQ14-$AD14,"$0.00")))</f>
      </c>
    </row>
    <row r="15" spans="1:58" ht="18.75" customHeight="1" x14ac:dyDescent="0.25">
      <c r="A15" s="30" t="inlineStr">
        <is>
          <t xml:space="preserve">CANON-202511-002183</t>
        </is>
      </c>
      <c r="B15" s="30" t="inlineStr">
        <is>
          <t xml:space="preserve">Fenwick Thistlewood</t>
        </is>
      </c>
      <c r="C15" s="31">
        <v>45975</v>
      </c>
      <c r="D15" s="32" t="inlineStr">
        <is>
          <t xml:space="preserve">Bound - within authority</t>
        </is>
      </c>
      <c r="E15" s="32" t="inlineStr">
        <is>
          <t xml:space="preserve">New business</t>
        </is>
      </c>
      <c r="F15" s="30" t="inlineStr">
        <is>
          <t xml:space="preserve">B1234EXOTIC26</t>
        </is>
      </c>
      <c r="G15" s="33">
        <f>IF($A15="","",IF($C15="","",YEAR($C15)))</f>
      </c>
      <c r="H15" s="34">
        <v>2000</v>
      </c>
      <c r="I15" s="30" t="inlineStr">
        <is>
          <t xml:space="preserve">Maserati</t>
        </is>
      </c>
      <c r="J15" s="30" t="inlineStr">
        <is>
          <t xml:space="preserve">GranTurismo</t>
        </is>
      </c>
      <c r="K15" s="30" t="inlineStr">
        <is>
          <t xml:space="preserve">S4RHNS145VXUXGFV1</t>
        </is>
      </c>
      <c r="L15" s="32" t="inlineStr">
        <is>
          <t xml:space="preserve">02 - Sports / GT</t>
        </is>
      </c>
      <c r="M15" s="35">
        <v>485000</v>
      </c>
      <c r="N15" s="32" t="inlineStr">
        <is>
          <t xml:space="preserve">Personal</t>
        </is>
      </c>
      <c r="O15" s="30" t="inlineStr">
        <is>
          <t xml:space="preserve">Personal - regular use</t>
        </is>
      </c>
      <c r="P15" s="30" t="inlineStr">
        <is>
          <t xml:space="preserve">Under 1,000</t>
        </is>
      </c>
      <c r="Q15" s="30" t="inlineStr">
        <is>
          <t xml:space="preserve">Hawaii</t>
        </is>
      </c>
      <c r="R15" s="30" t="inlineStr">
        <is>
          <t xml:space="preserve">96813</t>
        </is>
      </c>
      <c r="S15" s="32" t="inlineStr">
        <is>
          <t xml:space="preserve">Earthquake - high (CA, Cascadia, New Madrid)</t>
        </is>
      </c>
      <c r="T15" s="36">
        <f>IF($A15="","",IF($S15="","",IFERROR(INDEX('[1]natural catastrophe'!$D$6:$D$17,MATCH($S15,'[1]natural catastrophe'!$B$6:$B$17,0)),"?")))</f>
      </c>
      <c r="U15" s="30" t="inlineStr">
        <is>
          <t xml:space="preserve">$5,000</t>
        </is>
      </c>
      <c r="V15" s="32" t="inlineStr">
        <is>
          <t xml:space="preserve">Agreed Value</t>
        </is>
      </c>
      <c r="W15" s="30" t="inlineStr">
        <is>
          <t xml:space="preserve">$1,000</t>
        </is>
      </c>
      <c r="X15" s="32" t="inlineStr">
        <is>
          <t xml:space="preserve">$1,000,000 CSL</t>
        </is>
      </c>
      <c r="Y15" s="30"/>
      <c r="Z15" s="30"/>
      <c r="AA15" s="32" t="inlineStr">
        <is>
          <t xml:space="preserve">Surplus Lines</t>
        </is>
      </c>
      <c r="AB15" s="35">
        <v>8203.04</v>
      </c>
      <c r="AC15" s="37">
        <v>0</v>
      </c>
      <c r="AD15" s="38">
        <f>IF(ISNUMBER($AB15),$AB15*(1+N($AC15)),"")</f>
      </c>
      <c r="AE15" s="35">
        <v>350</v>
      </c>
      <c r="AF15" s="35">
        <v>0</v>
      </c>
      <c r="AG15" s="37"/>
      <c r="AH15" s="39">
        <f>IF(ISNUMBER($AD15),($AD15+$AE15+$AF15)*$AG15,"")</f>
      </c>
      <c r="AI15" s="35"/>
      <c r="AJ15" s="38">
        <f>IF(ISNUMBER($AD15),SUM($AD15:$AH15),"")</f>
      </c>
      <c r="AK15" s="40">
        <f>IF(AND(ISNUMBER($AB15),ISNUMBER($AD15)),IF($AB15&gt;0,$AD15/$AB15,""),"")</f>
      </c>
      <c r="AL15" s="32" t="inlineStr">
        <is>
          <t xml:space="preserve">At technical</t>
        </is>
      </c>
      <c r="AM15" s="41">
        <f>IF(ISNUMBER($AD15),Header!$I$3,"")</f>
      </c>
      <c r="AN15" s="39">
        <f>IF(ISNUMBER($AD15),$AO15+$AP15,"")</f>
      </c>
      <c r="AO15" s="39">
        <f>IF(ISNUMBER($AD15),ROUND($AD15*Header!$K$3,2),"")</f>
      </c>
      <c r="AP15" s="39">
        <f>IF(ISNUMBER($AD15),ROUND($AD15*Header!$M$3,2),"")</f>
      </c>
      <c r="AQ15" s="38">
        <f>IF(ISNUMBER($AD15),ROUND($AD15,2)-$AO15-$AP15,"")</f>
      </c>
      <c r="AR15" s="39">
        <f>IF(ISNUMBER($AD15),IF(Header!$D$34="","?",$AD15*Header!$D$34),"")</f>
      </c>
      <c r="AS15" s="39">
        <f>IF(ISNUMBER($AB15),IF(Header!$D$34="","?",$AB15*Header!$D$34),"")</f>
      </c>
      <c r="AT15" s="42">
        <f>IF(AND(ISNUMBER($AB15),$M15&gt;0),$AB15/$M15*100,"")</f>
      </c>
      <c r="AU15" s="42">
        <f>IF(AND(ISNUMBER($AD15),$M15&gt;0),$AD15/$M15*100,"")</f>
      </c>
      <c r="AV15" s="40">
        <f>IF(AND(ISNUMBER($AB15),ISNUMBER($AD15),ABS($AB15)&gt;0),$AD15/$AB15,"")</f>
      </c>
      <c r="AW15" s="39">
        <f>IF(ISNUMBER($AD15),MAX(0,(1-0.55-Header!$O$3)*Header!$Q$3*$AQ15),"")</f>
      </c>
      <c r="AX15" s="43">
        <f>IF($A15="","",IF(TRIM(IF($A15="","Missing certificate ref. ","") &amp; IF($C15="","Missing effective date. ","") &amp; IF($D15="","Missing binding status. ","") &amp; IF($E15="","Missing movement type. ","") &amp; IF($I15="","Missing make. ","") &amp; IF($L15="","Missing vehicle class. ","") &amp; IF($M15="","Missing agreed value. ","") &amp; IF($N15="","Missing policy type. ","") &amp; IF($Q15="","Missing garaging state. ","") &amp; IF($R15="","Missing garaging ZIP. ","") &amp; IF($S15="","Missing cat zone. ","") &amp; IF($V15="","Missing valuation basis. ","") &amp; IF($W15="","Missing PD deductible. ","") &amp; IF($X15="","Missing liability limit. ","") &amp; IF($AB15="","Missing technical premium. ","") &amp; IF($AF15="","Missing surplus lines tax %. ",""))="","PASS","FAIL: "&amp;TRIM(IF($A15="","Missing certificate ref. ","") &amp; IF($C15="","Missing effective date. ","") &amp; IF($D15="","Missing binding status. ","") &amp; IF($E15="","Missing movement type. ","") &amp; IF($I15="","Missing make. ","") &amp; IF($L15="","Missing vehicle class. ","") &amp; IF($M15="","Missing agreed value. ","") &amp; IF($N15="","Missing policy type. ","") &amp; IF($Q15="","Missing garaging state. ","") &amp; IF($R15="","Missing garaging ZIP. ","") &amp; IF($S15="","Missing cat zone. ","") &amp; IF($V15="","Missing valuation basis. ","") &amp; IF($W15="","Missing PD deductible. ","") &amp; IF($X15="","Missing liability limit. ","") &amp; IF($AB15="","Missing technical premium. ","") &amp; IF($AF15="","Missing surplus lines tax %. ",""))))</f>
      </c>
      <c r="AY15" s="44">
        <f>IF($M15="","",IF(ISNUMBER($M15),IF($M15&gt;=Header!$C$18,"YES — refer","No"),""))</f>
      </c>
      <c r="AZ15" s="44">
        <f>IF($AD15="","",IF(ISNUMBER($AD15),IF($AD15&lt;Header!$C$20,"BELOW MIN PREMIUM","OK"),""))</f>
      </c>
      <c r="BA15" s="32" t="inlineStr">
        <is>
          <t xml:space="preserve">Yes</t>
        </is>
      </c>
      <c r="BB15" s="32" t="inlineStr">
        <is>
          <t xml:space="preserve">Yes</t>
        </is>
      </c>
      <c r="BC15" s="30" t="inlineStr">
        <is>
          <t xml:space="preserve">Synthetic demo data</t>
        </is>
      </c>
      <c r="BE15" s="45">
        <f>IF(OR($A15="",$L15="",$H15=""),"",IF(AND(LEFT($L15,2)="06",$H15&gt;1945),"FAIL - pre-war class, year "&amp;$H15,IF(AND(LEFT($L15,2)="07",OR($H15&lt;1946,$H15&gt;1972)),"FAIL - 1946-72 class, year "&amp;$H15,IF(AND(LEFT($L15,2)="08",OR($H15&lt;1973,$H15&gt;1999)),"FAIL - 1973-99 class, year "&amp;$H15,IF(AND(LEFT($L15,2)="09",OR($H15&lt;2000,$H15&gt;2010)),"FAIL - 2000-10 class, year "&amp;$H15,"OK")))))</f>
      </c>
      <c r="BF15" s="45">
        <f>IF($AD15="","",IF(ROUND($AO15+$AP15+$AQ15-$AD15,2)=0,"OK","FAIL - out by "&amp;TEXT($AO15+$AP15+$AQ15-$AD15,"$0.00")))</f>
      </c>
    </row>
    <row r="16" spans="1:58" ht="18.75" customHeight="1" x14ac:dyDescent="0.25">
      <c r="A16" s="46" t="inlineStr">
        <is>
          <t xml:space="preserve">CANON-202511-002184</t>
        </is>
      </c>
      <c r="B16" s="46" t="inlineStr">
        <is>
          <t xml:space="preserve">Ottilie Montoya</t>
        </is>
      </c>
      <c r="C16" s="47">
        <v>45975</v>
      </c>
      <c r="D16" s="48" t="inlineStr">
        <is>
          <t xml:space="preserve">Bound - within authority</t>
        </is>
      </c>
      <c r="E16" s="48" t="inlineStr">
        <is>
          <t xml:space="preserve">New business</t>
        </is>
      </c>
      <c r="F16" s="46" t="inlineStr">
        <is>
          <t xml:space="preserve">B1234EXOTIC26</t>
        </is>
      </c>
      <c r="G16" s="33">
        <f>IF($A16="","",IF($C16="","",YEAR($C16)))</f>
      </c>
      <c r="H16" s="49">
        <v>2023</v>
      </c>
      <c r="I16" s="46" t="inlineStr">
        <is>
          <t xml:space="preserve">Mercedes-Benz</t>
        </is>
      </c>
      <c r="J16" s="46" t="inlineStr">
        <is>
          <t xml:space="preserve">AMG GT</t>
        </is>
      </c>
      <c r="K16" s="46" t="inlineStr">
        <is>
          <t xml:space="preserve">UYAVP9E7E5M7G23M6</t>
        </is>
      </c>
      <c r="L16" s="48" t="inlineStr">
        <is>
          <t xml:space="preserve">02 - Sports / GT</t>
        </is>
      </c>
      <c r="M16" s="50">
        <v>640000</v>
      </c>
      <c r="N16" s="48" t="inlineStr">
        <is>
          <t xml:space="preserve">Personal</t>
        </is>
      </c>
      <c r="O16" s="46" t="inlineStr">
        <is>
          <t xml:space="preserve">Personal - regular use</t>
        </is>
      </c>
      <c r="P16" s="46" t="inlineStr">
        <is>
          <t xml:space="preserve">Under 1,000</t>
        </is>
      </c>
      <c r="Q16" s="46" t="inlineStr">
        <is>
          <t xml:space="preserve">Hawaii</t>
        </is>
      </c>
      <c r="R16" s="46" t="inlineStr">
        <is>
          <t xml:space="preserve">96813</t>
        </is>
      </c>
      <c r="S16" s="48" t="inlineStr">
        <is>
          <t xml:space="preserve">Earthquake - high (CA, Cascadia, New Madrid)</t>
        </is>
      </c>
      <c r="T16" s="36">
        <f>IF($A16="","",IF($S16="","",IFERROR(INDEX('[1]natural catastrophe'!$D$6:$D$17,MATCH($S16,'[1]natural catastrophe'!$B$6:$B$17,0)),"?")))</f>
      </c>
      <c r="U16" s="46" t="inlineStr">
        <is>
          <t xml:space="preserve">$5,000</t>
        </is>
      </c>
      <c r="V16" s="48" t="inlineStr">
        <is>
          <t xml:space="preserve">Agreed Value</t>
        </is>
      </c>
      <c r="W16" s="46" t="inlineStr">
        <is>
          <t xml:space="preserve">$1,000</t>
        </is>
      </c>
      <c r="X16" s="48" t="inlineStr">
        <is>
          <t xml:space="preserve">$1,000,000 CSL</t>
        </is>
      </c>
      <c r="Y16" s="46"/>
      <c r="Z16" s="46"/>
      <c r="AA16" s="48" t="inlineStr">
        <is>
          <t xml:space="preserve">Surplus Lines</t>
        </is>
      </c>
      <c r="AB16" s="50">
        <v>9381.35</v>
      </c>
      <c r="AC16" s="51">
        <v>0</v>
      </c>
      <c r="AD16" s="38">
        <f>IF(ISNUMBER($AB16),$AB16*(1+N($AC16)),"")</f>
      </c>
      <c r="AE16" s="50">
        <v>350</v>
      </c>
      <c r="AF16" s="50">
        <v>0</v>
      </c>
      <c r="AG16" s="51"/>
      <c r="AH16" s="39">
        <f>IF(ISNUMBER($AD16),($AD16+$AE16+$AF16)*$AG16,"")</f>
      </c>
      <c r="AI16" s="50"/>
      <c r="AJ16" s="38">
        <f>IF(ISNUMBER($AD16),SUM($AD16:$AH16),"")</f>
      </c>
      <c r="AK16" s="40">
        <f>IF(AND(ISNUMBER($AB16),ISNUMBER($AD16)),IF($AB16&gt;0,$AD16/$AB16,""),"")</f>
      </c>
      <c r="AL16" s="48" t="inlineStr">
        <is>
          <t xml:space="preserve">At technical</t>
        </is>
      </c>
      <c r="AM16" s="41">
        <f>IF(ISNUMBER($AD16),Header!$I$3,"")</f>
      </c>
      <c r="AN16" s="39">
        <f>IF(ISNUMBER($AD16),$AO16+$AP16,"")</f>
      </c>
      <c r="AO16" s="39">
        <f>IF(ISNUMBER($AD16),ROUND($AD16*Header!$K$3,2),"")</f>
      </c>
      <c r="AP16" s="39">
        <f>IF(ISNUMBER($AD16),ROUND($AD16*Header!$M$3,2),"")</f>
      </c>
      <c r="AQ16" s="38">
        <f>IF(ISNUMBER($AD16),ROUND($AD16,2)-$AO16-$AP16,"")</f>
      </c>
      <c r="AR16" s="39">
        <f>IF(ISNUMBER($AD16),IF(Header!$D$34="","?",$AD16*Header!$D$34),"")</f>
      </c>
      <c r="AS16" s="39">
        <f>IF(ISNUMBER($AB16),IF(Header!$D$34="","?",$AB16*Header!$D$34),"")</f>
      </c>
      <c r="AT16" s="42">
        <f>IF(AND(ISNUMBER($AB16),$M16&gt;0),$AB16/$M16*100,"")</f>
      </c>
      <c r="AU16" s="42">
        <f>IF(AND(ISNUMBER($AD16),$M16&gt;0),$AD16/$M16*100,"")</f>
      </c>
      <c r="AV16" s="40">
        <f>IF(AND(ISNUMBER($AB16),ISNUMBER($AD16),ABS($AB16)&gt;0),$AD16/$AB16,"")</f>
      </c>
      <c r="AW16" s="39">
        <f>IF(ISNUMBER($AD16),MAX(0,(1-0.55-Header!$O$3)*Header!$Q$3*$AQ16),"")</f>
      </c>
      <c r="AX16" s="43">
        <f>IF($A16="","",IF(TRIM(IF($A16="","Missing certificate ref. ","") &amp; IF($C16="","Missing effective date. ","") &amp; IF($D16="","Missing binding status. ","") &amp; IF($E16="","Missing movement type. ","") &amp; IF($I16="","Missing make. ","") &amp; IF($L16="","Missing vehicle class. ","") &amp; IF($M16="","Missing agreed value. ","") &amp; IF($N16="","Missing policy type. ","") &amp; IF($Q16="","Missing garaging state. ","") &amp; IF($R16="","Missing garaging ZIP. ","") &amp; IF($S16="","Missing cat zone. ","") &amp; IF($V16="","Missing valuation basis. ","") &amp; IF($W16="","Missing PD deductible. ","") &amp; IF($X16="","Missing liability limit. ","") &amp; IF($AB16="","Missing technical premium. ","") &amp; IF($AF16="","Missing surplus lines tax %. ",""))="","PASS","FAIL: "&amp;TRIM(IF($A16="","Missing certificate ref. ","") &amp; IF($C16="","Missing effective date. ","") &amp; IF($D16="","Missing binding status. ","") &amp; IF($E16="","Missing movement type. ","") &amp; IF($I16="","Missing make. ","") &amp; IF($L16="","Missing vehicle class. ","") &amp; IF($M16="","Missing agreed value. ","") &amp; IF($N16="","Missing policy type. ","") &amp; IF($Q16="","Missing garaging state. ","") &amp; IF($R16="","Missing garaging ZIP. ","") &amp; IF($S16="","Missing cat zone. ","") &amp; IF($V16="","Missing valuation basis. ","") &amp; IF($W16="","Missing PD deductible. ","") &amp; IF($X16="","Missing liability limit. ","") &amp; IF($AB16="","Missing technical premium. ","") &amp; IF($AF16="","Missing surplus lines tax %. ",""))))</f>
      </c>
      <c r="AY16" s="44">
        <f>IF($M16="","",IF(ISNUMBER($M16),IF($M16&gt;=Header!$C$18,"YES — refer","No"),""))</f>
      </c>
      <c r="AZ16" s="44">
        <f>IF($AD16="","",IF(ISNUMBER($AD16),IF($AD16&lt;Header!$C$20,"BELOW MIN PREMIUM","OK"),""))</f>
      </c>
      <c r="BA16" s="48" t="inlineStr">
        <is>
          <t xml:space="preserve">Yes</t>
        </is>
      </c>
      <c r="BB16" s="48" t="inlineStr">
        <is>
          <t xml:space="preserve">Yes</t>
        </is>
      </c>
      <c r="BC16" s="46" t="inlineStr">
        <is>
          <t xml:space="preserve">Synthetic demo data</t>
        </is>
      </c>
      <c r="BE16" s="45">
        <f>IF(OR($A16="",$L16="",$H16=""),"",IF(AND(LEFT($L16,2)="06",$H16&gt;1945),"FAIL - pre-war class, year "&amp;$H16,IF(AND(LEFT($L16,2)="07",OR($H16&lt;1946,$H16&gt;1972)),"FAIL - 1946-72 class, year "&amp;$H16,IF(AND(LEFT($L16,2)="08",OR($H16&lt;1973,$H16&gt;1999)),"FAIL - 1973-99 class, year "&amp;$H16,IF(AND(LEFT($L16,2)="09",OR($H16&lt;2000,$H16&gt;2010)),"FAIL - 2000-10 class, year "&amp;$H16,"OK")))))</f>
      </c>
      <c r="BF16" s="45">
        <f>IF($AD16="","",IF(ROUND($AO16+$AP16+$AQ16-$AD16,2)=0,"OK","FAIL - out by "&amp;TEXT($AO16+$AP16+$AQ16-$AD16,"$0.00")))</f>
      </c>
    </row>
    <row r="17" spans="1:58" ht="18.75" customHeight="1" x14ac:dyDescent="0.25">
      <c r="A17" s="30" t="inlineStr">
        <is>
          <t xml:space="preserve">CANON-202511-002185</t>
        </is>
      </c>
      <c r="B17" s="30" t="inlineStr">
        <is>
          <t xml:space="preserve">Fenwick Rourke</t>
        </is>
      </c>
      <c r="C17" s="31">
        <v>45978</v>
      </c>
      <c r="D17" s="32" t="inlineStr">
        <is>
          <t xml:space="preserve">Bound - within authority</t>
        </is>
      </c>
      <c r="E17" s="32" t="inlineStr">
        <is>
          <t xml:space="preserve">New business</t>
        </is>
      </c>
      <c r="F17" s="30" t="inlineStr">
        <is>
          <t xml:space="preserve">B1234EXOTIC26</t>
        </is>
      </c>
      <c r="G17" s="33">
        <f>IF($A17="","",IF($C17="","",YEAR($C17)))</f>
      </c>
      <c r="H17" s="34">
        <v>1959</v>
      </c>
      <c r="I17" s="30" t="inlineStr">
        <is>
          <t xml:space="preserve">BMW</t>
        </is>
      </c>
      <c r="J17" s="30" t="inlineStr">
        <is>
          <t xml:space="preserve">M8 Competition</t>
        </is>
      </c>
      <c r="K17" s="30" t="inlineStr">
        <is>
          <t xml:space="preserve">ZU9AMHFJ36JLEJKE9</t>
        </is>
      </c>
      <c r="L17" s="32" t="inlineStr">
        <is>
          <t xml:space="preserve">02 - Sports / GT</t>
        </is>
      </c>
      <c r="M17" s="35">
        <v>890000</v>
      </c>
      <c r="N17" s="32" t="inlineStr">
        <is>
          <t xml:space="preserve">Personal</t>
        </is>
      </c>
      <c r="O17" s="30" t="inlineStr">
        <is>
          <t xml:space="preserve">Personal - regular use</t>
        </is>
      </c>
      <c r="P17" s="30" t="inlineStr">
        <is>
          <t xml:space="preserve">2,500 - 5,000</t>
        </is>
      </c>
      <c r="Q17" s="30" t="inlineStr">
        <is>
          <t xml:space="preserve">Michigan</t>
        </is>
      </c>
      <c r="R17" s="30" t="inlineStr">
        <is>
          <t xml:space="preserve">48226</t>
        </is>
      </c>
      <c r="S17" s="32" t="inlineStr">
        <is>
          <t xml:space="preserve">Severe convective - hail / tornado (moderate)</t>
        </is>
      </c>
      <c r="T17" s="36">
        <f>IF($A17="","",IF($S17="","",IFERROR(INDEX('[1]natural catastrophe'!$D$6:$D$17,MATCH($S17,'[1]natural catastrophe'!$B$6:$B$17,0)),"?")))</f>
      </c>
      <c r="U17" s="30" t="inlineStr">
        <is>
          <t xml:space="preserve">$5,000</t>
        </is>
      </c>
      <c r="V17" s="32" t="inlineStr">
        <is>
          <t xml:space="preserve">Agreed Value</t>
        </is>
      </c>
      <c r="W17" s="30" t="inlineStr">
        <is>
          <t xml:space="preserve">$1,000</t>
        </is>
      </c>
      <c r="X17" s="32" t="inlineStr">
        <is>
          <t xml:space="preserve">$1,000,000 CSL</t>
        </is>
      </c>
      <c r="Y17" s="30"/>
      <c r="Z17" s="30"/>
      <c r="AA17" s="32" t="inlineStr">
        <is>
          <t xml:space="preserve">Surplus Lines</t>
        </is>
      </c>
      <c r="AB17" s="35">
        <v>15554.78</v>
      </c>
      <c r="AC17" s="37">
        <v>0</v>
      </c>
      <c r="AD17" s="38">
        <f>IF(ISNUMBER($AB17),$AB17*(1+N($AC17)),"")</f>
      </c>
      <c r="AE17" s="35">
        <v>350</v>
      </c>
      <c r="AF17" s="35">
        <v>0</v>
      </c>
      <c r="AG17" s="37"/>
      <c r="AH17" s="39">
        <f>IF(ISNUMBER($AD17),($AD17+$AE17+$AF17)*$AG17,"")</f>
      </c>
      <c r="AI17" s="35"/>
      <c r="AJ17" s="38">
        <f>IF(ISNUMBER($AD17),SUM($AD17:$AH17),"")</f>
      </c>
      <c r="AK17" s="40">
        <f>IF(AND(ISNUMBER($AB17),ISNUMBER($AD17)),IF($AB17&gt;0,$AD17/$AB17,""),"")</f>
      </c>
      <c r="AL17" s="32" t="inlineStr">
        <is>
          <t xml:space="preserve">At technical</t>
        </is>
      </c>
      <c r="AM17" s="41">
        <f>IF(ISNUMBER($AD17),Header!$I$3,"")</f>
      </c>
      <c r="AN17" s="39">
        <f>IF(ISNUMBER($AD17),$AO17+$AP17,"")</f>
      </c>
      <c r="AO17" s="39">
        <f>IF(ISNUMBER($AD17),ROUND($AD17*Header!$K$3,2),"")</f>
      </c>
      <c r="AP17" s="39">
        <f>IF(ISNUMBER($AD17),ROUND($AD17*Header!$M$3,2),"")</f>
      </c>
      <c r="AQ17" s="38">
        <f>IF(ISNUMBER($AD17),ROUND($AD17,2)-$AO17-$AP17,"")</f>
      </c>
      <c r="AR17" s="39">
        <f>IF(ISNUMBER($AD17),IF(Header!$D$34="","?",$AD17*Header!$D$34),"")</f>
      </c>
      <c r="AS17" s="39">
        <f>IF(ISNUMBER($AB17),IF(Header!$D$34="","?",$AB17*Header!$D$34),"")</f>
      </c>
      <c r="AT17" s="42">
        <f>IF(AND(ISNUMBER($AB17),$M17&gt;0),$AB17/$M17*100,"")</f>
      </c>
      <c r="AU17" s="42">
        <f>IF(AND(ISNUMBER($AD17),$M17&gt;0),$AD17/$M17*100,"")</f>
      </c>
      <c r="AV17" s="40">
        <f>IF(AND(ISNUMBER($AB17),ISNUMBER($AD17),ABS($AB17)&gt;0),$AD17/$AB17,"")</f>
      </c>
      <c r="AW17" s="39">
        <f>IF(ISNUMBER($AD17),MAX(0,(1-0.55-Header!$O$3)*Header!$Q$3*$AQ17),"")</f>
      </c>
      <c r="AX17" s="43">
        <f>IF($A17="","",IF(TRIM(IF($A17="","Missing certificate ref. ","") &amp; IF($C17="","Missing effective date. ","") &amp; IF($D17="","Missing binding status. ","") &amp; IF($E17="","Missing movement type. ","") &amp; IF($I17="","Missing make. ","") &amp; IF($L17="","Missing vehicle class. ","") &amp; IF($M17="","Missing agreed value. ","") &amp; IF($N17="","Missing policy type. ","") &amp; IF($Q17="","Missing garaging state. ","") &amp; IF($R17="","Missing garaging ZIP. ","") &amp; IF($S17="","Missing cat zone. ","") &amp; IF($V17="","Missing valuation basis. ","") &amp; IF($W17="","Missing PD deductible. ","") &amp; IF($X17="","Missing liability limit. ","") &amp; IF($AB17="","Missing technical premium. ","") &amp; IF($AF17="","Missing surplus lines tax %. ",""))="","PASS","FAIL: "&amp;TRIM(IF($A17="","Missing certificate ref. ","") &amp; IF($C17="","Missing effective date. ","") &amp; IF($D17="","Missing binding status. ","") &amp; IF($E17="","Missing movement type. ","") &amp; IF($I17="","Missing make. ","") &amp; IF($L17="","Missing vehicle class. ","") &amp; IF($M17="","Missing agreed value. ","") &amp; IF($N17="","Missing policy type. ","") &amp; IF($Q17="","Missing garaging state. ","") &amp; IF($R17="","Missing garaging ZIP. ","") &amp; IF($S17="","Missing cat zone. ","") &amp; IF($V17="","Missing valuation basis. ","") &amp; IF($W17="","Missing PD deductible. ","") &amp; IF($X17="","Missing liability limit. ","") &amp; IF($AB17="","Missing technical premium. ","") &amp; IF($AF17="","Missing surplus lines tax %. ",""))))</f>
      </c>
      <c r="AY17" s="44">
        <f>IF($M17="","",IF(ISNUMBER($M17),IF($M17&gt;=Header!$C$18,"YES — refer","No"),""))</f>
      </c>
      <c r="AZ17" s="44">
        <f>IF($AD17="","",IF(ISNUMBER($AD17),IF($AD17&lt;Header!$C$20,"BELOW MIN PREMIUM","OK"),""))</f>
      </c>
      <c r="BA17" s="32" t="inlineStr">
        <is>
          <t xml:space="preserve">Yes</t>
        </is>
      </c>
      <c r="BB17" s="32" t="inlineStr">
        <is>
          <t xml:space="preserve">Yes</t>
        </is>
      </c>
      <c r="BC17" s="30" t="inlineStr">
        <is>
          <t xml:space="preserve">Synthetic demo data</t>
        </is>
      </c>
      <c r="BE17" s="45">
        <f>IF(OR($A17="",$L17="",$H17=""),"",IF(AND(LEFT($L17,2)="06",$H17&gt;1945),"FAIL - pre-war class, year "&amp;$H17,IF(AND(LEFT($L17,2)="07",OR($H17&lt;1946,$H17&gt;1972)),"FAIL - 1946-72 class, year "&amp;$H17,IF(AND(LEFT($L17,2)="08",OR($H17&lt;1973,$H17&gt;1999)),"FAIL - 1973-99 class, year "&amp;$H17,IF(AND(LEFT($L17,2)="09",OR($H17&lt;2000,$H17&gt;2010)),"FAIL - 2000-10 class, year "&amp;$H17,"OK")))))</f>
      </c>
      <c r="BF17" s="45">
        <f>IF($AD17="","",IF(ROUND($AO17+$AP17+$AQ17-$AD17,2)=0,"OK","FAIL - out by "&amp;TEXT($AO17+$AP17+$AQ17-$AD17,"$0.00")))</f>
      </c>
    </row>
    <row r="18" spans="1:58" ht="18.75" customHeight="1" x14ac:dyDescent="0.25">
      <c r="A18" s="46" t="inlineStr">
        <is>
          <t xml:space="preserve">CANON-202511-002187</t>
        </is>
      </c>
      <c r="B18" s="46" t="inlineStr">
        <is>
          <t xml:space="preserve">Aurelio Vasquez</t>
        </is>
      </c>
      <c r="C18" s="47">
        <v>45985</v>
      </c>
      <c r="D18" s="48" t="inlineStr">
        <is>
          <t xml:space="preserve">Bound - within authority</t>
        </is>
      </c>
      <c r="E18" s="48" t="inlineStr">
        <is>
          <t xml:space="preserve">New business</t>
        </is>
      </c>
      <c r="F18" s="46" t="inlineStr">
        <is>
          <t xml:space="preserve">B1234EXOTIC26</t>
        </is>
      </c>
      <c r="G18" s="33">
        <f>IF($A18="","",IF($C18="","",YEAR($C18)))</f>
      </c>
      <c r="H18" s="49">
        <v>1999</v>
      </c>
      <c r="I18" s="46" t="inlineStr">
        <is>
          <t xml:space="preserve">Aston Martin</t>
        </is>
      </c>
      <c r="J18" s="46" t="inlineStr">
        <is>
          <t xml:space="preserve">DB12</t>
        </is>
      </c>
      <c r="K18" s="46" t="inlineStr">
        <is>
          <t xml:space="preserve">35M0GWBMDHNZXAF4X</t>
        </is>
      </c>
      <c r="L18" s="48" t="inlineStr">
        <is>
          <t xml:space="preserve">02 - Sports / GT</t>
        </is>
      </c>
      <c r="M18" s="50">
        <v>710000</v>
      </c>
      <c r="N18" s="48" t="inlineStr">
        <is>
          <t xml:space="preserve">Personal</t>
        </is>
      </c>
      <c r="O18" s="46" t="inlineStr">
        <is>
          <t xml:space="preserve">Personal - regular use</t>
        </is>
      </c>
      <c r="P18" s="46" t="inlineStr">
        <is>
          <t xml:space="preserve">Under 1,000</t>
        </is>
      </c>
      <c r="Q18" s="46" t="inlineStr">
        <is>
          <t xml:space="preserve">Georgia</t>
        </is>
      </c>
      <c r="R18" s="46" t="inlineStr">
        <is>
          <t xml:space="preserve">30303</t>
        </is>
      </c>
      <c r="S18" s="48" t="inlineStr">
        <is>
          <t xml:space="preserve">Tier 2 - Coastal wind (1-25 miles)</t>
        </is>
      </c>
      <c r="T18" s="36">
        <f>IF($A18="","",IF($S18="","",IFERROR(INDEX('[1]natural catastrophe'!$D$6:$D$17,MATCH($S18,'[1]natural catastrophe'!$B$6:$B$17,0)),"?")))</f>
      </c>
      <c r="U18" s="46" t="inlineStr">
        <is>
          <t xml:space="preserve">2% of agreed value, minimum $10,000</t>
        </is>
      </c>
      <c r="V18" s="48" t="inlineStr">
        <is>
          <t xml:space="preserve">Agreed Value</t>
        </is>
      </c>
      <c r="W18" s="46" t="inlineStr">
        <is>
          <t xml:space="preserve">$1,000</t>
        </is>
      </c>
      <c r="X18" s="48" t="inlineStr">
        <is>
          <t xml:space="preserve">$1,000,000 CSL</t>
        </is>
      </c>
      <c r="Y18" s="46"/>
      <c r="Z18" s="46"/>
      <c r="AA18" s="48" t="inlineStr">
        <is>
          <t xml:space="preserve">Surplus Lines</t>
        </is>
      </c>
      <c r="AB18" s="50">
        <v>8966.4</v>
      </c>
      <c r="AC18" s="51">
        <v>0</v>
      </c>
      <c r="AD18" s="38">
        <f>IF(ISNUMBER($AB18),$AB18*(1+N($AC18)),"")</f>
      </c>
      <c r="AE18" s="50">
        <v>350</v>
      </c>
      <c r="AF18" s="50">
        <v>0</v>
      </c>
      <c r="AG18" s="51"/>
      <c r="AH18" s="39">
        <f>IF(ISNUMBER($AD18),($AD18+$AE18+$AF18)*$AG18,"")</f>
      </c>
      <c r="AI18" s="50"/>
      <c r="AJ18" s="38">
        <f>IF(ISNUMBER($AD18),SUM($AD18:$AH18),"")</f>
      </c>
      <c r="AK18" s="40">
        <f>IF(AND(ISNUMBER($AB18),ISNUMBER($AD18)),IF($AB18&gt;0,$AD18/$AB18,""),"")</f>
      </c>
      <c r="AL18" s="48" t="inlineStr">
        <is>
          <t xml:space="preserve">At technical</t>
        </is>
      </c>
      <c r="AM18" s="41">
        <f>IF(ISNUMBER($AD18),Header!$I$3,"")</f>
      </c>
      <c r="AN18" s="39">
        <f>IF(ISNUMBER($AD18),$AO18+$AP18,"")</f>
      </c>
      <c r="AO18" s="39">
        <f>IF(ISNUMBER($AD18),ROUND($AD18*Header!$K$3,2),"")</f>
      </c>
      <c r="AP18" s="39">
        <f>IF(ISNUMBER($AD18),ROUND($AD18*Header!$M$3,2),"")</f>
      </c>
      <c r="AQ18" s="38">
        <f>IF(ISNUMBER($AD18),ROUND($AD18,2)-$AO18-$AP18,"")</f>
      </c>
      <c r="AR18" s="39">
        <f>IF(ISNUMBER($AD18),IF(Header!$D$34="","?",$AD18*Header!$D$34),"")</f>
      </c>
      <c r="AS18" s="39">
        <f>IF(ISNUMBER($AB18),IF(Header!$D$34="","?",$AB18*Header!$D$34),"")</f>
      </c>
      <c r="AT18" s="42">
        <f>IF(AND(ISNUMBER($AB18),$M18&gt;0),$AB18/$M18*100,"")</f>
      </c>
      <c r="AU18" s="42">
        <f>IF(AND(ISNUMBER($AD18),$M18&gt;0),$AD18/$M18*100,"")</f>
      </c>
      <c r="AV18" s="40">
        <f>IF(AND(ISNUMBER($AB18),ISNUMBER($AD18),ABS($AB18)&gt;0),$AD18/$AB18,"")</f>
      </c>
      <c r="AW18" s="39">
        <f>IF(ISNUMBER($AD18),MAX(0,(1-0.55-Header!$O$3)*Header!$Q$3*$AQ18),"")</f>
      </c>
      <c r="AX18" s="43">
        <f>IF($A18="","",IF(TRIM(IF($A18="","Missing certificate ref. ","") &amp; IF($C18="","Missing effective date. ","") &amp; IF($D18="","Missing binding status. ","") &amp; IF($E18="","Missing movement type. ","") &amp; IF($I18="","Missing make. ","") &amp; IF($L18="","Missing vehicle class. ","") &amp; IF($M18="","Missing agreed value. ","") &amp; IF($N18="","Missing policy type. ","") &amp; IF($Q18="","Missing garaging state. ","") &amp; IF($R18="","Missing garaging ZIP. ","") &amp; IF($S18="","Missing cat zone. ","") &amp; IF($V18="","Missing valuation basis. ","") &amp; IF($W18="","Missing PD deductible. ","") &amp; IF($X18="","Missing liability limit. ","") &amp; IF($AB18="","Missing technical premium. ","") &amp; IF($AF18="","Missing surplus lines tax %. ",""))="","PASS","FAIL: "&amp;TRIM(IF($A18="","Missing certificate ref. ","") &amp; IF($C18="","Missing effective date. ","") &amp; IF($D18="","Missing binding status. ","") &amp; IF($E18="","Missing movement type. ","") &amp; IF($I18="","Missing make. ","") &amp; IF($L18="","Missing vehicle class. ","") &amp; IF($M18="","Missing agreed value. ","") &amp; IF($N18="","Missing policy type. ","") &amp; IF($Q18="","Missing garaging state. ","") &amp; IF($R18="","Missing garaging ZIP. ","") &amp; IF($S18="","Missing cat zone. ","") &amp; IF($V18="","Missing valuation basis. ","") &amp; IF($W18="","Missing PD deductible. ","") &amp; IF($X18="","Missing liability limit. ","") &amp; IF($AB18="","Missing technical premium. ","") &amp; IF($AF18="","Missing surplus lines tax %. ",""))))</f>
      </c>
      <c r="AY18" s="44">
        <f>IF($M18="","",IF(ISNUMBER($M18),IF($M18&gt;=Header!$C$18,"YES — refer","No"),""))</f>
      </c>
      <c r="AZ18" s="44">
        <f>IF($AD18="","",IF(ISNUMBER($AD18),IF($AD18&lt;Header!$C$20,"BELOW MIN PREMIUM","OK"),""))</f>
      </c>
      <c r="BA18" s="48" t="inlineStr">
        <is>
          <t xml:space="preserve">Yes</t>
        </is>
      </c>
      <c r="BB18" s="48" t="inlineStr">
        <is>
          <t xml:space="preserve">Yes</t>
        </is>
      </c>
      <c r="BC18" s="46" t="inlineStr">
        <is>
          <t xml:space="preserve">Synthetic demo data</t>
        </is>
      </c>
      <c r="BE18" s="45">
        <f>IF(OR($A18="",$L18="",$H18=""),"",IF(AND(LEFT($L18,2)="06",$H18&gt;1945),"FAIL - pre-war class, year "&amp;$H18,IF(AND(LEFT($L18,2)="07",OR($H18&lt;1946,$H18&gt;1972)),"FAIL - 1946-72 class, year "&amp;$H18,IF(AND(LEFT($L18,2)="08",OR($H18&lt;1973,$H18&gt;1999)),"FAIL - 1973-99 class, year "&amp;$H18,IF(AND(LEFT($L18,2)="09",OR($H18&lt;2000,$H18&gt;2010)),"FAIL - 2000-10 class, year "&amp;$H18,"OK")))))</f>
      </c>
      <c r="BF18" s="45">
        <f>IF($AD18="","",IF(ROUND($AO18+$AP18+$AQ18-$AD18,2)=0,"OK","FAIL - out by "&amp;TEXT($AO18+$AP18+$AQ18-$AD18,"$0.00")))</f>
      </c>
    </row>
    <row r="19" spans="1:58" ht="18.75" customHeight="1" x14ac:dyDescent="0.25">
      <c r="A19" s="30" t="inlineStr">
        <is>
          <t xml:space="preserve">CANON-202511-002188</t>
        </is>
      </c>
      <c r="B19" s="30" t="inlineStr">
        <is>
          <t xml:space="preserve">Noor Farkas</t>
        </is>
      </c>
      <c r="C19" s="31">
        <v>45972</v>
      </c>
      <c r="D19" s="32" t="inlineStr">
        <is>
          <t xml:space="preserve">Bound - within authority</t>
        </is>
      </c>
      <c r="E19" s="32" t="inlineStr">
        <is>
          <t xml:space="preserve">New business</t>
        </is>
      </c>
      <c r="F19" s="30" t="inlineStr">
        <is>
          <t xml:space="preserve">B1234EXOTIC26</t>
        </is>
      </c>
      <c r="G19" s="33">
        <f>IF($A19="","",IF($C19="","",YEAR($C19)))</f>
      </c>
      <c r="H19" s="34">
        <v>1968</v>
      </c>
      <c r="I19" s="30" t="inlineStr">
        <is>
          <t xml:space="preserve">Maserati</t>
        </is>
      </c>
      <c r="J19" s="30" t="inlineStr">
        <is>
          <t xml:space="preserve">GranTurismo</t>
        </is>
      </c>
      <c r="K19" s="30" t="inlineStr">
        <is>
          <t xml:space="preserve">WK7UVBW4DARZ36SZ2</t>
        </is>
      </c>
      <c r="L19" s="32" t="inlineStr">
        <is>
          <t xml:space="preserve">02 - Sports / GT</t>
        </is>
      </c>
      <c r="M19" s="35">
        <v>875000</v>
      </c>
      <c r="N19" s="32" t="inlineStr">
        <is>
          <t xml:space="preserve">Personal</t>
        </is>
      </c>
      <c r="O19" s="30" t="inlineStr">
        <is>
          <t xml:space="preserve">Personal - regular use</t>
        </is>
      </c>
      <c r="P19" s="30" t="inlineStr">
        <is>
          <t xml:space="preserve">2,500 - 5,000</t>
        </is>
      </c>
      <c r="Q19" s="30" t="inlineStr">
        <is>
          <t xml:space="preserve">Louisiana</t>
        </is>
      </c>
      <c r="R19" s="30" t="inlineStr">
        <is>
          <t xml:space="preserve">70112</t>
        </is>
      </c>
      <c r="S19" s="32" t="inlineStr">
        <is>
          <t xml:space="preserve">Tier 2 - Coastal wind (1-25 miles)</t>
        </is>
      </c>
      <c r="T19" s="36">
        <f>IF($A19="","",IF($S19="","",IFERROR(INDEX('[1]natural catastrophe'!$D$6:$D$17,MATCH($S19,'[1]natural catastrophe'!$B$6:$B$17,0)),"?")))</f>
      </c>
      <c r="U19" s="30" t="inlineStr">
        <is>
          <t xml:space="preserve">2% of agreed value, minimum $10,000</t>
        </is>
      </c>
      <c r="V19" s="32" t="inlineStr">
        <is>
          <t xml:space="preserve">Agreed Value</t>
        </is>
      </c>
      <c r="W19" s="30" t="inlineStr">
        <is>
          <t xml:space="preserve">$1,000</t>
        </is>
      </c>
      <c r="X19" s="32" t="inlineStr">
        <is>
          <t xml:space="preserve">$1,000,000 CSL</t>
        </is>
      </c>
      <c r="Y19" s="30"/>
      <c r="Z19" s="30"/>
      <c r="AA19" s="32" t="inlineStr">
        <is>
          <t xml:space="preserve">Surplus Lines</t>
        </is>
      </c>
      <c r="AB19" s="35">
        <v>11938.11</v>
      </c>
      <c r="AC19" s="37">
        <v>0</v>
      </c>
      <c r="AD19" s="38">
        <f>IF(ISNUMBER($AB19),$AB19*(1+N($AC19)),"")</f>
      </c>
      <c r="AE19" s="35">
        <v>350</v>
      </c>
      <c r="AF19" s="35">
        <v>0</v>
      </c>
      <c r="AG19" s="37"/>
      <c r="AH19" s="39">
        <f>IF(ISNUMBER($AD19),($AD19+$AE19+$AF19)*$AG19,"")</f>
      </c>
      <c r="AI19" s="35"/>
      <c r="AJ19" s="38">
        <f>IF(ISNUMBER($AD19),SUM($AD19:$AH19),"")</f>
      </c>
      <c r="AK19" s="40">
        <f>IF(AND(ISNUMBER($AB19),ISNUMBER($AD19)),IF($AB19&gt;0,$AD19/$AB19,""),"")</f>
      </c>
      <c r="AL19" s="32" t="inlineStr">
        <is>
          <t xml:space="preserve">At technical</t>
        </is>
      </c>
      <c r="AM19" s="41">
        <f>IF(ISNUMBER($AD19),Header!$I$3,"")</f>
      </c>
      <c r="AN19" s="39">
        <f>IF(ISNUMBER($AD19),$AO19+$AP19,"")</f>
      </c>
      <c r="AO19" s="39">
        <f>IF(ISNUMBER($AD19),ROUND($AD19*Header!$K$3,2),"")</f>
      </c>
      <c r="AP19" s="39">
        <f>IF(ISNUMBER($AD19),ROUND($AD19*Header!$M$3,2),"")</f>
      </c>
      <c r="AQ19" s="38">
        <f>IF(ISNUMBER($AD19),ROUND($AD19,2)-$AO19-$AP19,"")</f>
      </c>
      <c r="AR19" s="39">
        <f>IF(ISNUMBER($AD19),IF(Header!$D$34="","?",$AD19*Header!$D$34),"")</f>
      </c>
      <c r="AS19" s="39">
        <f>IF(ISNUMBER($AB19),IF(Header!$D$34="","?",$AB19*Header!$D$34),"")</f>
      </c>
      <c r="AT19" s="42">
        <f>IF(AND(ISNUMBER($AB19),$M19&gt;0),$AB19/$M19*100,"")</f>
      </c>
      <c r="AU19" s="42">
        <f>IF(AND(ISNUMBER($AD19),$M19&gt;0),$AD19/$M19*100,"")</f>
      </c>
      <c r="AV19" s="40">
        <f>IF(AND(ISNUMBER($AB19),ISNUMBER($AD19),ABS($AB19)&gt;0),$AD19/$AB19,"")</f>
      </c>
      <c r="AW19" s="39">
        <f>IF(ISNUMBER($AD19),MAX(0,(1-0.55-Header!$O$3)*Header!$Q$3*$AQ19),"")</f>
      </c>
      <c r="AX19" s="43">
        <f>IF($A19="","",IF(TRIM(IF($A19="","Missing certificate ref. ","") &amp; IF($C19="","Missing effective date. ","") &amp; IF($D19="","Missing binding status. ","") &amp; IF($E19="","Missing movement type. ","") &amp; IF($I19="","Missing make. ","") &amp; IF($L19="","Missing vehicle class. ","") &amp; IF($M19="","Missing agreed value. ","") &amp; IF($N19="","Missing policy type. ","") &amp; IF($Q19="","Missing garaging state. ","") &amp; IF($R19="","Missing garaging ZIP. ","") &amp; IF($S19="","Missing cat zone. ","") &amp; IF($V19="","Missing valuation basis. ","") &amp; IF($W19="","Missing PD deductible. ","") &amp; IF($X19="","Missing liability limit. ","") &amp; IF($AB19="","Missing technical premium. ","") &amp; IF($AF19="","Missing surplus lines tax %. ",""))="","PASS","FAIL: "&amp;TRIM(IF($A19="","Missing certificate ref. ","") &amp; IF($C19="","Missing effective date. ","") &amp; IF($D19="","Missing binding status. ","") &amp; IF($E19="","Missing movement type. ","") &amp; IF($I19="","Missing make. ","") &amp; IF($L19="","Missing vehicle class. ","") &amp; IF($M19="","Missing agreed value. ","") &amp; IF($N19="","Missing policy type. ","") &amp; IF($Q19="","Missing garaging state. ","") &amp; IF($R19="","Missing garaging ZIP. ","") &amp; IF($S19="","Missing cat zone. ","") &amp; IF($V19="","Missing valuation basis. ","") &amp; IF($W19="","Missing PD deductible. ","") &amp; IF($X19="","Missing liability limit. ","") &amp; IF($AB19="","Missing technical premium. ","") &amp; IF($AF19="","Missing surplus lines tax %. ",""))))</f>
      </c>
      <c r="AY19" s="44">
        <f>IF($M19="","",IF(ISNUMBER($M19),IF($M19&gt;=Header!$C$18,"YES — refer","No"),""))</f>
      </c>
      <c r="AZ19" s="44">
        <f>IF($AD19="","",IF(ISNUMBER($AD19),IF($AD19&lt;Header!$C$20,"BELOW MIN PREMIUM","OK"),""))</f>
      </c>
      <c r="BA19" s="32" t="inlineStr">
        <is>
          <t xml:space="preserve">Yes</t>
        </is>
      </c>
      <c r="BB19" s="32" t="inlineStr">
        <is>
          <t xml:space="preserve">Yes</t>
        </is>
      </c>
      <c r="BC19" s="30" t="inlineStr">
        <is>
          <t xml:space="preserve">Synthetic demo data</t>
        </is>
      </c>
      <c r="BE19" s="45">
        <f>IF(OR($A19="",$L19="",$H19=""),"",IF(AND(LEFT($L19,2)="06",$H19&gt;1945),"FAIL - pre-war class, year "&amp;$H19,IF(AND(LEFT($L19,2)="07",OR($H19&lt;1946,$H19&gt;1972)),"FAIL - 1946-72 class, year "&amp;$H19,IF(AND(LEFT($L19,2)="08",OR($H19&lt;1973,$H19&gt;1999)),"FAIL - 1973-99 class, year "&amp;$H19,IF(AND(LEFT($L19,2)="09",OR($H19&lt;2000,$H19&gt;2010)),"FAIL - 2000-10 class, year "&amp;$H19,"OK")))))</f>
      </c>
      <c r="BF19" s="45">
        <f>IF($AD19="","",IF(ROUND($AO19+$AP19+$AQ19-$AD19,2)=0,"OK","FAIL - out by "&amp;TEXT($AO19+$AP19+$AQ19-$AD19,"$0.00")))</f>
      </c>
    </row>
    <row r="20" spans="1:58" ht="18.75" customHeight="1" x14ac:dyDescent="0.25">
      <c r="A20" s="46" t="inlineStr">
        <is>
          <t xml:space="preserve">CANON-202511-002189</t>
        </is>
      </c>
      <c r="B20" s="46" t="inlineStr">
        <is>
          <t xml:space="preserve">Emiliano Castellanos</t>
        </is>
      </c>
      <c r="C20" s="47">
        <v>45970</v>
      </c>
      <c r="D20" s="48" t="inlineStr">
        <is>
          <t xml:space="preserve">Bound - within authority</t>
        </is>
      </c>
      <c r="E20" s="48" t="inlineStr">
        <is>
          <t xml:space="preserve">New business</t>
        </is>
      </c>
      <c r="F20" s="46" t="inlineStr">
        <is>
          <t xml:space="preserve">B1234EXOTIC26</t>
        </is>
      </c>
      <c r="G20" s="33">
        <f>IF($A20="","",IF($C20="","",YEAR($C20)))</f>
      </c>
      <c r="H20" s="49">
        <v>2009</v>
      </c>
      <c r="I20" s="46" t="inlineStr">
        <is>
          <t xml:space="preserve">Aston Martin</t>
        </is>
      </c>
      <c r="J20" s="46" t="inlineStr">
        <is>
          <t xml:space="preserve">DB5</t>
        </is>
      </c>
      <c r="K20" s="46" t="inlineStr">
        <is>
          <t xml:space="preserve">H1XG384P5ZMUDXCP1</t>
        </is>
      </c>
      <c r="L20" s="48" t="inlineStr">
        <is>
          <t xml:space="preserve">09 - Youngtimer / Collectible (2000-2010)</t>
        </is>
      </c>
      <c r="M20" s="50">
        <v>1015000</v>
      </c>
      <c r="N20" s="48" t="inlineStr">
        <is>
          <t xml:space="preserve">Personal</t>
        </is>
      </c>
      <c r="O20" s="46" t="inlineStr">
        <is>
          <t xml:space="preserve">Personal - regular use</t>
        </is>
      </c>
      <c r="P20" s="46" t="inlineStr">
        <is>
          <t xml:space="preserve">2,500 - 5,000</t>
        </is>
      </c>
      <c r="Q20" s="46" t="inlineStr">
        <is>
          <t xml:space="preserve">Louisiana</t>
        </is>
      </c>
      <c r="R20" s="46" t="inlineStr">
        <is>
          <t xml:space="preserve">70112</t>
        </is>
      </c>
      <c r="S20" s="48" t="inlineStr">
        <is>
          <t xml:space="preserve">Tier 2 - Coastal wind (1-25 miles)</t>
        </is>
      </c>
      <c r="T20" s="36">
        <f>IF($A20="","",IF($S20="","",IFERROR(INDEX('[1]natural catastrophe'!$D$6:$D$17,MATCH($S20,'[1]natural catastrophe'!$B$6:$B$17,0)),"?")))</f>
      </c>
      <c r="U20" s="46" t="inlineStr">
        <is>
          <t xml:space="preserve">2% of agreed value, minimum $10,000</t>
        </is>
      </c>
      <c r="V20" s="48" t="inlineStr">
        <is>
          <t xml:space="preserve">Agreed Value</t>
        </is>
      </c>
      <c r="W20" s="46" t="inlineStr">
        <is>
          <t xml:space="preserve">$1,000</t>
        </is>
      </c>
      <c r="X20" s="48" t="inlineStr">
        <is>
          <t xml:space="preserve">$1,000,000 CSL</t>
        </is>
      </c>
      <c r="Y20" s="46"/>
      <c r="Z20" s="46"/>
      <c r="AA20" s="48" t="inlineStr">
        <is>
          <t xml:space="preserve">Surplus Lines</t>
        </is>
      </c>
      <c r="AB20" s="50">
        <v>8095.87</v>
      </c>
      <c r="AC20" s="51">
        <v>0</v>
      </c>
      <c r="AD20" s="38">
        <f>IF(ISNUMBER($AB20),$AB20*(1+N($AC20)),"")</f>
      </c>
      <c r="AE20" s="50">
        <v>350</v>
      </c>
      <c r="AF20" s="50">
        <v>250</v>
      </c>
      <c r="AG20" s="51"/>
      <c r="AH20" s="39">
        <f>IF(ISNUMBER($AD20),($AD20+$AE20+$AF20)*$AG20,"")</f>
      </c>
      <c r="AI20" s="50"/>
      <c r="AJ20" s="38">
        <f>IF(ISNUMBER($AD20),SUM($AD20:$AH20),"")</f>
      </c>
      <c r="AK20" s="40">
        <f>IF(AND(ISNUMBER($AB20),ISNUMBER($AD20)),IF($AB20&gt;0,$AD20/$AB20,""),"")</f>
      </c>
      <c r="AL20" s="48" t="inlineStr">
        <is>
          <t xml:space="preserve">At technical</t>
        </is>
      </c>
      <c r="AM20" s="41">
        <f>IF(ISNUMBER($AD20),Header!$I$3,"")</f>
      </c>
      <c r="AN20" s="39">
        <f>IF(ISNUMBER($AD20),$AO20+$AP20,"")</f>
      </c>
      <c r="AO20" s="39">
        <f>IF(ISNUMBER($AD20),ROUND($AD20*Header!$K$3,2),"")</f>
      </c>
      <c r="AP20" s="39">
        <f>IF(ISNUMBER($AD20),ROUND($AD20*Header!$M$3,2),"")</f>
      </c>
      <c r="AQ20" s="38">
        <f>IF(ISNUMBER($AD20),ROUND($AD20,2)-$AO20-$AP20,"")</f>
      </c>
      <c r="AR20" s="39">
        <f>IF(ISNUMBER($AD20),IF(Header!$D$34="","?",$AD20*Header!$D$34),"")</f>
      </c>
      <c r="AS20" s="39">
        <f>IF(ISNUMBER($AB20),IF(Header!$D$34="","?",$AB20*Header!$D$34),"")</f>
      </c>
      <c r="AT20" s="42">
        <f>IF(AND(ISNUMBER($AB20),$M20&gt;0),$AB20/$M20*100,"")</f>
      </c>
      <c r="AU20" s="42">
        <f>IF(AND(ISNUMBER($AD20),$M20&gt;0),$AD20/$M20*100,"")</f>
      </c>
      <c r="AV20" s="40">
        <f>IF(AND(ISNUMBER($AB20),ISNUMBER($AD20),ABS($AB20)&gt;0),$AD20/$AB20,"")</f>
      </c>
      <c r="AW20" s="39">
        <f>IF(ISNUMBER($AD20),MAX(0,(1-0.55-Header!$O$3)*Header!$Q$3*$AQ20),"")</f>
      </c>
      <c r="AX20" s="43">
        <f>IF($A20="","",IF(TRIM(IF($A20="","Missing certificate ref. ","") &amp; IF($C20="","Missing effective date. ","") &amp; IF($D20="","Missing binding status. ","") &amp; IF($E20="","Missing movement type. ","") &amp; IF($I20="","Missing make. ","") &amp; IF($L20="","Missing vehicle class. ","") &amp; IF($M20="","Missing agreed value. ","") &amp; IF($N20="","Missing policy type. ","") &amp; IF($Q20="","Missing garaging state. ","") &amp; IF($R20="","Missing garaging ZIP. ","") &amp; IF($S20="","Missing cat zone. ","") &amp; IF($V20="","Missing valuation basis. ","") &amp; IF($W20="","Missing PD deductible. ","") &amp; IF($X20="","Missing liability limit. ","") &amp; IF($AB20="","Missing technical premium. ","") &amp; IF($AF20="","Missing surplus lines tax %. ",""))="","PASS","FAIL: "&amp;TRIM(IF($A20="","Missing certificate ref. ","") &amp; IF($C20="","Missing effective date. ","") &amp; IF($D20="","Missing binding status. ","") &amp; IF($E20="","Missing movement type. ","") &amp; IF($I20="","Missing make. ","") &amp; IF($L20="","Missing vehicle class. ","") &amp; IF($M20="","Missing agreed value. ","") &amp; IF($N20="","Missing policy type. ","") &amp; IF($Q20="","Missing garaging state. ","") &amp; IF($R20="","Missing garaging ZIP. ","") &amp; IF($S20="","Missing cat zone. ","") &amp; IF($V20="","Missing valuation basis. ","") &amp; IF($W20="","Missing PD deductible. ","") &amp; IF($X20="","Missing liability limit. ","") &amp; IF($AB20="","Missing technical premium. ","") &amp; IF($AF20="","Missing surplus lines tax %. ",""))))</f>
      </c>
      <c r="AY20" s="44">
        <f>IF($M20="","",IF(ISNUMBER($M20),IF($M20&gt;=Header!$C$18,"YES — refer","No"),""))</f>
      </c>
      <c r="AZ20" s="44">
        <f>IF($AD20="","",IF(ISNUMBER($AD20),IF($AD20&lt;Header!$C$20,"BELOW MIN PREMIUM","OK"),""))</f>
      </c>
      <c r="BA20" s="48" t="inlineStr">
        <is>
          <t xml:space="preserve">Yes</t>
        </is>
      </c>
      <c r="BB20" s="48" t="inlineStr">
        <is>
          <t xml:space="preserve">Yes</t>
        </is>
      </c>
      <c r="BC20" s="46" t="inlineStr">
        <is>
          <t xml:space="preserve">Synthetic demo data</t>
        </is>
      </c>
      <c r="BE20" s="45">
        <f>IF(OR($A20="",$L20="",$H20=""),"",IF(AND(LEFT($L20,2)="06",$H20&gt;1945),"FAIL - pre-war class, year "&amp;$H20,IF(AND(LEFT($L20,2)="07",OR($H20&lt;1946,$H20&gt;1972)),"FAIL - 1946-72 class, year "&amp;$H20,IF(AND(LEFT($L20,2)="08",OR($H20&lt;1973,$H20&gt;1999)),"FAIL - 1973-99 class, year "&amp;$H20,IF(AND(LEFT($L20,2)="09",OR($H20&lt;2000,$H20&gt;2010)),"FAIL - 2000-10 class, year "&amp;$H20,"OK")))))</f>
      </c>
      <c r="BF20" s="45">
        <f>IF($AD20="","",IF(ROUND($AO20+$AP20+$AQ20-$AD20,2)=0,"OK","FAIL - out by "&amp;TEXT($AO20+$AP20+$AQ20-$AD20,"$0.00")))</f>
      </c>
    </row>
    <row r="21" spans="1:58" ht="18.75" customHeight="1" x14ac:dyDescent="0.25">
      <c r="A21" s="30" t="inlineStr">
        <is>
          <t xml:space="preserve">CANON-202511-002190</t>
        </is>
      </c>
      <c r="B21" s="30" t="inlineStr">
        <is>
          <t xml:space="preserve">Ramona Farkas</t>
        </is>
      </c>
      <c r="C21" s="31">
        <v>45982</v>
      </c>
      <c r="D21" s="32" t="inlineStr">
        <is>
          <t xml:space="preserve">Bound - within authority</t>
        </is>
      </c>
      <c r="E21" s="32" t="inlineStr">
        <is>
          <t xml:space="preserve">New business</t>
        </is>
      </c>
      <c r="F21" s="30" t="inlineStr">
        <is>
          <t xml:space="preserve">B1234EXOTIC26</t>
        </is>
      </c>
      <c r="G21" s="33">
        <f>IF($A21="","",IF($C21="","",YEAR($C21)))</f>
      </c>
      <c r="H21" s="34">
        <v>2023</v>
      </c>
      <c r="I21" s="30" t="inlineStr">
        <is>
          <t xml:space="preserve">BMW</t>
        </is>
      </c>
      <c r="J21" s="30" t="inlineStr">
        <is>
          <t xml:space="preserve">M8 Competition</t>
        </is>
      </c>
      <c r="K21" s="30" t="inlineStr">
        <is>
          <t xml:space="preserve">NZEBNEP1692T1DK1V</t>
        </is>
      </c>
      <c r="L21" s="32" t="inlineStr">
        <is>
          <t xml:space="preserve">02 - Sports / GT</t>
        </is>
      </c>
      <c r="M21" s="35">
        <v>805000</v>
      </c>
      <c r="N21" s="32" t="inlineStr">
        <is>
          <t xml:space="preserve">Personal</t>
        </is>
      </c>
      <c r="O21" s="30" t="inlineStr">
        <is>
          <t xml:space="preserve">Personal - regular use</t>
        </is>
      </c>
      <c r="P21" s="30" t="inlineStr">
        <is>
          <t xml:space="preserve">2,500 - 5,000</t>
        </is>
      </c>
      <c r="Q21" s="30" t="inlineStr">
        <is>
          <t xml:space="preserve">New Jersey</t>
        </is>
      </c>
      <c r="R21" s="30" t="inlineStr">
        <is>
          <t xml:space="preserve">07102</t>
        </is>
      </c>
      <c r="S21" s="32" t="inlineStr">
        <is>
          <t xml:space="preserve">Tier 3 - Coastal wind (25-100 miles)</t>
        </is>
      </c>
      <c r="T21" s="36">
        <f>IF($A21="","",IF($S21="","",IFERROR(INDEX('[1]natural catastrophe'!$D$6:$D$17,MATCH($S21,'[1]natural catastrophe'!$B$6:$B$17,0)),"?")))</f>
      </c>
      <c r="U21" s="30" t="inlineStr">
        <is>
          <t xml:space="preserve">2% of agreed value, minimum $10,000</t>
        </is>
      </c>
      <c r="V21" s="32" t="inlineStr">
        <is>
          <t xml:space="preserve">Agreed Value</t>
        </is>
      </c>
      <c r="W21" s="30" t="inlineStr">
        <is>
          <t xml:space="preserve">$1,000</t>
        </is>
      </c>
      <c r="X21" s="32" t="inlineStr">
        <is>
          <t xml:space="preserve">$1,000,000 CSL</t>
        </is>
      </c>
      <c r="Y21" s="30"/>
      <c r="Z21" s="30"/>
      <c r="AA21" s="32" t="inlineStr">
        <is>
          <t xml:space="preserve">Surplus Lines</t>
        </is>
      </c>
      <c r="AB21" s="35">
        <v>8259.98</v>
      </c>
      <c r="AC21" s="37">
        <v>0</v>
      </c>
      <c r="AD21" s="38">
        <f>IF(ISNUMBER($AB21),$AB21*(1+N($AC21)),"")</f>
      </c>
      <c r="AE21" s="35">
        <v>350</v>
      </c>
      <c r="AF21" s="35">
        <v>0</v>
      </c>
      <c r="AG21" s="37"/>
      <c r="AH21" s="39">
        <f>IF(ISNUMBER($AD21),($AD21+$AE21+$AF21)*$AG21,"")</f>
      </c>
      <c r="AI21" s="35"/>
      <c r="AJ21" s="38">
        <f>IF(ISNUMBER($AD21),SUM($AD21:$AH21),"")</f>
      </c>
      <c r="AK21" s="40">
        <f>IF(AND(ISNUMBER($AB21),ISNUMBER($AD21)),IF($AB21&gt;0,$AD21/$AB21,""),"")</f>
      </c>
      <c r="AL21" s="32" t="inlineStr">
        <is>
          <t xml:space="preserve">At technical</t>
        </is>
      </c>
      <c r="AM21" s="41">
        <f>IF(ISNUMBER($AD21),Header!$I$3,"")</f>
      </c>
      <c r="AN21" s="39">
        <f>IF(ISNUMBER($AD21),$AO21+$AP21,"")</f>
      </c>
      <c r="AO21" s="39">
        <f>IF(ISNUMBER($AD21),ROUND($AD21*Header!$K$3,2),"")</f>
      </c>
      <c r="AP21" s="39">
        <f>IF(ISNUMBER($AD21),ROUND($AD21*Header!$M$3,2),"")</f>
      </c>
      <c r="AQ21" s="38">
        <f>IF(ISNUMBER($AD21),ROUND($AD21,2)-$AO21-$AP21,"")</f>
      </c>
      <c r="AR21" s="39">
        <f>IF(ISNUMBER($AD21),IF(Header!$D$34="","?",$AD21*Header!$D$34),"")</f>
      </c>
      <c r="AS21" s="39">
        <f>IF(ISNUMBER($AB21),IF(Header!$D$34="","?",$AB21*Header!$D$34),"")</f>
      </c>
      <c r="AT21" s="42">
        <f>IF(AND(ISNUMBER($AB21),$M21&gt;0),$AB21/$M21*100,"")</f>
      </c>
      <c r="AU21" s="42">
        <f>IF(AND(ISNUMBER($AD21),$M21&gt;0),$AD21/$M21*100,"")</f>
      </c>
      <c r="AV21" s="40">
        <f>IF(AND(ISNUMBER($AB21),ISNUMBER($AD21),ABS($AB21)&gt;0),$AD21/$AB21,"")</f>
      </c>
      <c r="AW21" s="39">
        <f>IF(ISNUMBER($AD21),MAX(0,(1-0.55-Header!$O$3)*Header!$Q$3*$AQ21),"")</f>
      </c>
      <c r="AX21" s="43">
        <f>IF($A21="","",IF(TRIM(IF($A21="","Missing certificate ref. ","") &amp; IF($C21="","Missing effective date. ","") &amp; IF($D21="","Missing binding status. ","") &amp; IF($E21="","Missing movement type. ","") &amp; IF($I21="","Missing make. ","") &amp; IF($L21="","Missing vehicle class. ","") &amp; IF($M21="","Missing agreed value. ","") &amp; IF($N21="","Missing policy type. ","") &amp; IF($Q21="","Missing garaging state. ","") &amp; IF($R21="","Missing garaging ZIP. ","") &amp; IF($S21="","Missing cat zone. ","") &amp; IF($V21="","Missing valuation basis. ","") &amp; IF($W21="","Missing PD deductible. ","") &amp; IF($X21="","Missing liability limit. ","") &amp; IF($AB21="","Missing technical premium. ","") &amp; IF($AF21="","Missing surplus lines tax %. ",""))="","PASS","FAIL: "&amp;TRIM(IF($A21="","Missing certificate ref. ","") &amp; IF($C21="","Missing effective date. ","") &amp; IF($D21="","Missing binding status. ","") &amp; IF($E21="","Missing movement type. ","") &amp; IF($I21="","Missing make. ","") &amp; IF($L21="","Missing vehicle class. ","") &amp; IF($M21="","Missing agreed value. ","") &amp; IF($N21="","Missing policy type. ","") &amp; IF($Q21="","Missing garaging state. ","") &amp; IF($R21="","Missing garaging ZIP. ","") &amp; IF($S21="","Missing cat zone. ","") &amp; IF($V21="","Missing valuation basis. ","") &amp; IF($W21="","Missing PD deductible. ","") &amp; IF($X21="","Missing liability limit. ","") &amp; IF($AB21="","Missing technical premium. ","") &amp; IF($AF21="","Missing surplus lines tax %. ",""))))</f>
      </c>
      <c r="AY21" s="44">
        <f>IF($M21="","",IF(ISNUMBER($M21),IF($M21&gt;=Header!$C$18,"YES — refer","No"),""))</f>
      </c>
      <c r="AZ21" s="44">
        <f>IF($AD21="","",IF(ISNUMBER($AD21),IF($AD21&lt;Header!$C$20,"BELOW MIN PREMIUM","OK"),""))</f>
      </c>
      <c r="BA21" s="32" t="inlineStr">
        <is>
          <t xml:space="preserve">Yes</t>
        </is>
      </c>
      <c r="BB21" s="32" t="inlineStr">
        <is>
          <t xml:space="preserve">Yes</t>
        </is>
      </c>
      <c r="BC21" s="30" t="inlineStr">
        <is>
          <t xml:space="preserve">Synthetic demo data</t>
        </is>
      </c>
      <c r="BE21" s="45">
        <f>IF(OR($A21="",$L21="",$H21=""),"",IF(AND(LEFT($L21,2)="06",$H21&gt;1945),"FAIL - pre-war class, year "&amp;$H21,IF(AND(LEFT($L21,2)="07",OR($H21&lt;1946,$H21&gt;1972)),"FAIL - 1946-72 class, year "&amp;$H21,IF(AND(LEFT($L21,2)="08",OR($H21&lt;1973,$H21&gt;1999)),"FAIL - 1973-99 class, year "&amp;$H21,IF(AND(LEFT($L21,2)="09",OR($H21&lt;2000,$H21&gt;2010)),"FAIL - 2000-10 class, year "&amp;$H21,"OK")))))</f>
      </c>
      <c r="BF21" s="45">
        <f>IF($AD21="","",IF(ROUND($AO21+$AP21+$AQ21-$AD21,2)=0,"OK","FAIL - out by "&amp;TEXT($AO21+$AP21+$AQ21-$AD21,"$0.00")))</f>
      </c>
    </row>
    <row r="22" spans="1:58" ht="18.75" customHeight="1" x14ac:dyDescent="0.25">
      <c r="A22" s="46" t="inlineStr">
        <is>
          <t xml:space="preserve">CANON-202511-002191</t>
        </is>
      </c>
      <c r="B22" s="46" t="inlineStr">
        <is>
          <t xml:space="preserve">Leopold Merriweather</t>
        </is>
      </c>
      <c r="C22" s="47">
        <v>45966</v>
      </c>
      <c r="D22" s="48" t="inlineStr">
        <is>
          <t xml:space="preserve">Bound - within authority</t>
        </is>
      </c>
      <c r="E22" s="48" t="inlineStr">
        <is>
          <t xml:space="preserve">New business</t>
        </is>
      </c>
      <c r="F22" s="46" t="inlineStr">
        <is>
          <t xml:space="preserve">B1234EXOTIC26</t>
        </is>
      </c>
      <c r="G22" s="33">
        <f>IF($A22="","",IF($C22="","",YEAR($C22)))</f>
      </c>
      <c r="H22" s="49">
        <v>1966</v>
      </c>
      <c r="I22" s="46" t="inlineStr">
        <is>
          <t xml:space="preserve">Mercedes-Benz</t>
        </is>
      </c>
      <c r="J22" s="46" t="inlineStr">
        <is>
          <t xml:space="preserve">AMG GT</t>
        </is>
      </c>
      <c r="K22" s="46" t="inlineStr">
        <is>
          <t xml:space="preserve">RJM3Y691PZ4N5LL5B</t>
        </is>
      </c>
      <c r="L22" s="48" t="inlineStr">
        <is>
          <t xml:space="preserve">02 - Sports / GT</t>
        </is>
      </c>
      <c r="M22" s="50">
        <v>805000</v>
      </c>
      <c r="N22" s="48" t="inlineStr">
        <is>
          <t xml:space="preserve">Personal</t>
        </is>
      </c>
      <c r="O22" s="46" t="inlineStr">
        <is>
          <t xml:space="preserve">Personal - regular use</t>
        </is>
      </c>
      <c r="P22" s="46" t="inlineStr">
        <is>
          <t xml:space="preserve">2,500 - 5,000</t>
        </is>
      </c>
      <c r="Q22" s="46" t="inlineStr">
        <is>
          <t xml:space="preserve">North Dakota</t>
        </is>
      </c>
      <c r="R22" s="46" t="inlineStr">
        <is>
          <t xml:space="preserve">58501</t>
        </is>
      </c>
      <c r="S22" s="48" t="inlineStr">
        <is>
          <t xml:space="preserve">Severe convective - hail alley (high)</t>
        </is>
      </c>
      <c r="T22" s="36">
        <f>IF($A22="","",IF($S22="","",IFERROR(INDEX('[1]natural catastrophe'!$D$6:$D$17,MATCH($S22,'[1]natural catastrophe'!$B$6:$B$17,0)),"?")))</f>
      </c>
      <c r="U22" s="46" t="inlineStr">
        <is>
          <t xml:space="preserve">$5,000</t>
        </is>
      </c>
      <c r="V22" s="48" t="inlineStr">
        <is>
          <t xml:space="preserve">Agreed Value</t>
        </is>
      </c>
      <c r="W22" s="46" t="inlineStr">
        <is>
          <t xml:space="preserve">$1,000</t>
        </is>
      </c>
      <c r="X22" s="48" t="inlineStr">
        <is>
          <t xml:space="preserve">$1,000,000 CSL</t>
        </is>
      </c>
      <c r="Y22" s="46"/>
      <c r="Z22" s="46"/>
      <c r="AA22" s="48" t="inlineStr">
        <is>
          <t xml:space="preserve">Surplus Lines</t>
        </is>
      </c>
      <c r="AB22" s="50">
        <v>9258.44</v>
      </c>
      <c r="AC22" s="51">
        <v>0</v>
      </c>
      <c r="AD22" s="38">
        <f>IF(ISNUMBER($AB22),$AB22*(1+N($AC22)),"")</f>
      </c>
      <c r="AE22" s="50">
        <v>350</v>
      </c>
      <c r="AF22" s="50">
        <v>0</v>
      </c>
      <c r="AG22" s="51"/>
      <c r="AH22" s="39">
        <f>IF(ISNUMBER($AD22),($AD22+$AE22+$AF22)*$AG22,"")</f>
      </c>
      <c r="AI22" s="50"/>
      <c r="AJ22" s="38">
        <f>IF(ISNUMBER($AD22),SUM($AD22:$AH22),"")</f>
      </c>
      <c r="AK22" s="40">
        <f>IF(AND(ISNUMBER($AB22),ISNUMBER($AD22)),IF($AB22&gt;0,$AD22/$AB22,""),"")</f>
      </c>
      <c r="AL22" s="48" t="inlineStr">
        <is>
          <t xml:space="preserve">At technical</t>
        </is>
      </c>
      <c r="AM22" s="41">
        <f>IF(ISNUMBER($AD22),Header!$I$3,"")</f>
      </c>
      <c r="AN22" s="39">
        <f>IF(ISNUMBER($AD22),$AO22+$AP22,"")</f>
      </c>
      <c r="AO22" s="39">
        <f>IF(ISNUMBER($AD22),ROUND($AD22*Header!$K$3,2),"")</f>
      </c>
      <c r="AP22" s="39">
        <f>IF(ISNUMBER($AD22),ROUND($AD22*Header!$M$3,2),"")</f>
      </c>
      <c r="AQ22" s="38">
        <f>IF(ISNUMBER($AD22),ROUND($AD22,2)-$AO22-$AP22,"")</f>
      </c>
      <c r="AR22" s="39">
        <f>IF(ISNUMBER($AD22),IF(Header!$D$34="","?",$AD22*Header!$D$34),"")</f>
      </c>
      <c r="AS22" s="39">
        <f>IF(ISNUMBER($AB22),IF(Header!$D$34="","?",$AB22*Header!$D$34),"")</f>
      </c>
      <c r="AT22" s="42">
        <f>IF(AND(ISNUMBER($AB22),$M22&gt;0),$AB22/$M22*100,"")</f>
      </c>
      <c r="AU22" s="42">
        <f>IF(AND(ISNUMBER($AD22),$M22&gt;0),$AD22/$M22*100,"")</f>
      </c>
      <c r="AV22" s="40">
        <f>IF(AND(ISNUMBER($AB22),ISNUMBER($AD22),ABS($AB22)&gt;0),$AD22/$AB22,"")</f>
      </c>
      <c r="AW22" s="39">
        <f>IF(ISNUMBER($AD22),MAX(0,(1-0.55-Header!$O$3)*Header!$Q$3*$AQ22),"")</f>
      </c>
      <c r="AX22" s="43">
        <f>IF($A22="","",IF(TRIM(IF($A22="","Missing certificate ref. ","") &amp; IF($C22="","Missing effective date. ","") &amp; IF($D22="","Missing binding status. ","") &amp; IF($E22="","Missing movement type. ","") &amp; IF($I22="","Missing make. ","") &amp; IF($L22="","Missing vehicle class. ","") &amp; IF($M22="","Missing agreed value. ","") &amp; IF($N22="","Missing policy type. ","") &amp; IF($Q22="","Missing garaging state. ","") &amp; IF($R22="","Missing garaging ZIP. ","") &amp; IF($S22="","Missing cat zone. ","") &amp; IF($V22="","Missing valuation basis. ","") &amp; IF($W22="","Missing PD deductible. ","") &amp; IF($X22="","Missing liability limit. ","") &amp; IF($AB22="","Missing technical premium. ","") &amp; IF($AF22="","Missing surplus lines tax %. ",""))="","PASS","FAIL: "&amp;TRIM(IF($A22="","Missing certificate ref. ","") &amp; IF($C22="","Missing effective date. ","") &amp; IF($D22="","Missing binding status. ","") &amp; IF($E22="","Missing movement type. ","") &amp; IF($I22="","Missing make. ","") &amp; IF($L22="","Missing vehicle class. ","") &amp; IF($M22="","Missing agreed value. ","") &amp; IF($N22="","Missing policy type. ","") &amp; IF($Q22="","Missing garaging state. ","") &amp; IF($R22="","Missing garaging ZIP. ","") &amp; IF($S22="","Missing cat zone. ","") &amp; IF($V22="","Missing valuation basis. ","") &amp; IF($W22="","Missing PD deductible. ","") &amp; IF($X22="","Missing liability limit. ","") &amp; IF($AB22="","Missing technical premium. ","") &amp; IF($AF22="","Missing surplus lines tax %. ",""))))</f>
      </c>
      <c r="AY22" s="44">
        <f>IF($M22="","",IF(ISNUMBER($M22),IF($M22&gt;=Header!$C$18,"YES — refer","No"),""))</f>
      </c>
      <c r="AZ22" s="44">
        <f>IF($AD22="","",IF(ISNUMBER($AD22),IF($AD22&lt;Header!$C$20,"BELOW MIN PREMIUM","OK"),""))</f>
      </c>
      <c r="BA22" s="48" t="inlineStr">
        <is>
          <t xml:space="preserve">Yes</t>
        </is>
      </c>
      <c r="BB22" s="48" t="inlineStr">
        <is>
          <t xml:space="preserve">Yes</t>
        </is>
      </c>
      <c r="BC22" s="46" t="inlineStr">
        <is>
          <t xml:space="preserve">Synthetic demo data</t>
        </is>
      </c>
      <c r="BE22" s="45">
        <f>IF(OR($A22="",$L22="",$H22=""),"",IF(AND(LEFT($L22,2)="06",$H22&gt;1945),"FAIL - pre-war class, year "&amp;$H22,IF(AND(LEFT($L22,2)="07",OR($H22&lt;1946,$H22&gt;1972)),"FAIL - 1946-72 class, year "&amp;$H22,IF(AND(LEFT($L22,2)="08",OR($H22&lt;1973,$H22&gt;1999)),"FAIL - 1973-99 class, year "&amp;$H22,IF(AND(LEFT($L22,2)="09",OR($H22&lt;2000,$H22&gt;2010)),"FAIL - 2000-10 class, year "&amp;$H22,"OK")))))</f>
      </c>
      <c r="BF22" s="45">
        <f>IF($AD22="","",IF(ROUND($AO22+$AP22+$AQ22-$AD22,2)=0,"OK","FAIL - out by "&amp;TEXT($AO22+$AP22+$AQ22-$AD22,"$0.00")))</f>
      </c>
    </row>
    <row r="23" spans="1:58" ht="18.75" customHeight="1" x14ac:dyDescent="0.25">
      <c r="A23" s="30" t="inlineStr">
        <is>
          <t xml:space="preserve">CANON-202511-002192</t>
        </is>
      </c>
      <c r="B23" s="30" t="inlineStr">
        <is>
          <t xml:space="preserve">Wilhelmina Farkas</t>
        </is>
      </c>
      <c r="C23" s="31">
        <v>45976</v>
      </c>
      <c r="D23" s="32" t="inlineStr">
        <is>
          <t xml:space="preserve">Bound - within authority</t>
        </is>
      </c>
      <c r="E23" s="32" t="inlineStr">
        <is>
          <t xml:space="preserve">New business</t>
        </is>
      </c>
      <c r="F23" s="30" t="inlineStr">
        <is>
          <t xml:space="preserve">B1234EXOTIC26</t>
        </is>
      </c>
      <c r="G23" s="33">
        <f>IF($A23="","",IF($C23="","",YEAR($C23)))</f>
      </c>
      <c r="H23" s="34">
        <v>2019</v>
      </c>
      <c r="I23" s="30" t="inlineStr">
        <is>
          <t xml:space="preserve">Aston Martin</t>
        </is>
      </c>
      <c r="J23" s="30" t="inlineStr">
        <is>
          <t xml:space="preserve">DB12</t>
        </is>
      </c>
      <c r="K23" s="30" t="inlineStr">
        <is>
          <t xml:space="preserve">3W8AWH1UTXBZV8W4G</t>
        </is>
      </c>
      <c r="L23" s="32" t="inlineStr">
        <is>
          <t xml:space="preserve">02 - Sports / GT</t>
        </is>
      </c>
      <c r="M23" s="35">
        <v>850000</v>
      </c>
      <c r="N23" s="32" t="inlineStr">
        <is>
          <t xml:space="preserve">Personal</t>
        </is>
      </c>
      <c r="O23" s="30" t="inlineStr">
        <is>
          <t xml:space="preserve">Personal - regular use</t>
        </is>
      </c>
      <c r="P23" s="30" t="inlineStr">
        <is>
          <t xml:space="preserve">Under 1,000</t>
        </is>
      </c>
      <c r="Q23" s="30" t="inlineStr">
        <is>
          <t xml:space="preserve">Texas</t>
        </is>
      </c>
      <c r="R23" s="30" t="inlineStr">
        <is>
          <t xml:space="preserve">75201</t>
        </is>
      </c>
      <c r="S23" s="32" t="inlineStr">
        <is>
          <t xml:space="preserve">Tier 2 - Coastal wind (1-25 miles)</t>
        </is>
      </c>
      <c r="T23" s="36">
        <f>IF($A23="","",IF($S23="","",IFERROR(INDEX('[1]natural catastrophe'!$D$6:$D$17,MATCH($S23,'[1]natural catastrophe'!$B$6:$B$17,0)),"?")))</f>
      </c>
      <c r="U23" s="30" t="inlineStr">
        <is>
          <t xml:space="preserve">2% of agreed value, minimum $10,000</t>
        </is>
      </c>
      <c r="V23" s="32" t="inlineStr">
        <is>
          <t xml:space="preserve">Agreed Value</t>
        </is>
      </c>
      <c r="W23" s="30" t="inlineStr">
        <is>
          <t xml:space="preserve">$1,000</t>
        </is>
      </c>
      <c r="X23" s="32" t="inlineStr">
        <is>
          <t xml:space="preserve">$1,000,000 CSL</t>
        </is>
      </c>
      <c r="Y23" s="30"/>
      <c r="Z23" s="30"/>
      <c r="AA23" s="32" t="inlineStr">
        <is>
          <t xml:space="preserve">Surplus Lines</t>
        </is>
      </c>
      <c r="AB23" s="35">
        <v>11021.96</v>
      </c>
      <c r="AC23" s="37">
        <v>0</v>
      </c>
      <c r="AD23" s="38">
        <f>IF(ISNUMBER($AB23),$AB23*(1+N($AC23)),"")</f>
      </c>
      <c r="AE23" s="35">
        <v>350</v>
      </c>
      <c r="AF23" s="35">
        <v>0</v>
      </c>
      <c r="AG23" s="37"/>
      <c r="AH23" s="39">
        <f>IF(ISNUMBER($AD23),($AD23+$AE23+$AF23)*$AG23,"")</f>
      </c>
      <c r="AI23" s="35"/>
      <c r="AJ23" s="38">
        <f>IF(ISNUMBER($AD23),SUM($AD23:$AH23),"")</f>
      </c>
      <c r="AK23" s="40">
        <f>IF(AND(ISNUMBER($AB23),ISNUMBER($AD23)),IF($AB23&gt;0,$AD23/$AB23,""),"")</f>
      </c>
      <c r="AL23" s="32" t="inlineStr">
        <is>
          <t xml:space="preserve">At technical</t>
        </is>
      </c>
      <c r="AM23" s="41">
        <f>IF(ISNUMBER($AD23),Header!$I$3,"")</f>
      </c>
      <c r="AN23" s="39">
        <f>IF(ISNUMBER($AD23),$AO23+$AP23,"")</f>
      </c>
      <c r="AO23" s="39">
        <f>IF(ISNUMBER($AD23),ROUND($AD23*Header!$K$3,2),"")</f>
      </c>
      <c r="AP23" s="39">
        <f>IF(ISNUMBER($AD23),ROUND($AD23*Header!$M$3,2),"")</f>
      </c>
      <c r="AQ23" s="38">
        <f>IF(ISNUMBER($AD23),ROUND($AD23,2)-$AO23-$AP23,"")</f>
      </c>
      <c r="AR23" s="39">
        <f>IF(ISNUMBER($AD23),IF(Header!$D$34="","?",$AD23*Header!$D$34),"")</f>
      </c>
      <c r="AS23" s="39">
        <f>IF(ISNUMBER($AB23),IF(Header!$D$34="","?",$AB23*Header!$D$34),"")</f>
      </c>
      <c r="AT23" s="42">
        <f>IF(AND(ISNUMBER($AB23),$M23&gt;0),$AB23/$M23*100,"")</f>
      </c>
      <c r="AU23" s="42">
        <f>IF(AND(ISNUMBER($AD23),$M23&gt;0),$AD23/$M23*100,"")</f>
      </c>
      <c r="AV23" s="40">
        <f>IF(AND(ISNUMBER($AB23),ISNUMBER($AD23),ABS($AB23)&gt;0),$AD23/$AB23,"")</f>
      </c>
      <c r="AW23" s="39">
        <f>IF(ISNUMBER($AD23),MAX(0,(1-0.55-Header!$O$3)*Header!$Q$3*$AQ23),"")</f>
      </c>
      <c r="AX23" s="43">
        <f>IF($A23="","",IF(TRIM(IF($A23="","Missing certificate ref. ","") &amp; IF($C23="","Missing effective date. ","") &amp; IF($D23="","Missing binding status. ","") &amp; IF($E23="","Missing movement type. ","") &amp; IF($I23="","Missing make. ","") &amp; IF($L23="","Missing vehicle class. ","") &amp; IF($M23="","Missing agreed value. ","") &amp; IF($N23="","Missing policy type. ","") &amp; IF($Q23="","Missing garaging state. ","") &amp; IF($R23="","Missing garaging ZIP. ","") &amp; IF($S23="","Missing cat zone. ","") &amp; IF($V23="","Missing valuation basis. ","") &amp; IF($W23="","Missing PD deductible. ","") &amp; IF($X23="","Missing liability limit. ","") &amp; IF($AB23="","Missing technical premium. ","") &amp; IF($AF23="","Missing surplus lines tax %. ",""))="","PASS","FAIL: "&amp;TRIM(IF($A23="","Missing certificate ref. ","") &amp; IF($C23="","Missing effective date. ","") &amp; IF($D23="","Missing binding status. ","") &amp; IF($E23="","Missing movement type. ","") &amp; IF($I23="","Missing make. ","") &amp; IF($L23="","Missing vehicle class. ","") &amp; IF($M23="","Missing agreed value. ","") &amp; IF($N23="","Missing policy type. ","") &amp; IF($Q23="","Missing garaging state. ","") &amp; IF($R23="","Missing garaging ZIP. ","") &amp; IF($S23="","Missing cat zone. ","") &amp; IF($V23="","Missing valuation basis. ","") &amp; IF($W23="","Missing PD deductible. ","") &amp; IF($X23="","Missing liability limit. ","") &amp; IF($AB23="","Missing technical premium. ","") &amp; IF($AF23="","Missing surplus lines tax %. ",""))))</f>
      </c>
      <c r="AY23" s="44">
        <f>IF($M23="","",IF(ISNUMBER($M23),IF($M23&gt;=Header!$C$18,"YES — refer","No"),""))</f>
      </c>
      <c r="AZ23" s="44">
        <f>IF($AD23="","",IF(ISNUMBER($AD23),IF($AD23&lt;Header!$C$20,"BELOW MIN PREMIUM","OK"),""))</f>
      </c>
      <c r="BA23" s="32" t="inlineStr">
        <is>
          <t xml:space="preserve">Yes</t>
        </is>
      </c>
      <c r="BB23" s="32" t="inlineStr">
        <is>
          <t xml:space="preserve">Yes</t>
        </is>
      </c>
      <c r="BC23" s="30" t="inlineStr">
        <is>
          <t xml:space="preserve">Synthetic demo data</t>
        </is>
      </c>
      <c r="BE23" s="45">
        <f>IF(OR($A23="",$L23="",$H23=""),"",IF(AND(LEFT($L23,2)="06",$H23&gt;1945),"FAIL - pre-war class, year "&amp;$H23,IF(AND(LEFT($L23,2)="07",OR($H23&lt;1946,$H23&gt;1972)),"FAIL - 1946-72 class, year "&amp;$H23,IF(AND(LEFT($L23,2)="08",OR($H23&lt;1973,$H23&gt;1999)),"FAIL - 1973-99 class, year "&amp;$H23,IF(AND(LEFT($L23,2)="09",OR($H23&lt;2000,$H23&gt;2010)),"FAIL - 2000-10 class, year "&amp;$H23,"OK")))))</f>
      </c>
      <c r="BF23" s="45">
        <f>IF($AD23="","",IF(ROUND($AO23+$AP23+$AQ23-$AD23,2)=0,"OK","FAIL - out by "&amp;TEXT($AO23+$AP23+$AQ23-$AD23,"$0.00")))</f>
      </c>
    </row>
    <row r="24" spans="1:58" ht="18.75" customHeight="1" x14ac:dyDescent="0.25">
      <c r="A24" s="46" t="inlineStr">
        <is>
          <t xml:space="preserve">CANON-202511-002193</t>
        </is>
      </c>
      <c r="B24" s="46" t="inlineStr">
        <is>
          <t xml:space="preserve">Leopold Fairweather</t>
        </is>
      </c>
      <c r="C24" s="47">
        <v>45980</v>
      </c>
      <c r="D24" s="48" t="inlineStr">
        <is>
          <t xml:space="preserve">Bound - within authority</t>
        </is>
      </c>
      <c r="E24" s="48" t="inlineStr">
        <is>
          <t xml:space="preserve">New business</t>
        </is>
      </c>
      <c r="F24" s="46" t="inlineStr">
        <is>
          <t xml:space="preserve">B1234EXOTIC26</t>
        </is>
      </c>
      <c r="G24" s="33">
        <f>IF($A24="","",IF($C24="","",YEAR($C24)))</f>
      </c>
      <c r="H24" s="49">
        <v>1983</v>
      </c>
      <c r="I24" s="46" t="inlineStr">
        <is>
          <t xml:space="preserve">Mercedes-Benz</t>
        </is>
      </c>
      <c r="J24" s="46" t="inlineStr">
        <is>
          <t xml:space="preserve">AMG GT</t>
        </is>
      </c>
      <c r="K24" s="46" t="inlineStr">
        <is>
          <t xml:space="preserve">BAAZZCEDXPVJNEYX5</t>
        </is>
      </c>
      <c r="L24" s="48" t="inlineStr">
        <is>
          <t xml:space="preserve">02 - Sports / GT</t>
        </is>
      </c>
      <c r="M24" s="50">
        <v>340000</v>
      </c>
      <c r="N24" s="48" t="inlineStr">
        <is>
          <t xml:space="preserve">Personal</t>
        </is>
      </c>
      <c r="O24" s="46" t="inlineStr">
        <is>
          <t xml:space="preserve">Personal - regular use</t>
        </is>
      </c>
      <c r="P24" s="46" t="inlineStr">
        <is>
          <t xml:space="preserve">2,500 - 5,000</t>
        </is>
      </c>
      <c r="Q24" s="46" t="inlineStr">
        <is>
          <t xml:space="preserve">Texas</t>
        </is>
      </c>
      <c r="R24" s="46" t="inlineStr">
        <is>
          <t xml:space="preserve">75201</t>
        </is>
      </c>
      <c r="S24" s="48" t="inlineStr">
        <is>
          <t xml:space="preserve">Tier 2 - Coastal wind (1-25 miles)</t>
        </is>
      </c>
      <c r="T24" s="36">
        <f>IF($A24="","",IF($S24="","",IFERROR(INDEX('[1]natural catastrophe'!$D$6:$D$17,MATCH($S24,'[1]natural catastrophe'!$B$6:$B$17,0)),"?")))</f>
      </c>
      <c r="U24" s="46" t="inlineStr">
        <is>
          <t xml:space="preserve">2% of agreed value, minimum $10,000</t>
        </is>
      </c>
      <c r="V24" s="48" t="inlineStr">
        <is>
          <t xml:space="preserve">Agreed Value</t>
        </is>
      </c>
      <c r="W24" s="46" t="inlineStr">
        <is>
          <t xml:space="preserve">$1,000</t>
        </is>
      </c>
      <c r="X24" s="48" t="inlineStr">
        <is>
          <t xml:space="preserve">$1,000,000 CSL</t>
        </is>
      </c>
      <c r="Y24" s="46"/>
      <c r="Z24" s="46"/>
      <c r="AA24" s="48" t="inlineStr">
        <is>
          <t xml:space="preserve">Surplus Lines</t>
        </is>
      </c>
      <c r="AB24" s="50">
        <v>5087.06</v>
      </c>
      <c r="AC24" s="51">
        <v>0</v>
      </c>
      <c r="AD24" s="38">
        <f>IF(ISNUMBER($AB24),$AB24*(1+N($AC24)),"")</f>
      </c>
      <c r="AE24" s="50">
        <v>350</v>
      </c>
      <c r="AF24" s="50">
        <v>0</v>
      </c>
      <c r="AG24" s="51"/>
      <c r="AH24" s="39">
        <f>IF(ISNUMBER($AD24),($AD24+$AE24+$AF24)*$AG24,"")</f>
      </c>
      <c r="AI24" s="50"/>
      <c r="AJ24" s="38">
        <f>IF(ISNUMBER($AD24),SUM($AD24:$AH24),"")</f>
      </c>
      <c r="AK24" s="40">
        <f>IF(AND(ISNUMBER($AB24),ISNUMBER($AD24)),IF($AB24&gt;0,$AD24/$AB24,""),"")</f>
      </c>
      <c r="AL24" s="48" t="inlineStr">
        <is>
          <t xml:space="preserve">At technical</t>
        </is>
      </c>
      <c r="AM24" s="41">
        <f>IF(ISNUMBER($AD24),Header!$I$3,"")</f>
      </c>
      <c r="AN24" s="39">
        <f>IF(ISNUMBER($AD24),$AO24+$AP24,"")</f>
      </c>
      <c r="AO24" s="39">
        <f>IF(ISNUMBER($AD24),ROUND($AD24*Header!$K$3,2),"")</f>
      </c>
      <c r="AP24" s="39">
        <f>IF(ISNUMBER($AD24),ROUND($AD24*Header!$M$3,2),"")</f>
      </c>
      <c r="AQ24" s="38">
        <f>IF(ISNUMBER($AD24),ROUND($AD24,2)-$AO24-$AP24,"")</f>
      </c>
      <c r="AR24" s="39">
        <f>IF(ISNUMBER($AD24),IF(Header!$D$34="","?",$AD24*Header!$D$34),"")</f>
      </c>
      <c r="AS24" s="39">
        <f>IF(ISNUMBER($AB24),IF(Header!$D$34="","?",$AB24*Header!$D$34),"")</f>
      </c>
      <c r="AT24" s="42">
        <f>IF(AND(ISNUMBER($AB24),$M24&gt;0),$AB24/$M24*100,"")</f>
      </c>
      <c r="AU24" s="42">
        <f>IF(AND(ISNUMBER($AD24),$M24&gt;0),$AD24/$M24*100,"")</f>
      </c>
      <c r="AV24" s="40">
        <f>IF(AND(ISNUMBER($AB24),ISNUMBER($AD24),ABS($AB24)&gt;0),$AD24/$AB24,"")</f>
      </c>
      <c r="AW24" s="39">
        <f>IF(ISNUMBER($AD24),MAX(0,(1-0.55-Header!$O$3)*Header!$Q$3*$AQ24),"")</f>
      </c>
      <c r="AX24" s="43">
        <f>IF($A24="","",IF(TRIM(IF($A24="","Missing certificate ref. ","") &amp; IF($C24="","Missing effective date. ","") &amp; IF($D24="","Missing binding status. ","") &amp; IF($E24="","Missing movement type. ","") &amp; IF($I24="","Missing make. ","") &amp; IF($L24="","Missing vehicle class. ","") &amp; IF($M24="","Missing agreed value. ","") &amp; IF($N24="","Missing policy type. ","") &amp; IF($Q24="","Missing garaging state. ","") &amp; IF($R24="","Missing garaging ZIP. ","") &amp; IF($S24="","Missing cat zone. ","") &amp; IF($V24="","Missing valuation basis. ","") &amp; IF($W24="","Missing PD deductible. ","") &amp; IF($X24="","Missing liability limit. ","") &amp; IF($AB24="","Missing technical premium. ","") &amp; IF($AF24="","Missing surplus lines tax %. ",""))="","PASS","FAIL: "&amp;TRIM(IF($A24="","Missing certificate ref. ","") &amp; IF($C24="","Missing effective date. ","") &amp; IF($D24="","Missing binding status. ","") &amp; IF($E24="","Missing movement type. ","") &amp; IF($I24="","Missing make. ","") &amp; IF($L24="","Missing vehicle class. ","") &amp; IF($M24="","Missing agreed value. ","") &amp; IF($N24="","Missing policy type. ","") &amp; IF($Q24="","Missing garaging state. ","") &amp; IF($R24="","Missing garaging ZIP. ","") &amp; IF($S24="","Missing cat zone. ","") &amp; IF($V24="","Missing valuation basis. ","") &amp; IF($W24="","Missing PD deductible. ","") &amp; IF($X24="","Missing liability limit. ","") &amp; IF($AB24="","Missing technical premium. ","") &amp; IF($AF24="","Missing surplus lines tax %. ",""))))</f>
      </c>
      <c r="AY24" s="44">
        <f>IF($M24="","",IF(ISNUMBER($M24),IF($M24&gt;=Header!$C$18,"YES — refer","No"),""))</f>
      </c>
      <c r="AZ24" s="44">
        <f>IF($AD24="","",IF(ISNUMBER($AD24),IF($AD24&lt;Header!$C$20,"BELOW MIN PREMIUM","OK"),""))</f>
      </c>
      <c r="BA24" s="48" t="inlineStr">
        <is>
          <t xml:space="preserve">Yes</t>
        </is>
      </c>
      <c r="BB24" s="48" t="inlineStr">
        <is>
          <t xml:space="preserve">Yes</t>
        </is>
      </c>
      <c r="BC24" s="46" t="inlineStr">
        <is>
          <t xml:space="preserve">Synthetic demo data</t>
        </is>
      </c>
      <c r="BE24" s="45">
        <f>IF(OR($A24="",$L24="",$H24=""),"",IF(AND(LEFT($L24,2)="06",$H24&gt;1945),"FAIL - pre-war class, year "&amp;$H24,IF(AND(LEFT($L24,2)="07",OR($H24&lt;1946,$H24&gt;1972)),"FAIL - 1946-72 class, year "&amp;$H24,IF(AND(LEFT($L24,2)="08",OR($H24&lt;1973,$H24&gt;1999)),"FAIL - 1973-99 class, year "&amp;$H24,IF(AND(LEFT($L24,2)="09",OR($H24&lt;2000,$H24&gt;2010)),"FAIL - 2000-10 class, year "&amp;$H24,"OK")))))</f>
      </c>
      <c r="BF24" s="45">
        <f>IF($AD24="","",IF(ROUND($AO24+$AP24+$AQ24-$AD24,2)=0,"OK","FAIL - out by "&amp;TEXT($AO24+$AP24+$AQ24-$AD24,"$0.00")))</f>
      </c>
    </row>
    <row r="25" spans="1:58" ht="18.75" customHeight="1" x14ac:dyDescent="0.25">
      <c r="A25" s="30" t="inlineStr">
        <is>
          <t xml:space="preserve">CANON-202511-002194</t>
        </is>
      </c>
      <c r="B25" s="30" t="inlineStr">
        <is>
          <t xml:space="preserve">Aurelio Larsson</t>
        </is>
      </c>
      <c r="C25" s="31">
        <v>45975</v>
      </c>
      <c r="D25" s="32" t="inlineStr">
        <is>
          <t xml:space="preserve">Bound - within authority</t>
        </is>
      </c>
      <c r="E25" s="32" t="inlineStr">
        <is>
          <t xml:space="preserve">New business</t>
        </is>
      </c>
      <c r="F25" s="30" t="inlineStr">
        <is>
          <t xml:space="preserve">B1234EXOTIC26</t>
        </is>
      </c>
      <c r="G25" s="33">
        <f>IF($A25="","",IF($C25="","",YEAR($C25)))</f>
      </c>
      <c r="H25" s="34">
        <v>2005</v>
      </c>
      <c r="I25" s="30" t="inlineStr">
        <is>
          <t xml:space="preserve">Lamborghini</t>
        </is>
      </c>
      <c r="J25" s="30" t="inlineStr">
        <is>
          <t xml:space="preserve">Huracan EVO</t>
        </is>
      </c>
      <c r="K25" s="30" t="inlineStr">
        <is>
          <t xml:space="preserve">VWWW47XR2AFZHZA6E</t>
        </is>
      </c>
      <c r="L25" s="32" t="inlineStr">
        <is>
          <t xml:space="preserve">03 - Supercar</t>
        </is>
      </c>
      <c r="M25" s="35">
        <v>1210000</v>
      </c>
      <c r="N25" s="32" t="inlineStr">
        <is>
          <t xml:space="preserve">Personal</t>
        </is>
      </c>
      <c r="O25" s="30" t="inlineStr">
        <is>
          <t xml:space="preserve">Personal - regular use</t>
        </is>
      </c>
      <c r="P25" s="30" t="inlineStr">
        <is>
          <t xml:space="preserve">Under 1,000</t>
        </is>
      </c>
      <c r="Q25" s="30" t="inlineStr">
        <is>
          <t xml:space="preserve">Maine</t>
        </is>
      </c>
      <c r="R25" s="30" t="inlineStr">
        <is>
          <t xml:space="preserve">04101</t>
        </is>
      </c>
      <c r="S25" s="32" t="inlineStr">
        <is>
          <t xml:space="preserve">Tier 3 - Coastal wind (25-100 miles)</t>
        </is>
      </c>
      <c r="T25" s="36">
        <f>IF($A25="","",IF($S25="","",IFERROR(INDEX('[1]natural catastrophe'!$D$6:$D$17,MATCH($S25,'[1]natural catastrophe'!$B$6:$B$17,0)),"?")))</f>
      </c>
      <c r="U25" s="30" t="inlineStr">
        <is>
          <t xml:space="preserve">2% of agreed value, minimum $10,000</t>
        </is>
      </c>
      <c r="V25" s="32" t="inlineStr">
        <is>
          <t xml:space="preserve">Agreed Value</t>
        </is>
      </c>
      <c r="W25" s="30" t="inlineStr">
        <is>
          <t xml:space="preserve">$1,000</t>
        </is>
      </c>
      <c r="X25" s="32" t="inlineStr">
        <is>
          <t xml:space="preserve">$1,000,000 CSL</t>
        </is>
      </c>
      <c r="Y25" s="30"/>
      <c r="Z25" s="30"/>
      <c r="AA25" s="32" t="inlineStr">
        <is>
          <t xml:space="preserve">Surplus Lines</t>
        </is>
      </c>
      <c r="AB25" s="35">
        <v>18135.42</v>
      </c>
      <c r="AC25" s="37">
        <v>0</v>
      </c>
      <c r="AD25" s="38">
        <f>IF(ISNUMBER($AB25),$AB25*(1+N($AC25)),"")</f>
      </c>
      <c r="AE25" s="35">
        <v>350</v>
      </c>
      <c r="AF25" s="35">
        <v>250</v>
      </c>
      <c r="AG25" s="37"/>
      <c r="AH25" s="39">
        <f>IF(ISNUMBER($AD25),($AD25+$AE25+$AF25)*$AG25,"")</f>
      </c>
      <c r="AI25" s="35"/>
      <c r="AJ25" s="38">
        <f>IF(ISNUMBER($AD25),SUM($AD25:$AH25),"")</f>
      </c>
      <c r="AK25" s="40">
        <f>IF(AND(ISNUMBER($AB25),ISNUMBER($AD25)),IF($AB25&gt;0,$AD25/$AB25,""),"")</f>
      </c>
      <c r="AL25" s="32" t="inlineStr">
        <is>
          <t xml:space="preserve">At technical</t>
        </is>
      </c>
      <c r="AM25" s="41">
        <f>IF(ISNUMBER($AD25),Header!$I$3,"")</f>
      </c>
      <c r="AN25" s="39">
        <f>IF(ISNUMBER($AD25),$AO25+$AP25,"")</f>
      </c>
      <c r="AO25" s="39">
        <f>IF(ISNUMBER($AD25),ROUND($AD25*Header!$K$3,2),"")</f>
      </c>
      <c r="AP25" s="39">
        <f>IF(ISNUMBER($AD25),ROUND($AD25*Header!$M$3,2),"")</f>
      </c>
      <c r="AQ25" s="38">
        <f>IF(ISNUMBER($AD25),ROUND($AD25,2)-$AO25-$AP25,"")</f>
      </c>
      <c r="AR25" s="39">
        <f>IF(ISNUMBER($AD25),IF(Header!$D$34="","?",$AD25*Header!$D$34),"")</f>
      </c>
      <c r="AS25" s="39">
        <f>IF(ISNUMBER($AB25),IF(Header!$D$34="","?",$AB25*Header!$D$34),"")</f>
      </c>
      <c r="AT25" s="42">
        <f>IF(AND(ISNUMBER($AB25),$M25&gt;0),$AB25/$M25*100,"")</f>
      </c>
      <c r="AU25" s="42">
        <f>IF(AND(ISNUMBER($AD25),$M25&gt;0),$AD25/$M25*100,"")</f>
      </c>
      <c r="AV25" s="40">
        <f>IF(AND(ISNUMBER($AB25),ISNUMBER($AD25),ABS($AB25)&gt;0),$AD25/$AB25,"")</f>
      </c>
      <c r="AW25" s="39">
        <f>IF(ISNUMBER($AD25),MAX(0,(1-0.55-Header!$O$3)*Header!$Q$3*$AQ25),"")</f>
      </c>
      <c r="AX25" s="43">
        <f>IF($A25="","",IF(TRIM(IF($A25="","Missing certificate ref. ","") &amp; IF($C25="","Missing effective date. ","") &amp; IF($D25="","Missing binding status. ","") &amp; IF($E25="","Missing movement type. ","") &amp; IF($I25="","Missing make. ","") &amp; IF($L25="","Missing vehicle class. ","") &amp; IF($M25="","Missing agreed value. ","") &amp; IF($N25="","Missing policy type. ","") &amp; IF($Q25="","Missing garaging state. ","") &amp; IF($R25="","Missing garaging ZIP. ","") &amp; IF($S25="","Missing cat zone. ","") &amp; IF($V25="","Missing valuation basis. ","") &amp; IF($W25="","Missing PD deductible. ","") &amp; IF($X25="","Missing liability limit. ","") &amp; IF($AB25="","Missing technical premium. ","") &amp; IF($AF25="","Missing surplus lines tax %. ",""))="","PASS","FAIL: "&amp;TRIM(IF($A25="","Missing certificate ref. ","") &amp; IF($C25="","Missing effective date. ","") &amp; IF($D25="","Missing binding status. ","") &amp; IF($E25="","Missing movement type. ","") &amp; IF($I25="","Missing make. ","") &amp; IF($L25="","Missing vehicle class. ","") &amp; IF($M25="","Missing agreed value. ","") &amp; IF($N25="","Missing policy type. ","") &amp; IF($Q25="","Missing garaging state. ","") &amp; IF($R25="","Missing garaging ZIP. ","") &amp; IF($S25="","Missing cat zone. ","") &amp; IF($V25="","Missing valuation basis. ","") &amp; IF($W25="","Missing PD deductible. ","") &amp; IF($X25="","Missing liability limit. ","") &amp; IF($AB25="","Missing technical premium. ","") &amp; IF($AF25="","Missing surplus lines tax %. ",""))))</f>
      </c>
      <c r="AY25" s="44">
        <f>IF($M25="","",IF(ISNUMBER($M25),IF($M25&gt;=Header!$C$18,"YES — refer","No"),""))</f>
      </c>
      <c r="AZ25" s="44">
        <f>IF($AD25="","",IF(ISNUMBER($AD25),IF($AD25&lt;Header!$C$20,"BELOW MIN PREMIUM","OK"),""))</f>
      </c>
      <c r="BA25" s="32" t="inlineStr">
        <is>
          <t xml:space="preserve">Yes</t>
        </is>
      </c>
      <c r="BB25" s="32" t="inlineStr">
        <is>
          <t xml:space="preserve">Yes</t>
        </is>
      </c>
      <c r="BC25" s="30" t="inlineStr">
        <is>
          <t xml:space="preserve">Synthetic demo data</t>
        </is>
      </c>
      <c r="BE25" s="45">
        <f>IF(OR($A25="",$L25="",$H25=""),"",IF(AND(LEFT($L25,2)="06",$H25&gt;1945),"FAIL - pre-war class, year "&amp;$H25,IF(AND(LEFT($L25,2)="07",OR($H25&lt;1946,$H25&gt;1972)),"FAIL - 1946-72 class, year "&amp;$H25,IF(AND(LEFT($L25,2)="08",OR($H25&lt;1973,$H25&gt;1999)),"FAIL - 1973-99 class, year "&amp;$H25,IF(AND(LEFT($L25,2)="09",OR($H25&lt;2000,$H25&gt;2010)),"FAIL - 2000-10 class, year "&amp;$H25,"OK")))))</f>
      </c>
      <c r="BF25" s="45">
        <f>IF($AD25="","",IF(ROUND($AO25+$AP25+$AQ25-$AD25,2)=0,"OK","FAIL - out by "&amp;TEXT($AO25+$AP25+$AQ25-$AD25,"$0.00")))</f>
      </c>
    </row>
    <row r="26" spans="1:58" ht="18.75" customHeight="1" x14ac:dyDescent="0.25">
      <c r="A26" s="46" t="inlineStr">
        <is>
          <t xml:space="preserve">CANON-202511-002195</t>
        </is>
      </c>
      <c r="B26" s="46" t="inlineStr">
        <is>
          <t xml:space="preserve">Emiliano Vasquez</t>
        </is>
      </c>
      <c r="C26" s="47">
        <v>45975</v>
      </c>
      <c r="D26" s="48" t="inlineStr">
        <is>
          <t xml:space="preserve">Bound - within authority</t>
        </is>
      </c>
      <c r="E26" s="48" t="inlineStr">
        <is>
          <t xml:space="preserve">New business</t>
        </is>
      </c>
      <c r="F26" s="46" t="inlineStr">
        <is>
          <t xml:space="preserve">B1234EXOTIC26</t>
        </is>
      </c>
      <c r="G26" s="33">
        <f>IF($A26="","",IF($C26="","",YEAR($C26)))</f>
      </c>
      <c r="H26" s="49">
        <v>1996</v>
      </c>
      <c r="I26" s="46" t="inlineStr">
        <is>
          <t xml:space="preserve">Mercedes-Benz</t>
        </is>
      </c>
      <c r="J26" s="46" t="inlineStr">
        <is>
          <t xml:space="preserve">AMG GT</t>
        </is>
      </c>
      <c r="K26" s="46" t="inlineStr">
        <is>
          <t xml:space="preserve">H10C014HEZPW78W9D</t>
        </is>
      </c>
      <c r="L26" s="48" t="inlineStr">
        <is>
          <t xml:space="preserve">02 - Sports / GT</t>
        </is>
      </c>
      <c r="M26" s="50">
        <v>305000</v>
      </c>
      <c r="N26" s="48" t="inlineStr">
        <is>
          <t xml:space="preserve">Personal</t>
        </is>
      </c>
      <c r="O26" s="46" t="inlineStr">
        <is>
          <t xml:space="preserve">Personal - regular use</t>
        </is>
      </c>
      <c r="P26" s="46" t="inlineStr">
        <is>
          <t xml:space="preserve">Under 1,000</t>
        </is>
      </c>
      <c r="Q26" s="46" t="inlineStr">
        <is>
          <t xml:space="preserve">Indiana</t>
        </is>
      </c>
      <c r="R26" s="46" t="inlineStr">
        <is>
          <t xml:space="preserve">46204</t>
        </is>
      </c>
      <c r="S26" s="48" t="inlineStr">
        <is>
          <t xml:space="preserve">Severe convective - hail / tornado (moderate)</t>
        </is>
      </c>
      <c r="T26" s="36">
        <f>IF($A26="","",IF($S26="","",IFERROR(INDEX('[1]natural catastrophe'!$D$6:$D$17,MATCH($S26,'[1]natural catastrophe'!$B$6:$B$17,0)),"?")))</f>
      </c>
      <c r="U26" s="46" t="inlineStr">
        <is>
          <t xml:space="preserve">$5,000</t>
        </is>
      </c>
      <c r="V26" s="48" t="inlineStr">
        <is>
          <t xml:space="preserve">Agreed Value</t>
        </is>
      </c>
      <c r="W26" s="46" t="inlineStr">
        <is>
          <t xml:space="preserve">$1,000</t>
        </is>
      </c>
      <c r="X26" s="48" t="inlineStr">
        <is>
          <t xml:space="preserve">$1,000,000 CSL</t>
        </is>
      </c>
      <c r="Y26" s="46"/>
      <c r="Z26" s="46"/>
      <c r="AA26" s="48" t="inlineStr">
        <is>
          <t xml:space="preserve">Surplus Lines</t>
        </is>
      </c>
      <c r="AB26" s="50">
        <v>4880.85</v>
      </c>
      <c r="AC26" s="51">
        <v>0</v>
      </c>
      <c r="AD26" s="38">
        <f>IF(ISNUMBER($AB26),$AB26*(1+N($AC26)),"")</f>
      </c>
      <c r="AE26" s="50">
        <v>350</v>
      </c>
      <c r="AF26" s="50">
        <v>0</v>
      </c>
      <c r="AG26" s="51"/>
      <c r="AH26" s="39">
        <f>IF(ISNUMBER($AD26),($AD26+$AE26+$AF26)*$AG26,"")</f>
      </c>
      <c r="AI26" s="50"/>
      <c r="AJ26" s="38">
        <f>IF(ISNUMBER($AD26),SUM($AD26:$AH26),"")</f>
      </c>
      <c r="AK26" s="40">
        <f>IF(AND(ISNUMBER($AB26),ISNUMBER($AD26)),IF($AB26&gt;0,$AD26/$AB26,""),"")</f>
      </c>
      <c r="AL26" s="48" t="inlineStr">
        <is>
          <t xml:space="preserve">At technical</t>
        </is>
      </c>
      <c r="AM26" s="41">
        <f>IF(ISNUMBER($AD26),Header!$I$3,"")</f>
      </c>
      <c r="AN26" s="39">
        <f>IF(ISNUMBER($AD26),$AO26+$AP26,"")</f>
      </c>
      <c r="AO26" s="39">
        <f>IF(ISNUMBER($AD26),ROUND($AD26*Header!$K$3,2),"")</f>
      </c>
      <c r="AP26" s="39">
        <f>IF(ISNUMBER($AD26),ROUND($AD26*Header!$M$3,2),"")</f>
      </c>
      <c r="AQ26" s="38">
        <f>IF(ISNUMBER($AD26),ROUND($AD26,2)-$AO26-$AP26,"")</f>
      </c>
      <c r="AR26" s="39">
        <f>IF(ISNUMBER($AD26),IF(Header!$D$34="","?",$AD26*Header!$D$34),"")</f>
      </c>
      <c r="AS26" s="39">
        <f>IF(ISNUMBER($AB26),IF(Header!$D$34="","?",$AB26*Header!$D$34),"")</f>
      </c>
      <c r="AT26" s="42">
        <f>IF(AND(ISNUMBER($AB26),$M26&gt;0),$AB26/$M26*100,"")</f>
      </c>
      <c r="AU26" s="42">
        <f>IF(AND(ISNUMBER($AD26),$M26&gt;0),$AD26/$M26*100,"")</f>
      </c>
      <c r="AV26" s="40">
        <f>IF(AND(ISNUMBER($AB26),ISNUMBER($AD26),ABS($AB26)&gt;0),$AD26/$AB26,"")</f>
      </c>
      <c r="AW26" s="39">
        <f>IF(ISNUMBER($AD26),MAX(0,(1-0.55-Header!$O$3)*Header!$Q$3*$AQ26),"")</f>
      </c>
      <c r="AX26" s="43">
        <f>IF($A26="","",IF(TRIM(IF($A26="","Missing certificate ref. ","") &amp; IF($C26="","Missing effective date. ","") &amp; IF($D26="","Missing binding status. ","") &amp; IF($E26="","Missing movement type. ","") &amp; IF($I26="","Missing make. ","") &amp; IF($L26="","Missing vehicle class. ","") &amp; IF($M26="","Missing agreed value. ","") &amp; IF($N26="","Missing policy type. ","") &amp; IF($Q26="","Missing garaging state. ","") &amp; IF($R26="","Missing garaging ZIP. ","") &amp; IF($S26="","Missing cat zone. ","") &amp; IF($V26="","Missing valuation basis. ","") &amp; IF($W26="","Missing PD deductible. ","") &amp; IF($X26="","Missing liability limit. ","") &amp; IF($AB26="","Missing technical premium. ","") &amp; IF($AF26="","Missing surplus lines tax %. ",""))="","PASS","FAIL: "&amp;TRIM(IF($A26="","Missing certificate ref. ","") &amp; IF($C26="","Missing effective date. ","") &amp; IF($D26="","Missing binding status. ","") &amp; IF($E26="","Missing movement type. ","") &amp; IF($I26="","Missing make. ","") &amp; IF($L26="","Missing vehicle class. ","") &amp; IF($M26="","Missing agreed value. ","") &amp; IF($N26="","Missing policy type. ","") &amp; IF($Q26="","Missing garaging state. ","") &amp; IF($R26="","Missing garaging ZIP. ","") &amp; IF($S26="","Missing cat zone. ","") &amp; IF($V26="","Missing valuation basis. ","") &amp; IF($W26="","Missing PD deductible. ","") &amp; IF($X26="","Missing liability limit. ","") &amp; IF($AB26="","Missing technical premium. ","") &amp; IF($AF26="","Missing surplus lines tax %. ",""))))</f>
      </c>
      <c r="AY26" s="44">
        <f>IF($M26="","",IF(ISNUMBER($M26),IF($M26&gt;=Header!$C$18,"YES — refer","No"),""))</f>
      </c>
      <c r="AZ26" s="44">
        <f>IF($AD26="","",IF(ISNUMBER($AD26),IF($AD26&lt;Header!$C$20,"BELOW MIN PREMIUM","OK"),""))</f>
      </c>
      <c r="BA26" s="48" t="inlineStr">
        <is>
          <t xml:space="preserve">Yes</t>
        </is>
      </c>
      <c r="BB26" s="48" t="inlineStr">
        <is>
          <t xml:space="preserve">Yes</t>
        </is>
      </c>
      <c r="BC26" s="46" t="inlineStr">
        <is>
          <t xml:space="preserve">Synthetic demo data</t>
        </is>
      </c>
      <c r="BE26" s="45">
        <f>IF(OR($A26="",$L26="",$H26=""),"",IF(AND(LEFT($L26,2)="06",$H26&gt;1945),"FAIL - pre-war class, year "&amp;$H26,IF(AND(LEFT($L26,2)="07",OR($H26&lt;1946,$H26&gt;1972)),"FAIL - 1946-72 class, year "&amp;$H26,IF(AND(LEFT($L26,2)="08",OR($H26&lt;1973,$H26&gt;1999)),"FAIL - 1973-99 class, year "&amp;$H26,IF(AND(LEFT($L26,2)="09",OR($H26&lt;2000,$H26&gt;2010)),"FAIL - 2000-10 class, year "&amp;$H26,"OK")))))</f>
      </c>
      <c r="BF26" s="45">
        <f>IF($AD26="","",IF(ROUND($AO26+$AP26+$AQ26-$AD26,2)=0,"OK","FAIL - out by "&amp;TEXT($AO26+$AP26+$AQ26-$AD26,"$0.00")))</f>
      </c>
    </row>
    <row r="27" spans="1:58" ht="18.75" customHeight="1" x14ac:dyDescent="0.25">
      <c r="A27" s="30" t="inlineStr">
        <is>
          <t xml:space="preserve">CANON-202511-002196</t>
        </is>
      </c>
      <c r="B27" s="30" t="inlineStr">
        <is>
          <t xml:space="preserve">Marisol Montoya</t>
        </is>
      </c>
      <c r="C27" s="31">
        <v>45968</v>
      </c>
      <c r="D27" s="32" t="inlineStr">
        <is>
          <t xml:space="preserve">Bound - within authority</t>
        </is>
      </c>
      <c r="E27" s="32" t="inlineStr">
        <is>
          <t xml:space="preserve">New business</t>
        </is>
      </c>
      <c r="F27" s="30" t="inlineStr">
        <is>
          <t xml:space="preserve">B1234EXOTIC26</t>
        </is>
      </c>
      <c r="G27" s="33">
        <f>IF($A27="","",IF($C27="","",YEAR($C27)))</f>
      </c>
      <c r="H27" s="34">
        <v>1985</v>
      </c>
      <c r="I27" s="30" t="inlineStr">
        <is>
          <t xml:space="preserve">Maserati</t>
        </is>
      </c>
      <c r="J27" s="30" t="inlineStr">
        <is>
          <t xml:space="preserve">GranTurismo</t>
        </is>
      </c>
      <c r="K27" s="30" t="inlineStr">
        <is>
          <t xml:space="preserve">LWHKBMN8ZZNADAEKB</t>
        </is>
      </c>
      <c r="L27" s="32" t="inlineStr">
        <is>
          <t xml:space="preserve">02 - Sports / GT</t>
        </is>
      </c>
      <c r="M27" s="35">
        <v>195000</v>
      </c>
      <c r="N27" s="32" t="inlineStr">
        <is>
          <t xml:space="preserve">Personal</t>
        </is>
      </c>
      <c r="O27" s="30" t="inlineStr">
        <is>
          <t xml:space="preserve">Personal - regular use</t>
        </is>
      </c>
      <c r="P27" s="30" t="inlineStr">
        <is>
          <t xml:space="preserve">Under 1,000</t>
        </is>
      </c>
      <c r="Q27" s="30" t="inlineStr">
        <is>
          <t xml:space="preserve">Colorado</t>
        </is>
      </c>
      <c r="R27" s="30" t="inlineStr">
        <is>
          <t xml:space="preserve">80202</t>
        </is>
      </c>
      <c r="S27" s="32" t="inlineStr">
        <is>
          <t xml:space="preserve">Severe convective - hail alley (high)</t>
        </is>
      </c>
      <c r="T27" s="36">
        <f>IF($A27="","",IF($S27="","",IFERROR(INDEX('[1]natural catastrophe'!$D$6:$D$17,MATCH($S27,'[1]natural catastrophe'!$B$6:$B$17,0)),"?")))</f>
      </c>
      <c r="U27" s="30" t="inlineStr">
        <is>
          <t xml:space="preserve">$5,000</t>
        </is>
      </c>
      <c r="V27" s="32" t="inlineStr">
        <is>
          <t xml:space="preserve">Agreed Value</t>
        </is>
      </c>
      <c r="W27" s="30" t="inlineStr">
        <is>
          <t xml:space="preserve">$1,000</t>
        </is>
      </c>
      <c r="X27" s="32" t="inlineStr">
        <is>
          <t xml:space="preserve">$1,000,000 CSL</t>
        </is>
      </c>
      <c r="Y27" s="30"/>
      <c r="Z27" s="30"/>
      <c r="AA27" s="32" t="inlineStr">
        <is>
          <t xml:space="preserve">Surplus Lines</t>
        </is>
      </c>
      <c r="AB27" s="35">
        <v>3423.29</v>
      </c>
      <c r="AC27" s="37">
        <v>0</v>
      </c>
      <c r="AD27" s="38">
        <f>IF(ISNUMBER($AB27),$AB27*(1+N($AC27)),"")</f>
      </c>
      <c r="AE27" s="35">
        <v>350</v>
      </c>
      <c r="AF27" s="35">
        <v>0</v>
      </c>
      <c r="AG27" s="37"/>
      <c r="AH27" s="39">
        <f>IF(ISNUMBER($AD27),($AD27+$AE27+$AF27)*$AG27,"")</f>
      </c>
      <c r="AI27" s="35"/>
      <c r="AJ27" s="38">
        <f>IF(ISNUMBER($AD27),SUM($AD27:$AH27),"")</f>
      </c>
      <c r="AK27" s="40">
        <f>IF(AND(ISNUMBER($AB27),ISNUMBER($AD27)),IF($AB27&gt;0,$AD27/$AB27,""),"")</f>
      </c>
      <c r="AL27" s="32" t="inlineStr">
        <is>
          <t xml:space="preserve">At technical</t>
        </is>
      </c>
      <c r="AM27" s="41">
        <f>IF(ISNUMBER($AD27),Header!$I$3,"")</f>
      </c>
      <c r="AN27" s="39">
        <f>IF(ISNUMBER($AD27),$AO27+$AP27,"")</f>
      </c>
      <c r="AO27" s="39">
        <f>IF(ISNUMBER($AD27),ROUND($AD27*Header!$K$3,2),"")</f>
      </c>
      <c r="AP27" s="39">
        <f>IF(ISNUMBER($AD27),ROUND($AD27*Header!$M$3,2),"")</f>
      </c>
      <c r="AQ27" s="38">
        <f>IF(ISNUMBER($AD27),ROUND($AD27,2)-$AO27-$AP27,"")</f>
      </c>
      <c r="AR27" s="39">
        <f>IF(ISNUMBER($AD27),IF(Header!$D$34="","?",$AD27*Header!$D$34),"")</f>
      </c>
      <c r="AS27" s="39">
        <f>IF(ISNUMBER($AB27),IF(Header!$D$34="","?",$AB27*Header!$D$34),"")</f>
      </c>
      <c r="AT27" s="42">
        <f>IF(AND(ISNUMBER($AB27),$M27&gt;0),$AB27/$M27*100,"")</f>
      </c>
      <c r="AU27" s="42">
        <f>IF(AND(ISNUMBER($AD27),$M27&gt;0),$AD27/$M27*100,"")</f>
      </c>
      <c r="AV27" s="40">
        <f>IF(AND(ISNUMBER($AB27),ISNUMBER($AD27),ABS($AB27)&gt;0),$AD27/$AB27,"")</f>
      </c>
      <c r="AW27" s="39">
        <f>IF(ISNUMBER($AD27),MAX(0,(1-0.55-Header!$O$3)*Header!$Q$3*$AQ27),"")</f>
      </c>
      <c r="AX27" s="43">
        <f>IF($A27="","",IF(TRIM(IF($A27="","Missing certificate ref. ","") &amp; IF($C27="","Missing effective date. ","") &amp; IF($D27="","Missing binding status. ","") &amp; IF($E27="","Missing movement type. ","") &amp; IF($I27="","Missing make. ","") &amp; IF($L27="","Missing vehicle class. ","") &amp; IF($M27="","Missing agreed value. ","") &amp; IF($N27="","Missing policy type. ","") &amp; IF($Q27="","Missing garaging state. ","") &amp; IF($R27="","Missing garaging ZIP. ","") &amp; IF($S27="","Missing cat zone. ","") &amp; IF($V27="","Missing valuation basis. ","") &amp; IF($W27="","Missing PD deductible. ","") &amp; IF($X27="","Missing liability limit. ","") &amp; IF($AB27="","Missing technical premium. ","") &amp; IF($AF27="","Missing surplus lines tax %. ",""))="","PASS","FAIL: "&amp;TRIM(IF($A27="","Missing certificate ref. ","") &amp; IF($C27="","Missing effective date. ","") &amp; IF($D27="","Missing binding status. ","") &amp; IF($E27="","Missing movement type. ","") &amp; IF($I27="","Missing make. ","") &amp; IF($L27="","Missing vehicle class. ","") &amp; IF($M27="","Missing agreed value. ","") &amp; IF($N27="","Missing policy type. ","") &amp; IF($Q27="","Missing garaging state. ","") &amp; IF($R27="","Missing garaging ZIP. ","") &amp; IF($S27="","Missing cat zone. ","") &amp; IF($V27="","Missing valuation basis. ","") &amp; IF($W27="","Missing PD deductible. ","") &amp; IF($X27="","Missing liability limit. ","") &amp; IF($AB27="","Missing technical premium. ","") &amp; IF($AF27="","Missing surplus lines tax %. ",""))))</f>
      </c>
      <c r="AY27" s="44">
        <f>IF($M27="","",IF(ISNUMBER($M27),IF($M27&gt;=Header!$C$18,"YES — refer","No"),""))</f>
      </c>
      <c r="AZ27" s="44">
        <f>IF($AD27="","",IF(ISNUMBER($AD27),IF($AD27&lt;Header!$C$20,"BELOW MIN PREMIUM","OK"),""))</f>
      </c>
      <c r="BA27" s="32" t="inlineStr">
        <is>
          <t xml:space="preserve">Yes</t>
        </is>
      </c>
      <c r="BB27" s="32" t="inlineStr">
        <is>
          <t xml:space="preserve">Yes</t>
        </is>
      </c>
      <c r="BC27" s="30" t="inlineStr">
        <is>
          <t xml:space="preserve">Synthetic demo data</t>
        </is>
      </c>
      <c r="BE27" s="45">
        <f>IF(OR($A27="",$L27="",$H27=""),"",IF(AND(LEFT($L27,2)="06",$H27&gt;1945),"FAIL - pre-war class, year "&amp;$H27,IF(AND(LEFT($L27,2)="07",OR($H27&lt;1946,$H27&gt;1972)),"FAIL - 1946-72 class, year "&amp;$H27,IF(AND(LEFT($L27,2)="08",OR($H27&lt;1973,$H27&gt;1999)),"FAIL - 1973-99 class, year "&amp;$H27,IF(AND(LEFT($L27,2)="09",OR($H27&lt;2000,$H27&gt;2010)),"FAIL - 2000-10 class, year "&amp;$H27,"OK")))))</f>
      </c>
      <c r="BF27" s="45">
        <f>IF($AD27="","",IF(ROUND($AO27+$AP27+$AQ27-$AD27,2)=0,"OK","FAIL - out by "&amp;TEXT($AO27+$AP27+$AQ27-$AD27,"$0.00")))</f>
      </c>
    </row>
    <row r="28" spans="1:58" ht="18.75" customHeight="1" x14ac:dyDescent="0.25">
      <c r="A28" s="46" t="inlineStr">
        <is>
          <t xml:space="preserve">CANON-202511-002197</t>
        </is>
      </c>
      <c r="B28" s="46" t="inlineStr">
        <is>
          <t xml:space="preserve">Horace Delacroix</t>
        </is>
      </c>
      <c r="C28" s="47">
        <v>45980</v>
      </c>
      <c r="D28" s="48" t="inlineStr">
        <is>
          <t xml:space="preserve">Bound - within authority</t>
        </is>
      </c>
      <c r="E28" s="48" t="inlineStr">
        <is>
          <t xml:space="preserve">New business</t>
        </is>
      </c>
      <c r="F28" s="46" t="inlineStr">
        <is>
          <t xml:space="preserve">B1234EXOTIC26</t>
        </is>
      </c>
      <c r="G28" s="33">
        <f>IF($A28="","",IF($C28="","",YEAR($C28)))</f>
      </c>
      <c r="H28" s="49">
        <v>1983</v>
      </c>
      <c r="I28" s="46" t="inlineStr">
        <is>
          <t xml:space="preserve">Bentley</t>
        </is>
      </c>
      <c r="J28" s="46" t="inlineStr">
        <is>
          <t xml:space="preserve">Continental GT</t>
        </is>
      </c>
      <c r="K28" s="46" t="inlineStr">
        <is>
          <t xml:space="preserve">D0AG4ZVM3FLJ39B0Y</t>
        </is>
      </c>
      <c r="L28" s="48" t="inlineStr">
        <is>
          <t xml:space="preserve">02 - Sports / GT</t>
        </is>
      </c>
      <c r="M28" s="50">
        <v>310000</v>
      </c>
      <c r="N28" s="48" t="inlineStr">
        <is>
          <t xml:space="preserve">Personal</t>
        </is>
      </c>
      <c r="O28" s="46" t="inlineStr">
        <is>
          <t xml:space="preserve">Personal - regular use</t>
        </is>
      </c>
      <c r="P28" s="46" t="inlineStr">
        <is>
          <t xml:space="preserve">1,000 - 2,500</t>
        </is>
      </c>
      <c r="Q28" s="46" t="inlineStr">
        <is>
          <t xml:space="preserve">Iowa</t>
        </is>
      </c>
      <c r="R28" s="46" t="inlineStr">
        <is>
          <t xml:space="preserve">50309</t>
        </is>
      </c>
      <c r="S28" s="48" t="inlineStr">
        <is>
          <t xml:space="preserve">Severe convective - hail alley (high)</t>
        </is>
      </c>
      <c r="T28" s="36">
        <f>IF($A28="","",IF($S28="","",IFERROR(INDEX('[1]natural catastrophe'!$D$6:$D$17,MATCH($S28,'[1]natural catastrophe'!$B$6:$B$17,0)),"?")))</f>
      </c>
      <c r="U28" s="46" t="inlineStr">
        <is>
          <t xml:space="preserve">$5,000</t>
        </is>
      </c>
      <c r="V28" s="48" t="inlineStr">
        <is>
          <t xml:space="preserve">Agreed Value</t>
        </is>
      </c>
      <c r="W28" s="46" t="inlineStr">
        <is>
          <t xml:space="preserve">$1,000</t>
        </is>
      </c>
      <c r="X28" s="48" t="inlineStr">
        <is>
          <t xml:space="preserve">$1,000,000 CSL</t>
        </is>
      </c>
      <c r="Y28" s="46"/>
      <c r="Z28" s="46"/>
      <c r="AA28" s="48" t="inlineStr">
        <is>
          <t xml:space="preserve">Surplus Lines</t>
        </is>
      </c>
      <c r="AB28" s="50">
        <v>4436.54</v>
      </c>
      <c r="AC28" s="51">
        <v>0</v>
      </c>
      <c r="AD28" s="38">
        <f>IF(ISNUMBER($AB28),$AB28*(1+N($AC28)),"")</f>
      </c>
      <c r="AE28" s="50">
        <v>350</v>
      </c>
      <c r="AF28" s="50">
        <v>0</v>
      </c>
      <c r="AG28" s="51"/>
      <c r="AH28" s="39">
        <f>IF(ISNUMBER($AD28),($AD28+$AE28+$AF28)*$AG28,"")</f>
      </c>
      <c r="AI28" s="50"/>
      <c r="AJ28" s="38">
        <f>IF(ISNUMBER($AD28),SUM($AD28:$AH28),"")</f>
      </c>
      <c r="AK28" s="40">
        <f>IF(AND(ISNUMBER($AB28),ISNUMBER($AD28)),IF($AB28&gt;0,$AD28/$AB28,""),"")</f>
      </c>
      <c r="AL28" s="48" t="inlineStr">
        <is>
          <t xml:space="preserve">At technical</t>
        </is>
      </c>
      <c r="AM28" s="41">
        <f>IF(ISNUMBER($AD28),Header!$I$3,"")</f>
      </c>
      <c r="AN28" s="39">
        <f>IF(ISNUMBER($AD28),$AO28+$AP28,"")</f>
      </c>
      <c r="AO28" s="39">
        <f>IF(ISNUMBER($AD28),ROUND($AD28*Header!$K$3,2),"")</f>
      </c>
      <c r="AP28" s="39">
        <f>IF(ISNUMBER($AD28),ROUND($AD28*Header!$M$3,2),"")</f>
      </c>
      <c r="AQ28" s="38">
        <f>IF(ISNUMBER($AD28),ROUND($AD28,2)-$AO28-$AP28,"")</f>
      </c>
      <c r="AR28" s="39">
        <f>IF(ISNUMBER($AD28),IF(Header!$D$34="","?",$AD28*Header!$D$34),"")</f>
      </c>
      <c r="AS28" s="39">
        <f>IF(ISNUMBER($AB28),IF(Header!$D$34="","?",$AB28*Header!$D$34),"")</f>
      </c>
      <c r="AT28" s="42">
        <f>IF(AND(ISNUMBER($AB28),$M28&gt;0),$AB28/$M28*100,"")</f>
      </c>
      <c r="AU28" s="42">
        <f>IF(AND(ISNUMBER($AD28),$M28&gt;0),$AD28/$M28*100,"")</f>
      </c>
      <c r="AV28" s="40">
        <f>IF(AND(ISNUMBER($AB28),ISNUMBER($AD28),ABS($AB28)&gt;0),$AD28/$AB28,"")</f>
      </c>
      <c r="AW28" s="39">
        <f>IF(ISNUMBER($AD28),MAX(0,(1-0.55-Header!$O$3)*Header!$Q$3*$AQ28),"")</f>
      </c>
      <c r="AX28" s="43">
        <f>IF($A28="","",IF(TRIM(IF($A28="","Missing certificate ref. ","") &amp; IF($C28="","Missing effective date. ","") &amp; IF($D28="","Missing binding status. ","") &amp; IF($E28="","Missing movement type. ","") &amp; IF($I28="","Missing make. ","") &amp; IF($L28="","Missing vehicle class. ","") &amp; IF($M28="","Missing agreed value. ","") &amp; IF($N28="","Missing policy type. ","") &amp; IF($Q28="","Missing garaging state. ","") &amp; IF($R28="","Missing garaging ZIP. ","") &amp; IF($S28="","Missing cat zone. ","") &amp; IF($V28="","Missing valuation basis. ","") &amp; IF($W28="","Missing PD deductible. ","") &amp; IF($X28="","Missing liability limit. ","") &amp; IF($AB28="","Missing technical premium. ","") &amp; IF($AF28="","Missing surplus lines tax %. ",""))="","PASS","FAIL: "&amp;TRIM(IF($A28="","Missing certificate ref. ","") &amp; IF($C28="","Missing effective date. ","") &amp; IF($D28="","Missing binding status. ","") &amp; IF($E28="","Missing movement type. ","") &amp; IF($I28="","Missing make. ","") &amp; IF($L28="","Missing vehicle class. ","") &amp; IF($M28="","Missing agreed value. ","") &amp; IF($N28="","Missing policy type. ","") &amp; IF($Q28="","Missing garaging state. ","") &amp; IF($R28="","Missing garaging ZIP. ","") &amp; IF($S28="","Missing cat zone. ","") &amp; IF($V28="","Missing valuation basis. ","") &amp; IF($W28="","Missing PD deductible. ","") &amp; IF($X28="","Missing liability limit. ","") &amp; IF($AB28="","Missing technical premium. ","") &amp; IF($AF28="","Missing surplus lines tax %. ",""))))</f>
      </c>
      <c r="AY28" s="44">
        <f>IF($M28="","",IF(ISNUMBER($M28),IF($M28&gt;=Header!$C$18,"YES — refer","No"),""))</f>
      </c>
      <c r="AZ28" s="44">
        <f>IF($AD28="","",IF(ISNUMBER($AD28),IF($AD28&lt;Header!$C$20,"BELOW MIN PREMIUM","OK"),""))</f>
      </c>
      <c r="BA28" s="48" t="inlineStr">
        <is>
          <t xml:space="preserve">Yes</t>
        </is>
      </c>
      <c r="BB28" s="48" t="inlineStr">
        <is>
          <t xml:space="preserve">Yes</t>
        </is>
      </c>
      <c r="BC28" s="46" t="inlineStr">
        <is>
          <t xml:space="preserve">Synthetic demo data</t>
        </is>
      </c>
      <c r="BE28" s="45">
        <f>IF(OR($A28="",$L28="",$H28=""),"",IF(AND(LEFT($L28,2)="06",$H28&gt;1945),"FAIL - pre-war class, year "&amp;$H28,IF(AND(LEFT($L28,2)="07",OR($H28&lt;1946,$H28&gt;1972)),"FAIL - 1946-72 class, year "&amp;$H28,IF(AND(LEFT($L28,2)="08",OR($H28&lt;1973,$H28&gt;1999)),"FAIL - 1973-99 class, year "&amp;$H28,IF(AND(LEFT($L28,2)="09",OR($H28&lt;2000,$H28&gt;2010)),"FAIL - 2000-10 class, year "&amp;$H28,"OK")))))</f>
      </c>
      <c r="BF28" s="45">
        <f>IF($AD28="","",IF(ROUND($AO28+$AP28+$AQ28-$AD28,2)=0,"OK","FAIL - out by "&amp;TEXT($AO28+$AP28+$AQ28-$AD28,"$0.00")))</f>
      </c>
    </row>
    <row r="29" spans="1:58" ht="18.75" customHeight="1" x14ac:dyDescent="0.25">
      <c r="A29" s="30" t="inlineStr">
        <is>
          <t xml:space="preserve">CANON-202511-002198</t>
        </is>
      </c>
      <c r="B29" s="30" t="inlineStr">
        <is>
          <t xml:space="preserve">Callum Vandermeer</t>
        </is>
      </c>
      <c r="C29" s="31">
        <v>45969</v>
      </c>
      <c r="D29" s="32" t="inlineStr">
        <is>
          <t xml:space="preserve">Bound - within authority</t>
        </is>
      </c>
      <c r="E29" s="32" t="inlineStr">
        <is>
          <t xml:space="preserve">New business</t>
        </is>
      </c>
      <c r="F29" s="30" t="inlineStr">
        <is>
          <t xml:space="preserve">B1234EXOTIC26</t>
        </is>
      </c>
      <c r="G29" s="33">
        <f>IF($A29="","",IF($C29="","",YEAR($C29)))</f>
      </c>
      <c r="H29" s="34">
        <v>2008</v>
      </c>
      <c r="I29" s="30" t="inlineStr">
        <is>
          <t xml:space="preserve">Aston Martin</t>
        </is>
      </c>
      <c r="J29" s="30" t="inlineStr">
        <is>
          <t xml:space="preserve">DB12</t>
        </is>
      </c>
      <c r="K29" s="30" t="inlineStr">
        <is>
          <t xml:space="preserve">5LZ5NFTRNPE031JR7</t>
        </is>
      </c>
      <c r="L29" s="32" t="inlineStr">
        <is>
          <t xml:space="preserve">02 - Sports / GT</t>
        </is>
      </c>
      <c r="M29" s="35">
        <v>1025000</v>
      </c>
      <c r="N29" s="32" t="inlineStr">
        <is>
          <t xml:space="preserve">Personal</t>
        </is>
      </c>
      <c r="O29" s="30" t="inlineStr">
        <is>
          <t xml:space="preserve">Personal - regular use</t>
        </is>
      </c>
      <c r="P29" s="30" t="inlineStr">
        <is>
          <t xml:space="preserve">1,000 - 2,500</t>
        </is>
      </c>
      <c r="Q29" s="30" t="inlineStr">
        <is>
          <t xml:space="preserve">Texas</t>
        </is>
      </c>
      <c r="R29" s="30" t="inlineStr">
        <is>
          <t xml:space="preserve">75201</t>
        </is>
      </c>
      <c r="S29" s="32" t="inlineStr">
        <is>
          <t xml:space="preserve">Tier 2 - Coastal wind (1-25 miles)</t>
        </is>
      </c>
      <c r="T29" s="36">
        <f>IF($A29="","",IF($S29="","",IFERROR(INDEX('[1]natural catastrophe'!$D$6:$D$17,MATCH($S29,'[1]natural catastrophe'!$B$6:$B$17,0)),"?")))</f>
      </c>
      <c r="U29" s="30" t="inlineStr">
        <is>
          <t xml:space="preserve">2% of agreed value, minimum $10,000</t>
        </is>
      </c>
      <c r="V29" s="32" t="inlineStr">
        <is>
          <t xml:space="preserve">Agreed Value</t>
        </is>
      </c>
      <c r="W29" s="30" t="inlineStr">
        <is>
          <t xml:space="preserve">$1,000</t>
        </is>
      </c>
      <c r="X29" s="32" t="inlineStr">
        <is>
          <t xml:space="preserve">$1,000,000 CSL</t>
        </is>
      </c>
      <c r="Y29" s="30"/>
      <c r="Z29" s="30"/>
      <c r="AA29" s="32" t="inlineStr">
        <is>
          <t xml:space="preserve">Surplus Lines</t>
        </is>
      </c>
      <c r="AB29" s="35">
        <v>11246.39</v>
      </c>
      <c r="AC29" s="37">
        <v>0</v>
      </c>
      <c r="AD29" s="38">
        <f>IF(ISNUMBER($AB29),$AB29*(1+N($AC29)),"")</f>
      </c>
      <c r="AE29" s="35">
        <v>350</v>
      </c>
      <c r="AF29" s="35">
        <v>250</v>
      </c>
      <c r="AG29" s="37"/>
      <c r="AH29" s="39">
        <f>IF(ISNUMBER($AD29),($AD29+$AE29+$AF29)*$AG29,"")</f>
      </c>
      <c r="AI29" s="35"/>
      <c r="AJ29" s="38">
        <f>IF(ISNUMBER($AD29),SUM($AD29:$AH29),"")</f>
      </c>
      <c r="AK29" s="40">
        <f>IF(AND(ISNUMBER($AB29),ISNUMBER($AD29)),IF($AB29&gt;0,$AD29/$AB29,""),"")</f>
      </c>
      <c r="AL29" s="32" t="inlineStr">
        <is>
          <t xml:space="preserve">At technical</t>
        </is>
      </c>
      <c r="AM29" s="41">
        <f>IF(ISNUMBER($AD29),Header!$I$3,"")</f>
      </c>
      <c r="AN29" s="39">
        <f>IF(ISNUMBER($AD29),$AO29+$AP29,"")</f>
      </c>
      <c r="AO29" s="39">
        <f>IF(ISNUMBER($AD29),ROUND($AD29*Header!$K$3,2),"")</f>
      </c>
      <c r="AP29" s="39">
        <f>IF(ISNUMBER($AD29),ROUND($AD29*Header!$M$3,2),"")</f>
      </c>
      <c r="AQ29" s="38">
        <f>IF(ISNUMBER($AD29),ROUND($AD29,2)-$AO29-$AP29,"")</f>
      </c>
      <c r="AR29" s="39">
        <f>IF(ISNUMBER($AD29),IF(Header!$D$34="","?",$AD29*Header!$D$34),"")</f>
      </c>
      <c r="AS29" s="39">
        <f>IF(ISNUMBER($AB29),IF(Header!$D$34="","?",$AB29*Header!$D$34),"")</f>
      </c>
      <c r="AT29" s="42">
        <f>IF(AND(ISNUMBER($AB29),$M29&gt;0),$AB29/$M29*100,"")</f>
      </c>
      <c r="AU29" s="42">
        <f>IF(AND(ISNUMBER($AD29),$M29&gt;0),$AD29/$M29*100,"")</f>
      </c>
      <c r="AV29" s="40">
        <f>IF(AND(ISNUMBER($AB29),ISNUMBER($AD29),ABS($AB29)&gt;0),$AD29/$AB29,"")</f>
      </c>
      <c r="AW29" s="39">
        <f>IF(ISNUMBER($AD29),MAX(0,(1-0.55-Header!$O$3)*Header!$Q$3*$AQ29),"")</f>
      </c>
      <c r="AX29" s="43">
        <f>IF($A29="","",IF(TRIM(IF($A29="","Missing certificate ref. ","") &amp; IF($C29="","Missing effective date. ","") &amp; IF($D29="","Missing binding status. ","") &amp; IF($E29="","Missing movement type. ","") &amp; IF($I29="","Missing make. ","") &amp; IF($L29="","Missing vehicle class. ","") &amp; IF($M29="","Missing agreed value. ","") &amp; IF($N29="","Missing policy type. ","") &amp; IF($Q29="","Missing garaging state. ","") &amp; IF($R29="","Missing garaging ZIP. ","") &amp; IF($S29="","Missing cat zone. ","") &amp; IF($V29="","Missing valuation basis. ","") &amp; IF($W29="","Missing PD deductible. ","") &amp; IF($X29="","Missing liability limit. ","") &amp; IF($AB29="","Missing technical premium. ","") &amp; IF($AF29="","Missing surplus lines tax %. ",""))="","PASS","FAIL: "&amp;TRIM(IF($A29="","Missing certificate ref. ","") &amp; IF($C29="","Missing effective date. ","") &amp; IF($D29="","Missing binding status. ","") &amp; IF($E29="","Missing movement type. ","") &amp; IF($I29="","Missing make. ","") &amp; IF($L29="","Missing vehicle class. ","") &amp; IF($M29="","Missing agreed value. ","") &amp; IF($N29="","Missing policy type. ","") &amp; IF($Q29="","Missing garaging state. ","") &amp; IF($R29="","Missing garaging ZIP. ","") &amp; IF($S29="","Missing cat zone. ","") &amp; IF($V29="","Missing valuation basis. ","") &amp; IF($W29="","Missing PD deductible. ","") &amp; IF($X29="","Missing liability limit. ","") &amp; IF($AB29="","Missing technical premium. ","") &amp; IF($AF29="","Missing surplus lines tax %. ",""))))</f>
      </c>
      <c r="AY29" s="44">
        <f>IF($M29="","",IF(ISNUMBER($M29),IF($M29&gt;=Header!$C$18,"YES — refer","No"),""))</f>
      </c>
      <c r="AZ29" s="44">
        <f>IF($AD29="","",IF(ISNUMBER($AD29),IF($AD29&lt;Header!$C$20,"BELOW MIN PREMIUM","OK"),""))</f>
      </c>
      <c r="BA29" s="32" t="inlineStr">
        <is>
          <t xml:space="preserve">Yes</t>
        </is>
      </c>
      <c r="BB29" s="32" t="inlineStr">
        <is>
          <t xml:space="preserve">Yes</t>
        </is>
      </c>
      <c r="BC29" s="30" t="inlineStr">
        <is>
          <t xml:space="preserve">Synthetic demo data</t>
        </is>
      </c>
      <c r="BE29" s="45">
        <f>IF(OR($A29="",$L29="",$H29=""),"",IF(AND(LEFT($L29,2)="06",$H29&gt;1945),"FAIL - pre-war class, year "&amp;$H29,IF(AND(LEFT($L29,2)="07",OR($H29&lt;1946,$H29&gt;1972)),"FAIL - 1946-72 class, year "&amp;$H29,IF(AND(LEFT($L29,2)="08",OR($H29&lt;1973,$H29&gt;1999)),"FAIL - 1973-99 class, year "&amp;$H29,IF(AND(LEFT($L29,2)="09",OR($H29&lt;2000,$H29&gt;2010)),"FAIL - 2000-10 class, year "&amp;$H29,"OK")))))</f>
      </c>
      <c r="BF29" s="45">
        <f>IF($AD29="","",IF(ROUND($AO29+$AP29+$AQ29-$AD29,2)=0,"OK","FAIL - out by "&amp;TEXT($AO29+$AP29+$AQ29-$AD29,"$0.00")))</f>
      </c>
    </row>
    <row r="30" spans="1:58" ht="18.75" customHeight="1" x14ac:dyDescent="0.25">
      <c r="A30" s="46" t="inlineStr">
        <is>
          <t xml:space="preserve">CANON-202511-002199</t>
        </is>
      </c>
      <c r="B30" s="46" t="inlineStr">
        <is>
          <t xml:space="preserve">Fitzgerald Chattopadhyay</t>
        </is>
      </c>
      <c r="C30" s="47">
        <v>45977</v>
      </c>
      <c r="D30" s="48" t="inlineStr">
        <is>
          <t xml:space="preserve">Bound - within authority</t>
        </is>
      </c>
      <c r="E30" s="48" t="inlineStr">
        <is>
          <t xml:space="preserve">New business</t>
        </is>
      </c>
      <c r="F30" s="46" t="inlineStr">
        <is>
          <t xml:space="preserve">B1234EXOTIC26</t>
        </is>
      </c>
      <c r="G30" s="33">
        <f>IF($A30="","",IF($C30="","",YEAR($C30)))</f>
      </c>
      <c r="H30" s="49">
        <v>1994</v>
      </c>
      <c r="I30" s="46" t="inlineStr">
        <is>
          <t xml:space="preserve">Mercedes-Benz</t>
        </is>
      </c>
      <c r="J30" s="46" t="inlineStr">
        <is>
          <t xml:space="preserve">AMG GT</t>
        </is>
      </c>
      <c r="K30" s="46" t="inlineStr">
        <is>
          <t xml:space="preserve">JA0GKHYY2TGAGVK9U</t>
        </is>
      </c>
      <c r="L30" s="48" t="inlineStr">
        <is>
          <t xml:space="preserve">02 - Sports / GT</t>
        </is>
      </c>
      <c r="M30" s="50">
        <v>720000</v>
      </c>
      <c r="N30" s="48" t="inlineStr">
        <is>
          <t xml:space="preserve">Personal</t>
        </is>
      </c>
      <c r="O30" s="46" t="inlineStr">
        <is>
          <t xml:space="preserve">Personal - regular use</t>
        </is>
      </c>
      <c r="P30" s="46" t="inlineStr">
        <is>
          <t xml:space="preserve">1,000 - 2,500</t>
        </is>
      </c>
      <c r="Q30" s="46" t="inlineStr">
        <is>
          <t xml:space="preserve">California</t>
        </is>
      </c>
      <c r="R30" s="46" t="inlineStr">
        <is>
          <t xml:space="preserve">90012</t>
        </is>
      </c>
      <c r="S30" s="48" t="inlineStr">
        <is>
          <t xml:space="preserve">Earthquake - high (CA, Cascadia, New Madrid)</t>
        </is>
      </c>
      <c r="T30" s="36">
        <f>IF($A30="","",IF($S30="","",IFERROR(INDEX('[1]natural catastrophe'!$D$6:$D$17,MATCH($S30,'[1]natural catastrophe'!$B$6:$B$17,0)),"?")))</f>
      </c>
      <c r="U30" s="46" t="inlineStr">
        <is>
          <t xml:space="preserve">$5,000</t>
        </is>
      </c>
      <c r="V30" s="48" t="inlineStr">
        <is>
          <t xml:space="preserve">Agreed Value</t>
        </is>
      </c>
      <c r="W30" s="46" t="inlineStr">
        <is>
          <t xml:space="preserve">$1,000</t>
        </is>
      </c>
      <c r="X30" s="48" t="inlineStr">
        <is>
          <t xml:space="preserve">$1,000,000 CSL</t>
        </is>
      </c>
      <c r="Y30" s="46"/>
      <c r="Z30" s="46"/>
      <c r="AA30" s="48" t="inlineStr">
        <is>
          <t xml:space="preserve">Surplus Lines</t>
        </is>
      </c>
      <c r="AB30" s="50">
        <v>10959.94</v>
      </c>
      <c r="AC30" s="51">
        <v>0</v>
      </c>
      <c r="AD30" s="38">
        <f>IF(ISNUMBER($AB30),$AB30*(1+N($AC30)),"")</f>
      </c>
      <c r="AE30" s="50">
        <v>350</v>
      </c>
      <c r="AF30" s="50">
        <v>0</v>
      </c>
      <c r="AG30" s="51"/>
      <c r="AH30" s="39">
        <f>IF(ISNUMBER($AD30),($AD30+$AE30+$AF30)*$AG30,"")</f>
      </c>
      <c r="AI30" s="50"/>
      <c r="AJ30" s="38">
        <f>IF(ISNUMBER($AD30),SUM($AD30:$AH30),"")</f>
      </c>
      <c r="AK30" s="40">
        <f>IF(AND(ISNUMBER($AB30),ISNUMBER($AD30)),IF($AB30&gt;0,$AD30/$AB30,""),"")</f>
      </c>
      <c r="AL30" s="48" t="inlineStr">
        <is>
          <t xml:space="preserve">At technical</t>
        </is>
      </c>
      <c r="AM30" s="41">
        <f>IF(ISNUMBER($AD30),Header!$I$3,"")</f>
      </c>
      <c r="AN30" s="39">
        <f>IF(ISNUMBER($AD30),$AO30+$AP30,"")</f>
      </c>
      <c r="AO30" s="39">
        <f>IF(ISNUMBER($AD30),ROUND($AD30*Header!$K$3,2),"")</f>
      </c>
      <c r="AP30" s="39">
        <f>IF(ISNUMBER($AD30),ROUND($AD30*Header!$M$3,2),"")</f>
      </c>
      <c r="AQ30" s="38">
        <f>IF(ISNUMBER($AD30),ROUND($AD30,2)-$AO30-$AP30,"")</f>
      </c>
      <c r="AR30" s="39">
        <f>IF(ISNUMBER($AD30),IF(Header!$D$34="","?",$AD30*Header!$D$34),"")</f>
      </c>
      <c r="AS30" s="39">
        <f>IF(ISNUMBER($AB30),IF(Header!$D$34="","?",$AB30*Header!$D$34),"")</f>
      </c>
      <c r="AT30" s="42">
        <f>IF(AND(ISNUMBER($AB30),$M30&gt;0),$AB30/$M30*100,"")</f>
      </c>
      <c r="AU30" s="42">
        <f>IF(AND(ISNUMBER($AD30),$M30&gt;0),$AD30/$M30*100,"")</f>
      </c>
      <c r="AV30" s="40">
        <f>IF(AND(ISNUMBER($AB30),ISNUMBER($AD30),ABS($AB30)&gt;0),$AD30/$AB30,"")</f>
      </c>
      <c r="AW30" s="39">
        <f>IF(ISNUMBER($AD30),MAX(0,(1-0.55-Header!$O$3)*Header!$Q$3*$AQ30),"")</f>
      </c>
      <c r="AX30" s="43">
        <f>IF($A30="","",IF(TRIM(IF($A30="","Missing certificate ref. ","") &amp; IF($C30="","Missing effective date. ","") &amp; IF($D30="","Missing binding status. ","") &amp; IF($E30="","Missing movement type. ","") &amp; IF($I30="","Missing make. ","") &amp; IF($L30="","Missing vehicle class. ","") &amp; IF($M30="","Missing agreed value. ","") &amp; IF($N30="","Missing policy type. ","") &amp; IF($Q30="","Missing garaging state. ","") &amp; IF($R30="","Missing garaging ZIP. ","") &amp; IF($S30="","Missing cat zone. ","") &amp; IF($V30="","Missing valuation basis. ","") &amp; IF($W30="","Missing PD deductible. ","") &amp; IF($X30="","Missing liability limit. ","") &amp; IF($AB30="","Missing technical premium. ","") &amp; IF($AF30="","Missing surplus lines tax %. ",""))="","PASS","FAIL: "&amp;TRIM(IF($A30="","Missing certificate ref. ","") &amp; IF($C30="","Missing effective date. ","") &amp; IF($D30="","Missing binding status. ","") &amp; IF($E30="","Missing movement type. ","") &amp; IF($I30="","Missing make. ","") &amp; IF($L30="","Missing vehicle class. ","") &amp; IF($M30="","Missing agreed value. ","") &amp; IF($N30="","Missing policy type. ","") &amp; IF($Q30="","Missing garaging state. ","") &amp; IF($R30="","Missing garaging ZIP. ","") &amp; IF($S30="","Missing cat zone. ","") &amp; IF($V30="","Missing valuation basis. ","") &amp; IF($W30="","Missing PD deductible. ","") &amp; IF($X30="","Missing liability limit. ","") &amp; IF($AB30="","Missing technical premium. ","") &amp; IF($AF30="","Missing surplus lines tax %. ",""))))</f>
      </c>
      <c r="AY30" s="44">
        <f>IF($M30="","",IF(ISNUMBER($M30),IF($M30&gt;=Header!$C$18,"YES — refer","No"),""))</f>
      </c>
      <c r="AZ30" s="44">
        <f>IF($AD30="","",IF(ISNUMBER($AD30),IF($AD30&lt;Header!$C$20,"BELOW MIN PREMIUM","OK"),""))</f>
      </c>
      <c r="BA30" s="48" t="inlineStr">
        <is>
          <t xml:space="preserve">Yes</t>
        </is>
      </c>
      <c r="BB30" s="48" t="inlineStr">
        <is>
          <t xml:space="preserve">Yes</t>
        </is>
      </c>
      <c r="BC30" s="46" t="inlineStr">
        <is>
          <t xml:space="preserve">Synthetic demo data</t>
        </is>
      </c>
      <c r="BE30" s="45">
        <f>IF(OR($A30="",$L30="",$H30=""),"",IF(AND(LEFT($L30,2)="06",$H30&gt;1945),"FAIL - pre-war class, year "&amp;$H30,IF(AND(LEFT($L30,2)="07",OR($H30&lt;1946,$H30&gt;1972)),"FAIL - 1946-72 class, year "&amp;$H30,IF(AND(LEFT($L30,2)="08",OR($H30&lt;1973,$H30&gt;1999)),"FAIL - 1973-99 class, year "&amp;$H30,IF(AND(LEFT($L30,2)="09",OR($H30&lt;2000,$H30&gt;2010)),"FAIL - 2000-10 class, year "&amp;$H30,"OK")))))</f>
      </c>
      <c r="BF30" s="45">
        <f>IF($AD30="","",IF(ROUND($AO30+$AP30+$AQ30-$AD30,2)=0,"OK","FAIL - out by "&amp;TEXT($AO30+$AP30+$AQ30-$AD30,"$0.00")))</f>
      </c>
    </row>
    <row r="31" spans="1:58" ht="18.75" customHeight="1" x14ac:dyDescent="0.25">
      <c r="A31" s="30" t="inlineStr">
        <is>
          <t xml:space="preserve">CANON-202511-002203</t>
        </is>
      </c>
      <c r="B31" s="30" t="inlineStr">
        <is>
          <t xml:space="preserve">Leopold Kingsford</t>
        </is>
      </c>
      <c r="C31" s="31">
        <v>45983</v>
      </c>
      <c r="D31" s="32" t="inlineStr">
        <is>
          <t xml:space="preserve">Bound - within authority</t>
        </is>
      </c>
      <c r="E31" s="32" t="inlineStr">
        <is>
          <t xml:space="preserve">New business</t>
        </is>
      </c>
      <c r="F31" s="30" t="inlineStr">
        <is>
          <t xml:space="preserve">B1234EXOTIC26</t>
        </is>
      </c>
      <c r="G31" s="33">
        <f>IF($A31="","",IF($C31="","",YEAR($C31)))</f>
      </c>
      <c r="H31" s="34">
        <v>1972</v>
      </c>
      <c r="I31" s="30" t="inlineStr">
        <is>
          <t xml:space="preserve">Bentley</t>
        </is>
      </c>
      <c r="J31" s="30" t="inlineStr">
        <is>
          <t xml:space="preserve">Continental GT</t>
        </is>
      </c>
      <c r="K31" s="30" t="inlineStr">
        <is>
          <t xml:space="preserve">N64XHD9SYFPU7DEYV</t>
        </is>
      </c>
      <c r="L31" s="32" t="inlineStr">
        <is>
          <t xml:space="preserve">02 - Sports / GT</t>
        </is>
      </c>
      <c r="M31" s="35">
        <v>350000</v>
      </c>
      <c r="N31" s="32" t="inlineStr">
        <is>
          <t xml:space="preserve">Personal</t>
        </is>
      </c>
      <c r="O31" s="30" t="inlineStr">
        <is>
          <t xml:space="preserve">Personal - regular use</t>
        </is>
      </c>
      <c r="P31" s="30" t="inlineStr">
        <is>
          <t xml:space="preserve">1,000 - 2,500</t>
        </is>
      </c>
      <c r="Q31" s="30" t="inlineStr">
        <is>
          <t xml:space="preserve">Georgia</t>
        </is>
      </c>
      <c r="R31" s="30" t="inlineStr">
        <is>
          <t xml:space="preserve">30303</t>
        </is>
      </c>
      <c r="S31" s="32" t="inlineStr">
        <is>
          <t xml:space="preserve">Tier 2 - Coastal wind (1-25 miles)</t>
        </is>
      </c>
      <c r="T31" s="36">
        <f>IF($A31="","",IF($S31="","",IFERROR(INDEX('[1]natural catastrophe'!$D$6:$D$17,MATCH($S31,'[1]natural catastrophe'!$B$6:$B$17,0)),"?")))</f>
      </c>
      <c r="U31" s="30" t="inlineStr">
        <is>
          <t xml:space="preserve">2% of agreed value, minimum $10,000</t>
        </is>
      </c>
      <c r="V31" s="32" t="inlineStr">
        <is>
          <t xml:space="preserve">Agreed Value</t>
        </is>
      </c>
      <c r="W31" s="30" t="inlineStr">
        <is>
          <t xml:space="preserve">$1,000</t>
        </is>
      </c>
      <c r="X31" s="32" t="inlineStr">
        <is>
          <t xml:space="preserve">$1,000,000 CSL</t>
        </is>
      </c>
      <c r="Y31" s="30"/>
      <c r="Z31" s="30"/>
      <c r="AA31" s="32" t="inlineStr">
        <is>
          <t xml:space="preserve">Surplus Lines</t>
        </is>
      </c>
      <c r="AB31" s="35">
        <v>5100.07</v>
      </c>
      <c r="AC31" s="37">
        <v>0</v>
      </c>
      <c r="AD31" s="38">
        <f>IF(ISNUMBER($AB31),$AB31*(1+N($AC31)),"")</f>
      </c>
      <c r="AE31" s="35">
        <v>350</v>
      </c>
      <c r="AF31" s="35">
        <v>0</v>
      </c>
      <c r="AG31" s="37"/>
      <c r="AH31" s="39">
        <f>IF(ISNUMBER($AD31),($AD31+$AE31+$AF31)*$AG31,"")</f>
      </c>
      <c r="AI31" s="35"/>
      <c r="AJ31" s="38">
        <f>IF(ISNUMBER($AD31),SUM($AD31:$AH31),"")</f>
      </c>
      <c r="AK31" s="40">
        <f>IF(AND(ISNUMBER($AB31),ISNUMBER($AD31)),IF($AB31&gt;0,$AD31/$AB31,""),"")</f>
      </c>
      <c r="AL31" s="32" t="inlineStr">
        <is>
          <t xml:space="preserve">At technical</t>
        </is>
      </c>
      <c r="AM31" s="41">
        <f>IF(ISNUMBER($AD31),Header!$I$3,"")</f>
      </c>
      <c r="AN31" s="39">
        <f>IF(ISNUMBER($AD31),$AO31+$AP31,"")</f>
      </c>
      <c r="AO31" s="39">
        <f>IF(ISNUMBER($AD31),ROUND($AD31*Header!$K$3,2),"")</f>
      </c>
      <c r="AP31" s="39">
        <f>IF(ISNUMBER($AD31),ROUND($AD31*Header!$M$3,2),"")</f>
      </c>
      <c r="AQ31" s="38">
        <f>IF(ISNUMBER($AD31),ROUND($AD31,2)-$AO31-$AP31,"")</f>
      </c>
      <c r="AR31" s="39">
        <f>IF(ISNUMBER($AD31),IF(Header!$D$34="","?",$AD31*Header!$D$34),"")</f>
      </c>
      <c r="AS31" s="39">
        <f>IF(ISNUMBER($AB31),IF(Header!$D$34="","?",$AB31*Header!$D$34),"")</f>
      </c>
      <c r="AT31" s="42">
        <f>IF(AND(ISNUMBER($AB31),$M31&gt;0),$AB31/$M31*100,"")</f>
      </c>
      <c r="AU31" s="42">
        <f>IF(AND(ISNUMBER($AD31),$M31&gt;0),$AD31/$M31*100,"")</f>
      </c>
      <c r="AV31" s="40">
        <f>IF(AND(ISNUMBER($AB31),ISNUMBER($AD31),ABS($AB31)&gt;0),$AD31/$AB31,"")</f>
      </c>
      <c r="AW31" s="39">
        <f>IF(ISNUMBER($AD31),MAX(0,(1-0.55-Header!$O$3)*Header!$Q$3*$AQ31),"")</f>
      </c>
      <c r="AX31" s="43">
        <f>IF($A31="","",IF(TRIM(IF($A31="","Missing certificate ref. ","") &amp; IF($C31="","Missing effective date. ","") &amp; IF($D31="","Missing binding status. ","") &amp; IF($E31="","Missing movement type. ","") &amp; IF($I31="","Missing make. ","") &amp; IF($L31="","Missing vehicle class. ","") &amp; IF($M31="","Missing agreed value. ","") &amp; IF($N31="","Missing policy type. ","") &amp; IF($Q31="","Missing garaging state. ","") &amp; IF($R31="","Missing garaging ZIP. ","") &amp; IF($S31="","Missing cat zone. ","") &amp; IF($V31="","Missing valuation basis. ","") &amp; IF($W31="","Missing PD deductible. ","") &amp; IF($X31="","Missing liability limit. ","") &amp; IF($AB31="","Missing technical premium. ","") &amp; IF($AF31="","Missing surplus lines tax %. ",""))="","PASS","FAIL: "&amp;TRIM(IF($A31="","Missing certificate ref. ","") &amp; IF($C31="","Missing effective date. ","") &amp; IF($D31="","Missing binding status. ","") &amp; IF($E31="","Missing movement type. ","") &amp; IF($I31="","Missing make. ","") &amp; IF($L31="","Missing vehicle class. ","") &amp; IF($M31="","Missing agreed value. ","") &amp; IF($N31="","Missing policy type. ","") &amp; IF($Q31="","Missing garaging state. ","") &amp; IF($R31="","Missing garaging ZIP. ","") &amp; IF($S31="","Missing cat zone. ","") &amp; IF($V31="","Missing valuation basis. ","") &amp; IF($W31="","Missing PD deductible. ","") &amp; IF($X31="","Missing liability limit. ","") &amp; IF($AB31="","Missing technical premium. ","") &amp; IF($AF31="","Missing surplus lines tax %. ",""))))</f>
      </c>
      <c r="AY31" s="44">
        <f>IF($M31="","",IF(ISNUMBER($M31),IF($M31&gt;=Header!$C$18,"YES — refer","No"),""))</f>
      </c>
      <c r="AZ31" s="44">
        <f>IF($AD31="","",IF(ISNUMBER($AD31),IF($AD31&lt;Header!$C$20,"BELOW MIN PREMIUM","OK"),""))</f>
      </c>
      <c r="BA31" s="32" t="inlineStr">
        <is>
          <t xml:space="preserve">Yes</t>
        </is>
      </c>
      <c r="BB31" s="32" t="inlineStr">
        <is>
          <t xml:space="preserve">Yes</t>
        </is>
      </c>
      <c r="BC31" s="30" t="inlineStr">
        <is>
          <t xml:space="preserve">Synthetic demo data</t>
        </is>
      </c>
      <c r="BE31" s="45">
        <f>IF(OR($A31="",$L31="",$H31=""),"",IF(AND(LEFT($L31,2)="06",$H31&gt;1945),"FAIL - pre-war class, year "&amp;$H31,IF(AND(LEFT($L31,2)="07",OR($H31&lt;1946,$H31&gt;1972)),"FAIL - 1946-72 class, year "&amp;$H31,IF(AND(LEFT($L31,2)="08",OR($H31&lt;1973,$H31&gt;1999)),"FAIL - 1973-99 class, year "&amp;$H31,IF(AND(LEFT($L31,2)="09",OR($H31&lt;2000,$H31&gt;2010)),"FAIL - 2000-10 class, year "&amp;$H31,"OK")))))</f>
      </c>
      <c r="BF31" s="45">
        <f>IF($AD31="","",IF(ROUND($AO31+$AP31+$AQ31-$AD31,2)=0,"OK","FAIL - out by "&amp;TEXT($AO31+$AP31+$AQ31-$AD31,"$0.00")))</f>
      </c>
    </row>
    <row r="32" spans="1:58" ht="18.75" customHeight="1" x14ac:dyDescent="0.25">
      <c r="A32" s="46" t="inlineStr">
        <is>
          <t xml:space="preserve">CANON-202511-002204</t>
        </is>
      </c>
      <c r="B32" s="46" t="inlineStr">
        <is>
          <t xml:space="preserve">Marisol Underwood</t>
        </is>
      </c>
      <c r="C32" s="47">
        <v>45989</v>
      </c>
      <c r="D32" s="48" t="inlineStr">
        <is>
          <t xml:space="preserve">Bound - within authority</t>
        </is>
      </c>
      <c r="E32" s="48" t="inlineStr">
        <is>
          <t xml:space="preserve">New business</t>
        </is>
      </c>
      <c r="F32" s="46" t="inlineStr">
        <is>
          <t xml:space="preserve">B1234EXOTIC26</t>
        </is>
      </c>
      <c r="G32" s="33">
        <f>IF($A32="","",IF($C32="","",YEAR($C32)))</f>
      </c>
      <c r="H32" s="49">
        <v>2012</v>
      </c>
      <c r="I32" s="46" t="inlineStr">
        <is>
          <t xml:space="preserve">Aston Martin</t>
        </is>
      </c>
      <c r="J32" s="46" t="inlineStr">
        <is>
          <t xml:space="preserve">DB5</t>
        </is>
      </c>
      <c r="K32" s="46" t="inlineStr">
        <is>
          <t xml:space="preserve">YWTU9044M7EJPYX0J</t>
        </is>
      </c>
      <c r="L32" s="48" t="inlineStr">
        <is>
          <t xml:space="preserve">02 - Sports / GT</t>
        </is>
      </c>
      <c r="M32" s="50">
        <v>390000</v>
      </c>
      <c r="N32" s="48" t="inlineStr">
        <is>
          <t xml:space="preserve">Personal</t>
        </is>
      </c>
      <c r="O32" s="46" t="inlineStr">
        <is>
          <t xml:space="preserve">Personal - regular use</t>
        </is>
      </c>
      <c r="P32" s="46" t="inlineStr">
        <is>
          <t xml:space="preserve">1,000 - 2,500</t>
        </is>
      </c>
      <c r="Q32" s="46" t="inlineStr">
        <is>
          <t xml:space="preserve">California</t>
        </is>
      </c>
      <c r="R32" s="46" t="inlineStr">
        <is>
          <t xml:space="preserve">90012</t>
        </is>
      </c>
      <c r="S32" s="48" t="inlineStr">
        <is>
          <t xml:space="preserve">Earthquake - high (CA, Cascadia, New Madrid)</t>
        </is>
      </c>
      <c r="T32" s="36">
        <f>IF($A32="","",IF($S32="","",IFERROR(INDEX('[1]natural catastrophe'!$D$6:$D$17,MATCH($S32,'[1]natural catastrophe'!$B$6:$B$17,0)),"?")))</f>
      </c>
      <c r="U32" s="46" t="inlineStr">
        <is>
          <t xml:space="preserve">$5,000</t>
        </is>
      </c>
      <c r="V32" s="48" t="inlineStr">
        <is>
          <t xml:space="preserve">Agreed Value</t>
        </is>
      </c>
      <c r="W32" s="46" t="inlineStr">
        <is>
          <t xml:space="preserve">$1,000</t>
        </is>
      </c>
      <c r="X32" s="48" t="inlineStr">
        <is>
          <t xml:space="preserve">$1,000,000 CSL</t>
        </is>
      </c>
      <c r="Y32" s="46"/>
      <c r="Z32" s="46"/>
      <c r="AA32" s="48" t="inlineStr">
        <is>
          <t xml:space="preserve">Surplus Lines</t>
        </is>
      </c>
      <c r="AB32" s="50">
        <v>4383.98</v>
      </c>
      <c r="AC32" s="51">
        <v>0</v>
      </c>
      <c r="AD32" s="38">
        <f>IF(ISNUMBER($AB32),$AB32*(1+N($AC32)),"")</f>
      </c>
      <c r="AE32" s="50">
        <v>350</v>
      </c>
      <c r="AF32" s="50">
        <v>0</v>
      </c>
      <c r="AG32" s="51"/>
      <c r="AH32" s="39">
        <f>IF(ISNUMBER($AD32),($AD32+$AE32+$AF32)*$AG32,"")</f>
      </c>
      <c r="AI32" s="50"/>
      <c r="AJ32" s="38">
        <f>IF(ISNUMBER($AD32),SUM($AD32:$AH32),"")</f>
      </c>
      <c r="AK32" s="40">
        <f>IF(AND(ISNUMBER($AB32),ISNUMBER($AD32)),IF($AB32&gt;0,$AD32/$AB32,""),"")</f>
      </c>
      <c r="AL32" s="48" t="inlineStr">
        <is>
          <t xml:space="preserve">At technical</t>
        </is>
      </c>
      <c r="AM32" s="41">
        <f>IF(ISNUMBER($AD32),Header!$I$3,"")</f>
      </c>
      <c r="AN32" s="39">
        <f>IF(ISNUMBER($AD32),$AO32+$AP32,"")</f>
      </c>
      <c r="AO32" s="39">
        <f>IF(ISNUMBER($AD32),ROUND($AD32*Header!$K$3,2),"")</f>
      </c>
      <c r="AP32" s="39">
        <f>IF(ISNUMBER($AD32),ROUND($AD32*Header!$M$3,2),"")</f>
      </c>
      <c r="AQ32" s="38">
        <f>IF(ISNUMBER($AD32),ROUND($AD32,2)-$AO32-$AP32,"")</f>
      </c>
      <c r="AR32" s="39">
        <f>IF(ISNUMBER($AD32),IF(Header!$D$34="","?",$AD32*Header!$D$34),"")</f>
      </c>
      <c r="AS32" s="39">
        <f>IF(ISNUMBER($AB32),IF(Header!$D$34="","?",$AB32*Header!$D$34),"")</f>
      </c>
      <c r="AT32" s="42">
        <f>IF(AND(ISNUMBER($AB32),$M32&gt;0),$AB32/$M32*100,"")</f>
      </c>
      <c r="AU32" s="42">
        <f>IF(AND(ISNUMBER($AD32),$M32&gt;0),$AD32/$M32*100,"")</f>
      </c>
      <c r="AV32" s="40">
        <f>IF(AND(ISNUMBER($AB32),ISNUMBER($AD32),ABS($AB32)&gt;0),$AD32/$AB32,"")</f>
      </c>
      <c r="AW32" s="39">
        <f>IF(ISNUMBER($AD32),MAX(0,(1-0.55-Header!$O$3)*Header!$Q$3*$AQ32),"")</f>
      </c>
      <c r="AX32" s="43">
        <f>IF($A32="","",IF(TRIM(IF($A32="","Missing certificate ref. ","") &amp; IF($C32="","Missing effective date. ","") &amp; IF($D32="","Missing binding status. ","") &amp; IF($E32="","Missing movement type. ","") &amp; IF($I32="","Missing make. ","") &amp; IF($L32="","Missing vehicle class. ","") &amp; IF($M32="","Missing agreed value. ","") &amp; IF($N32="","Missing policy type. ","") &amp; IF($Q32="","Missing garaging state. ","") &amp; IF($R32="","Missing garaging ZIP. ","") &amp; IF($S32="","Missing cat zone. ","") &amp; IF($V32="","Missing valuation basis. ","") &amp; IF($W32="","Missing PD deductible. ","") &amp; IF($X32="","Missing liability limit. ","") &amp; IF($AB32="","Missing technical premium. ","") &amp; IF($AF32="","Missing surplus lines tax %. ",""))="","PASS","FAIL: "&amp;TRIM(IF($A32="","Missing certificate ref. ","") &amp; IF($C32="","Missing effective date. ","") &amp; IF($D32="","Missing binding status. ","") &amp; IF($E32="","Missing movement type. ","") &amp; IF($I32="","Missing make. ","") &amp; IF($L32="","Missing vehicle class. ","") &amp; IF($M32="","Missing agreed value. ","") &amp; IF($N32="","Missing policy type. ","") &amp; IF($Q32="","Missing garaging state. ","") &amp; IF($R32="","Missing garaging ZIP. ","") &amp; IF($S32="","Missing cat zone. ","") &amp; IF($V32="","Missing valuation basis. ","") &amp; IF($W32="","Missing PD deductible. ","") &amp; IF($X32="","Missing liability limit. ","") &amp; IF($AB32="","Missing technical premium. ","") &amp; IF($AF32="","Missing surplus lines tax %. ",""))))</f>
      </c>
      <c r="AY32" s="44">
        <f>IF($M32="","",IF(ISNUMBER($M32),IF($M32&gt;=Header!$C$18,"YES — refer","No"),""))</f>
      </c>
      <c r="AZ32" s="44">
        <f>IF($AD32="","",IF(ISNUMBER($AD32),IF($AD32&lt;Header!$C$20,"BELOW MIN PREMIUM","OK"),""))</f>
      </c>
      <c r="BA32" s="48" t="inlineStr">
        <is>
          <t xml:space="preserve">Yes</t>
        </is>
      </c>
      <c r="BB32" s="48" t="inlineStr">
        <is>
          <t xml:space="preserve">Yes</t>
        </is>
      </c>
      <c r="BC32" s="46" t="inlineStr">
        <is>
          <t xml:space="preserve">Synthetic demo data</t>
        </is>
      </c>
      <c r="BE32" s="45">
        <f>IF(OR($A32="",$L32="",$H32=""),"",IF(AND(LEFT($L32,2)="06",$H32&gt;1945),"FAIL - pre-war class, year "&amp;$H32,IF(AND(LEFT($L32,2)="07",OR($H32&lt;1946,$H32&gt;1972)),"FAIL - 1946-72 class, year "&amp;$H32,IF(AND(LEFT($L32,2)="08",OR($H32&lt;1973,$H32&gt;1999)),"FAIL - 1973-99 class, year "&amp;$H32,IF(AND(LEFT($L32,2)="09",OR($H32&lt;2000,$H32&gt;2010)),"FAIL - 2000-10 class, year "&amp;$H32,"OK")))))</f>
      </c>
      <c r="BF32" s="45">
        <f>IF($AD32="","",IF(ROUND($AO32+$AP32+$AQ32-$AD32,2)=0,"OK","FAIL - out by "&amp;TEXT($AO32+$AP32+$AQ32-$AD32,"$0.00")))</f>
      </c>
    </row>
    <row r="33" spans="1:58" ht="18.75" customHeight="1" x14ac:dyDescent="0.25">
      <c r="A33" s="30" t="inlineStr">
        <is>
          <t xml:space="preserve">CANON-202511-002205</t>
        </is>
      </c>
      <c r="B33" s="30" t="inlineStr">
        <is>
          <t xml:space="preserve">Ottilie Castellanos</t>
        </is>
      </c>
      <c r="C33" s="31">
        <v>45977</v>
      </c>
      <c r="D33" s="32" t="inlineStr">
        <is>
          <t xml:space="preserve">Bound - within authority</t>
        </is>
      </c>
      <c r="E33" s="32" t="inlineStr">
        <is>
          <t xml:space="preserve">New business</t>
        </is>
      </c>
      <c r="F33" s="30" t="inlineStr">
        <is>
          <t xml:space="preserve">B1234EXOTIC26</t>
        </is>
      </c>
      <c r="G33" s="33">
        <f>IF($A33="","",IF($C33="","",YEAR($C33)))</f>
      </c>
      <c r="H33" s="34">
        <v>1963</v>
      </c>
      <c r="I33" s="30" t="inlineStr">
        <is>
          <t xml:space="preserve">Porsche</t>
        </is>
      </c>
      <c r="J33" s="30" t="inlineStr">
        <is>
          <t xml:space="preserve">911 Turbo S</t>
        </is>
      </c>
      <c r="K33" s="30" t="inlineStr">
        <is>
          <t xml:space="preserve">LN8MGM47BD2WMT4X9</t>
        </is>
      </c>
      <c r="L33" s="32" t="inlineStr">
        <is>
          <t xml:space="preserve">02 - Sports / GT</t>
        </is>
      </c>
      <c r="M33" s="35">
        <v>1500000</v>
      </c>
      <c r="N33" s="32" t="inlineStr">
        <is>
          <t xml:space="preserve">Personal</t>
        </is>
      </c>
      <c r="O33" s="30" t="inlineStr">
        <is>
          <t xml:space="preserve">Personal - regular use</t>
        </is>
      </c>
      <c r="P33" s="30" t="inlineStr">
        <is>
          <t xml:space="preserve">2,500 - 5,000</t>
        </is>
      </c>
      <c r="Q33" s="30" t="inlineStr">
        <is>
          <t xml:space="preserve">New York</t>
        </is>
      </c>
      <c r="R33" s="30" t="inlineStr">
        <is>
          <t xml:space="preserve">10022</t>
        </is>
      </c>
      <c r="S33" s="32" t="inlineStr">
        <is>
          <t xml:space="preserve">Tier 3 - Coastal wind (25-100 miles)</t>
        </is>
      </c>
      <c r="T33" s="36">
        <f>IF($A33="","",IF($S33="","",IFERROR(INDEX('[1]natural catastrophe'!$D$6:$D$17,MATCH($S33,'[1]natural catastrophe'!$B$6:$B$17,0)),"?")))</f>
      </c>
      <c r="U33" s="30" t="inlineStr">
        <is>
          <t xml:space="preserve">2% of agreed value, minimum $10,000</t>
        </is>
      </c>
      <c r="V33" s="32" t="inlineStr">
        <is>
          <t xml:space="preserve">Agreed Value</t>
        </is>
      </c>
      <c r="W33" s="30" t="inlineStr">
        <is>
          <t xml:space="preserve">$1,000</t>
        </is>
      </c>
      <c r="X33" s="32" t="inlineStr">
        <is>
          <t xml:space="preserve">$1,000,000 CSL</t>
        </is>
      </c>
      <c r="Y33" s="30"/>
      <c r="Z33" s="30"/>
      <c r="AA33" s="32" t="inlineStr">
        <is>
          <t xml:space="preserve">Surplus Lines</t>
        </is>
      </c>
      <c r="AB33" s="35">
        <v>18318.61</v>
      </c>
      <c r="AC33" s="37">
        <v>0</v>
      </c>
      <c r="AD33" s="38">
        <f>IF(ISNUMBER($AB33),$AB33*(1+N($AC33)),"")</f>
      </c>
      <c r="AE33" s="35">
        <v>350</v>
      </c>
      <c r="AF33" s="35">
        <v>250</v>
      </c>
      <c r="AG33" s="37"/>
      <c r="AH33" s="39">
        <f>IF(ISNUMBER($AD33),($AD33+$AE33+$AF33)*$AG33,"")</f>
      </c>
      <c r="AI33" s="35"/>
      <c r="AJ33" s="38">
        <f>IF(ISNUMBER($AD33),SUM($AD33:$AH33),"")</f>
      </c>
      <c r="AK33" s="40">
        <f>IF(AND(ISNUMBER($AB33),ISNUMBER($AD33)),IF($AB33&gt;0,$AD33/$AB33,""),"")</f>
      </c>
      <c r="AL33" s="32" t="inlineStr">
        <is>
          <t xml:space="preserve">At technical</t>
        </is>
      </c>
      <c r="AM33" s="41">
        <f>IF(ISNUMBER($AD33),Header!$I$3,"")</f>
      </c>
      <c r="AN33" s="39">
        <f>IF(ISNUMBER($AD33),$AO33+$AP33,"")</f>
      </c>
      <c r="AO33" s="39">
        <f>IF(ISNUMBER($AD33),ROUND($AD33*Header!$K$3,2),"")</f>
      </c>
      <c r="AP33" s="39">
        <f>IF(ISNUMBER($AD33),ROUND($AD33*Header!$M$3,2),"")</f>
      </c>
      <c r="AQ33" s="38">
        <f>IF(ISNUMBER($AD33),ROUND($AD33,2)-$AO33-$AP33,"")</f>
      </c>
      <c r="AR33" s="39">
        <f>IF(ISNUMBER($AD33),IF(Header!$D$34="","?",$AD33*Header!$D$34),"")</f>
      </c>
      <c r="AS33" s="39">
        <f>IF(ISNUMBER($AB33),IF(Header!$D$34="","?",$AB33*Header!$D$34),"")</f>
      </c>
      <c r="AT33" s="42">
        <f>IF(AND(ISNUMBER($AB33),$M33&gt;0),$AB33/$M33*100,"")</f>
      </c>
      <c r="AU33" s="42">
        <f>IF(AND(ISNUMBER($AD33),$M33&gt;0),$AD33/$M33*100,"")</f>
      </c>
      <c r="AV33" s="40">
        <f>IF(AND(ISNUMBER($AB33),ISNUMBER($AD33),ABS($AB33)&gt;0),$AD33/$AB33,"")</f>
      </c>
      <c r="AW33" s="39">
        <f>IF(ISNUMBER($AD33),MAX(0,(1-0.55-Header!$O$3)*Header!$Q$3*$AQ33),"")</f>
      </c>
      <c r="AX33" s="43">
        <f>IF($A33="","",IF(TRIM(IF($A33="","Missing certificate ref. ","") &amp; IF($C33="","Missing effective date. ","") &amp; IF($D33="","Missing binding status. ","") &amp; IF($E33="","Missing movement type. ","") &amp; IF($I33="","Missing make. ","") &amp; IF($L33="","Missing vehicle class. ","") &amp; IF($M33="","Missing agreed value. ","") &amp; IF($N33="","Missing policy type. ","") &amp; IF($Q33="","Missing garaging state. ","") &amp; IF($R33="","Missing garaging ZIP. ","") &amp; IF($S33="","Missing cat zone. ","") &amp; IF($V33="","Missing valuation basis. ","") &amp; IF($W33="","Missing PD deductible. ","") &amp; IF($X33="","Missing liability limit. ","") &amp; IF($AB33="","Missing technical premium. ","") &amp; IF($AF33="","Missing surplus lines tax %. ",""))="","PASS","FAIL: "&amp;TRIM(IF($A33="","Missing certificate ref. ","") &amp; IF($C33="","Missing effective date. ","") &amp; IF($D33="","Missing binding status. ","") &amp; IF($E33="","Missing movement type. ","") &amp; IF($I33="","Missing make. ","") &amp; IF($L33="","Missing vehicle class. ","") &amp; IF($M33="","Missing agreed value. ","") &amp; IF($N33="","Missing policy type. ","") &amp; IF($Q33="","Missing garaging state. ","") &amp; IF($R33="","Missing garaging ZIP. ","") &amp; IF($S33="","Missing cat zone. ","") &amp; IF($V33="","Missing valuation basis. ","") &amp; IF($W33="","Missing PD deductible. ","") &amp; IF($X33="","Missing liability limit. ","") &amp; IF($AB33="","Missing technical premium. ","") &amp; IF($AF33="","Missing surplus lines tax %. ",""))))</f>
      </c>
      <c r="AY33" s="44">
        <f>IF($M33="","",IF(ISNUMBER($M33),IF($M33&gt;=Header!$C$18,"YES — refer","No"),""))</f>
      </c>
      <c r="AZ33" s="44">
        <f>IF($AD33="","",IF(ISNUMBER($AD33),IF($AD33&lt;Header!$C$20,"BELOW MIN PREMIUM","OK"),""))</f>
      </c>
      <c r="BA33" s="32" t="inlineStr">
        <is>
          <t xml:space="preserve">Yes</t>
        </is>
      </c>
      <c r="BB33" s="32" t="inlineStr">
        <is>
          <t xml:space="preserve">Yes</t>
        </is>
      </c>
      <c r="BC33" s="30" t="inlineStr">
        <is>
          <t xml:space="preserve">Synthetic demo data</t>
        </is>
      </c>
      <c r="BE33" s="45">
        <f>IF(OR($A33="",$L33="",$H33=""),"",IF(AND(LEFT($L33,2)="06",$H33&gt;1945),"FAIL - pre-war class, year "&amp;$H33,IF(AND(LEFT($L33,2)="07",OR($H33&lt;1946,$H33&gt;1972)),"FAIL - 1946-72 class, year "&amp;$H33,IF(AND(LEFT($L33,2)="08",OR($H33&lt;1973,$H33&gt;1999)),"FAIL - 1973-99 class, year "&amp;$H33,IF(AND(LEFT($L33,2)="09",OR($H33&lt;2000,$H33&gt;2010)),"FAIL - 2000-10 class, year "&amp;$H33,"OK")))))</f>
      </c>
      <c r="BF33" s="45">
        <f>IF($AD33="","",IF(ROUND($AO33+$AP33+$AQ33-$AD33,2)=0,"OK","FAIL - out by "&amp;TEXT($AO33+$AP33+$AQ33-$AD33,"$0.00")))</f>
      </c>
    </row>
    <row r="34" spans="1:58" ht="18.75" customHeight="1" x14ac:dyDescent="0.25">
      <c r="A34" s="46" t="inlineStr">
        <is>
          <t xml:space="preserve">CANON-202511-002206</t>
        </is>
      </c>
      <c r="B34" s="46" t="inlineStr">
        <is>
          <t xml:space="preserve">Saoirse Fairweather</t>
        </is>
      </c>
      <c r="C34" s="47">
        <v>45980</v>
      </c>
      <c r="D34" s="48" t="inlineStr">
        <is>
          <t xml:space="preserve">Bound - within authority</t>
        </is>
      </c>
      <c r="E34" s="48" t="inlineStr">
        <is>
          <t xml:space="preserve">New business</t>
        </is>
      </c>
      <c r="F34" s="46" t="inlineStr">
        <is>
          <t xml:space="preserve">B1234EXOTIC26</t>
        </is>
      </c>
      <c r="G34" s="33">
        <f>IF($A34="","",IF($C34="","",YEAR($C34)))</f>
      </c>
      <c r="H34" s="49">
        <v>1982</v>
      </c>
      <c r="I34" s="46" t="inlineStr">
        <is>
          <t xml:space="preserve">Ferrari</t>
        </is>
      </c>
      <c r="J34" s="46" t="inlineStr">
        <is>
          <t xml:space="preserve">275 GTB/4</t>
        </is>
      </c>
      <c r="K34" s="46" t="inlineStr">
        <is>
          <t xml:space="preserve">BE0YPPHNDYDBLDZFA</t>
        </is>
      </c>
      <c r="L34" s="48" t="inlineStr">
        <is>
          <t xml:space="preserve">08 - Modern Classic (1973-1999)</t>
        </is>
      </c>
      <c r="M34" s="50">
        <v>560000</v>
      </c>
      <c r="N34" s="48" t="inlineStr">
        <is>
          <t xml:space="preserve">Personal</t>
        </is>
      </c>
      <c r="O34" s="46" t="inlineStr">
        <is>
          <t xml:space="preserve">Personal - regular use</t>
        </is>
      </c>
      <c r="P34" s="46" t="inlineStr">
        <is>
          <t xml:space="preserve">2,500 - 5,000</t>
        </is>
      </c>
      <c r="Q34" s="46" t="inlineStr">
        <is>
          <t xml:space="preserve">South Dakota</t>
        </is>
      </c>
      <c r="R34" s="46" t="inlineStr">
        <is>
          <t xml:space="preserve">57501</t>
        </is>
      </c>
      <c r="S34" s="48" t="inlineStr">
        <is>
          <t xml:space="preserve">Severe convective - hail alley (high)</t>
        </is>
      </c>
      <c r="T34" s="36">
        <f>IF($A34="","",IF($S34="","",IFERROR(INDEX('[1]natural catastrophe'!$D$6:$D$17,MATCH($S34,'[1]natural catastrophe'!$B$6:$B$17,0)),"?")))</f>
      </c>
      <c r="U34" s="46" t="inlineStr">
        <is>
          <t xml:space="preserve">$5,000</t>
        </is>
      </c>
      <c r="V34" s="48" t="inlineStr">
        <is>
          <t xml:space="preserve">Agreed Value</t>
        </is>
      </c>
      <c r="W34" s="46" t="inlineStr">
        <is>
          <t xml:space="preserve">$1,000</t>
        </is>
      </c>
      <c r="X34" s="48" t="inlineStr">
        <is>
          <t xml:space="preserve">$1,000,000 CSL</t>
        </is>
      </c>
      <c r="Y34" s="46"/>
      <c r="Z34" s="46"/>
      <c r="AA34" s="48" t="inlineStr">
        <is>
          <t xml:space="preserve">Surplus Lines</t>
        </is>
      </c>
      <c r="AB34" s="50">
        <v>4636.69</v>
      </c>
      <c r="AC34" s="51">
        <v>0</v>
      </c>
      <c r="AD34" s="38">
        <f>IF(ISNUMBER($AB34),$AB34*(1+N($AC34)),"")</f>
      </c>
      <c r="AE34" s="50">
        <v>350</v>
      </c>
      <c r="AF34" s="50">
        <v>0</v>
      </c>
      <c r="AG34" s="51"/>
      <c r="AH34" s="39">
        <f>IF(ISNUMBER($AD34),($AD34+$AE34+$AF34)*$AG34,"")</f>
      </c>
      <c r="AI34" s="50"/>
      <c r="AJ34" s="38">
        <f>IF(ISNUMBER($AD34),SUM($AD34:$AH34),"")</f>
      </c>
      <c r="AK34" s="40">
        <f>IF(AND(ISNUMBER($AB34),ISNUMBER($AD34)),IF($AB34&gt;0,$AD34/$AB34,""),"")</f>
      </c>
      <c r="AL34" s="48" t="inlineStr">
        <is>
          <t xml:space="preserve">At technical</t>
        </is>
      </c>
      <c r="AM34" s="41">
        <f>IF(ISNUMBER($AD34),Header!$I$3,"")</f>
      </c>
      <c r="AN34" s="39">
        <f>IF(ISNUMBER($AD34),$AO34+$AP34,"")</f>
      </c>
      <c r="AO34" s="39">
        <f>IF(ISNUMBER($AD34),ROUND($AD34*Header!$K$3,2),"")</f>
      </c>
      <c r="AP34" s="39">
        <f>IF(ISNUMBER($AD34),ROUND($AD34*Header!$M$3,2),"")</f>
      </c>
      <c r="AQ34" s="38">
        <f>IF(ISNUMBER($AD34),ROUND($AD34,2)-$AO34-$AP34,"")</f>
      </c>
      <c r="AR34" s="39">
        <f>IF(ISNUMBER($AD34),IF(Header!$D$34="","?",$AD34*Header!$D$34),"")</f>
      </c>
      <c r="AS34" s="39">
        <f>IF(ISNUMBER($AB34),IF(Header!$D$34="","?",$AB34*Header!$D$34),"")</f>
      </c>
      <c r="AT34" s="42">
        <f>IF(AND(ISNUMBER($AB34),$M34&gt;0),$AB34/$M34*100,"")</f>
      </c>
      <c r="AU34" s="42">
        <f>IF(AND(ISNUMBER($AD34),$M34&gt;0),$AD34/$M34*100,"")</f>
      </c>
      <c r="AV34" s="40">
        <f>IF(AND(ISNUMBER($AB34),ISNUMBER($AD34),ABS($AB34)&gt;0),$AD34/$AB34,"")</f>
      </c>
      <c r="AW34" s="39">
        <f>IF(ISNUMBER($AD34),MAX(0,(1-0.55-Header!$O$3)*Header!$Q$3*$AQ34),"")</f>
      </c>
      <c r="AX34" s="43">
        <f>IF($A34="","",IF(TRIM(IF($A34="","Missing certificate ref. ","") &amp; IF($C34="","Missing effective date. ","") &amp; IF($D34="","Missing binding status. ","") &amp; IF($E34="","Missing movement type. ","") &amp; IF($I34="","Missing make. ","") &amp; IF($L34="","Missing vehicle class. ","") &amp; IF($M34="","Missing agreed value. ","") &amp; IF($N34="","Missing policy type. ","") &amp; IF($Q34="","Missing garaging state. ","") &amp; IF($R34="","Missing garaging ZIP. ","") &amp; IF($S34="","Missing cat zone. ","") &amp; IF($V34="","Missing valuation basis. ","") &amp; IF($W34="","Missing PD deductible. ","") &amp; IF($X34="","Missing liability limit. ","") &amp; IF($AB34="","Missing technical premium. ","") &amp; IF($AF34="","Missing surplus lines tax %. ",""))="","PASS","FAIL: "&amp;TRIM(IF($A34="","Missing certificate ref. ","") &amp; IF($C34="","Missing effective date. ","") &amp; IF($D34="","Missing binding status. ","") &amp; IF($E34="","Missing movement type. ","") &amp; IF($I34="","Missing make. ","") &amp; IF($L34="","Missing vehicle class. ","") &amp; IF($M34="","Missing agreed value. ","") &amp; IF($N34="","Missing policy type. ","") &amp; IF($Q34="","Missing garaging state. ","") &amp; IF($R34="","Missing garaging ZIP. ","") &amp; IF($S34="","Missing cat zone. ","") &amp; IF($V34="","Missing valuation basis. ","") &amp; IF($W34="","Missing PD deductible. ","") &amp; IF($X34="","Missing liability limit. ","") &amp; IF($AB34="","Missing technical premium. ","") &amp; IF($AF34="","Missing surplus lines tax %. ",""))))</f>
      </c>
      <c r="AY34" s="44">
        <f>IF($M34="","",IF(ISNUMBER($M34),IF($M34&gt;=Header!$C$18,"YES — refer","No"),""))</f>
      </c>
      <c r="AZ34" s="44">
        <f>IF($AD34="","",IF(ISNUMBER($AD34),IF($AD34&lt;Header!$C$20,"BELOW MIN PREMIUM","OK"),""))</f>
      </c>
      <c r="BA34" s="48" t="inlineStr">
        <is>
          <t xml:space="preserve">Yes</t>
        </is>
      </c>
      <c r="BB34" s="48" t="inlineStr">
        <is>
          <t xml:space="preserve">Yes</t>
        </is>
      </c>
      <c r="BC34" s="46" t="inlineStr">
        <is>
          <t xml:space="preserve">Synthetic demo data</t>
        </is>
      </c>
      <c r="BE34" s="45">
        <f>IF(OR($A34="",$L34="",$H34=""),"",IF(AND(LEFT($L34,2)="06",$H34&gt;1945),"FAIL - pre-war class, year "&amp;$H34,IF(AND(LEFT($L34,2)="07",OR($H34&lt;1946,$H34&gt;1972)),"FAIL - 1946-72 class, year "&amp;$H34,IF(AND(LEFT($L34,2)="08",OR($H34&lt;1973,$H34&gt;1999)),"FAIL - 1973-99 class, year "&amp;$H34,IF(AND(LEFT($L34,2)="09",OR($H34&lt;2000,$H34&gt;2010)),"FAIL - 2000-10 class, year "&amp;$H34,"OK")))))</f>
      </c>
      <c r="BF34" s="45">
        <f>IF($AD34="","",IF(ROUND($AO34+$AP34+$AQ34-$AD34,2)=0,"OK","FAIL - out by "&amp;TEXT($AO34+$AP34+$AQ34-$AD34,"$0.00")))</f>
      </c>
    </row>
    <row r="35" spans="1:58" ht="18.75" customHeight="1" x14ac:dyDescent="0.25">
      <c r="A35" s="30" t="inlineStr">
        <is>
          <t xml:space="preserve">CANON-202511-002207</t>
        </is>
      </c>
      <c r="B35" s="30" t="inlineStr">
        <is>
          <t xml:space="preserve">Anouk Ashcombe</t>
        </is>
      </c>
      <c r="C35" s="31">
        <v>45972</v>
      </c>
      <c r="D35" s="32" t="inlineStr">
        <is>
          <t xml:space="preserve">Bound - within authority</t>
        </is>
      </c>
      <c r="E35" s="32" t="inlineStr">
        <is>
          <t xml:space="preserve">New business</t>
        </is>
      </c>
      <c r="F35" s="30" t="inlineStr">
        <is>
          <t xml:space="preserve">B1234EXOTIC26</t>
        </is>
      </c>
      <c r="G35" s="33">
        <f>IF($A35="","",IF($C35="","",YEAR($C35)))</f>
      </c>
      <c r="H35" s="34">
        <v>2015</v>
      </c>
      <c r="I35" s="30" t="inlineStr">
        <is>
          <t xml:space="preserve">Bentley</t>
        </is>
      </c>
      <c r="J35" s="30" t="inlineStr">
        <is>
          <t xml:space="preserve">Continental GT</t>
        </is>
      </c>
      <c r="K35" s="30" t="inlineStr">
        <is>
          <t xml:space="preserve">PSBNK80D0PC23Z48T</t>
        </is>
      </c>
      <c r="L35" s="32" t="inlineStr">
        <is>
          <t xml:space="preserve">02 - Sports / GT</t>
        </is>
      </c>
      <c r="M35" s="35">
        <v>445000</v>
      </c>
      <c r="N35" s="32" t="inlineStr">
        <is>
          <t xml:space="preserve">Personal</t>
        </is>
      </c>
      <c r="O35" s="30" t="inlineStr">
        <is>
          <t xml:space="preserve">Personal - regular use</t>
        </is>
      </c>
      <c r="P35" s="30" t="inlineStr">
        <is>
          <t xml:space="preserve">Under 1,000</t>
        </is>
      </c>
      <c r="Q35" s="30" t="inlineStr">
        <is>
          <t xml:space="preserve">Kansas</t>
        </is>
      </c>
      <c r="R35" s="30" t="inlineStr">
        <is>
          <t xml:space="preserve">66603</t>
        </is>
      </c>
      <c r="S35" s="32" t="inlineStr">
        <is>
          <t xml:space="preserve">Severe convective - hail alley (high)</t>
        </is>
      </c>
      <c r="T35" s="36">
        <f>IF($A35="","",IF($S35="","",IFERROR(INDEX('[1]natural catastrophe'!$D$6:$D$17,MATCH($S35,'[1]natural catastrophe'!$B$6:$B$17,0)),"?")))</f>
      </c>
      <c r="U35" s="30" t="inlineStr">
        <is>
          <t xml:space="preserve">$5,000</t>
        </is>
      </c>
      <c r="V35" s="32" t="inlineStr">
        <is>
          <t xml:space="preserve">Agreed Value</t>
        </is>
      </c>
      <c r="W35" s="30" t="inlineStr">
        <is>
          <t xml:space="preserve">$1,000</t>
        </is>
      </c>
      <c r="X35" s="32" t="inlineStr">
        <is>
          <t xml:space="preserve">$1,000,000 CSL</t>
        </is>
      </c>
      <c r="Y35" s="30"/>
      <c r="Z35" s="30"/>
      <c r="AA35" s="32" t="inlineStr">
        <is>
          <t xml:space="preserve">Surplus Lines</t>
        </is>
      </c>
      <c r="AB35" s="35">
        <v>5615.93</v>
      </c>
      <c r="AC35" s="37">
        <v>0</v>
      </c>
      <c r="AD35" s="38">
        <f>IF(ISNUMBER($AB35),$AB35*(1+N($AC35)),"")</f>
      </c>
      <c r="AE35" s="35">
        <v>350</v>
      </c>
      <c r="AF35" s="35">
        <v>0</v>
      </c>
      <c r="AG35" s="37"/>
      <c r="AH35" s="39">
        <f>IF(ISNUMBER($AD35),($AD35+$AE35+$AF35)*$AG35,"")</f>
      </c>
      <c r="AI35" s="35"/>
      <c r="AJ35" s="38">
        <f>IF(ISNUMBER($AD35),SUM($AD35:$AH35),"")</f>
      </c>
      <c r="AK35" s="40">
        <f>IF(AND(ISNUMBER($AB35),ISNUMBER($AD35)),IF($AB35&gt;0,$AD35/$AB35,""),"")</f>
      </c>
      <c r="AL35" s="32" t="inlineStr">
        <is>
          <t xml:space="preserve">At technical</t>
        </is>
      </c>
      <c r="AM35" s="41">
        <f>IF(ISNUMBER($AD35),Header!$I$3,"")</f>
      </c>
      <c r="AN35" s="39">
        <f>IF(ISNUMBER($AD35),$AO35+$AP35,"")</f>
      </c>
      <c r="AO35" s="39">
        <f>IF(ISNUMBER($AD35),ROUND($AD35*Header!$K$3,2),"")</f>
      </c>
      <c r="AP35" s="39">
        <f>IF(ISNUMBER($AD35),ROUND($AD35*Header!$M$3,2),"")</f>
      </c>
      <c r="AQ35" s="38">
        <f>IF(ISNUMBER($AD35),ROUND($AD35,2)-$AO35-$AP35,"")</f>
      </c>
      <c r="AR35" s="39">
        <f>IF(ISNUMBER($AD35),IF(Header!$D$34="","?",$AD35*Header!$D$34),"")</f>
      </c>
      <c r="AS35" s="39">
        <f>IF(ISNUMBER($AB35),IF(Header!$D$34="","?",$AB35*Header!$D$34),"")</f>
      </c>
      <c r="AT35" s="42">
        <f>IF(AND(ISNUMBER($AB35),$M35&gt;0),$AB35/$M35*100,"")</f>
      </c>
      <c r="AU35" s="42">
        <f>IF(AND(ISNUMBER($AD35),$M35&gt;0),$AD35/$M35*100,"")</f>
      </c>
      <c r="AV35" s="40">
        <f>IF(AND(ISNUMBER($AB35),ISNUMBER($AD35),ABS($AB35)&gt;0),$AD35/$AB35,"")</f>
      </c>
      <c r="AW35" s="39">
        <f>IF(ISNUMBER($AD35),MAX(0,(1-0.55-Header!$O$3)*Header!$Q$3*$AQ35),"")</f>
      </c>
      <c r="AX35" s="43">
        <f>IF($A35="","",IF(TRIM(IF($A35="","Missing certificate ref. ","") &amp; IF($C35="","Missing effective date. ","") &amp; IF($D35="","Missing binding status. ","") &amp; IF($E35="","Missing movement type. ","") &amp; IF($I35="","Missing make. ","") &amp; IF($L35="","Missing vehicle class. ","") &amp; IF($M35="","Missing agreed value. ","") &amp; IF($N35="","Missing policy type. ","") &amp; IF($Q35="","Missing garaging state. ","") &amp; IF($R35="","Missing garaging ZIP. ","") &amp; IF($S35="","Missing cat zone. ","") &amp; IF($V35="","Missing valuation basis. ","") &amp; IF($W35="","Missing PD deductible. ","") &amp; IF($X35="","Missing liability limit. ","") &amp; IF($AB35="","Missing technical premium. ","") &amp; IF($AF35="","Missing surplus lines tax %. ",""))="","PASS","FAIL: "&amp;TRIM(IF($A35="","Missing certificate ref. ","") &amp; IF($C35="","Missing effective date. ","") &amp; IF($D35="","Missing binding status. ","") &amp; IF($E35="","Missing movement type. ","") &amp; IF($I35="","Missing make. ","") &amp; IF($L35="","Missing vehicle class. ","") &amp; IF($M35="","Missing agreed value. ","") &amp; IF($N35="","Missing policy type. ","") &amp; IF($Q35="","Missing garaging state. ","") &amp; IF($R35="","Missing garaging ZIP. ","") &amp; IF($S35="","Missing cat zone. ","") &amp; IF($V35="","Missing valuation basis. ","") &amp; IF($W35="","Missing PD deductible. ","") &amp; IF($X35="","Missing liability limit. ","") &amp; IF($AB35="","Missing technical premium. ","") &amp; IF($AF35="","Missing surplus lines tax %. ",""))))</f>
      </c>
      <c r="AY35" s="44">
        <f>IF($M35="","",IF(ISNUMBER($M35),IF($M35&gt;=Header!$C$18,"YES — refer","No"),""))</f>
      </c>
      <c r="AZ35" s="44">
        <f>IF($AD35="","",IF(ISNUMBER($AD35),IF($AD35&lt;Header!$C$20,"BELOW MIN PREMIUM","OK"),""))</f>
      </c>
      <c r="BA35" s="32" t="inlineStr">
        <is>
          <t xml:space="preserve">Yes</t>
        </is>
      </c>
      <c r="BB35" s="32" t="inlineStr">
        <is>
          <t xml:space="preserve">Yes</t>
        </is>
      </c>
      <c r="BC35" s="30" t="inlineStr">
        <is>
          <t xml:space="preserve">Synthetic demo data</t>
        </is>
      </c>
      <c r="BE35" s="45">
        <f>IF(OR($A35="",$L35="",$H35=""),"",IF(AND(LEFT($L35,2)="06",$H35&gt;1945),"FAIL - pre-war class, year "&amp;$H35,IF(AND(LEFT($L35,2)="07",OR($H35&lt;1946,$H35&gt;1972)),"FAIL - 1946-72 class, year "&amp;$H35,IF(AND(LEFT($L35,2)="08",OR($H35&lt;1973,$H35&gt;1999)),"FAIL - 1973-99 class, year "&amp;$H35,IF(AND(LEFT($L35,2)="09",OR($H35&lt;2000,$H35&gt;2010)),"FAIL - 2000-10 class, year "&amp;$H35,"OK")))))</f>
      </c>
      <c r="BF35" s="45">
        <f>IF($AD35="","",IF(ROUND($AO35+$AP35+$AQ35-$AD35,2)=0,"OK","FAIL - out by "&amp;TEXT($AO35+$AP35+$AQ35-$AD35,"$0.00")))</f>
      </c>
    </row>
    <row r="36" spans="1:58" ht="18.75" customHeight="1" x14ac:dyDescent="0.25">
      <c r="A36" s="46" t="inlineStr">
        <is>
          <t xml:space="preserve">CANON-202511-002208</t>
        </is>
      </c>
      <c r="B36" s="46" t="inlineStr">
        <is>
          <t xml:space="preserve">Mireille Fairweather</t>
        </is>
      </c>
      <c r="C36" s="47">
        <v>45986</v>
      </c>
      <c r="D36" s="48" t="inlineStr">
        <is>
          <t xml:space="preserve">Bound - within authority</t>
        </is>
      </c>
      <c r="E36" s="48" t="inlineStr">
        <is>
          <t xml:space="preserve">New business</t>
        </is>
      </c>
      <c r="F36" s="46" t="inlineStr">
        <is>
          <t xml:space="preserve">B1234EXOTIC26</t>
        </is>
      </c>
      <c r="G36" s="33">
        <f>IF($A36="","",IF($C36="","",YEAR($C36)))</f>
      </c>
      <c r="H36" s="49">
        <v>1977</v>
      </c>
      <c r="I36" s="46" t="inlineStr">
        <is>
          <t xml:space="preserve">McLaren</t>
        </is>
      </c>
      <c r="J36" s="46" t="inlineStr">
        <is>
          <t xml:space="preserve">750S</t>
        </is>
      </c>
      <c r="K36" s="46" t="inlineStr">
        <is>
          <t xml:space="preserve">VUVULD49UHX8PK1A5</t>
        </is>
      </c>
      <c r="L36" s="48" t="inlineStr">
        <is>
          <t xml:space="preserve">03 - Supercar</t>
        </is>
      </c>
      <c r="M36" s="50">
        <v>1045000</v>
      </c>
      <c r="N36" s="48" t="inlineStr">
        <is>
          <t xml:space="preserve">Personal</t>
        </is>
      </c>
      <c r="O36" s="46" t="inlineStr">
        <is>
          <t xml:space="preserve">Personal - regular use</t>
        </is>
      </c>
      <c r="P36" s="46" t="inlineStr">
        <is>
          <t xml:space="preserve">1,000 - 2,500</t>
        </is>
      </c>
      <c r="Q36" s="46" t="inlineStr">
        <is>
          <t xml:space="preserve">South Dakota</t>
        </is>
      </c>
      <c r="R36" s="46" t="inlineStr">
        <is>
          <t xml:space="preserve">57501</t>
        </is>
      </c>
      <c r="S36" s="48" t="inlineStr">
        <is>
          <t xml:space="preserve">Severe convective - hail alley (high)</t>
        </is>
      </c>
      <c r="T36" s="36">
        <f>IF($A36="","",IF($S36="","",IFERROR(INDEX('[1]natural catastrophe'!$D$6:$D$17,MATCH($S36,'[1]natural catastrophe'!$B$6:$B$17,0)),"?")))</f>
      </c>
      <c r="U36" s="46" t="inlineStr">
        <is>
          <t xml:space="preserve">$5,000</t>
        </is>
      </c>
      <c r="V36" s="48" t="inlineStr">
        <is>
          <t xml:space="preserve">Agreed Value</t>
        </is>
      </c>
      <c r="W36" s="46" t="inlineStr">
        <is>
          <t xml:space="preserve">$1,000</t>
        </is>
      </c>
      <c r="X36" s="48" t="inlineStr">
        <is>
          <t xml:space="preserve">$1,000,000 CSL</t>
        </is>
      </c>
      <c r="Y36" s="46"/>
      <c r="Z36" s="46"/>
      <c r="AA36" s="48" t="inlineStr">
        <is>
          <t xml:space="preserve">Surplus Lines</t>
        </is>
      </c>
      <c r="AB36" s="50">
        <v>16097.48</v>
      </c>
      <c r="AC36" s="51">
        <v>0</v>
      </c>
      <c r="AD36" s="38">
        <f>IF(ISNUMBER($AB36),$AB36*(1+N($AC36)),"")</f>
      </c>
      <c r="AE36" s="50">
        <v>350</v>
      </c>
      <c r="AF36" s="50">
        <v>250</v>
      </c>
      <c r="AG36" s="51"/>
      <c r="AH36" s="39">
        <f>IF(ISNUMBER($AD36),($AD36+$AE36+$AF36)*$AG36,"")</f>
      </c>
      <c r="AI36" s="50"/>
      <c r="AJ36" s="38">
        <f>IF(ISNUMBER($AD36),SUM($AD36:$AH36),"")</f>
      </c>
      <c r="AK36" s="40">
        <f>IF(AND(ISNUMBER($AB36),ISNUMBER($AD36)),IF($AB36&gt;0,$AD36/$AB36,""),"")</f>
      </c>
      <c r="AL36" s="48" t="inlineStr">
        <is>
          <t xml:space="preserve">At technical</t>
        </is>
      </c>
      <c r="AM36" s="41">
        <f>IF(ISNUMBER($AD36),Header!$I$3,"")</f>
      </c>
      <c r="AN36" s="39">
        <f>IF(ISNUMBER($AD36),$AO36+$AP36,"")</f>
      </c>
      <c r="AO36" s="39">
        <f>IF(ISNUMBER($AD36),ROUND($AD36*Header!$K$3,2),"")</f>
      </c>
      <c r="AP36" s="39">
        <f>IF(ISNUMBER($AD36),ROUND($AD36*Header!$M$3,2),"")</f>
      </c>
      <c r="AQ36" s="38">
        <f>IF(ISNUMBER($AD36),ROUND($AD36,2)-$AO36-$AP36,"")</f>
      </c>
      <c r="AR36" s="39">
        <f>IF(ISNUMBER($AD36),IF(Header!$D$34="","?",$AD36*Header!$D$34),"")</f>
      </c>
      <c r="AS36" s="39">
        <f>IF(ISNUMBER($AB36),IF(Header!$D$34="","?",$AB36*Header!$D$34),"")</f>
      </c>
      <c r="AT36" s="42">
        <f>IF(AND(ISNUMBER($AB36),$M36&gt;0),$AB36/$M36*100,"")</f>
      </c>
      <c r="AU36" s="42">
        <f>IF(AND(ISNUMBER($AD36),$M36&gt;0),$AD36/$M36*100,"")</f>
      </c>
      <c r="AV36" s="40">
        <f>IF(AND(ISNUMBER($AB36),ISNUMBER($AD36),ABS($AB36)&gt;0),$AD36/$AB36,"")</f>
      </c>
      <c r="AW36" s="39">
        <f>IF(ISNUMBER($AD36),MAX(0,(1-0.55-Header!$O$3)*Header!$Q$3*$AQ36),"")</f>
      </c>
      <c r="AX36" s="43">
        <f>IF($A36="","",IF(TRIM(IF($A36="","Missing certificate ref. ","") &amp; IF($C36="","Missing effective date. ","") &amp; IF($D36="","Missing binding status. ","") &amp; IF($E36="","Missing movement type. ","") &amp; IF($I36="","Missing make. ","") &amp; IF($L36="","Missing vehicle class. ","") &amp; IF($M36="","Missing agreed value. ","") &amp; IF($N36="","Missing policy type. ","") &amp; IF($Q36="","Missing garaging state. ","") &amp; IF($R36="","Missing garaging ZIP. ","") &amp; IF($S36="","Missing cat zone. ","") &amp; IF($V36="","Missing valuation basis. ","") &amp; IF($W36="","Missing PD deductible. ","") &amp; IF($X36="","Missing liability limit. ","") &amp; IF($AB36="","Missing technical premium. ","") &amp; IF($AF36="","Missing surplus lines tax %. ",""))="","PASS","FAIL: "&amp;TRIM(IF($A36="","Missing certificate ref. ","") &amp; IF($C36="","Missing effective date. ","") &amp; IF($D36="","Missing binding status. ","") &amp; IF($E36="","Missing movement type. ","") &amp; IF($I36="","Missing make. ","") &amp; IF($L36="","Missing vehicle class. ","") &amp; IF($M36="","Missing agreed value. ","") &amp; IF($N36="","Missing policy type. ","") &amp; IF($Q36="","Missing garaging state. ","") &amp; IF($R36="","Missing garaging ZIP. ","") &amp; IF($S36="","Missing cat zone. ","") &amp; IF($V36="","Missing valuation basis. ","") &amp; IF($W36="","Missing PD deductible. ","") &amp; IF($X36="","Missing liability limit. ","") &amp; IF($AB36="","Missing technical premium. ","") &amp; IF($AF36="","Missing surplus lines tax %. ",""))))</f>
      </c>
      <c r="AY36" s="44">
        <f>IF($M36="","",IF(ISNUMBER($M36),IF($M36&gt;=Header!$C$18,"YES — refer","No"),""))</f>
      </c>
      <c r="AZ36" s="44">
        <f>IF($AD36="","",IF(ISNUMBER($AD36),IF($AD36&lt;Header!$C$20,"BELOW MIN PREMIUM","OK"),""))</f>
      </c>
      <c r="BA36" s="48" t="inlineStr">
        <is>
          <t xml:space="preserve">Yes</t>
        </is>
      </c>
      <c r="BB36" s="48" t="inlineStr">
        <is>
          <t xml:space="preserve">Yes</t>
        </is>
      </c>
      <c r="BC36" s="46" t="inlineStr">
        <is>
          <t xml:space="preserve">Synthetic demo data</t>
        </is>
      </c>
      <c r="BE36" s="45">
        <f>IF(OR($A36="",$L36="",$H36=""),"",IF(AND(LEFT($L36,2)="06",$H36&gt;1945),"FAIL - pre-war class, year "&amp;$H36,IF(AND(LEFT($L36,2)="07",OR($H36&lt;1946,$H36&gt;1972)),"FAIL - 1946-72 class, year "&amp;$H36,IF(AND(LEFT($L36,2)="08",OR($H36&lt;1973,$H36&gt;1999)),"FAIL - 1973-99 class, year "&amp;$H36,IF(AND(LEFT($L36,2)="09",OR($H36&lt;2000,$H36&gt;2010)),"FAIL - 2000-10 class, year "&amp;$H36,"OK")))))</f>
      </c>
      <c r="BF36" s="45">
        <f>IF($AD36="","",IF(ROUND($AO36+$AP36+$AQ36-$AD36,2)=0,"OK","FAIL - out by "&amp;TEXT($AO36+$AP36+$AQ36-$AD36,"$0.00")))</f>
      </c>
    </row>
    <row r="37" spans="1:58" ht="18.75" customHeight="1" x14ac:dyDescent="0.25">
      <c r="A37" s="30" t="inlineStr">
        <is>
          <t xml:space="preserve">CANON-202511-002209</t>
        </is>
      </c>
      <c r="B37" s="30" t="inlineStr">
        <is>
          <t xml:space="preserve">Aurelio Merriweather</t>
        </is>
      </c>
      <c r="C37" s="31">
        <v>45977</v>
      </c>
      <c r="D37" s="32" t="inlineStr">
        <is>
          <t xml:space="preserve">Bound - within authority</t>
        </is>
      </c>
      <c r="E37" s="32" t="inlineStr">
        <is>
          <t xml:space="preserve">New business</t>
        </is>
      </c>
      <c r="F37" s="30" t="inlineStr">
        <is>
          <t xml:space="preserve">B1234EXOTIC26</t>
        </is>
      </c>
      <c r="G37" s="33">
        <f>IF($A37="","",IF($C37="","",YEAR($C37)))</f>
      </c>
      <c r="H37" s="34">
        <v>1975</v>
      </c>
      <c r="I37" s="30" t="inlineStr">
        <is>
          <t xml:space="preserve">Lamborghini</t>
        </is>
      </c>
      <c r="J37" s="30" t="inlineStr">
        <is>
          <t xml:space="preserve">Huracan EVO</t>
        </is>
      </c>
      <c r="K37" s="30" t="inlineStr">
        <is>
          <t xml:space="preserve">DMMF9TLSG429TA9SD</t>
        </is>
      </c>
      <c r="L37" s="32" t="inlineStr">
        <is>
          <t xml:space="preserve">03 - Supercar</t>
        </is>
      </c>
      <c r="M37" s="35">
        <v>585000</v>
      </c>
      <c r="N37" s="32" t="inlineStr">
        <is>
          <t xml:space="preserve">Personal</t>
        </is>
      </c>
      <c r="O37" s="30" t="inlineStr">
        <is>
          <t xml:space="preserve">Personal - regular use</t>
        </is>
      </c>
      <c r="P37" s="30" t="inlineStr">
        <is>
          <t xml:space="preserve">Under 1,000</t>
        </is>
      </c>
      <c r="Q37" s="30" t="inlineStr">
        <is>
          <t xml:space="preserve">New Jersey</t>
        </is>
      </c>
      <c r="R37" s="30" t="inlineStr">
        <is>
          <t xml:space="preserve">07102</t>
        </is>
      </c>
      <c r="S37" s="32" t="inlineStr">
        <is>
          <t xml:space="preserve">Tier 3 - Coastal wind (25-100 miles)</t>
        </is>
      </c>
      <c r="T37" s="36">
        <f>IF($A37="","",IF($S37="","",IFERROR(INDEX('[1]natural catastrophe'!$D$6:$D$17,MATCH($S37,'[1]natural catastrophe'!$B$6:$B$17,0)),"?")))</f>
      </c>
      <c r="U37" s="30" t="inlineStr">
        <is>
          <t xml:space="preserve">2% of agreed value, minimum $10,000</t>
        </is>
      </c>
      <c r="V37" s="32" t="inlineStr">
        <is>
          <t xml:space="preserve">Agreed Value</t>
        </is>
      </c>
      <c r="W37" s="30" t="inlineStr">
        <is>
          <t xml:space="preserve">$1,000</t>
        </is>
      </c>
      <c r="X37" s="32" t="inlineStr">
        <is>
          <t xml:space="preserve">$1,000,000 CSL</t>
        </is>
      </c>
      <c r="Y37" s="30"/>
      <c r="Z37" s="30"/>
      <c r="AA37" s="32" t="inlineStr">
        <is>
          <t xml:space="preserve">Surplus Lines</t>
        </is>
      </c>
      <c r="AB37" s="35">
        <v>8773.03</v>
      </c>
      <c r="AC37" s="37">
        <v>0</v>
      </c>
      <c r="AD37" s="38">
        <f>IF(ISNUMBER($AB37),$AB37*(1+N($AC37)),"")</f>
      </c>
      <c r="AE37" s="35">
        <v>350</v>
      </c>
      <c r="AF37" s="35">
        <v>0</v>
      </c>
      <c r="AG37" s="37"/>
      <c r="AH37" s="39">
        <f>IF(ISNUMBER($AD37),($AD37+$AE37+$AF37)*$AG37,"")</f>
      </c>
      <c r="AI37" s="35"/>
      <c r="AJ37" s="38">
        <f>IF(ISNUMBER($AD37),SUM($AD37:$AH37),"")</f>
      </c>
      <c r="AK37" s="40">
        <f>IF(AND(ISNUMBER($AB37),ISNUMBER($AD37)),IF($AB37&gt;0,$AD37/$AB37,""),"")</f>
      </c>
      <c r="AL37" s="32" t="inlineStr">
        <is>
          <t xml:space="preserve">At technical</t>
        </is>
      </c>
      <c r="AM37" s="41">
        <f>IF(ISNUMBER($AD37),Header!$I$3,"")</f>
      </c>
      <c r="AN37" s="39">
        <f>IF(ISNUMBER($AD37),$AO37+$AP37,"")</f>
      </c>
      <c r="AO37" s="39">
        <f>IF(ISNUMBER($AD37),ROUND($AD37*Header!$K$3,2),"")</f>
      </c>
      <c r="AP37" s="39">
        <f>IF(ISNUMBER($AD37),ROUND($AD37*Header!$M$3,2),"")</f>
      </c>
      <c r="AQ37" s="38">
        <f>IF(ISNUMBER($AD37),ROUND($AD37,2)-$AO37-$AP37,"")</f>
      </c>
      <c r="AR37" s="39">
        <f>IF(ISNUMBER($AD37),IF(Header!$D$34="","?",$AD37*Header!$D$34),"")</f>
      </c>
      <c r="AS37" s="39">
        <f>IF(ISNUMBER($AB37),IF(Header!$D$34="","?",$AB37*Header!$D$34),"")</f>
      </c>
      <c r="AT37" s="42">
        <f>IF(AND(ISNUMBER($AB37),$M37&gt;0),$AB37/$M37*100,"")</f>
      </c>
      <c r="AU37" s="42">
        <f>IF(AND(ISNUMBER($AD37),$M37&gt;0),$AD37/$M37*100,"")</f>
      </c>
      <c r="AV37" s="40">
        <f>IF(AND(ISNUMBER($AB37),ISNUMBER($AD37),ABS($AB37)&gt;0),$AD37/$AB37,"")</f>
      </c>
      <c r="AW37" s="39">
        <f>IF(ISNUMBER($AD37),MAX(0,(1-0.55-Header!$O$3)*Header!$Q$3*$AQ37),"")</f>
      </c>
      <c r="AX37" s="43">
        <f>IF($A37="","",IF(TRIM(IF($A37="","Missing certificate ref. ","") &amp; IF($C37="","Missing effective date. ","") &amp; IF($D37="","Missing binding status. ","") &amp; IF($E37="","Missing movement type. ","") &amp; IF($I37="","Missing make. ","") &amp; IF($L37="","Missing vehicle class. ","") &amp; IF($M37="","Missing agreed value. ","") &amp; IF($N37="","Missing policy type. ","") &amp; IF($Q37="","Missing garaging state. ","") &amp; IF($R37="","Missing garaging ZIP. ","") &amp; IF($S37="","Missing cat zone. ","") &amp; IF($V37="","Missing valuation basis. ","") &amp; IF($W37="","Missing PD deductible. ","") &amp; IF($X37="","Missing liability limit. ","") &amp; IF($AB37="","Missing technical premium. ","") &amp; IF($AF37="","Missing surplus lines tax %. ",""))="","PASS","FAIL: "&amp;TRIM(IF($A37="","Missing certificate ref. ","") &amp; IF($C37="","Missing effective date. ","") &amp; IF($D37="","Missing binding status. ","") &amp; IF($E37="","Missing movement type. ","") &amp; IF($I37="","Missing make. ","") &amp; IF($L37="","Missing vehicle class. ","") &amp; IF($M37="","Missing agreed value. ","") &amp; IF($N37="","Missing policy type. ","") &amp; IF($Q37="","Missing garaging state. ","") &amp; IF($R37="","Missing garaging ZIP. ","") &amp; IF($S37="","Missing cat zone. ","") &amp; IF($V37="","Missing valuation basis. ","") &amp; IF($W37="","Missing PD deductible. ","") &amp; IF($X37="","Missing liability limit. ","") &amp; IF($AB37="","Missing technical premium. ","") &amp; IF($AF37="","Missing surplus lines tax %. ",""))))</f>
      </c>
      <c r="AY37" s="44">
        <f>IF($M37="","",IF(ISNUMBER($M37),IF($M37&gt;=Header!$C$18,"YES — refer","No"),""))</f>
      </c>
      <c r="AZ37" s="44">
        <f>IF($AD37="","",IF(ISNUMBER($AD37),IF($AD37&lt;Header!$C$20,"BELOW MIN PREMIUM","OK"),""))</f>
      </c>
      <c r="BA37" s="32" t="inlineStr">
        <is>
          <t xml:space="preserve">Yes</t>
        </is>
      </c>
      <c r="BB37" s="32" t="inlineStr">
        <is>
          <t xml:space="preserve">Yes</t>
        </is>
      </c>
      <c r="BC37" s="30" t="inlineStr">
        <is>
          <t xml:space="preserve">Synthetic demo data</t>
        </is>
      </c>
      <c r="BE37" s="45">
        <f>IF(OR($A37="",$L37="",$H37=""),"",IF(AND(LEFT($L37,2)="06",$H37&gt;1945),"FAIL - pre-war class, year "&amp;$H37,IF(AND(LEFT($L37,2)="07",OR($H37&lt;1946,$H37&gt;1972)),"FAIL - 1946-72 class, year "&amp;$H37,IF(AND(LEFT($L37,2)="08",OR($H37&lt;1973,$H37&gt;1999)),"FAIL - 1973-99 class, year "&amp;$H37,IF(AND(LEFT($L37,2)="09",OR($H37&lt;2000,$H37&gt;2010)),"FAIL - 2000-10 class, year "&amp;$H37,"OK")))))</f>
      </c>
      <c r="BF37" s="45">
        <f>IF($AD37="","",IF(ROUND($AO37+$AP37+$AQ37-$AD37,2)=0,"OK","FAIL - out by "&amp;TEXT($AO37+$AP37+$AQ37-$AD37,"$0.00")))</f>
      </c>
    </row>
    <row r="38" spans="1:58" ht="18.75" customHeight="1" x14ac:dyDescent="0.25">
      <c r="A38" s="46" t="inlineStr">
        <is>
          <t xml:space="preserve">CANON-202511-002210</t>
        </is>
      </c>
      <c r="B38" s="46" t="inlineStr">
        <is>
          <t xml:space="preserve">Aurelio Fairweather</t>
        </is>
      </c>
      <c r="C38" s="47">
        <v>45984</v>
      </c>
      <c r="D38" s="48" t="inlineStr">
        <is>
          <t xml:space="preserve">Bound - within authority</t>
        </is>
      </c>
      <c r="E38" s="48" t="inlineStr">
        <is>
          <t xml:space="preserve">New business</t>
        </is>
      </c>
      <c r="F38" s="46" t="inlineStr">
        <is>
          <t xml:space="preserve">B1234EXOTIC26</t>
        </is>
      </c>
      <c r="G38" s="33">
        <f>IF($A38="","",IF($C38="","",YEAR($C38)))</f>
      </c>
      <c r="H38" s="49">
        <v>1993</v>
      </c>
      <c r="I38" s="46" t="inlineStr">
        <is>
          <t xml:space="preserve">BMW</t>
        </is>
      </c>
      <c r="J38" s="46" t="inlineStr">
        <is>
          <t xml:space="preserve">M8 Competition</t>
        </is>
      </c>
      <c r="K38" s="46" t="inlineStr">
        <is>
          <t xml:space="preserve">29KV8U39MZJ50NEBD</t>
        </is>
      </c>
      <c r="L38" s="48" t="inlineStr">
        <is>
          <t xml:space="preserve">02 - Sports / GT</t>
        </is>
      </c>
      <c r="M38" s="50">
        <v>455000</v>
      </c>
      <c r="N38" s="48" t="inlineStr">
        <is>
          <t xml:space="preserve">Personal</t>
        </is>
      </c>
      <c r="O38" s="46" t="inlineStr">
        <is>
          <t xml:space="preserve">Personal - regular use</t>
        </is>
      </c>
      <c r="P38" s="46" t="inlineStr">
        <is>
          <t xml:space="preserve">2,500 - 5,000</t>
        </is>
      </c>
      <c r="Q38" s="46" t="inlineStr">
        <is>
          <t xml:space="preserve">Tennessee</t>
        </is>
      </c>
      <c r="R38" s="46" t="inlineStr">
        <is>
          <t xml:space="preserve">37203</t>
        </is>
      </c>
      <c r="S38" s="48" t="inlineStr">
        <is>
          <t xml:space="preserve">Severe convective - hail / tornado (moderate)</t>
        </is>
      </c>
      <c r="T38" s="36">
        <f>IF($A38="","",IF($S38="","",IFERROR(INDEX('[1]natural catastrophe'!$D$6:$D$17,MATCH($S38,'[1]natural catastrophe'!$B$6:$B$17,0)),"?")))</f>
      </c>
      <c r="U38" s="46" t="inlineStr">
        <is>
          <t xml:space="preserve">$5,000</t>
        </is>
      </c>
      <c r="V38" s="48" t="inlineStr">
        <is>
          <t xml:space="preserve">Agreed Value</t>
        </is>
      </c>
      <c r="W38" s="46" t="inlineStr">
        <is>
          <t xml:space="preserve">$1,000</t>
        </is>
      </c>
      <c r="X38" s="48" t="inlineStr">
        <is>
          <t xml:space="preserve">$1,000,000 CSL</t>
        </is>
      </c>
      <c r="Y38" s="46"/>
      <c r="Z38" s="46"/>
      <c r="AA38" s="48" t="inlineStr">
        <is>
          <t xml:space="preserve">Surplus Lines</t>
        </is>
      </c>
      <c r="AB38" s="50">
        <v>5801.33</v>
      </c>
      <c r="AC38" s="51">
        <v>0</v>
      </c>
      <c r="AD38" s="38">
        <f>IF(ISNUMBER($AB38),$AB38*(1+N($AC38)),"")</f>
      </c>
      <c r="AE38" s="50">
        <v>350</v>
      </c>
      <c r="AF38" s="50">
        <v>0</v>
      </c>
      <c r="AG38" s="51"/>
      <c r="AH38" s="39">
        <f>IF(ISNUMBER($AD38),($AD38+$AE38+$AF38)*$AG38,"")</f>
      </c>
      <c r="AI38" s="50"/>
      <c r="AJ38" s="38">
        <f>IF(ISNUMBER($AD38),SUM($AD38:$AH38),"")</f>
      </c>
      <c r="AK38" s="40">
        <f>IF(AND(ISNUMBER($AB38),ISNUMBER($AD38)),IF($AB38&gt;0,$AD38/$AB38,""),"")</f>
      </c>
      <c r="AL38" s="48" t="inlineStr">
        <is>
          <t xml:space="preserve">At technical</t>
        </is>
      </c>
      <c r="AM38" s="41">
        <f>IF(ISNUMBER($AD38),Header!$I$3,"")</f>
      </c>
      <c r="AN38" s="39">
        <f>IF(ISNUMBER($AD38),$AO38+$AP38,"")</f>
      </c>
      <c r="AO38" s="39">
        <f>IF(ISNUMBER($AD38),ROUND($AD38*Header!$K$3,2),"")</f>
      </c>
      <c r="AP38" s="39">
        <f>IF(ISNUMBER($AD38),ROUND($AD38*Header!$M$3,2),"")</f>
      </c>
      <c r="AQ38" s="38">
        <f>IF(ISNUMBER($AD38),ROUND($AD38,2)-$AO38-$AP38,"")</f>
      </c>
      <c r="AR38" s="39">
        <f>IF(ISNUMBER($AD38),IF(Header!$D$34="","?",$AD38*Header!$D$34),"")</f>
      </c>
      <c r="AS38" s="39">
        <f>IF(ISNUMBER($AB38),IF(Header!$D$34="","?",$AB38*Header!$D$34),"")</f>
      </c>
      <c r="AT38" s="42">
        <f>IF(AND(ISNUMBER($AB38),$M38&gt;0),$AB38/$M38*100,"")</f>
      </c>
      <c r="AU38" s="42">
        <f>IF(AND(ISNUMBER($AD38),$M38&gt;0),$AD38/$M38*100,"")</f>
      </c>
      <c r="AV38" s="40">
        <f>IF(AND(ISNUMBER($AB38),ISNUMBER($AD38),ABS($AB38)&gt;0),$AD38/$AB38,"")</f>
      </c>
      <c r="AW38" s="39">
        <f>IF(ISNUMBER($AD38),MAX(0,(1-0.55-Header!$O$3)*Header!$Q$3*$AQ38),"")</f>
      </c>
      <c r="AX38" s="43">
        <f>IF($A38="","",IF(TRIM(IF($A38="","Missing certificate ref. ","") &amp; IF($C38="","Missing effective date. ","") &amp; IF($D38="","Missing binding status. ","") &amp; IF($E38="","Missing movement type. ","") &amp; IF($I38="","Missing make. ","") &amp; IF($L38="","Missing vehicle class. ","") &amp; IF($M38="","Missing agreed value. ","") &amp; IF($N38="","Missing policy type. ","") &amp; IF($Q38="","Missing garaging state. ","") &amp; IF($R38="","Missing garaging ZIP. ","") &amp; IF($S38="","Missing cat zone. ","") &amp; IF($V38="","Missing valuation basis. ","") &amp; IF($W38="","Missing PD deductible. ","") &amp; IF($X38="","Missing liability limit. ","") &amp; IF($AB38="","Missing technical premium. ","") &amp; IF($AF38="","Missing surplus lines tax %. ",""))="","PASS","FAIL: "&amp;TRIM(IF($A38="","Missing certificate ref. ","") &amp; IF($C38="","Missing effective date. ","") &amp; IF($D38="","Missing binding status. ","") &amp; IF($E38="","Missing movement type. ","") &amp; IF($I38="","Missing make. ","") &amp; IF($L38="","Missing vehicle class. ","") &amp; IF($M38="","Missing agreed value. ","") &amp; IF($N38="","Missing policy type. ","") &amp; IF($Q38="","Missing garaging state. ","") &amp; IF($R38="","Missing garaging ZIP. ","") &amp; IF($S38="","Missing cat zone. ","") &amp; IF($V38="","Missing valuation basis. ","") &amp; IF($W38="","Missing PD deductible. ","") &amp; IF($X38="","Missing liability limit. ","") &amp; IF($AB38="","Missing technical premium. ","") &amp; IF($AF38="","Missing surplus lines tax %. ",""))))</f>
      </c>
      <c r="AY38" s="44">
        <f>IF($M38="","",IF(ISNUMBER($M38),IF($M38&gt;=Header!$C$18,"YES — refer","No"),""))</f>
      </c>
      <c r="AZ38" s="44">
        <f>IF($AD38="","",IF(ISNUMBER($AD38),IF($AD38&lt;Header!$C$20,"BELOW MIN PREMIUM","OK"),""))</f>
      </c>
      <c r="BA38" s="48" t="inlineStr">
        <is>
          <t xml:space="preserve">Yes</t>
        </is>
      </c>
      <c r="BB38" s="48" t="inlineStr">
        <is>
          <t xml:space="preserve">Yes</t>
        </is>
      </c>
      <c r="BC38" s="46" t="inlineStr">
        <is>
          <t xml:space="preserve">Synthetic demo data</t>
        </is>
      </c>
      <c r="BE38" s="45">
        <f>IF(OR($A38="",$L38="",$H38=""),"",IF(AND(LEFT($L38,2)="06",$H38&gt;1945),"FAIL - pre-war class, year "&amp;$H38,IF(AND(LEFT($L38,2)="07",OR($H38&lt;1946,$H38&gt;1972)),"FAIL - 1946-72 class, year "&amp;$H38,IF(AND(LEFT($L38,2)="08",OR($H38&lt;1973,$H38&gt;1999)),"FAIL - 1973-99 class, year "&amp;$H38,IF(AND(LEFT($L38,2)="09",OR($H38&lt;2000,$H38&gt;2010)),"FAIL - 2000-10 class, year "&amp;$H38,"OK")))))</f>
      </c>
      <c r="BF38" s="45">
        <f>IF($AD38="","",IF(ROUND($AO38+$AP38+$AQ38-$AD38,2)=0,"OK","FAIL - out by "&amp;TEXT($AO38+$AP38+$AQ38-$AD38,"$0.00")))</f>
      </c>
    </row>
    <row r="39" spans="1:58" ht="18.75" customHeight="1" x14ac:dyDescent="0.25">
      <c r="A39" s="30" t="inlineStr">
        <is>
          <t xml:space="preserve">CANON-202511-002211</t>
        </is>
      </c>
      <c r="B39" s="30" t="inlineStr">
        <is>
          <t xml:space="preserve">Ottilie Vasquez</t>
        </is>
      </c>
      <c r="C39" s="31">
        <v>45963</v>
      </c>
      <c r="D39" s="32" t="inlineStr">
        <is>
          <t xml:space="preserve">Bound - within authority</t>
        </is>
      </c>
      <c r="E39" s="32" t="inlineStr">
        <is>
          <t xml:space="preserve">New business</t>
        </is>
      </c>
      <c r="F39" s="30" t="inlineStr">
        <is>
          <t xml:space="preserve">B1234EXOTIC26</t>
        </is>
      </c>
      <c r="G39" s="33">
        <f>IF($A39="","",IF($C39="","",YEAR($C39)))</f>
      </c>
      <c r="H39" s="34">
        <v>1992</v>
      </c>
      <c r="I39" s="30" t="inlineStr">
        <is>
          <t xml:space="preserve">Porsche</t>
        </is>
      </c>
      <c r="J39" s="30" t="inlineStr">
        <is>
          <t xml:space="preserve">911 Turbo S</t>
        </is>
      </c>
      <c r="K39" s="30" t="inlineStr">
        <is>
          <t xml:space="preserve">XJYY4F9CVWKFG8GCP</t>
        </is>
      </c>
      <c r="L39" s="32" t="inlineStr">
        <is>
          <t xml:space="preserve">02 - Sports / GT</t>
        </is>
      </c>
      <c r="M39" s="35">
        <v>545000</v>
      </c>
      <c r="N39" s="32" t="inlineStr">
        <is>
          <t xml:space="preserve">Personal</t>
        </is>
      </c>
      <c r="O39" s="30" t="inlineStr">
        <is>
          <t xml:space="preserve">Personal - regular use</t>
        </is>
      </c>
      <c r="P39" s="30" t="inlineStr">
        <is>
          <t xml:space="preserve">2,500 - 5,000</t>
        </is>
      </c>
      <c r="Q39" s="30" t="inlineStr">
        <is>
          <t xml:space="preserve">Mississippi</t>
        </is>
      </c>
      <c r="R39" s="30" t="inlineStr">
        <is>
          <t xml:space="preserve">39201</t>
        </is>
      </c>
      <c r="S39" s="32" t="inlineStr">
        <is>
          <t xml:space="preserve">Tier 2 - Coastal wind (1-25 miles)</t>
        </is>
      </c>
      <c r="T39" s="36">
        <f>IF($A39="","",IF($S39="","",IFERROR(INDEX('[1]natural catastrophe'!$D$6:$D$17,MATCH($S39,'[1]natural catastrophe'!$B$6:$B$17,0)),"?")))</f>
      </c>
      <c r="U39" s="30" t="inlineStr">
        <is>
          <t xml:space="preserve">2% of agreed value, minimum $10,000</t>
        </is>
      </c>
      <c r="V39" s="32" t="inlineStr">
        <is>
          <t xml:space="preserve">Agreed Value</t>
        </is>
      </c>
      <c r="W39" s="30" t="inlineStr">
        <is>
          <t xml:space="preserve">$1,000</t>
        </is>
      </c>
      <c r="X39" s="32" t="inlineStr">
        <is>
          <t xml:space="preserve">$1,000,000 CSL</t>
        </is>
      </c>
      <c r="Y39" s="30"/>
      <c r="Z39" s="30"/>
      <c r="AA39" s="32" t="inlineStr">
        <is>
          <t xml:space="preserve">Surplus Lines</t>
        </is>
      </c>
      <c r="AB39" s="35">
        <v>7312.83</v>
      </c>
      <c r="AC39" s="37">
        <v>0</v>
      </c>
      <c r="AD39" s="38">
        <f>IF(ISNUMBER($AB39),$AB39*(1+N($AC39)),"")</f>
      </c>
      <c r="AE39" s="35">
        <v>350</v>
      </c>
      <c r="AF39" s="35">
        <v>0</v>
      </c>
      <c r="AG39" s="37"/>
      <c r="AH39" s="39">
        <f>IF(ISNUMBER($AD39),($AD39+$AE39+$AF39)*$AG39,"")</f>
      </c>
      <c r="AI39" s="35"/>
      <c r="AJ39" s="38">
        <f>IF(ISNUMBER($AD39),SUM($AD39:$AH39),"")</f>
      </c>
      <c r="AK39" s="40">
        <f>IF(AND(ISNUMBER($AB39),ISNUMBER($AD39)),IF($AB39&gt;0,$AD39/$AB39,""),"")</f>
      </c>
      <c r="AL39" s="32" t="inlineStr">
        <is>
          <t xml:space="preserve">At technical</t>
        </is>
      </c>
      <c r="AM39" s="41">
        <f>IF(ISNUMBER($AD39),Header!$I$3,"")</f>
      </c>
      <c r="AN39" s="39">
        <f>IF(ISNUMBER($AD39),$AO39+$AP39,"")</f>
      </c>
      <c r="AO39" s="39">
        <f>IF(ISNUMBER($AD39),ROUND($AD39*Header!$K$3,2),"")</f>
      </c>
      <c r="AP39" s="39">
        <f>IF(ISNUMBER($AD39),ROUND($AD39*Header!$M$3,2),"")</f>
      </c>
      <c r="AQ39" s="38">
        <f>IF(ISNUMBER($AD39),ROUND($AD39,2)-$AO39-$AP39,"")</f>
      </c>
      <c r="AR39" s="39">
        <f>IF(ISNUMBER($AD39),IF(Header!$D$34="","?",$AD39*Header!$D$34),"")</f>
      </c>
      <c r="AS39" s="39">
        <f>IF(ISNUMBER($AB39),IF(Header!$D$34="","?",$AB39*Header!$D$34),"")</f>
      </c>
      <c r="AT39" s="42">
        <f>IF(AND(ISNUMBER($AB39),$M39&gt;0),$AB39/$M39*100,"")</f>
      </c>
      <c r="AU39" s="42">
        <f>IF(AND(ISNUMBER($AD39),$M39&gt;0),$AD39/$M39*100,"")</f>
      </c>
      <c r="AV39" s="40">
        <f>IF(AND(ISNUMBER($AB39),ISNUMBER($AD39),ABS($AB39)&gt;0),$AD39/$AB39,"")</f>
      </c>
      <c r="AW39" s="39">
        <f>IF(ISNUMBER($AD39),MAX(0,(1-0.55-Header!$O$3)*Header!$Q$3*$AQ39),"")</f>
      </c>
      <c r="AX39" s="43">
        <f>IF($A39="","",IF(TRIM(IF($A39="","Missing certificate ref. ","") &amp; IF($C39="","Missing effective date. ","") &amp; IF($D39="","Missing binding status. ","") &amp; IF($E39="","Missing movement type. ","") &amp; IF($I39="","Missing make. ","") &amp; IF($L39="","Missing vehicle class. ","") &amp; IF($M39="","Missing agreed value. ","") &amp; IF($N39="","Missing policy type. ","") &amp; IF($Q39="","Missing garaging state. ","") &amp; IF($R39="","Missing garaging ZIP. ","") &amp; IF($S39="","Missing cat zone. ","") &amp; IF($V39="","Missing valuation basis. ","") &amp; IF($W39="","Missing PD deductible. ","") &amp; IF($X39="","Missing liability limit. ","") &amp; IF($AB39="","Missing technical premium. ","") &amp; IF($AF39="","Missing surplus lines tax %. ",""))="","PASS","FAIL: "&amp;TRIM(IF($A39="","Missing certificate ref. ","") &amp; IF($C39="","Missing effective date. ","") &amp; IF($D39="","Missing binding status. ","") &amp; IF($E39="","Missing movement type. ","") &amp; IF($I39="","Missing make. ","") &amp; IF($L39="","Missing vehicle class. ","") &amp; IF($M39="","Missing agreed value. ","") &amp; IF($N39="","Missing policy type. ","") &amp; IF($Q39="","Missing garaging state. ","") &amp; IF($R39="","Missing garaging ZIP. ","") &amp; IF($S39="","Missing cat zone. ","") &amp; IF($V39="","Missing valuation basis. ","") &amp; IF($W39="","Missing PD deductible. ","") &amp; IF($X39="","Missing liability limit. ","") &amp; IF($AB39="","Missing technical premium. ","") &amp; IF($AF39="","Missing surplus lines tax %. ",""))))</f>
      </c>
      <c r="AY39" s="44">
        <f>IF($M39="","",IF(ISNUMBER($M39),IF($M39&gt;=Header!$C$18,"YES — refer","No"),""))</f>
      </c>
      <c r="AZ39" s="44">
        <f>IF($AD39="","",IF(ISNUMBER($AD39),IF($AD39&lt;Header!$C$20,"BELOW MIN PREMIUM","OK"),""))</f>
      </c>
      <c r="BA39" s="32" t="inlineStr">
        <is>
          <t xml:space="preserve">Yes</t>
        </is>
      </c>
      <c r="BB39" s="32" t="inlineStr">
        <is>
          <t xml:space="preserve">Yes</t>
        </is>
      </c>
      <c r="BC39" s="30" t="inlineStr">
        <is>
          <t xml:space="preserve">Synthetic demo data</t>
        </is>
      </c>
      <c r="BE39" s="45">
        <f>IF(OR($A39="",$L39="",$H39=""),"",IF(AND(LEFT($L39,2)="06",$H39&gt;1945),"FAIL - pre-war class, year "&amp;$H39,IF(AND(LEFT($L39,2)="07",OR($H39&lt;1946,$H39&gt;1972)),"FAIL - 1946-72 class, year "&amp;$H39,IF(AND(LEFT($L39,2)="08",OR($H39&lt;1973,$H39&gt;1999)),"FAIL - 1973-99 class, year "&amp;$H39,IF(AND(LEFT($L39,2)="09",OR($H39&lt;2000,$H39&gt;2010)),"FAIL - 2000-10 class, year "&amp;$H39,"OK")))))</f>
      </c>
      <c r="BF39" s="45">
        <f>IF($AD39="","",IF(ROUND($AO39+$AP39+$AQ39-$AD39,2)=0,"OK","FAIL - out by "&amp;TEXT($AO39+$AP39+$AQ39-$AD39,"$0.00")))</f>
      </c>
    </row>
    <row r="40" spans="1:58" ht="18.75" customHeight="1" x14ac:dyDescent="0.25">
      <c r="A40" s="46" t="inlineStr">
        <is>
          <t xml:space="preserve">CANON-202511-002213</t>
        </is>
      </c>
      <c r="B40" s="46" t="inlineStr">
        <is>
          <t xml:space="preserve">Thaddeus Blackwood</t>
        </is>
      </c>
      <c r="C40" s="47">
        <v>45964</v>
      </c>
      <c r="D40" s="48" t="inlineStr">
        <is>
          <t xml:space="preserve">Bound - within authority</t>
        </is>
      </c>
      <c r="E40" s="48" t="inlineStr">
        <is>
          <t xml:space="preserve">New business</t>
        </is>
      </c>
      <c r="F40" s="46" t="inlineStr">
        <is>
          <t xml:space="preserve">B1234EXOTIC26</t>
        </is>
      </c>
      <c r="G40" s="33">
        <f>IF($A40="","",IF($C40="","",YEAR($C40)))</f>
      </c>
      <c r="H40" s="49">
        <v>2011</v>
      </c>
      <c r="I40" s="46" t="inlineStr">
        <is>
          <t xml:space="preserve">Aston Martin</t>
        </is>
      </c>
      <c r="J40" s="46" t="inlineStr">
        <is>
          <t xml:space="preserve">DB12</t>
        </is>
      </c>
      <c r="K40" s="46" t="inlineStr">
        <is>
          <t xml:space="preserve">E24H9N9R0DH8CAVW1</t>
        </is>
      </c>
      <c r="L40" s="48" t="inlineStr">
        <is>
          <t xml:space="preserve">02 - Sports / GT</t>
        </is>
      </c>
      <c r="M40" s="50">
        <v>355000</v>
      </c>
      <c r="N40" s="48" t="inlineStr">
        <is>
          <t xml:space="preserve">Personal</t>
        </is>
      </c>
      <c r="O40" s="46" t="inlineStr">
        <is>
          <t xml:space="preserve">Personal - regular use</t>
        </is>
      </c>
      <c r="P40" s="46" t="inlineStr">
        <is>
          <t xml:space="preserve">2,500 - 5,000</t>
        </is>
      </c>
      <c r="Q40" s="46" t="inlineStr">
        <is>
          <t xml:space="preserve">Wisconsin</t>
        </is>
      </c>
      <c r="R40" s="46" t="inlineStr">
        <is>
          <t xml:space="preserve">53202</t>
        </is>
      </c>
      <c r="S40" s="48" t="inlineStr">
        <is>
          <t xml:space="preserve">Severe convective - hail / tornado (moderate)</t>
        </is>
      </c>
      <c r="T40" s="36">
        <f>IF($A40="","",IF($S40="","",IFERROR(INDEX('[1]natural catastrophe'!$D$6:$D$17,MATCH($S40,'[1]natural catastrophe'!$B$6:$B$17,0)),"?")))</f>
      </c>
      <c r="U40" s="46" t="inlineStr">
        <is>
          <t xml:space="preserve">$5,000</t>
        </is>
      </c>
      <c r="V40" s="48" t="inlineStr">
        <is>
          <t xml:space="preserve">Agreed Value</t>
        </is>
      </c>
      <c r="W40" s="46" t="inlineStr">
        <is>
          <t xml:space="preserve">$1,000</t>
        </is>
      </c>
      <c r="X40" s="48" t="inlineStr">
        <is>
          <t xml:space="preserve">$1,000,000 CSL</t>
        </is>
      </c>
      <c r="Y40" s="46"/>
      <c r="Z40" s="46"/>
      <c r="AA40" s="48" t="inlineStr">
        <is>
          <t xml:space="preserve">Surplus Lines</t>
        </is>
      </c>
      <c r="AB40" s="50">
        <v>5542.42</v>
      </c>
      <c r="AC40" s="51">
        <v>0</v>
      </c>
      <c r="AD40" s="38">
        <f>IF(ISNUMBER($AB40),$AB40*(1+N($AC40)),"")</f>
      </c>
      <c r="AE40" s="50">
        <v>350</v>
      </c>
      <c r="AF40" s="50">
        <v>0</v>
      </c>
      <c r="AG40" s="51"/>
      <c r="AH40" s="39">
        <f>IF(ISNUMBER($AD40),($AD40+$AE40+$AF40)*$AG40,"")</f>
      </c>
      <c r="AI40" s="50"/>
      <c r="AJ40" s="38">
        <f>IF(ISNUMBER($AD40),SUM($AD40:$AH40),"")</f>
      </c>
      <c r="AK40" s="40">
        <f>IF(AND(ISNUMBER($AB40),ISNUMBER($AD40)),IF($AB40&gt;0,$AD40/$AB40,""),"")</f>
      </c>
      <c r="AL40" s="48" t="inlineStr">
        <is>
          <t xml:space="preserve">At technical</t>
        </is>
      </c>
      <c r="AM40" s="41">
        <f>IF(ISNUMBER($AD40),Header!$I$3,"")</f>
      </c>
      <c r="AN40" s="39">
        <f>IF(ISNUMBER($AD40),$AO40+$AP40,"")</f>
      </c>
      <c r="AO40" s="39">
        <f>IF(ISNUMBER($AD40),ROUND($AD40*Header!$K$3,2),"")</f>
      </c>
      <c r="AP40" s="39">
        <f>IF(ISNUMBER($AD40),ROUND($AD40*Header!$M$3,2),"")</f>
      </c>
      <c r="AQ40" s="38">
        <f>IF(ISNUMBER($AD40),ROUND($AD40,2)-$AO40-$AP40,"")</f>
      </c>
      <c r="AR40" s="39">
        <f>IF(ISNUMBER($AD40),IF(Header!$D$34="","?",$AD40*Header!$D$34),"")</f>
      </c>
      <c r="AS40" s="39">
        <f>IF(ISNUMBER($AB40),IF(Header!$D$34="","?",$AB40*Header!$D$34),"")</f>
      </c>
      <c r="AT40" s="42">
        <f>IF(AND(ISNUMBER($AB40),$M40&gt;0),$AB40/$M40*100,"")</f>
      </c>
      <c r="AU40" s="42">
        <f>IF(AND(ISNUMBER($AD40),$M40&gt;0),$AD40/$M40*100,"")</f>
      </c>
      <c r="AV40" s="40">
        <f>IF(AND(ISNUMBER($AB40),ISNUMBER($AD40),ABS($AB40)&gt;0),$AD40/$AB40,"")</f>
      </c>
      <c r="AW40" s="39">
        <f>IF(ISNUMBER($AD40),MAX(0,(1-0.55-Header!$O$3)*Header!$Q$3*$AQ40),"")</f>
      </c>
      <c r="AX40" s="43">
        <f>IF($A40="","",IF(TRIM(IF($A40="","Missing certificate ref. ","") &amp; IF($C40="","Missing effective date. ","") &amp; IF($D40="","Missing binding status. ","") &amp; IF($E40="","Missing movement type. ","") &amp; IF($I40="","Missing make. ","") &amp; IF($L40="","Missing vehicle class. ","") &amp; IF($M40="","Missing agreed value. ","") &amp; IF($N40="","Missing policy type. ","") &amp; IF($Q40="","Missing garaging state. ","") &amp; IF($R40="","Missing garaging ZIP. ","") &amp; IF($S40="","Missing cat zone. ","") &amp; IF($V40="","Missing valuation basis. ","") &amp; IF($W40="","Missing PD deductible. ","") &amp; IF($X40="","Missing liability limit. ","") &amp; IF($AB40="","Missing technical premium. ","") &amp; IF($AF40="","Missing surplus lines tax %. ",""))="","PASS","FAIL: "&amp;TRIM(IF($A40="","Missing certificate ref. ","") &amp; IF($C40="","Missing effective date. ","") &amp; IF($D40="","Missing binding status. ","") &amp; IF($E40="","Missing movement type. ","") &amp; IF($I40="","Missing make. ","") &amp; IF($L40="","Missing vehicle class. ","") &amp; IF($M40="","Missing agreed value. ","") &amp; IF($N40="","Missing policy type. ","") &amp; IF($Q40="","Missing garaging state. ","") &amp; IF($R40="","Missing garaging ZIP. ","") &amp; IF($S40="","Missing cat zone. ","") &amp; IF($V40="","Missing valuation basis. ","") &amp; IF($W40="","Missing PD deductible. ","") &amp; IF($X40="","Missing liability limit. ","") &amp; IF($AB40="","Missing technical premium. ","") &amp; IF($AF40="","Missing surplus lines tax %. ",""))))</f>
      </c>
      <c r="AY40" s="44">
        <f>IF($M40="","",IF(ISNUMBER($M40),IF($M40&gt;=Header!$C$18,"YES — refer","No"),""))</f>
      </c>
      <c r="AZ40" s="44">
        <f>IF($AD40="","",IF(ISNUMBER($AD40),IF($AD40&lt;Header!$C$20,"BELOW MIN PREMIUM","OK"),""))</f>
      </c>
      <c r="BA40" s="48" t="inlineStr">
        <is>
          <t xml:space="preserve">Yes</t>
        </is>
      </c>
      <c r="BB40" s="48" t="inlineStr">
        <is>
          <t xml:space="preserve">Yes</t>
        </is>
      </c>
      <c r="BC40" s="46" t="inlineStr">
        <is>
          <t xml:space="preserve">Synthetic demo data</t>
        </is>
      </c>
      <c r="BE40" s="45">
        <f>IF(OR($A40="",$L40="",$H40=""),"",IF(AND(LEFT($L40,2)="06",$H40&gt;1945),"FAIL - pre-war class, year "&amp;$H40,IF(AND(LEFT($L40,2)="07",OR($H40&lt;1946,$H40&gt;1972)),"FAIL - 1946-72 class, year "&amp;$H40,IF(AND(LEFT($L40,2)="08",OR($H40&lt;1973,$H40&gt;1999)),"FAIL - 1973-99 class, year "&amp;$H40,IF(AND(LEFT($L40,2)="09",OR($H40&lt;2000,$H40&gt;2010)),"FAIL - 2000-10 class, year "&amp;$H40,"OK")))))</f>
      </c>
      <c r="BF40" s="45">
        <f>IF($AD40="","",IF(ROUND($AO40+$AP40+$AQ40-$AD40,2)=0,"OK","FAIL - out by "&amp;TEXT($AO40+$AP40+$AQ40-$AD40,"$0.00")))</f>
      </c>
    </row>
    <row r="41" spans="1:58" ht="18.75" customHeight="1" x14ac:dyDescent="0.25">
      <c r="A41" s="30" t="inlineStr">
        <is>
          <t xml:space="preserve">CANON-202511-002214</t>
        </is>
      </c>
      <c r="B41" s="30" t="inlineStr">
        <is>
          <t xml:space="preserve">Marisol Delacroix</t>
        </is>
      </c>
      <c r="C41" s="31">
        <v>45983</v>
      </c>
      <c r="D41" s="32" t="inlineStr">
        <is>
          <t xml:space="preserve">Bound - within authority</t>
        </is>
      </c>
      <c r="E41" s="32" t="inlineStr">
        <is>
          <t xml:space="preserve">New business</t>
        </is>
      </c>
      <c r="F41" s="30" t="inlineStr">
        <is>
          <t xml:space="preserve">B1234EXOTIC26</t>
        </is>
      </c>
      <c r="G41" s="33">
        <f>IF($A41="","",IF($C41="","",YEAR($C41)))</f>
      </c>
      <c r="H41" s="34">
        <v>2000</v>
      </c>
      <c r="I41" s="30" t="inlineStr">
        <is>
          <t xml:space="preserve">Aston Martin</t>
        </is>
      </c>
      <c r="J41" s="30" t="inlineStr">
        <is>
          <t xml:space="preserve">DB12</t>
        </is>
      </c>
      <c r="K41" s="30" t="inlineStr">
        <is>
          <t xml:space="preserve">G05LFAMH6H5KUMKWW</t>
        </is>
      </c>
      <c r="L41" s="32" t="inlineStr">
        <is>
          <t xml:space="preserve">02 - Sports / GT</t>
        </is>
      </c>
      <c r="M41" s="35">
        <v>610000</v>
      </c>
      <c r="N41" s="32" t="inlineStr">
        <is>
          <t xml:space="preserve">Personal</t>
        </is>
      </c>
      <c r="O41" s="30" t="inlineStr">
        <is>
          <t xml:space="preserve">Personal - regular use</t>
        </is>
      </c>
      <c r="P41" s="30" t="inlineStr">
        <is>
          <t xml:space="preserve">Under 1,000</t>
        </is>
      </c>
      <c r="Q41" s="30" t="inlineStr">
        <is>
          <t xml:space="preserve">Montana</t>
        </is>
      </c>
      <c r="R41" s="30" t="inlineStr">
        <is>
          <t xml:space="preserve">59601</t>
        </is>
      </c>
      <c r="S41" s="32" t="inlineStr">
        <is>
          <t xml:space="preserve">Wildfire - WUI high hazard</t>
        </is>
      </c>
      <c r="T41" s="36">
        <f>IF($A41="","",IF($S41="","",IFERROR(INDEX('[1]natural catastrophe'!$D$6:$D$17,MATCH($S41,'[1]natural catastrophe'!$B$6:$B$17,0)),"?")))</f>
      </c>
      <c r="U41" s="30" t="inlineStr">
        <is>
          <t xml:space="preserve">$5,000</t>
        </is>
      </c>
      <c r="V41" s="32" t="inlineStr">
        <is>
          <t xml:space="preserve">Agreed Value</t>
        </is>
      </c>
      <c r="W41" s="30" t="inlineStr">
        <is>
          <t xml:space="preserve">$1,000</t>
        </is>
      </c>
      <c r="X41" s="32" t="inlineStr">
        <is>
          <t xml:space="preserve">$1,000,000 CSL</t>
        </is>
      </c>
      <c r="Y41" s="30"/>
      <c r="Z41" s="30"/>
      <c r="AA41" s="32" t="inlineStr">
        <is>
          <t xml:space="preserve">Surplus Lines</t>
        </is>
      </c>
      <c r="AB41" s="35">
        <v>6396.68</v>
      </c>
      <c r="AC41" s="37">
        <v>0</v>
      </c>
      <c r="AD41" s="38">
        <f>IF(ISNUMBER($AB41),$AB41*(1+N($AC41)),"")</f>
      </c>
      <c r="AE41" s="35">
        <v>350</v>
      </c>
      <c r="AF41" s="35">
        <v>0</v>
      </c>
      <c r="AG41" s="37"/>
      <c r="AH41" s="39">
        <f>IF(ISNUMBER($AD41),($AD41+$AE41+$AF41)*$AG41,"")</f>
      </c>
      <c r="AI41" s="35"/>
      <c r="AJ41" s="38">
        <f>IF(ISNUMBER($AD41),SUM($AD41:$AH41),"")</f>
      </c>
      <c r="AK41" s="40">
        <f>IF(AND(ISNUMBER($AB41),ISNUMBER($AD41)),IF($AB41&gt;0,$AD41/$AB41,""),"")</f>
      </c>
      <c r="AL41" s="32" t="inlineStr">
        <is>
          <t xml:space="preserve">At technical</t>
        </is>
      </c>
      <c r="AM41" s="41">
        <f>IF(ISNUMBER($AD41),Header!$I$3,"")</f>
      </c>
      <c r="AN41" s="39">
        <f>IF(ISNUMBER($AD41),$AO41+$AP41,"")</f>
      </c>
      <c r="AO41" s="39">
        <f>IF(ISNUMBER($AD41),ROUND($AD41*Header!$K$3,2),"")</f>
      </c>
      <c r="AP41" s="39">
        <f>IF(ISNUMBER($AD41),ROUND($AD41*Header!$M$3,2),"")</f>
      </c>
      <c r="AQ41" s="38">
        <f>IF(ISNUMBER($AD41),ROUND($AD41,2)-$AO41-$AP41,"")</f>
      </c>
      <c r="AR41" s="39">
        <f>IF(ISNUMBER($AD41),IF(Header!$D$34="","?",$AD41*Header!$D$34),"")</f>
      </c>
      <c r="AS41" s="39">
        <f>IF(ISNUMBER($AB41),IF(Header!$D$34="","?",$AB41*Header!$D$34),"")</f>
      </c>
      <c r="AT41" s="42">
        <f>IF(AND(ISNUMBER($AB41),$M41&gt;0),$AB41/$M41*100,"")</f>
      </c>
      <c r="AU41" s="42">
        <f>IF(AND(ISNUMBER($AD41),$M41&gt;0),$AD41/$M41*100,"")</f>
      </c>
      <c r="AV41" s="40">
        <f>IF(AND(ISNUMBER($AB41),ISNUMBER($AD41),ABS($AB41)&gt;0),$AD41/$AB41,"")</f>
      </c>
      <c r="AW41" s="39">
        <f>IF(ISNUMBER($AD41),MAX(0,(1-0.55-Header!$O$3)*Header!$Q$3*$AQ41),"")</f>
      </c>
      <c r="AX41" s="43">
        <f>IF($A41="","",IF(TRIM(IF($A41="","Missing certificate ref. ","") &amp; IF($C41="","Missing effective date. ","") &amp; IF($D41="","Missing binding status. ","") &amp; IF($E41="","Missing movement type. ","") &amp; IF($I41="","Missing make. ","") &amp; IF($L41="","Missing vehicle class. ","") &amp; IF($M41="","Missing agreed value. ","") &amp; IF($N41="","Missing policy type. ","") &amp; IF($Q41="","Missing garaging state. ","") &amp; IF($R41="","Missing garaging ZIP. ","") &amp; IF($S41="","Missing cat zone. ","") &amp; IF($V41="","Missing valuation basis. ","") &amp; IF($W41="","Missing PD deductible. ","") &amp; IF($X41="","Missing liability limit. ","") &amp; IF($AB41="","Missing technical premium. ","") &amp; IF($AF41="","Missing surplus lines tax %. ",""))="","PASS","FAIL: "&amp;TRIM(IF($A41="","Missing certificate ref. ","") &amp; IF($C41="","Missing effective date. ","") &amp; IF($D41="","Missing binding status. ","") &amp; IF($E41="","Missing movement type. ","") &amp; IF($I41="","Missing make. ","") &amp; IF($L41="","Missing vehicle class. ","") &amp; IF($M41="","Missing agreed value. ","") &amp; IF($N41="","Missing policy type. ","") &amp; IF($Q41="","Missing garaging state. ","") &amp; IF($R41="","Missing garaging ZIP. ","") &amp; IF($S41="","Missing cat zone. ","") &amp; IF($V41="","Missing valuation basis. ","") &amp; IF($W41="","Missing PD deductible. ","") &amp; IF($X41="","Missing liability limit. ","") &amp; IF($AB41="","Missing technical premium. ","") &amp; IF($AF41="","Missing surplus lines tax %. ",""))))</f>
      </c>
      <c r="AY41" s="44">
        <f>IF($M41="","",IF(ISNUMBER($M41),IF($M41&gt;=Header!$C$18,"YES — refer","No"),""))</f>
      </c>
      <c r="AZ41" s="44">
        <f>IF($AD41="","",IF(ISNUMBER($AD41),IF($AD41&lt;Header!$C$20,"BELOW MIN PREMIUM","OK"),""))</f>
      </c>
      <c r="BA41" s="32" t="inlineStr">
        <is>
          <t xml:space="preserve">Yes</t>
        </is>
      </c>
      <c r="BB41" s="32" t="inlineStr">
        <is>
          <t xml:space="preserve">Yes</t>
        </is>
      </c>
      <c r="BC41" s="30" t="inlineStr">
        <is>
          <t xml:space="preserve">Synthetic demo data</t>
        </is>
      </c>
      <c r="BE41" s="45">
        <f>IF(OR($A41="",$L41="",$H41=""),"",IF(AND(LEFT($L41,2)="06",$H41&gt;1945),"FAIL - pre-war class, year "&amp;$H41,IF(AND(LEFT($L41,2)="07",OR($H41&lt;1946,$H41&gt;1972)),"FAIL - 1946-72 class, year "&amp;$H41,IF(AND(LEFT($L41,2)="08",OR($H41&lt;1973,$H41&gt;1999)),"FAIL - 1973-99 class, year "&amp;$H41,IF(AND(LEFT($L41,2)="09",OR($H41&lt;2000,$H41&gt;2010)),"FAIL - 2000-10 class, year "&amp;$H41,"OK")))))</f>
      </c>
      <c r="BF41" s="45">
        <f>IF($AD41="","",IF(ROUND($AO41+$AP41+$AQ41-$AD41,2)=0,"OK","FAIL - out by "&amp;TEXT($AO41+$AP41+$AQ41-$AD41,"$0.00")))</f>
      </c>
    </row>
    <row r="42" spans="1:58" ht="18.75" customHeight="1" x14ac:dyDescent="0.25">
      <c r="A42" s="46" t="inlineStr">
        <is>
          <t xml:space="preserve">CANON-202511-002215</t>
        </is>
      </c>
      <c r="B42" s="46" t="inlineStr">
        <is>
          <t xml:space="preserve">Emiliano Fairweather</t>
        </is>
      </c>
      <c r="C42" s="47">
        <v>45977</v>
      </c>
      <c r="D42" s="48" t="inlineStr">
        <is>
          <t xml:space="preserve">Bound - within authority</t>
        </is>
      </c>
      <c r="E42" s="48" t="inlineStr">
        <is>
          <t xml:space="preserve">New business</t>
        </is>
      </c>
      <c r="F42" s="46" t="inlineStr">
        <is>
          <t xml:space="preserve">B1234EXOTIC26</t>
        </is>
      </c>
      <c r="G42" s="33">
        <f>IF($A42="","",IF($C42="","",YEAR($C42)))</f>
      </c>
      <c r="H42" s="49">
        <v>1959</v>
      </c>
      <c r="I42" s="46" t="inlineStr">
        <is>
          <t xml:space="preserve">McLaren</t>
        </is>
      </c>
      <c r="J42" s="46" t="inlineStr">
        <is>
          <t xml:space="preserve">750S</t>
        </is>
      </c>
      <c r="K42" s="46" t="inlineStr">
        <is>
          <t xml:space="preserve">VZW6K9XKG5LWH69EV</t>
        </is>
      </c>
      <c r="L42" s="48" t="inlineStr">
        <is>
          <t xml:space="preserve">03 - Supercar</t>
        </is>
      </c>
      <c r="M42" s="50">
        <v>1305000</v>
      </c>
      <c r="N42" s="48" t="inlineStr">
        <is>
          <t xml:space="preserve">Personal</t>
        </is>
      </c>
      <c r="O42" s="46" t="inlineStr">
        <is>
          <t xml:space="preserve">Personal - regular use</t>
        </is>
      </c>
      <c r="P42" s="46" t="inlineStr">
        <is>
          <t xml:space="preserve">1,000 - 2,500</t>
        </is>
      </c>
      <c r="Q42" s="46" t="inlineStr">
        <is>
          <t xml:space="preserve">Kansas</t>
        </is>
      </c>
      <c r="R42" s="46" t="inlineStr">
        <is>
          <t xml:space="preserve">66603</t>
        </is>
      </c>
      <c r="S42" s="48" t="inlineStr">
        <is>
          <t xml:space="preserve">Severe convective - hail alley (high)</t>
        </is>
      </c>
      <c r="T42" s="36">
        <f>IF($A42="","",IF($S42="","",IFERROR(INDEX('[1]natural catastrophe'!$D$6:$D$17,MATCH($S42,'[1]natural catastrophe'!$B$6:$B$17,0)),"?")))</f>
      </c>
      <c r="U42" s="46" t="inlineStr">
        <is>
          <t xml:space="preserve">$5,000</t>
        </is>
      </c>
      <c r="V42" s="48" t="inlineStr">
        <is>
          <t xml:space="preserve">Agreed Value</t>
        </is>
      </c>
      <c r="W42" s="46" t="inlineStr">
        <is>
          <t xml:space="preserve">$1,000</t>
        </is>
      </c>
      <c r="X42" s="48" t="inlineStr">
        <is>
          <t xml:space="preserve">$1,000,000 CSL</t>
        </is>
      </c>
      <c r="Y42" s="46"/>
      <c r="Z42" s="46"/>
      <c r="AA42" s="48" t="inlineStr">
        <is>
          <t xml:space="preserve">Surplus Lines</t>
        </is>
      </c>
      <c r="AB42" s="50">
        <v>17567.13</v>
      </c>
      <c r="AC42" s="51">
        <v>0</v>
      </c>
      <c r="AD42" s="38">
        <f>IF(ISNUMBER($AB42),$AB42*(1+N($AC42)),"")</f>
      </c>
      <c r="AE42" s="50">
        <v>350</v>
      </c>
      <c r="AF42" s="50">
        <v>250</v>
      </c>
      <c r="AG42" s="51"/>
      <c r="AH42" s="39">
        <f>IF(ISNUMBER($AD42),($AD42+$AE42+$AF42)*$AG42,"")</f>
      </c>
      <c r="AI42" s="50"/>
      <c r="AJ42" s="38">
        <f>IF(ISNUMBER($AD42),SUM($AD42:$AH42),"")</f>
      </c>
      <c r="AK42" s="40">
        <f>IF(AND(ISNUMBER($AB42),ISNUMBER($AD42)),IF($AB42&gt;0,$AD42/$AB42,""),"")</f>
      </c>
      <c r="AL42" s="48" t="inlineStr">
        <is>
          <t xml:space="preserve">At technical</t>
        </is>
      </c>
      <c r="AM42" s="41">
        <f>IF(ISNUMBER($AD42),Header!$I$3,"")</f>
      </c>
      <c r="AN42" s="39">
        <f>IF(ISNUMBER($AD42),$AO42+$AP42,"")</f>
      </c>
      <c r="AO42" s="39">
        <f>IF(ISNUMBER($AD42),ROUND($AD42*Header!$K$3,2),"")</f>
      </c>
      <c r="AP42" s="39">
        <f>IF(ISNUMBER($AD42),ROUND($AD42*Header!$M$3,2),"")</f>
      </c>
      <c r="AQ42" s="38">
        <f>IF(ISNUMBER($AD42),ROUND($AD42,2)-$AO42-$AP42,"")</f>
      </c>
      <c r="AR42" s="39">
        <f>IF(ISNUMBER($AD42),IF(Header!$D$34="","?",$AD42*Header!$D$34),"")</f>
      </c>
      <c r="AS42" s="39">
        <f>IF(ISNUMBER($AB42),IF(Header!$D$34="","?",$AB42*Header!$D$34),"")</f>
      </c>
      <c r="AT42" s="42">
        <f>IF(AND(ISNUMBER($AB42),$M42&gt;0),$AB42/$M42*100,"")</f>
      </c>
      <c r="AU42" s="42">
        <f>IF(AND(ISNUMBER($AD42),$M42&gt;0),$AD42/$M42*100,"")</f>
      </c>
      <c r="AV42" s="40">
        <f>IF(AND(ISNUMBER($AB42),ISNUMBER($AD42),ABS($AB42)&gt;0),$AD42/$AB42,"")</f>
      </c>
      <c r="AW42" s="39">
        <f>IF(ISNUMBER($AD42),MAX(0,(1-0.55-Header!$O$3)*Header!$Q$3*$AQ42),"")</f>
      </c>
      <c r="AX42" s="43">
        <f>IF($A42="","",IF(TRIM(IF($A42="","Missing certificate ref. ","") &amp; IF($C42="","Missing effective date. ","") &amp; IF($D42="","Missing binding status. ","") &amp; IF($E42="","Missing movement type. ","") &amp; IF($I42="","Missing make. ","") &amp; IF($L42="","Missing vehicle class. ","") &amp; IF($M42="","Missing agreed value. ","") &amp; IF($N42="","Missing policy type. ","") &amp; IF($Q42="","Missing garaging state. ","") &amp; IF($R42="","Missing garaging ZIP. ","") &amp; IF($S42="","Missing cat zone. ","") &amp; IF($V42="","Missing valuation basis. ","") &amp; IF($W42="","Missing PD deductible. ","") &amp; IF($X42="","Missing liability limit. ","") &amp; IF($AB42="","Missing technical premium. ","") &amp; IF($AF42="","Missing surplus lines tax %. ",""))="","PASS","FAIL: "&amp;TRIM(IF($A42="","Missing certificate ref. ","") &amp; IF($C42="","Missing effective date. ","") &amp; IF($D42="","Missing binding status. ","") &amp; IF($E42="","Missing movement type. ","") &amp; IF($I42="","Missing make. ","") &amp; IF($L42="","Missing vehicle class. ","") &amp; IF($M42="","Missing agreed value. ","") &amp; IF($N42="","Missing policy type. ","") &amp; IF($Q42="","Missing garaging state. ","") &amp; IF($R42="","Missing garaging ZIP. ","") &amp; IF($S42="","Missing cat zone. ","") &amp; IF($V42="","Missing valuation basis. ","") &amp; IF($W42="","Missing PD deductible. ","") &amp; IF($X42="","Missing liability limit. ","") &amp; IF($AB42="","Missing technical premium. ","") &amp; IF($AF42="","Missing surplus lines tax %. ",""))))</f>
      </c>
      <c r="AY42" s="44">
        <f>IF($M42="","",IF(ISNUMBER($M42),IF($M42&gt;=Header!$C$18,"YES — refer","No"),""))</f>
      </c>
      <c r="AZ42" s="44">
        <f>IF($AD42="","",IF(ISNUMBER($AD42),IF($AD42&lt;Header!$C$20,"BELOW MIN PREMIUM","OK"),""))</f>
      </c>
      <c r="BA42" s="48" t="inlineStr">
        <is>
          <t xml:space="preserve">Yes</t>
        </is>
      </c>
      <c r="BB42" s="48" t="inlineStr">
        <is>
          <t xml:space="preserve">Yes</t>
        </is>
      </c>
      <c r="BC42" s="46" t="inlineStr">
        <is>
          <t xml:space="preserve">Synthetic demo data</t>
        </is>
      </c>
      <c r="BE42" s="45">
        <f>IF(OR($A42="",$L42="",$H42=""),"",IF(AND(LEFT($L42,2)="06",$H42&gt;1945),"FAIL - pre-war class, year "&amp;$H42,IF(AND(LEFT($L42,2)="07",OR($H42&lt;1946,$H42&gt;1972)),"FAIL - 1946-72 class, year "&amp;$H42,IF(AND(LEFT($L42,2)="08",OR($H42&lt;1973,$H42&gt;1999)),"FAIL - 1973-99 class, year "&amp;$H42,IF(AND(LEFT($L42,2)="09",OR($H42&lt;2000,$H42&gt;2010)),"FAIL - 2000-10 class, year "&amp;$H42,"OK")))))</f>
      </c>
      <c r="BF42" s="45">
        <f>IF($AD42="","",IF(ROUND($AO42+$AP42+$AQ42-$AD42,2)=0,"OK","FAIL - out by "&amp;TEXT($AO42+$AP42+$AQ42-$AD42,"$0.00")))</f>
      </c>
    </row>
    <row r="43" spans="1:58" ht="18.75" customHeight="1" x14ac:dyDescent="0.25">
      <c r="A43" s="30" t="inlineStr">
        <is>
          <t xml:space="preserve">CANON-202511-002216</t>
        </is>
      </c>
      <c r="B43" s="30" t="inlineStr">
        <is>
          <t xml:space="preserve">Delphine Okonkwo</t>
        </is>
      </c>
      <c r="C43" s="31">
        <v>45974</v>
      </c>
      <c r="D43" s="32" t="inlineStr">
        <is>
          <t xml:space="preserve">Bound - within authority</t>
        </is>
      </c>
      <c r="E43" s="32" t="inlineStr">
        <is>
          <t xml:space="preserve">New business</t>
        </is>
      </c>
      <c r="F43" s="30" t="inlineStr">
        <is>
          <t xml:space="preserve">B1234EXOTIC26</t>
        </is>
      </c>
      <c r="G43" s="33">
        <f>IF($A43="","",IF($C43="","",YEAR($C43)))</f>
      </c>
      <c r="H43" s="34">
        <v>2000</v>
      </c>
      <c r="I43" s="30" t="inlineStr">
        <is>
          <t xml:space="preserve">Ferrari</t>
        </is>
      </c>
      <c r="J43" s="30" t="inlineStr">
        <is>
          <t xml:space="preserve">296 GTB</t>
        </is>
      </c>
      <c r="K43" s="30" t="inlineStr">
        <is>
          <t xml:space="preserve">V6G7BX689USAH72EG</t>
        </is>
      </c>
      <c r="L43" s="32" t="inlineStr">
        <is>
          <t xml:space="preserve">03 - Supercar</t>
        </is>
      </c>
      <c r="M43" s="35">
        <v>520000</v>
      </c>
      <c r="N43" s="32" t="inlineStr">
        <is>
          <t xml:space="preserve">Personal</t>
        </is>
      </c>
      <c r="O43" s="30" t="inlineStr">
        <is>
          <t xml:space="preserve">Personal - regular use</t>
        </is>
      </c>
      <c r="P43" s="30" t="inlineStr">
        <is>
          <t xml:space="preserve">2,500 - 5,000</t>
        </is>
      </c>
      <c r="Q43" s="30" t="inlineStr">
        <is>
          <t xml:space="preserve">Vermont</t>
        </is>
      </c>
      <c r="R43" s="30" t="inlineStr">
        <is>
          <t xml:space="preserve">05601</t>
        </is>
      </c>
      <c r="S43" s="32" t="inlineStr">
        <is>
          <t xml:space="preserve">Low hazard - inland benign</t>
        </is>
      </c>
      <c r="T43" s="36">
        <f>IF($A43="","",IF($S43="","",IFERROR(INDEX('[1]natural catastrophe'!$D$6:$D$17,MATCH($S43,'[1]natural catastrophe'!$B$6:$B$17,0)),"?")))</f>
      </c>
      <c r="U43" s="30" t="inlineStr">
        <is>
          <t xml:space="preserve">$5,000</t>
        </is>
      </c>
      <c r="V43" s="32" t="inlineStr">
        <is>
          <t xml:space="preserve">Agreed Value</t>
        </is>
      </c>
      <c r="W43" s="30" t="inlineStr">
        <is>
          <t xml:space="preserve">$1,000</t>
        </is>
      </c>
      <c r="X43" s="32" t="inlineStr">
        <is>
          <t xml:space="preserve">$1,000,000 CSL</t>
        </is>
      </c>
      <c r="Y43" s="30"/>
      <c r="Z43" s="30"/>
      <c r="AA43" s="32" t="inlineStr">
        <is>
          <t xml:space="preserve">Surplus Lines</t>
        </is>
      </c>
      <c r="AB43" s="35">
        <v>10454.79</v>
      </c>
      <c r="AC43" s="37">
        <v>0</v>
      </c>
      <c r="AD43" s="38">
        <f>IF(ISNUMBER($AB43),$AB43*(1+N($AC43)),"")</f>
      </c>
      <c r="AE43" s="35">
        <v>350</v>
      </c>
      <c r="AF43" s="35">
        <v>0</v>
      </c>
      <c r="AG43" s="37"/>
      <c r="AH43" s="39">
        <f>IF(ISNUMBER($AD43),($AD43+$AE43+$AF43)*$AG43,"")</f>
      </c>
      <c r="AI43" s="35"/>
      <c r="AJ43" s="38">
        <f>IF(ISNUMBER($AD43),SUM($AD43:$AH43),"")</f>
      </c>
      <c r="AK43" s="40">
        <f>IF(AND(ISNUMBER($AB43),ISNUMBER($AD43)),IF($AB43&gt;0,$AD43/$AB43,""),"")</f>
      </c>
      <c r="AL43" s="32" t="inlineStr">
        <is>
          <t xml:space="preserve">At technical</t>
        </is>
      </c>
      <c r="AM43" s="41">
        <f>IF(ISNUMBER($AD43),Header!$I$3,"")</f>
      </c>
      <c r="AN43" s="39">
        <f>IF(ISNUMBER($AD43),$AO43+$AP43,"")</f>
      </c>
      <c r="AO43" s="39">
        <f>IF(ISNUMBER($AD43),ROUND($AD43*Header!$K$3,2),"")</f>
      </c>
      <c r="AP43" s="39">
        <f>IF(ISNUMBER($AD43),ROUND($AD43*Header!$M$3,2),"")</f>
      </c>
      <c r="AQ43" s="38">
        <f>IF(ISNUMBER($AD43),ROUND($AD43,2)-$AO43-$AP43,"")</f>
      </c>
      <c r="AR43" s="39">
        <f>IF(ISNUMBER($AD43),IF(Header!$D$34="","?",$AD43*Header!$D$34),"")</f>
      </c>
      <c r="AS43" s="39">
        <f>IF(ISNUMBER($AB43),IF(Header!$D$34="","?",$AB43*Header!$D$34),"")</f>
      </c>
      <c r="AT43" s="42">
        <f>IF(AND(ISNUMBER($AB43),$M43&gt;0),$AB43/$M43*100,"")</f>
      </c>
      <c r="AU43" s="42">
        <f>IF(AND(ISNUMBER($AD43),$M43&gt;0),$AD43/$M43*100,"")</f>
      </c>
      <c r="AV43" s="40">
        <f>IF(AND(ISNUMBER($AB43),ISNUMBER($AD43),ABS($AB43)&gt;0),$AD43/$AB43,"")</f>
      </c>
      <c r="AW43" s="39">
        <f>IF(ISNUMBER($AD43),MAX(0,(1-0.55-Header!$O$3)*Header!$Q$3*$AQ43),"")</f>
      </c>
      <c r="AX43" s="43">
        <f>IF($A43="","",IF(TRIM(IF($A43="","Missing certificate ref. ","") &amp; IF($C43="","Missing effective date. ","") &amp; IF($D43="","Missing binding status. ","") &amp; IF($E43="","Missing movement type. ","") &amp; IF($I43="","Missing make. ","") &amp; IF($L43="","Missing vehicle class. ","") &amp; IF($M43="","Missing agreed value. ","") &amp; IF($N43="","Missing policy type. ","") &amp; IF($Q43="","Missing garaging state. ","") &amp; IF($R43="","Missing garaging ZIP. ","") &amp; IF($S43="","Missing cat zone. ","") &amp; IF($V43="","Missing valuation basis. ","") &amp; IF($W43="","Missing PD deductible. ","") &amp; IF($X43="","Missing liability limit. ","") &amp; IF($AB43="","Missing technical premium. ","") &amp; IF($AF43="","Missing surplus lines tax %. ",""))="","PASS","FAIL: "&amp;TRIM(IF($A43="","Missing certificate ref. ","") &amp; IF($C43="","Missing effective date. ","") &amp; IF($D43="","Missing binding status. ","") &amp; IF($E43="","Missing movement type. ","") &amp; IF($I43="","Missing make. ","") &amp; IF($L43="","Missing vehicle class. ","") &amp; IF($M43="","Missing agreed value. ","") &amp; IF($N43="","Missing policy type. ","") &amp; IF($Q43="","Missing garaging state. ","") &amp; IF($R43="","Missing garaging ZIP. ","") &amp; IF($S43="","Missing cat zone. ","") &amp; IF($V43="","Missing valuation basis. ","") &amp; IF($W43="","Missing PD deductible. ","") &amp; IF($X43="","Missing liability limit. ","") &amp; IF($AB43="","Missing technical premium. ","") &amp; IF($AF43="","Missing surplus lines tax %. ",""))))</f>
      </c>
      <c r="AY43" s="44">
        <f>IF($M43="","",IF(ISNUMBER($M43),IF($M43&gt;=Header!$C$18,"YES — refer","No"),""))</f>
      </c>
      <c r="AZ43" s="44">
        <f>IF($AD43="","",IF(ISNUMBER($AD43),IF($AD43&lt;Header!$C$20,"BELOW MIN PREMIUM","OK"),""))</f>
      </c>
      <c r="BA43" s="32" t="inlineStr">
        <is>
          <t xml:space="preserve">Yes</t>
        </is>
      </c>
      <c r="BB43" s="32" t="inlineStr">
        <is>
          <t xml:space="preserve">Yes</t>
        </is>
      </c>
      <c r="BC43" s="30" t="inlineStr">
        <is>
          <t xml:space="preserve">Synthetic demo data</t>
        </is>
      </c>
      <c r="BE43" s="45">
        <f>IF(OR($A43="",$L43="",$H43=""),"",IF(AND(LEFT($L43,2)="06",$H43&gt;1945),"FAIL - pre-war class, year "&amp;$H43,IF(AND(LEFT($L43,2)="07",OR($H43&lt;1946,$H43&gt;1972)),"FAIL - 1946-72 class, year "&amp;$H43,IF(AND(LEFT($L43,2)="08",OR($H43&lt;1973,$H43&gt;1999)),"FAIL - 1973-99 class, year "&amp;$H43,IF(AND(LEFT($L43,2)="09",OR($H43&lt;2000,$H43&gt;2010)),"FAIL - 2000-10 class, year "&amp;$H43,"OK")))))</f>
      </c>
      <c r="BF43" s="45">
        <f>IF($AD43="","",IF(ROUND($AO43+$AP43+$AQ43-$AD43,2)=0,"OK","FAIL - out by "&amp;TEXT($AO43+$AP43+$AQ43-$AD43,"$0.00")))</f>
      </c>
    </row>
    <row r="44" spans="1:58" ht="18.75" customHeight="1" x14ac:dyDescent="0.25">
      <c r="A44" s="46" t="inlineStr">
        <is>
          <t xml:space="preserve">CANON-202511-002217</t>
        </is>
      </c>
      <c r="B44" s="46" t="inlineStr">
        <is>
          <t xml:space="preserve">Beatrix Ashcombe</t>
        </is>
      </c>
      <c r="C44" s="47">
        <v>45981</v>
      </c>
      <c r="D44" s="48" t="inlineStr">
        <is>
          <t xml:space="preserve">Bound - within authority</t>
        </is>
      </c>
      <c r="E44" s="48" t="inlineStr">
        <is>
          <t xml:space="preserve">New business</t>
        </is>
      </c>
      <c r="F44" s="46" t="inlineStr">
        <is>
          <t xml:space="preserve">B1234EXOTIC26</t>
        </is>
      </c>
      <c r="G44" s="33">
        <f>IF($A44="","",IF($C44="","",YEAR($C44)))</f>
      </c>
      <c r="H44" s="49">
        <v>1957</v>
      </c>
      <c r="I44" s="46" t="inlineStr">
        <is>
          <t xml:space="preserve">Mercedes-Benz</t>
        </is>
      </c>
      <c r="J44" s="46" t="inlineStr">
        <is>
          <t xml:space="preserve">AMG GT</t>
        </is>
      </c>
      <c r="K44" s="46" t="inlineStr">
        <is>
          <t xml:space="preserve">ZTDZX1MVZM201T13X</t>
        </is>
      </c>
      <c r="L44" s="48" t="inlineStr">
        <is>
          <t xml:space="preserve">02 - Sports / GT</t>
        </is>
      </c>
      <c r="M44" s="50">
        <v>350000</v>
      </c>
      <c r="N44" s="48" t="inlineStr">
        <is>
          <t xml:space="preserve">Personal</t>
        </is>
      </c>
      <c r="O44" s="46" t="inlineStr">
        <is>
          <t xml:space="preserve">Personal - regular use</t>
        </is>
      </c>
      <c r="P44" s="46" t="inlineStr">
        <is>
          <t xml:space="preserve">1,000 - 2,500</t>
        </is>
      </c>
      <c r="Q44" s="46" t="inlineStr">
        <is>
          <t xml:space="preserve">Arizona</t>
        </is>
      </c>
      <c r="R44" s="46" t="inlineStr">
        <is>
          <t xml:space="preserve">85001</t>
        </is>
      </c>
      <c r="S44" s="48" t="inlineStr">
        <is>
          <t xml:space="preserve">Wildfire - WUI high hazard</t>
        </is>
      </c>
      <c r="T44" s="36">
        <f>IF($A44="","",IF($S44="","",IFERROR(INDEX('[1]natural catastrophe'!$D$6:$D$17,MATCH($S44,'[1]natural catastrophe'!$B$6:$B$17,0)),"?")))</f>
      </c>
      <c r="U44" s="46" t="inlineStr">
        <is>
          <t xml:space="preserve">$5,000</t>
        </is>
      </c>
      <c r="V44" s="48" t="inlineStr">
        <is>
          <t xml:space="preserve">Agreed Value</t>
        </is>
      </c>
      <c r="W44" s="46" t="inlineStr">
        <is>
          <t xml:space="preserve">$1,000</t>
        </is>
      </c>
      <c r="X44" s="48" t="inlineStr">
        <is>
          <t xml:space="preserve">$1,000,000 CSL</t>
        </is>
      </c>
      <c r="Y44" s="46"/>
      <c r="Z44" s="46"/>
      <c r="AA44" s="48" t="inlineStr">
        <is>
          <t xml:space="preserve">Surplus Lines</t>
        </is>
      </c>
      <c r="AB44" s="50">
        <v>4599.17</v>
      </c>
      <c r="AC44" s="51">
        <v>0</v>
      </c>
      <c r="AD44" s="38">
        <f>IF(ISNUMBER($AB44),$AB44*(1+N($AC44)),"")</f>
      </c>
      <c r="AE44" s="50">
        <v>350</v>
      </c>
      <c r="AF44" s="50">
        <v>0</v>
      </c>
      <c r="AG44" s="51"/>
      <c r="AH44" s="39">
        <f>IF(ISNUMBER($AD44),($AD44+$AE44+$AF44)*$AG44,"")</f>
      </c>
      <c r="AI44" s="50"/>
      <c r="AJ44" s="38">
        <f>IF(ISNUMBER($AD44),SUM($AD44:$AH44),"")</f>
      </c>
      <c r="AK44" s="40">
        <f>IF(AND(ISNUMBER($AB44),ISNUMBER($AD44)),IF($AB44&gt;0,$AD44/$AB44,""),"")</f>
      </c>
      <c r="AL44" s="48" t="inlineStr">
        <is>
          <t xml:space="preserve">At technical</t>
        </is>
      </c>
      <c r="AM44" s="41">
        <f>IF(ISNUMBER($AD44),Header!$I$3,"")</f>
      </c>
      <c r="AN44" s="39">
        <f>IF(ISNUMBER($AD44),$AO44+$AP44,"")</f>
      </c>
      <c r="AO44" s="39">
        <f>IF(ISNUMBER($AD44),ROUND($AD44*Header!$K$3,2),"")</f>
      </c>
      <c r="AP44" s="39">
        <f>IF(ISNUMBER($AD44),ROUND($AD44*Header!$M$3,2),"")</f>
      </c>
      <c r="AQ44" s="38">
        <f>IF(ISNUMBER($AD44),ROUND($AD44,2)-$AO44-$AP44,"")</f>
      </c>
      <c r="AR44" s="39">
        <f>IF(ISNUMBER($AD44),IF(Header!$D$34="","?",$AD44*Header!$D$34),"")</f>
      </c>
      <c r="AS44" s="39">
        <f>IF(ISNUMBER($AB44),IF(Header!$D$34="","?",$AB44*Header!$D$34),"")</f>
      </c>
      <c r="AT44" s="42">
        <f>IF(AND(ISNUMBER($AB44),$M44&gt;0),$AB44/$M44*100,"")</f>
      </c>
      <c r="AU44" s="42">
        <f>IF(AND(ISNUMBER($AD44),$M44&gt;0),$AD44/$M44*100,"")</f>
      </c>
      <c r="AV44" s="40">
        <f>IF(AND(ISNUMBER($AB44),ISNUMBER($AD44),ABS($AB44)&gt;0),$AD44/$AB44,"")</f>
      </c>
      <c r="AW44" s="39">
        <f>IF(ISNUMBER($AD44),MAX(0,(1-0.55-Header!$O$3)*Header!$Q$3*$AQ44),"")</f>
      </c>
      <c r="AX44" s="43">
        <f>IF($A44="","",IF(TRIM(IF($A44="","Missing certificate ref. ","") &amp; IF($C44="","Missing effective date. ","") &amp; IF($D44="","Missing binding status. ","") &amp; IF($E44="","Missing movement type. ","") &amp; IF($I44="","Missing make. ","") &amp; IF($L44="","Missing vehicle class. ","") &amp; IF($M44="","Missing agreed value. ","") &amp; IF($N44="","Missing policy type. ","") &amp; IF($Q44="","Missing garaging state. ","") &amp; IF($R44="","Missing garaging ZIP. ","") &amp; IF($S44="","Missing cat zone. ","") &amp; IF($V44="","Missing valuation basis. ","") &amp; IF($W44="","Missing PD deductible. ","") &amp; IF($X44="","Missing liability limit. ","") &amp; IF($AB44="","Missing technical premium. ","") &amp; IF($AF44="","Missing surplus lines tax %. ",""))="","PASS","FAIL: "&amp;TRIM(IF($A44="","Missing certificate ref. ","") &amp; IF($C44="","Missing effective date. ","") &amp; IF($D44="","Missing binding status. ","") &amp; IF($E44="","Missing movement type. ","") &amp; IF($I44="","Missing make. ","") &amp; IF($L44="","Missing vehicle class. ","") &amp; IF($M44="","Missing agreed value. ","") &amp; IF($N44="","Missing policy type. ","") &amp; IF($Q44="","Missing garaging state. ","") &amp; IF($R44="","Missing garaging ZIP. ","") &amp; IF($S44="","Missing cat zone. ","") &amp; IF($V44="","Missing valuation basis. ","") &amp; IF($W44="","Missing PD deductible. ","") &amp; IF($X44="","Missing liability limit. ","") &amp; IF($AB44="","Missing technical premium. ","") &amp; IF($AF44="","Missing surplus lines tax %. ",""))))</f>
      </c>
      <c r="AY44" s="44">
        <f>IF($M44="","",IF(ISNUMBER($M44),IF($M44&gt;=Header!$C$18,"YES — refer","No"),""))</f>
      </c>
      <c r="AZ44" s="44">
        <f>IF($AD44="","",IF(ISNUMBER($AD44),IF($AD44&lt;Header!$C$20,"BELOW MIN PREMIUM","OK"),""))</f>
      </c>
      <c r="BA44" s="48" t="inlineStr">
        <is>
          <t xml:space="preserve">Yes</t>
        </is>
      </c>
      <c r="BB44" s="48" t="inlineStr">
        <is>
          <t xml:space="preserve">Yes</t>
        </is>
      </c>
      <c r="BC44" s="46" t="inlineStr">
        <is>
          <t xml:space="preserve">Synthetic demo data</t>
        </is>
      </c>
      <c r="BE44" s="45">
        <f>IF(OR($A44="",$L44="",$H44=""),"",IF(AND(LEFT($L44,2)="06",$H44&gt;1945),"FAIL - pre-war class, year "&amp;$H44,IF(AND(LEFT($L44,2)="07",OR($H44&lt;1946,$H44&gt;1972)),"FAIL - 1946-72 class, year "&amp;$H44,IF(AND(LEFT($L44,2)="08",OR($H44&lt;1973,$H44&gt;1999)),"FAIL - 1973-99 class, year "&amp;$H44,IF(AND(LEFT($L44,2)="09",OR($H44&lt;2000,$H44&gt;2010)),"FAIL - 2000-10 class, year "&amp;$H44,"OK")))))</f>
      </c>
      <c r="BF44" s="45">
        <f>IF($AD44="","",IF(ROUND($AO44+$AP44+$AQ44-$AD44,2)=0,"OK","FAIL - out by "&amp;TEXT($AO44+$AP44+$AQ44-$AD44,"$0.00")))</f>
      </c>
    </row>
    <row r="45" spans="1:58" ht="18.75" customHeight="1" x14ac:dyDescent="0.25">
      <c r="A45" s="30" t="inlineStr">
        <is>
          <t xml:space="preserve">CANON-202511-002218</t>
        </is>
      </c>
      <c r="B45" s="30" t="inlineStr">
        <is>
          <t xml:space="preserve">Noor Castellanos</t>
        </is>
      </c>
      <c r="C45" s="31">
        <v>45968</v>
      </c>
      <c r="D45" s="32" t="inlineStr">
        <is>
          <t xml:space="preserve">Bound - within authority</t>
        </is>
      </c>
      <c r="E45" s="32" t="inlineStr">
        <is>
          <t xml:space="preserve">New business</t>
        </is>
      </c>
      <c r="F45" s="30" t="inlineStr">
        <is>
          <t xml:space="preserve">B1234EXOTIC26</t>
        </is>
      </c>
      <c r="G45" s="33">
        <f>IF($A45="","",IF($C45="","",YEAR($C45)))</f>
      </c>
      <c r="H45" s="34">
        <v>1979</v>
      </c>
      <c r="I45" s="30" t="inlineStr">
        <is>
          <t xml:space="preserve">BMW</t>
        </is>
      </c>
      <c r="J45" s="30" t="inlineStr">
        <is>
          <t xml:space="preserve">M8 Competition</t>
        </is>
      </c>
      <c r="K45" s="30" t="inlineStr">
        <is>
          <t xml:space="preserve">5CVD9R6C01FU5UL0X</t>
        </is>
      </c>
      <c r="L45" s="32" t="inlineStr">
        <is>
          <t xml:space="preserve">02 - Sports / GT</t>
        </is>
      </c>
      <c r="M45" s="35">
        <v>410000</v>
      </c>
      <c r="N45" s="32" t="inlineStr">
        <is>
          <t xml:space="preserve">Personal</t>
        </is>
      </c>
      <c r="O45" s="30" t="inlineStr">
        <is>
          <t xml:space="preserve">Personal - regular use</t>
        </is>
      </c>
      <c r="P45" s="30" t="inlineStr">
        <is>
          <t xml:space="preserve">2,500 - 5,000</t>
        </is>
      </c>
      <c r="Q45" s="30" t="inlineStr">
        <is>
          <t xml:space="preserve">California</t>
        </is>
      </c>
      <c r="R45" s="30" t="inlineStr">
        <is>
          <t xml:space="preserve">90012</t>
        </is>
      </c>
      <c r="S45" s="32" t="inlineStr">
        <is>
          <t xml:space="preserve">Earthquake - high (CA, Cascadia, New Madrid)</t>
        </is>
      </c>
      <c r="T45" s="36">
        <f>IF($A45="","",IF($S45="","",IFERROR(INDEX('[1]natural catastrophe'!$D$6:$D$17,MATCH($S45,'[1]natural catastrophe'!$B$6:$B$17,0)),"?")))</f>
      </c>
      <c r="U45" s="30" t="inlineStr">
        <is>
          <t xml:space="preserve">$5,000</t>
        </is>
      </c>
      <c r="V45" s="32" t="inlineStr">
        <is>
          <t xml:space="preserve">Agreed Value</t>
        </is>
      </c>
      <c r="W45" s="30" t="inlineStr">
        <is>
          <t xml:space="preserve">$1,000</t>
        </is>
      </c>
      <c r="X45" s="32" t="inlineStr">
        <is>
          <t xml:space="preserve">$1,000,000 CSL</t>
        </is>
      </c>
      <c r="Y45" s="30"/>
      <c r="Z45" s="30"/>
      <c r="AA45" s="32" t="inlineStr">
        <is>
          <t xml:space="preserve">Surplus Lines</t>
        </is>
      </c>
      <c r="AB45" s="35">
        <v>7201.25</v>
      </c>
      <c r="AC45" s="37">
        <v>0</v>
      </c>
      <c r="AD45" s="38">
        <f>IF(ISNUMBER($AB45),$AB45*(1+N($AC45)),"")</f>
      </c>
      <c r="AE45" s="35">
        <v>350</v>
      </c>
      <c r="AF45" s="35">
        <v>0</v>
      </c>
      <c r="AG45" s="37"/>
      <c r="AH45" s="39">
        <f>IF(ISNUMBER($AD45),($AD45+$AE45+$AF45)*$AG45,"")</f>
      </c>
      <c r="AI45" s="35"/>
      <c r="AJ45" s="38">
        <f>IF(ISNUMBER($AD45),SUM($AD45:$AH45),"")</f>
      </c>
      <c r="AK45" s="40">
        <f>IF(AND(ISNUMBER($AB45),ISNUMBER($AD45)),IF($AB45&gt;0,$AD45/$AB45,""),"")</f>
      </c>
      <c r="AL45" s="32" t="inlineStr">
        <is>
          <t xml:space="preserve">At technical</t>
        </is>
      </c>
      <c r="AM45" s="41">
        <f>IF(ISNUMBER($AD45),Header!$I$3,"")</f>
      </c>
      <c r="AN45" s="39">
        <f>IF(ISNUMBER($AD45),$AO45+$AP45,"")</f>
      </c>
      <c r="AO45" s="39">
        <f>IF(ISNUMBER($AD45),ROUND($AD45*Header!$K$3,2),"")</f>
      </c>
      <c r="AP45" s="39">
        <f>IF(ISNUMBER($AD45),ROUND($AD45*Header!$M$3,2),"")</f>
      </c>
      <c r="AQ45" s="38">
        <f>IF(ISNUMBER($AD45),ROUND($AD45,2)-$AO45-$AP45,"")</f>
      </c>
      <c r="AR45" s="39">
        <f>IF(ISNUMBER($AD45),IF(Header!$D$34="","?",$AD45*Header!$D$34),"")</f>
      </c>
      <c r="AS45" s="39">
        <f>IF(ISNUMBER($AB45),IF(Header!$D$34="","?",$AB45*Header!$D$34),"")</f>
      </c>
      <c r="AT45" s="42">
        <f>IF(AND(ISNUMBER($AB45),$M45&gt;0),$AB45/$M45*100,"")</f>
      </c>
      <c r="AU45" s="42">
        <f>IF(AND(ISNUMBER($AD45),$M45&gt;0),$AD45/$M45*100,"")</f>
      </c>
      <c r="AV45" s="40">
        <f>IF(AND(ISNUMBER($AB45),ISNUMBER($AD45),ABS($AB45)&gt;0),$AD45/$AB45,"")</f>
      </c>
      <c r="AW45" s="39">
        <f>IF(ISNUMBER($AD45),MAX(0,(1-0.55-Header!$O$3)*Header!$Q$3*$AQ45),"")</f>
      </c>
      <c r="AX45" s="43">
        <f>IF($A45="","",IF(TRIM(IF($A45="","Missing certificate ref. ","") &amp; IF($C45="","Missing effective date. ","") &amp; IF($D45="","Missing binding status. ","") &amp; IF($E45="","Missing movement type. ","") &amp; IF($I45="","Missing make. ","") &amp; IF($L45="","Missing vehicle class. ","") &amp; IF($M45="","Missing agreed value. ","") &amp; IF($N45="","Missing policy type. ","") &amp; IF($Q45="","Missing garaging state. ","") &amp; IF($R45="","Missing garaging ZIP. ","") &amp; IF($S45="","Missing cat zone. ","") &amp; IF($V45="","Missing valuation basis. ","") &amp; IF($W45="","Missing PD deductible. ","") &amp; IF($X45="","Missing liability limit. ","") &amp; IF($AB45="","Missing technical premium. ","") &amp; IF($AF45="","Missing surplus lines tax %. ",""))="","PASS","FAIL: "&amp;TRIM(IF($A45="","Missing certificate ref. ","") &amp; IF($C45="","Missing effective date. ","") &amp; IF($D45="","Missing binding status. ","") &amp; IF($E45="","Missing movement type. ","") &amp; IF($I45="","Missing make. ","") &amp; IF($L45="","Missing vehicle class. ","") &amp; IF($M45="","Missing agreed value. ","") &amp; IF($N45="","Missing policy type. ","") &amp; IF($Q45="","Missing garaging state. ","") &amp; IF($R45="","Missing garaging ZIP. ","") &amp; IF($S45="","Missing cat zone. ","") &amp; IF($V45="","Missing valuation basis. ","") &amp; IF($W45="","Missing PD deductible. ","") &amp; IF($X45="","Missing liability limit. ","") &amp; IF($AB45="","Missing technical premium. ","") &amp; IF($AF45="","Missing surplus lines tax %. ",""))))</f>
      </c>
      <c r="AY45" s="44">
        <f>IF($M45="","",IF(ISNUMBER($M45),IF($M45&gt;=Header!$C$18,"YES — refer","No"),""))</f>
      </c>
      <c r="AZ45" s="44">
        <f>IF($AD45="","",IF(ISNUMBER($AD45),IF($AD45&lt;Header!$C$20,"BELOW MIN PREMIUM","OK"),""))</f>
      </c>
      <c r="BA45" s="32" t="inlineStr">
        <is>
          <t xml:space="preserve">Yes</t>
        </is>
      </c>
      <c r="BB45" s="32" t="inlineStr">
        <is>
          <t xml:space="preserve">Yes</t>
        </is>
      </c>
      <c r="BC45" s="30" t="inlineStr">
        <is>
          <t xml:space="preserve">Synthetic demo data</t>
        </is>
      </c>
      <c r="BE45" s="45">
        <f>IF(OR($A45="",$L45="",$H45=""),"",IF(AND(LEFT($L45,2)="06",$H45&gt;1945),"FAIL - pre-war class, year "&amp;$H45,IF(AND(LEFT($L45,2)="07",OR($H45&lt;1946,$H45&gt;1972)),"FAIL - 1946-72 class, year "&amp;$H45,IF(AND(LEFT($L45,2)="08",OR($H45&lt;1973,$H45&gt;1999)),"FAIL - 1973-99 class, year "&amp;$H45,IF(AND(LEFT($L45,2)="09",OR($H45&lt;2000,$H45&gt;2010)),"FAIL - 2000-10 class, year "&amp;$H45,"OK")))))</f>
      </c>
      <c r="BF45" s="45">
        <f>IF($AD45="","",IF(ROUND($AO45+$AP45+$AQ45-$AD45,2)=0,"OK","FAIL - out by "&amp;TEXT($AO45+$AP45+$AQ45-$AD45,"$0.00")))</f>
      </c>
    </row>
    <row r="46" spans="1:58" ht="18.75" customHeight="1" x14ac:dyDescent="0.25">
      <c r="A46" s="46" t="inlineStr">
        <is>
          <t xml:space="preserve">CANON-202511-002219</t>
        </is>
      </c>
      <c r="B46" s="46" t="inlineStr">
        <is>
          <t xml:space="preserve">Ingrid Chattopadhyay</t>
        </is>
      </c>
      <c r="C46" s="47">
        <v>45962</v>
      </c>
      <c r="D46" s="48" t="inlineStr">
        <is>
          <t xml:space="preserve">Bound - within authority</t>
        </is>
      </c>
      <c r="E46" s="48" t="inlineStr">
        <is>
          <t xml:space="preserve">New business</t>
        </is>
      </c>
      <c r="F46" s="46" t="inlineStr">
        <is>
          <t xml:space="preserve">B1234EXOTIC26</t>
        </is>
      </c>
      <c r="G46" s="33">
        <f>IF($A46="","",IF($C46="","",YEAR($C46)))</f>
      </c>
      <c r="H46" s="49">
        <v>2008</v>
      </c>
      <c r="I46" s="46" t="inlineStr">
        <is>
          <t xml:space="preserve">Bentley</t>
        </is>
      </c>
      <c r="J46" s="46" t="inlineStr">
        <is>
          <t xml:space="preserve">Continental GT</t>
        </is>
      </c>
      <c r="K46" s="46" t="inlineStr">
        <is>
          <t xml:space="preserve">HK4NBAPJ1XJVKATFU</t>
        </is>
      </c>
      <c r="L46" s="48" t="inlineStr">
        <is>
          <t xml:space="preserve">02 - Sports / GT</t>
        </is>
      </c>
      <c r="M46" s="50">
        <v>255000</v>
      </c>
      <c r="N46" s="48" t="inlineStr">
        <is>
          <t xml:space="preserve">Personal</t>
        </is>
      </c>
      <c r="O46" s="46" t="inlineStr">
        <is>
          <t xml:space="preserve">Personal - regular use</t>
        </is>
      </c>
      <c r="P46" s="46" t="inlineStr">
        <is>
          <t xml:space="preserve">2,500 - 5,000</t>
        </is>
      </c>
      <c r="Q46" s="46" t="inlineStr">
        <is>
          <t xml:space="preserve">Wyoming</t>
        </is>
      </c>
      <c r="R46" s="46" t="inlineStr">
        <is>
          <t xml:space="preserve">82001</t>
        </is>
      </c>
      <c r="S46" s="48" t="inlineStr">
        <is>
          <t xml:space="preserve">Severe convective - hail alley (high)</t>
        </is>
      </c>
      <c r="T46" s="36">
        <f>IF($A46="","",IF($S46="","",IFERROR(INDEX('[1]natural catastrophe'!$D$6:$D$17,MATCH($S46,'[1]natural catastrophe'!$B$6:$B$17,0)),"?")))</f>
      </c>
      <c r="U46" s="46" t="inlineStr">
        <is>
          <t xml:space="preserve">$5,000</t>
        </is>
      </c>
      <c r="V46" s="48" t="inlineStr">
        <is>
          <t xml:space="preserve">Agreed Value</t>
        </is>
      </c>
      <c r="W46" s="46" t="inlineStr">
        <is>
          <t xml:space="preserve">$1,000</t>
        </is>
      </c>
      <c r="X46" s="48" t="inlineStr">
        <is>
          <t xml:space="preserve">$1,000,000 CSL</t>
        </is>
      </c>
      <c r="Y46" s="46"/>
      <c r="Z46" s="46"/>
      <c r="AA46" s="48" t="inlineStr">
        <is>
          <t xml:space="preserve">Surplus Lines</t>
        </is>
      </c>
      <c r="AB46" s="50">
        <v>3549.88</v>
      </c>
      <c r="AC46" s="51">
        <v>0</v>
      </c>
      <c r="AD46" s="38">
        <f>IF(ISNUMBER($AB46),$AB46*(1+N($AC46)),"")</f>
      </c>
      <c r="AE46" s="50">
        <v>350</v>
      </c>
      <c r="AF46" s="50">
        <v>0</v>
      </c>
      <c r="AG46" s="51"/>
      <c r="AH46" s="39">
        <f>IF(ISNUMBER($AD46),($AD46+$AE46+$AF46)*$AG46,"")</f>
      </c>
      <c r="AI46" s="50"/>
      <c r="AJ46" s="38">
        <f>IF(ISNUMBER($AD46),SUM($AD46:$AH46),"")</f>
      </c>
      <c r="AK46" s="40">
        <f>IF(AND(ISNUMBER($AB46),ISNUMBER($AD46)),IF($AB46&gt;0,$AD46/$AB46,""),"")</f>
      </c>
      <c r="AL46" s="48" t="inlineStr">
        <is>
          <t xml:space="preserve">At technical</t>
        </is>
      </c>
      <c r="AM46" s="41">
        <f>IF(ISNUMBER($AD46),Header!$I$3,"")</f>
      </c>
      <c r="AN46" s="39">
        <f>IF(ISNUMBER($AD46),$AO46+$AP46,"")</f>
      </c>
      <c r="AO46" s="39">
        <f>IF(ISNUMBER($AD46),ROUND($AD46*Header!$K$3,2),"")</f>
      </c>
      <c r="AP46" s="39">
        <f>IF(ISNUMBER($AD46),ROUND($AD46*Header!$M$3,2),"")</f>
      </c>
      <c r="AQ46" s="38">
        <f>IF(ISNUMBER($AD46),ROUND($AD46,2)-$AO46-$AP46,"")</f>
      </c>
      <c r="AR46" s="39">
        <f>IF(ISNUMBER($AD46),IF(Header!$D$34="","?",$AD46*Header!$D$34),"")</f>
      </c>
      <c r="AS46" s="39">
        <f>IF(ISNUMBER($AB46),IF(Header!$D$34="","?",$AB46*Header!$D$34),"")</f>
      </c>
      <c r="AT46" s="42">
        <f>IF(AND(ISNUMBER($AB46),$M46&gt;0),$AB46/$M46*100,"")</f>
      </c>
      <c r="AU46" s="42">
        <f>IF(AND(ISNUMBER($AD46),$M46&gt;0),$AD46/$M46*100,"")</f>
      </c>
      <c r="AV46" s="40">
        <f>IF(AND(ISNUMBER($AB46),ISNUMBER($AD46),ABS($AB46)&gt;0),$AD46/$AB46,"")</f>
      </c>
      <c r="AW46" s="39">
        <f>IF(ISNUMBER($AD46),MAX(0,(1-0.55-Header!$O$3)*Header!$Q$3*$AQ46),"")</f>
      </c>
      <c r="AX46" s="43">
        <f>IF($A46="","",IF(TRIM(IF($A46="","Missing certificate ref. ","") &amp; IF($C46="","Missing effective date. ","") &amp; IF($D46="","Missing binding status. ","") &amp; IF($E46="","Missing movement type. ","") &amp; IF($I46="","Missing make. ","") &amp; IF($L46="","Missing vehicle class. ","") &amp; IF($M46="","Missing agreed value. ","") &amp; IF($N46="","Missing policy type. ","") &amp; IF($Q46="","Missing garaging state. ","") &amp; IF($R46="","Missing garaging ZIP. ","") &amp; IF($S46="","Missing cat zone. ","") &amp; IF($V46="","Missing valuation basis. ","") &amp; IF($W46="","Missing PD deductible. ","") &amp; IF($X46="","Missing liability limit. ","") &amp; IF($AB46="","Missing technical premium. ","") &amp; IF($AF46="","Missing surplus lines tax %. ",""))="","PASS","FAIL: "&amp;TRIM(IF($A46="","Missing certificate ref. ","") &amp; IF($C46="","Missing effective date. ","") &amp; IF($D46="","Missing binding status. ","") &amp; IF($E46="","Missing movement type. ","") &amp; IF($I46="","Missing make. ","") &amp; IF($L46="","Missing vehicle class. ","") &amp; IF($M46="","Missing agreed value. ","") &amp; IF($N46="","Missing policy type. ","") &amp; IF($Q46="","Missing garaging state. ","") &amp; IF($R46="","Missing garaging ZIP. ","") &amp; IF($S46="","Missing cat zone. ","") &amp; IF($V46="","Missing valuation basis. ","") &amp; IF($W46="","Missing PD deductible. ","") &amp; IF($X46="","Missing liability limit. ","") &amp; IF($AB46="","Missing technical premium. ","") &amp; IF($AF46="","Missing surplus lines tax %. ",""))))</f>
      </c>
      <c r="AY46" s="44">
        <f>IF($M46="","",IF(ISNUMBER($M46),IF($M46&gt;=Header!$C$18,"YES — refer","No"),""))</f>
      </c>
      <c r="AZ46" s="44">
        <f>IF($AD46="","",IF(ISNUMBER($AD46),IF($AD46&lt;Header!$C$20,"BELOW MIN PREMIUM","OK"),""))</f>
      </c>
      <c r="BA46" s="48" t="inlineStr">
        <is>
          <t xml:space="preserve">Yes</t>
        </is>
      </c>
      <c r="BB46" s="48" t="inlineStr">
        <is>
          <t xml:space="preserve">Yes</t>
        </is>
      </c>
      <c r="BC46" s="46" t="inlineStr">
        <is>
          <t xml:space="preserve">Synthetic demo data</t>
        </is>
      </c>
      <c r="BE46" s="45">
        <f>IF(OR($A46="",$L46="",$H46=""),"",IF(AND(LEFT($L46,2)="06",$H46&gt;1945),"FAIL - pre-war class, year "&amp;$H46,IF(AND(LEFT($L46,2)="07",OR($H46&lt;1946,$H46&gt;1972)),"FAIL - 1946-72 class, year "&amp;$H46,IF(AND(LEFT($L46,2)="08",OR($H46&lt;1973,$H46&gt;1999)),"FAIL - 1973-99 class, year "&amp;$H46,IF(AND(LEFT($L46,2)="09",OR($H46&lt;2000,$H46&gt;2010)),"FAIL - 2000-10 class, year "&amp;$H46,"OK")))))</f>
      </c>
      <c r="BF46" s="45">
        <f>IF($AD46="","",IF(ROUND($AO46+$AP46+$AQ46-$AD46,2)=0,"OK","FAIL - out by "&amp;TEXT($AO46+$AP46+$AQ46-$AD46,"$0.00")))</f>
      </c>
    </row>
    <row r="47" spans="1:58" ht="18.75" customHeight="1" x14ac:dyDescent="0.25">
      <c r="A47" s="30" t="inlineStr">
        <is>
          <t xml:space="preserve">CANON-202511-002220</t>
        </is>
      </c>
      <c r="B47" s="30" t="inlineStr">
        <is>
          <t xml:space="preserve">Beatrix Underwood</t>
        </is>
      </c>
      <c r="C47" s="31">
        <v>45991</v>
      </c>
      <c r="D47" s="32" t="inlineStr">
        <is>
          <t xml:space="preserve">Bound - within authority</t>
        </is>
      </c>
      <c r="E47" s="32" t="inlineStr">
        <is>
          <t xml:space="preserve">New business</t>
        </is>
      </c>
      <c r="F47" s="30" t="inlineStr">
        <is>
          <t xml:space="preserve">B1234EXOTIC26</t>
        </is>
      </c>
      <c r="G47" s="33">
        <f>IF($A47="","",IF($C47="","",YEAR($C47)))</f>
      </c>
      <c r="H47" s="34">
        <v>1958</v>
      </c>
      <c r="I47" s="30" t="inlineStr">
        <is>
          <t xml:space="preserve">BMW</t>
        </is>
      </c>
      <c r="J47" s="30" t="inlineStr">
        <is>
          <t xml:space="preserve">M8 Competition</t>
        </is>
      </c>
      <c r="K47" s="30" t="inlineStr">
        <is>
          <t xml:space="preserve">0AAN2VKCGM64REBRP</t>
        </is>
      </c>
      <c r="L47" s="32" t="inlineStr">
        <is>
          <t xml:space="preserve">02 - Sports / GT</t>
        </is>
      </c>
      <c r="M47" s="35">
        <v>485000</v>
      </c>
      <c r="N47" s="32" t="inlineStr">
        <is>
          <t xml:space="preserve">Personal</t>
        </is>
      </c>
      <c r="O47" s="30" t="inlineStr">
        <is>
          <t xml:space="preserve">Personal - regular use</t>
        </is>
      </c>
      <c r="P47" s="30" t="inlineStr">
        <is>
          <t xml:space="preserve">2,500 - 5,000</t>
        </is>
      </c>
      <c r="Q47" s="30" t="inlineStr">
        <is>
          <t xml:space="preserve">Colorado</t>
        </is>
      </c>
      <c r="R47" s="30" t="inlineStr">
        <is>
          <t xml:space="preserve">80202</t>
        </is>
      </c>
      <c r="S47" s="32" t="inlineStr">
        <is>
          <t xml:space="preserve">Severe convective - hail alley (high)</t>
        </is>
      </c>
      <c r="T47" s="36">
        <f>IF($A47="","",IF($S47="","",IFERROR(INDEX('[1]natural catastrophe'!$D$6:$D$17,MATCH($S47,'[1]natural catastrophe'!$B$6:$B$17,0)),"?")))</f>
      </c>
      <c r="U47" s="30" t="inlineStr">
        <is>
          <t xml:space="preserve">$5,000</t>
        </is>
      </c>
      <c r="V47" s="32" t="inlineStr">
        <is>
          <t xml:space="preserve">Agreed Value</t>
        </is>
      </c>
      <c r="W47" s="30" t="inlineStr">
        <is>
          <t xml:space="preserve">$1,000</t>
        </is>
      </c>
      <c r="X47" s="32" t="inlineStr">
        <is>
          <t xml:space="preserve">$1,000,000 CSL</t>
        </is>
      </c>
      <c r="Y47" s="30"/>
      <c r="Z47" s="30"/>
      <c r="AA47" s="32" t="inlineStr">
        <is>
          <t xml:space="preserve">Surplus Lines</t>
        </is>
      </c>
      <c r="AB47" s="35">
        <v>6941.04</v>
      </c>
      <c r="AC47" s="37">
        <v>0</v>
      </c>
      <c r="AD47" s="38">
        <f>IF(ISNUMBER($AB47),$AB47*(1+N($AC47)),"")</f>
      </c>
      <c r="AE47" s="35">
        <v>350</v>
      </c>
      <c r="AF47" s="35">
        <v>0</v>
      </c>
      <c r="AG47" s="37"/>
      <c r="AH47" s="39">
        <f>IF(ISNUMBER($AD47),($AD47+$AE47+$AF47)*$AG47,"")</f>
      </c>
      <c r="AI47" s="35"/>
      <c r="AJ47" s="38">
        <f>IF(ISNUMBER($AD47),SUM($AD47:$AH47),"")</f>
      </c>
      <c r="AK47" s="40">
        <f>IF(AND(ISNUMBER($AB47),ISNUMBER($AD47)),IF($AB47&gt;0,$AD47/$AB47,""),"")</f>
      </c>
      <c r="AL47" s="32" t="inlineStr">
        <is>
          <t xml:space="preserve">At technical</t>
        </is>
      </c>
      <c r="AM47" s="41">
        <f>IF(ISNUMBER($AD47),Header!$I$3,"")</f>
      </c>
      <c r="AN47" s="39">
        <f>IF(ISNUMBER($AD47),$AO47+$AP47,"")</f>
      </c>
      <c r="AO47" s="39">
        <f>IF(ISNUMBER($AD47),ROUND($AD47*Header!$K$3,2),"")</f>
      </c>
      <c r="AP47" s="39">
        <f>IF(ISNUMBER($AD47),ROUND($AD47*Header!$M$3,2),"")</f>
      </c>
      <c r="AQ47" s="38">
        <f>IF(ISNUMBER($AD47),ROUND($AD47,2)-$AO47-$AP47,"")</f>
      </c>
      <c r="AR47" s="39">
        <f>IF(ISNUMBER($AD47),IF(Header!$D$34="","?",$AD47*Header!$D$34),"")</f>
      </c>
      <c r="AS47" s="39">
        <f>IF(ISNUMBER($AB47),IF(Header!$D$34="","?",$AB47*Header!$D$34),"")</f>
      </c>
      <c r="AT47" s="42">
        <f>IF(AND(ISNUMBER($AB47),$M47&gt;0),$AB47/$M47*100,"")</f>
      </c>
      <c r="AU47" s="42">
        <f>IF(AND(ISNUMBER($AD47),$M47&gt;0),$AD47/$M47*100,"")</f>
      </c>
      <c r="AV47" s="40">
        <f>IF(AND(ISNUMBER($AB47),ISNUMBER($AD47),ABS($AB47)&gt;0),$AD47/$AB47,"")</f>
      </c>
      <c r="AW47" s="39">
        <f>IF(ISNUMBER($AD47),MAX(0,(1-0.55-Header!$O$3)*Header!$Q$3*$AQ47),"")</f>
      </c>
      <c r="AX47" s="43">
        <f>IF($A47="","",IF(TRIM(IF($A47="","Missing certificate ref. ","") &amp; IF($C47="","Missing effective date. ","") &amp; IF($D47="","Missing binding status. ","") &amp; IF($E47="","Missing movement type. ","") &amp; IF($I47="","Missing make. ","") &amp; IF($L47="","Missing vehicle class. ","") &amp; IF($M47="","Missing agreed value. ","") &amp; IF($N47="","Missing policy type. ","") &amp; IF($Q47="","Missing garaging state. ","") &amp; IF($R47="","Missing garaging ZIP. ","") &amp; IF($S47="","Missing cat zone. ","") &amp; IF($V47="","Missing valuation basis. ","") &amp; IF($W47="","Missing PD deductible. ","") &amp; IF($X47="","Missing liability limit. ","") &amp; IF($AB47="","Missing technical premium. ","") &amp; IF($AF47="","Missing surplus lines tax %. ",""))="","PASS","FAIL: "&amp;TRIM(IF($A47="","Missing certificate ref. ","") &amp; IF($C47="","Missing effective date. ","") &amp; IF($D47="","Missing binding status. ","") &amp; IF($E47="","Missing movement type. ","") &amp; IF($I47="","Missing make. ","") &amp; IF($L47="","Missing vehicle class. ","") &amp; IF($M47="","Missing agreed value. ","") &amp; IF($N47="","Missing policy type. ","") &amp; IF($Q47="","Missing garaging state. ","") &amp; IF($R47="","Missing garaging ZIP. ","") &amp; IF($S47="","Missing cat zone. ","") &amp; IF($V47="","Missing valuation basis. ","") &amp; IF($W47="","Missing PD deductible. ","") &amp; IF($X47="","Missing liability limit. ","") &amp; IF($AB47="","Missing technical premium. ","") &amp; IF($AF47="","Missing surplus lines tax %. ",""))))</f>
      </c>
      <c r="AY47" s="44">
        <f>IF($M47="","",IF(ISNUMBER($M47),IF($M47&gt;=Header!$C$18,"YES — refer","No"),""))</f>
      </c>
      <c r="AZ47" s="44">
        <f>IF($AD47="","",IF(ISNUMBER($AD47),IF($AD47&lt;Header!$C$20,"BELOW MIN PREMIUM","OK"),""))</f>
      </c>
      <c r="BA47" s="32" t="inlineStr">
        <is>
          <t xml:space="preserve">Yes</t>
        </is>
      </c>
      <c r="BB47" s="32" t="inlineStr">
        <is>
          <t xml:space="preserve">Yes</t>
        </is>
      </c>
      <c r="BC47" s="30" t="inlineStr">
        <is>
          <t xml:space="preserve">Synthetic demo data</t>
        </is>
      </c>
      <c r="BE47" s="45">
        <f>IF(OR($A47="",$L47="",$H47=""),"",IF(AND(LEFT($L47,2)="06",$H47&gt;1945),"FAIL - pre-war class, year "&amp;$H47,IF(AND(LEFT($L47,2)="07",OR($H47&lt;1946,$H47&gt;1972)),"FAIL - 1946-72 class, year "&amp;$H47,IF(AND(LEFT($L47,2)="08",OR($H47&lt;1973,$H47&gt;1999)),"FAIL - 1973-99 class, year "&amp;$H47,IF(AND(LEFT($L47,2)="09",OR($H47&lt;2000,$H47&gt;2010)),"FAIL - 2000-10 class, year "&amp;$H47,"OK")))))</f>
      </c>
      <c r="BF47" s="45">
        <f>IF($AD47="","",IF(ROUND($AO47+$AP47+$AQ47-$AD47,2)=0,"OK","FAIL - out by "&amp;TEXT($AO47+$AP47+$AQ47-$AD47,"$0.00")))</f>
      </c>
    </row>
    <row r="48" spans="1:58" ht="18.75" customHeight="1" x14ac:dyDescent="0.25">
      <c r="A48" s="46" t="inlineStr">
        <is>
          <t xml:space="preserve">CANON-202511-002221</t>
        </is>
      </c>
      <c r="B48" s="46" t="inlineStr">
        <is>
          <t xml:space="preserve">Fenwick Delacroix</t>
        </is>
      </c>
      <c r="C48" s="47">
        <v>45962</v>
      </c>
      <c r="D48" s="48" t="inlineStr">
        <is>
          <t xml:space="preserve">Bound - within authority</t>
        </is>
      </c>
      <c r="E48" s="48" t="inlineStr">
        <is>
          <t xml:space="preserve">New business</t>
        </is>
      </c>
      <c r="F48" s="46" t="inlineStr">
        <is>
          <t xml:space="preserve">B1234EXOTIC26</t>
        </is>
      </c>
      <c r="G48" s="33">
        <f>IF($A48="","",IF($C48="","",YEAR($C48)))</f>
      </c>
      <c r="H48" s="49">
        <v>1979</v>
      </c>
      <c r="I48" s="46" t="inlineStr">
        <is>
          <t xml:space="preserve">BMW</t>
        </is>
      </c>
      <c r="J48" s="46" t="inlineStr">
        <is>
          <t xml:space="preserve">M8 Competition</t>
        </is>
      </c>
      <c r="K48" s="46" t="inlineStr">
        <is>
          <t xml:space="preserve">RMLJ6SE9J1AL9NRLP</t>
        </is>
      </c>
      <c r="L48" s="48" t="inlineStr">
        <is>
          <t xml:space="preserve">02 - Sports / GT</t>
        </is>
      </c>
      <c r="M48" s="50">
        <v>1950000</v>
      </c>
      <c r="N48" s="48" t="inlineStr">
        <is>
          <t xml:space="preserve">Personal</t>
        </is>
      </c>
      <c r="O48" s="46" t="inlineStr">
        <is>
          <t xml:space="preserve">Personal - regular use</t>
        </is>
      </c>
      <c r="P48" s="46" t="inlineStr">
        <is>
          <t xml:space="preserve">Under 1,000</t>
        </is>
      </c>
      <c r="Q48" s="46" t="inlineStr">
        <is>
          <t xml:space="preserve">Tennessee</t>
        </is>
      </c>
      <c r="R48" s="46" t="inlineStr">
        <is>
          <t xml:space="preserve">37203</t>
        </is>
      </c>
      <c r="S48" s="48" t="inlineStr">
        <is>
          <t xml:space="preserve">Severe convective - hail / tornado (moderate)</t>
        </is>
      </c>
      <c r="T48" s="36">
        <f>IF($A48="","",IF($S48="","",IFERROR(INDEX('[1]natural catastrophe'!$D$6:$D$17,MATCH($S48,'[1]natural catastrophe'!$B$6:$B$17,0)),"?")))</f>
      </c>
      <c r="U48" s="46" t="inlineStr">
        <is>
          <t xml:space="preserve">$5,000</t>
        </is>
      </c>
      <c r="V48" s="48" t="inlineStr">
        <is>
          <t xml:space="preserve">Agreed Value</t>
        </is>
      </c>
      <c r="W48" s="46" t="inlineStr">
        <is>
          <t xml:space="preserve">$1,000</t>
        </is>
      </c>
      <c r="X48" s="48" t="inlineStr">
        <is>
          <t xml:space="preserve">$1,000,000 CSL</t>
        </is>
      </c>
      <c r="Y48" s="46"/>
      <c r="Z48" s="46"/>
      <c r="AA48" s="48" t="inlineStr">
        <is>
          <t xml:space="preserve">Surplus Lines</t>
        </is>
      </c>
      <c r="AB48" s="50">
        <v>18232.74</v>
      </c>
      <c r="AC48" s="51">
        <v>0</v>
      </c>
      <c r="AD48" s="38">
        <f>IF(ISNUMBER($AB48),$AB48*(1+N($AC48)),"")</f>
      </c>
      <c r="AE48" s="50">
        <v>350</v>
      </c>
      <c r="AF48" s="50">
        <v>250</v>
      </c>
      <c r="AG48" s="51"/>
      <c r="AH48" s="39">
        <f>IF(ISNUMBER($AD48),($AD48+$AE48+$AF48)*$AG48,"")</f>
      </c>
      <c r="AI48" s="50"/>
      <c r="AJ48" s="38">
        <f>IF(ISNUMBER($AD48),SUM($AD48:$AH48),"")</f>
      </c>
      <c r="AK48" s="40">
        <f>IF(AND(ISNUMBER($AB48),ISNUMBER($AD48)),IF($AB48&gt;0,$AD48/$AB48,""),"")</f>
      </c>
      <c r="AL48" s="48" t="inlineStr">
        <is>
          <t xml:space="preserve">At technical</t>
        </is>
      </c>
      <c r="AM48" s="41">
        <f>IF(ISNUMBER($AD48),Header!$I$3,"")</f>
      </c>
      <c r="AN48" s="39">
        <f>IF(ISNUMBER($AD48),$AO48+$AP48,"")</f>
      </c>
      <c r="AO48" s="39">
        <f>IF(ISNUMBER($AD48),ROUND($AD48*Header!$K$3,2),"")</f>
      </c>
      <c r="AP48" s="39">
        <f>IF(ISNUMBER($AD48),ROUND($AD48*Header!$M$3,2),"")</f>
      </c>
      <c r="AQ48" s="38">
        <f>IF(ISNUMBER($AD48),ROUND($AD48,2)-$AO48-$AP48,"")</f>
      </c>
      <c r="AR48" s="39">
        <f>IF(ISNUMBER($AD48),IF(Header!$D$34="","?",$AD48*Header!$D$34),"")</f>
      </c>
      <c r="AS48" s="39">
        <f>IF(ISNUMBER($AB48),IF(Header!$D$34="","?",$AB48*Header!$D$34),"")</f>
      </c>
      <c r="AT48" s="42">
        <f>IF(AND(ISNUMBER($AB48),$M48&gt;0),$AB48/$M48*100,"")</f>
      </c>
      <c r="AU48" s="42">
        <f>IF(AND(ISNUMBER($AD48),$M48&gt;0),$AD48/$M48*100,"")</f>
      </c>
      <c r="AV48" s="40">
        <f>IF(AND(ISNUMBER($AB48),ISNUMBER($AD48),ABS($AB48)&gt;0),$AD48/$AB48,"")</f>
      </c>
      <c r="AW48" s="39">
        <f>IF(ISNUMBER($AD48),MAX(0,(1-0.55-Header!$O$3)*Header!$Q$3*$AQ48),"")</f>
      </c>
      <c r="AX48" s="43">
        <f>IF($A48="","",IF(TRIM(IF($A48="","Missing certificate ref. ","") &amp; IF($C48="","Missing effective date. ","") &amp; IF($D48="","Missing binding status. ","") &amp; IF($E48="","Missing movement type. ","") &amp; IF($I48="","Missing make. ","") &amp; IF($L48="","Missing vehicle class. ","") &amp; IF($M48="","Missing agreed value. ","") &amp; IF($N48="","Missing policy type. ","") &amp; IF($Q48="","Missing garaging state. ","") &amp; IF($R48="","Missing garaging ZIP. ","") &amp; IF($S48="","Missing cat zone. ","") &amp; IF($V48="","Missing valuation basis. ","") &amp; IF($W48="","Missing PD deductible. ","") &amp; IF($X48="","Missing liability limit. ","") &amp; IF($AB48="","Missing technical premium. ","") &amp; IF($AF48="","Missing surplus lines tax %. ",""))="","PASS","FAIL: "&amp;TRIM(IF($A48="","Missing certificate ref. ","") &amp; IF($C48="","Missing effective date. ","") &amp; IF($D48="","Missing binding status. ","") &amp; IF($E48="","Missing movement type. ","") &amp; IF($I48="","Missing make. ","") &amp; IF($L48="","Missing vehicle class. ","") &amp; IF($M48="","Missing agreed value. ","") &amp; IF($N48="","Missing policy type. ","") &amp; IF($Q48="","Missing garaging state. ","") &amp; IF($R48="","Missing garaging ZIP. ","") &amp; IF($S48="","Missing cat zone. ","") &amp; IF($V48="","Missing valuation basis. ","") &amp; IF($W48="","Missing PD deductible. ","") &amp; IF($X48="","Missing liability limit. ","") &amp; IF($AB48="","Missing technical premium. ","") &amp; IF($AF48="","Missing surplus lines tax %. ",""))))</f>
      </c>
      <c r="AY48" s="44">
        <f>IF($M48="","",IF(ISNUMBER($M48),IF($M48&gt;=Header!$C$18,"YES — refer","No"),""))</f>
      </c>
      <c r="AZ48" s="44">
        <f>IF($AD48="","",IF(ISNUMBER($AD48),IF($AD48&lt;Header!$C$20,"BELOW MIN PREMIUM","OK"),""))</f>
      </c>
      <c r="BA48" s="48" t="inlineStr">
        <is>
          <t xml:space="preserve">Yes</t>
        </is>
      </c>
      <c r="BB48" s="48" t="inlineStr">
        <is>
          <t xml:space="preserve">Yes</t>
        </is>
      </c>
      <c r="BC48" s="46" t="inlineStr">
        <is>
          <t xml:space="preserve">Synthetic demo data</t>
        </is>
      </c>
      <c r="BE48" s="45">
        <f>IF(OR($A48="",$L48="",$H48=""),"",IF(AND(LEFT($L48,2)="06",$H48&gt;1945),"FAIL - pre-war class, year "&amp;$H48,IF(AND(LEFT($L48,2)="07",OR($H48&lt;1946,$H48&gt;1972)),"FAIL - 1946-72 class, year "&amp;$H48,IF(AND(LEFT($L48,2)="08",OR($H48&lt;1973,$H48&gt;1999)),"FAIL - 1973-99 class, year "&amp;$H48,IF(AND(LEFT($L48,2)="09",OR($H48&lt;2000,$H48&gt;2010)),"FAIL - 2000-10 class, year "&amp;$H48,"OK")))))</f>
      </c>
      <c r="BF48" s="45">
        <f>IF($AD48="","",IF(ROUND($AO48+$AP48+$AQ48-$AD48,2)=0,"OK","FAIL - out by "&amp;TEXT($AO48+$AP48+$AQ48-$AD48,"$0.00")))</f>
      </c>
    </row>
    <row r="49" spans="1:58" ht="18.75" customHeight="1" x14ac:dyDescent="0.25">
      <c r="A49" s="30" t="inlineStr">
        <is>
          <t xml:space="preserve">CANON-202511-002222</t>
        </is>
      </c>
      <c r="B49" s="30" t="inlineStr">
        <is>
          <t xml:space="preserve">Lorenzo Blackwood</t>
        </is>
      </c>
      <c r="C49" s="31">
        <v>45976</v>
      </c>
      <c r="D49" s="32" t="inlineStr">
        <is>
          <t xml:space="preserve">Bound - within authority</t>
        </is>
      </c>
      <c r="E49" s="32" t="inlineStr">
        <is>
          <t xml:space="preserve">New business</t>
        </is>
      </c>
      <c r="F49" s="30" t="inlineStr">
        <is>
          <t xml:space="preserve">B1234EXOTIC26</t>
        </is>
      </c>
      <c r="G49" s="33">
        <f>IF($A49="","",IF($C49="","",YEAR($C49)))</f>
      </c>
      <c r="H49" s="34">
        <v>2018</v>
      </c>
      <c r="I49" s="30" t="inlineStr">
        <is>
          <t xml:space="preserve">Jaguar</t>
        </is>
      </c>
      <c r="J49" s="30" t="inlineStr">
        <is>
          <t xml:space="preserve">E-Type Series 1</t>
        </is>
      </c>
      <c r="K49" s="30" t="inlineStr">
        <is>
          <t xml:space="preserve">TGWUAXEP2Y7MWUSFM</t>
        </is>
      </c>
      <c r="L49" s="32" t="inlineStr">
        <is>
          <t xml:space="preserve">02 - Sports / GT</t>
        </is>
      </c>
      <c r="M49" s="35">
        <v>1120000</v>
      </c>
      <c r="N49" s="32" t="inlineStr">
        <is>
          <t xml:space="preserve">Personal</t>
        </is>
      </c>
      <c r="O49" s="30" t="inlineStr">
        <is>
          <t xml:space="preserve">Personal - regular use</t>
        </is>
      </c>
      <c r="P49" s="30" t="inlineStr">
        <is>
          <t xml:space="preserve">1,000 - 2,500</t>
        </is>
      </c>
      <c r="Q49" s="30" t="inlineStr">
        <is>
          <t xml:space="preserve">Oregon</t>
        </is>
      </c>
      <c r="R49" s="30" t="inlineStr">
        <is>
          <t xml:space="preserve">97204</t>
        </is>
      </c>
      <c r="S49" s="32" t="inlineStr">
        <is>
          <t xml:space="preserve">Earthquake - high (CA, Cascadia, New Madrid)</t>
        </is>
      </c>
      <c r="T49" s="36">
        <f>IF($A49="","",IF($S49="","",IFERROR(INDEX('[1]natural catastrophe'!$D$6:$D$17,MATCH($S49,'[1]natural catastrophe'!$B$6:$B$17,0)),"?")))</f>
      </c>
      <c r="U49" s="30" t="inlineStr">
        <is>
          <t xml:space="preserve">$5,000</t>
        </is>
      </c>
      <c r="V49" s="32" t="inlineStr">
        <is>
          <t xml:space="preserve">Agreed Value</t>
        </is>
      </c>
      <c r="W49" s="30" t="inlineStr">
        <is>
          <t xml:space="preserve">$1,000</t>
        </is>
      </c>
      <c r="X49" s="32" t="inlineStr">
        <is>
          <t xml:space="preserve">$1,000,000 CSL</t>
        </is>
      </c>
      <c r="Y49" s="30"/>
      <c r="Z49" s="30"/>
      <c r="AA49" s="32" t="inlineStr">
        <is>
          <t xml:space="preserve">Surplus Lines</t>
        </is>
      </c>
      <c r="AB49" s="35">
        <v>8342.74</v>
      </c>
      <c r="AC49" s="37">
        <v>0</v>
      </c>
      <c r="AD49" s="38">
        <f>IF(ISNUMBER($AB49),$AB49*(1+N($AC49)),"")</f>
      </c>
      <c r="AE49" s="35">
        <v>350</v>
      </c>
      <c r="AF49" s="35">
        <v>250</v>
      </c>
      <c r="AG49" s="37"/>
      <c r="AH49" s="39">
        <f>IF(ISNUMBER($AD49),($AD49+$AE49+$AF49)*$AG49,"")</f>
      </c>
      <c r="AI49" s="35"/>
      <c r="AJ49" s="38">
        <f>IF(ISNUMBER($AD49),SUM($AD49:$AH49),"")</f>
      </c>
      <c r="AK49" s="40">
        <f>IF(AND(ISNUMBER($AB49),ISNUMBER($AD49)),IF($AB49&gt;0,$AD49/$AB49,""),"")</f>
      </c>
      <c r="AL49" s="32" t="inlineStr">
        <is>
          <t xml:space="preserve">At technical</t>
        </is>
      </c>
      <c r="AM49" s="41">
        <f>IF(ISNUMBER($AD49),Header!$I$3,"")</f>
      </c>
      <c r="AN49" s="39">
        <f>IF(ISNUMBER($AD49),$AO49+$AP49,"")</f>
      </c>
      <c r="AO49" s="39">
        <f>IF(ISNUMBER($AD49),ROUND($AD49*Header!$K$3,2),"")</f>
      </c>
      <c r="AP49" s="39">
        <f>IF(ISNUMBER($AD49),ROUND($AD49*Header!$M$3,2),"")</f>
      </c>
      <c r="AQ49" s="38">
        <f>IF(ISNUMBER($AD49),ROUND($AD49,2)-$AO49-$AP49,"")</f>
      </c>
      <c r="AR49" s="39">
        <f>IF(ISNUMBER($AD49),IF(Header!$D$34="","?",$AD49*Header!$D$34),"")</f>
      </c>
      <c r="AS49" s="39">
        <f>IF(ISNUMBER($AB49),IF(Header!$D$34="","?",$AB49*Header!$D$34),"")</f>
      </c>
      <c r="AT49" s="42">
        <f>IF(AND(ISNUMBER($AB49),$M49&gt;0),$AB49/$M49*100,"")</f>
      </c>
      <c r="AU49" s="42">
        <f>IF(AND(ISNUMBER($AD49),$M49&gt;0),$AD49/$M49*100,"")</f>
      </c>
      <c r="AV49" s="40">
        <f>IF(AND(ISNUMBER($AB49),ISNUMBER($AD49),ABS($AB49)&gt;0),$AD49/$AB49,"")</f>
      </c>
      <c r="AW49" s="39">
        <f>IF(ISNUMBER($AD49),MAX(0,(1-0.55-Header!$O$3)*Header!$Q$3*$AQ49),"")</f>
      </c>
      <c r="AX49" s="43">
        <f>IF($A49="","",IF(TRIM(IF($A49="","Missing certificate ref. ","") &amp; IF($C49="","Missing effective date. ","") &amp; IF($D49="","Missing binding status. ","") &amp; IF($E49="","Missing movement type. ","") &amp; IF($I49="","Missing make. ","") &amp; IF($L49="","Missing vehicle class. ","") &amp; IF($M49="","Missing agreed value. ","") &amp; IF($N49="","Missing policy type. ","") &amp; IF($Q49="","Missing garaging state. ","") &amp; IF($R49="","Missing garaging ZIP. ","") &amp; IF($S49="","Missing cat zone. ","") &amp; IF($V49="","Missing valuation basis. ","") &amp; IF($W49="","Missing PD deductible. ","") &amp; IF($X49="","Missing liability limit. ","") &amp; IF($AB49="","Missing technical premium. ","") &amp; IF($AF49="","Missing surplus lines tax %. ",""))="","PASS","FAIL: "&amp;TRIM(IF($A49="","Missing certificate ref. ","") &amp; IF($C49="","Missing effective date. ","") &amp; IF($D49="","Missing binding status. ","") &amp; IF($E49="","Missing movement type. ","") &amp; IF($I49="","Missing make. ","") &amp; IF($L49="","Missing vehicle class. ","") &amp; IF($M49="","Missing agreed value. ","") &amp; IF($N49="","Missing policy type. ","") &amp; IF($Q49="","Missing garaging state. ","") &amp; IF($R49="","Missing garaging ZIP. ","") &amp; IF($S49="","Missing cat zone. ","") &amp; IF($V49="","Missing valuation basis. ","") &amp; IF($W49="","Missing PD deductible. ","") &amp; IF($X49="","Missing liability limit. ","") &amp; IF($AB49="","Missing technical premium. ","") &amp; IF($AF49="","Missing surplus lines tax %. ",""))))</f>
      </c>
      <c r="AY49" s="44">
        <f>IF($M49="","",IF(ISNUMBER($M49),IF($M49&gt;=Header!$C$18,"YES — refer","No"),""))</f>
      </c>
      <c r="AZ49" s="44">
        <f>IF($AD49="","",IF(ISNUMBER($AD49),IF($AD49&lt;Header!$C$20,"BELOW MIN PREMIUM","OK"),""))</f>
      </c>
      <c r="BA49" s="32" t="inlineStr">
        <is>
          <t xml:space="preserve">Yes</t>
        </is>
      </c>
      <c r="BB49" s="32" t="inlineStr">
        <is>
          <t xml:space="preserve">Yes</t>
        </is>
      </c>
      <c r="BC49" s="30" t="inlineStr">
        <is>
          <t xml:space="preserve">Synthetic demo data</t>
        </is>
      </c>
      <c r="BE49" s="45">
        <f>IF(OR($A49="",$L49="",$H49=""),"",IF(AND(LEFT($L49,2)="06",$H49&gt;1945),"FAIL - pre-war class, year "&amp;$H49,IF(AND(LEFT($L49,2)="07",OR($H49&lt;1946,$H49&gt;1972)),"FAIL - 1946-72 class, year "&amp;$H49,IF(AND(LEFT($L49,2)="08",OR($H49&lt;1973,$H49&gt;1999)),"FAIL - 1973-99 class, year "&amp;$H49,IF(AND(LEFT($L49,2)="09",OR($H49&lt;2000,$H49&gt;2010)),"FAIL - 2000-10 class, year "&amp;$H49,"OK")))))</f>
      </c>
      <c r="BF49" s="45">
        <f>IF($AD49="","",IF(ROUND($AO49+$AP49+$AQ49-$AD49,2)=0,"OK","FAIL - out by "&amp;TEXT($AO49+$AP49+$AQ49-$AD49,"$0.00")))</f>
      </c>
    </row>
    <row r="50" spans="1:58" ht="18.75" customHeight="1" x14ac:dyDescent="0.25">
      <c r="A50" s="46" t="inlineStr">
        <is>
          <t xml:space="preserve">CANON-202511-002223</t>
        </is>
      </c>
      <c r="B50" s="46" t="inlineStr">
        <is>
          <t xml:space="preserve">Fenwick Harrington</t>
        </is>
      </c>
      <c r="C50" s="47">
        <v>45991</v>
      </c>
      <c r="D50" s="48" t="inlineStr">
        <is>
          <t xml:space="preserve">Bound - within authority</t>
        </is>
      </c>
      <c r="E50" s="48" t="inlineStr">
        <is>
          <t xml:space="preserve">New business</t>
        </is>
      </c>
      <c r="F50" s="46" t="inlineStr">
        <is>
          <t xml:space="preserve">B1234EXOTIC26</t>
        </is>
      </c>
      <c r="G50" s="33">
        <f>IF($A50="","",IF($C50="","",YEAR($C50)))</f>
      </c>
      <c r="H50" s="49">
        <v>1996</v>
      </c>
      <c r="I50" s="46" t="inlineStr">
        <is>
          <t xml:space="preserve">Ferrari</t>
        </is>
      </c>
      <c r="J50" s="46" t="inlineStr">
        <is>
          <t xml:space="preserve">275 GTB/4</t>
        </is>
      </c>
      <c r="K50" s="46" t="inlineStr">
        <is>
          <t xml:space="preserve">M2K6G00FZ8KCET1A4</t>
        </is>
      </c>
      <c r="L50" s="48" t="inlineStr">
        <is>
          <t xml:space="preserve">08 - Modern Classic (1973-1999)</t>
        </is>
      </c>
      <c r="M50" s="50">
        <v>350000</v>
      </c>
      <c r="N50" s="48" t="inlineStr">
        <is>
          <t xml:space="preserve">Personal</t>
        </is>
      </c>
      <c r="O50" s="46" t="inlineStr">
        <is>
          <t xml:space="preserve">Personal - regular use</t>
        </is>
      </c>
      <c r="P50" s="46" t="inlineStr">
        <is>
          <t xml:space="preserve">Under 1,000</t>
        </is>
      </c>
      <c r="Q50" s="46" t="inlineStr">
        <is>
          <t xml:space="preserve">South Dakota</t>
        </is>
      </c>
      <c r="R50" s="46" t="inlineStr">
        <is>
          <t xml:space="preserve">57501</t>
        </is>
      </c>
      <c r="S50" s="48" t="inlineStr">
        <is>
          <t xml:space="preserve">Severe convective - hail alley (high)</t>
        </is>
      </c>
      <c r="T50" s="36">
        <f>IF($A50="","",IF($S50="","",IFERROR(INDEX('[1]natural catastrophe'!$D$6:$D$17,MATCH($S50,'[1]natural catastrophe'!$B$6:$B$17,0)),"?")))</f>
      </c>
      <c r="U50" s="46" t="inlineStr">
        <is>
          <t xml:space="preserve">$5,000</t>
        </is>
      </c>
      <c r="V50" s="48" t="inlineStr">
        <is>
          <t xml:space="preserve">Agreed Value</t>
        </is>
      </c>
      <c r="W50" s="46" t="inlineStr">
        <is>
          <t xml:space="preserve">$1,000</t>
        </is>
      </c>
      <c r="X50" s="48" t="inlineStr">
        <is>
          <t xml:space="preserve">$1,000,000 CSL</t>
        </is>
      </c>
      <c r="Y50" s="46"/>
      <c r="Z50" s="46"/>
      <c r="AA50" s="48" t="inlineStr">
        <is>
          <t xml:space="preserve">Surplus Lines</t>
        </is>
      </c>
      <c r="AB50" s="50">
        <v>3234.9</v>
      </c>
      <c r="AC50" s="51">
        <v>0</v>
      </c>
      <c r="AD50" s="38">
        <f>IF(ISNUMBER($AB50),$AB50*(1+N($AC50)),"")</f>
      </c>
      <c r="AE50" s="50">
        <v>350</v>
      </c>
      <c r="AF50" s="50">
        <v>0</v>
      </c>
      <c r="AG50" s="51"/>
      <c r="AH50" s="39">
        <f>IF(ISNUMBER($AD50),($AD50+$AE50+$AF50)*$AG50,"")</f>
      </c>
      <c r="AI50" s="50"/>
      <c r="AJ50" s="38">
        <f>IF(ISNUMBER($AD50),SUM($AD50:$AH50),"")</f>
      </c>
      <c r="AK50" s="40">
        <f>IF(AND(ISNUMBER($AB50),ISNUMBER($AD50)),IF($AB50&gt;0,$AD50/$AB50,""),"")</f>
      </c>
      <c r="AL50" s="48" t="inlineStr">
        <is>
          <t xml:space="preserve">At technical</t>
        </is>
      </c>
      <c r="AM50" s="41">
        <f>IF(ISNUMBER($AD50),Header!$I$3,"")</f>
      </c>
      <c r="AN50" s="39">
        <f>IF(ISNUMBER($AD50),$AO50+$AP50,"")</f>
      </c>
      <c r="AO50" s="39">
        <f>IF(ISNUMBER($AD50),ROUND($AD50*Header!$K$3,2),"")</f>
      </c>
      <c r="AP50" s="39">
        <f>IF(ISNUMBER($AD50),ROUND($AD50*Header!$M$3,2),"")</f>
      </c>
      <c r="AQ50" s="38">
        <f>IF(ISNUMBER($AD50),ROUND($AD50,2)-$AO50-$AP50,"")</f>
      </c>
      <c r="AR50" s="39">
        <f>IF(ISNUMBER($AD50),IF(Header!$D$34="","?",$AD50*Header!$D$34),"")</f>
      </c>
      <c r="AS50" s="39">
        <f>IF(ISNUMBER($AB50),IF(Header!$D$34="","?",$AB50*Header!$D$34),"")</f>
      </c>
      <c r="AT50" s="42">
        <f>IF(AND(ISNUMBER($AB50),$M50&gt;0),$AB50/$M50*100,"")</f>
      </c>
      <c r="AU50" s="42">
        <f>IF(AND(ISNUMBER($AD50),$M50&gt;0),$AD50/$M50*100,"")</f>
      </c>
      <c r="AV50" s="40">
        <f>IF(AND(ISNUMBER($AB50),ISNUMBER($AD50),ABS($AB50)&gt;0),$AD50/$AB50,"")</f>
      </c>
      <c r="AW50" s="39">
        <f>IF(ISNUMBER($AD50),MAX(0,(1-0.55-Header!$O$3)*Header!$Q$3*$AQ50),"")</f>
      </c>
      <c r="AX50" s="43">
        <f>IF($A50="","",IF(TRIM(IF($A50="","Missing certificate ref. ","") &amp; IF($C50="","Missing effective date. ","") &amp; IF($D50="","Missing binding status. ","") &amp; IF($E50="","Missing movement type. ","") &amp; IF($I50="","Missing make. ","") &amp; IF($L50="","Missing vehicle class. ","") &amp; IF($M50="","Missing agreed value. ","") &amp; IF($N50="","Missing policy type. ","") &amp; IF($Q50="","Missing garaging state. ","") &amp; IF($R50="","Missing garaging ZIP. ","") &amp; IF($S50="","Missing cat zone. ","") &amp; IF($V50="","Missing valuation basis. ","") &amp; IF($W50="","Missing PD deductible. ","") &amp; IF($X50="","Missing liability limit. ","") &amp; IF($AB50="","Missing technical premium. ","") &amp; IF($AF50="","Missing surplus lines tax %. ",""))="","PASS","FAIL: "&amp;TRIM(IF($A50="","Missing certificate ref. ","") &amp; IF($C50="","Missing effective date. ","") &amp; IF($D50="","Missing binding status. ","") &amp; IF($E50="","Missing movement type. ","") &amp; IF($I50="","Missing make. ","") &amp; IF($L50="","Missing vehicle class. ","") &amp; IF($M50="","Missing agreed value. ","") &amp; IF($N50="","Missing policy type. ","") &amp; IF($Q50="","Missing garaging state. ","") &amp; IF($R50="","Missing garaging ZIP. ","") &amp; IF($S50="","Missing cat zone. ","") &amp; IF($V50="","Missing valuation basis. ","") &amp; IF($W50="","Missing PD deductible. ","") &amp; IF($X50="","Missing liability limit. ","") &amp; IF($AB50="","Missing technical premium. ","") &amp; IF($AF50="","Missing surplus lines tax %. ",""))))</f>
      </c>
      <c r="AY50" s="44">
        <f>IF($M50="","",IF(ISNUMBER($M50),IF($M50&gt;=Header!$C$18,"YES — refer","No"),""))</f>
      </c>
      <c r="AZ50" s="44">
        <f>IF($AD50="","",IF(ISNUMBER($AD50),IF($AD50&lt;Header!$C$20,"BELOW MIN PREMIUM","OK"),""))</f>
      </c>
      <c r="BA50" s="48" t="inlineStr">
        <is>
          <t xml:space="preserve">Yes</t>
        </is>
      </c>
      <c r="BB50" s="48" t="inlineStr">
        <is>
          <t xml:space="preserve">Yes</t>
        </is>
      </c>
      <c r="BC50" s="46" t="inlineStr">
        <is>
          <t xml:space="preserve">Synthetic demo data</t>
        </is>
      </c>
      <c r="BE50" s="45">
        <f>IF(OR($A50="",$L50="",$H50=""),"",IF(AND(LEFT($L50,2)="06",$H50&gt;1945),"FAIL - pre-war class, year "&amp;$H50,IF(AND(LEFT($L50,2)="07",OR($H50&lt;1946,$H50&gt;1972)),"FAIL - 1946-72 class, year "&amp;$H50,IF(AND(LEFT($L50,2)="08",OR($H50&lt;1973,$H50&gt;1999)),"FAIL - 1973-99 class, year "&amp;$H50,IF(AND(LEFT($L50,2)="09",OR($H50&lt;2000,$H50&gt;2010)),"FAIL - 2000-10 class, year "&amp;$H50,"OK")))))</f>
      </c>
      <c r="BF50" s="45">
        <f>IF($AD50="","",IF(ROUND($AO50+$AP50+$AQ50-$AD50,2)=0,"OK","FAIL - out by "&amp;TEXT($AO50+$AP50+$AQ50-$AD50,"$0.00")))</f>
      </c>
    </row>
    <row r="51" spans="1:58" ht="18.75" customHeight="1" x14ac:dyDescent="0.25">
      <c r="A51" s="30" t="inlineStr">
        <is>
          <t xml:space="preserve">CANON-202511-002224</t>
        </is>
      </c>
      <c r="B51" s="30" t="inlineStr">
        <is>
          <t xml:space="preserve">Ramona Montoya</t>
        </is>
      </c>
      <c r="C51" s="31">
        <v>45976</v>
      </c>
      <c r="D51" s="32" t="inlineStr">
        <is>
          <t xml:space="preserve">Bound - within authority</t>
        </is>
      </c>
      <c r="E51" s="32" t="inlineStr">
        <is>
          <t xml:space="preserve">New business</t>
        </is>
      </c>
      <c r="F51" s="30" t="inlineStr">
        <is>
          <t xml:space="preserve">B1234EXOTIC26</t>
        </is>
      </c>
      <c r="G51" s="33">
        <f>IF($A51="","",IF($C51="","",YEAR($C51)))</f>
      </c>
      <c r="H51" s="34">
        <v>2020</v>
      </c>
      <c r="I51" s="30" t="inlineStr">
        <is>
          <t xml:space="preserve">Maserati</t>
        </is>
      </c>
      <c r="J51" s="30" t="inlineStr">
        <is>
          <t xml:space="preserve">GranTurismo</t>
        </is>
      </c>
      <c r="K51" s="30" t="inlineStr">
        <is>
          <t xml:space="preserve">ELAVHVYWX2B54SZTZ</t>
        </is>
      </c>
      <c r="L51" s="32" t="inlineStr">
        <is>
          <t xml:space="preserve">02 - Sports / GT</t>
        </is>
      </c>
      <c r="M51" s="35">
        <v>460000</v>
      </c>
      <c r="N51" s="32" t="inlineStr">
        <is>
          <t xml:space="preserve">Personal</t>
        </is>
      </c>
      <c r="O51" s="30" t="inlineStr">
        <is>
          <t xml:space="preserve">Personal - regular use</t>
        </is>
      </c>
      <c r="P51" s="30" t="inlineStr">
        <is>
          <t xml:space="preserve">1,000 - 2,500</t>
        </is>
      </c>
      <c r="Q51" s="30" t="inlineStr">
        <is>
          <t xml:space="preserve">Pennsylvania</t>
        </is>
      </c>
      <c r="R51" s="30" t="inlineStr">
        <is>
          <t xml:space="preserve">19103</t>
        </is>
      </c>
      <c r="S51" s="32" t="inlineStr">
        <is>
          <t xml:space="preserve">Low hazard - inland benign</t>
        </is>
      </c>
      <c r="T51" s="36">
        <f>IF($A51="","",IF($S51="","",IFERROR(INDEX('[1]natural catastrophe'!$D$6:$D$17,MATCH($S51,'[1]natural catastrophe'!$B$6:$B$17,0)),"?")))</f>
      </c>
      <c r="U51" s="30" t="inlineStr">
        <is>
          <t xml:space="preserve">$5,000</t>
        </is>
      </c>
      <c r="V51" s="32" t="inlineStr">
        <is>
          <t xml:space="preserve">Agreed Value</t>
        </is>
      </c>
      <c r="W51" s="30" t="inlineStr">
        <is>
          <t xml:space="preserve">$1,000</t>
        </is>
      </c>
      <c r="X51" s="32" t="inlineStr">
        <is>
          <t xml:space="preserve">$1,000,000 CSL</t>
        </is>
      </c>
      <c r="Y51" s="30"/>
      <c r="Z51" s="30"/>
      <c r="AA51" s="32" t="inlineStr">
        <is>
          <t xml:space="preserve">Surplus Lines</t>
        </is>
      </c>
      <c r="AB51" s="35">
        <v>5984.77</v>
      </c>
      <c r="AC51" s="37">
        <v>0</v>
      </c>
      <c r="AD51" s="38">
        <f>IF(ISNUMBER($AB51),$AB51*(1+N($AC51)),"")</f>
      </c>
      <c r="AE51" s="35">
        <v>350</v>
      </c>
      <c r="AF51" s="35">
        <v>0</v>
      </c>
      <c r="AG51" s="37"/>
      <c r="AH51" s="39">
        <f>IF(ISNUMBER($AD51),($AD51+$AE51+$AF51)*$AG51,"")</f>
      </c>
      <c r="AI51" s="35"/>
      <c r="AJ51" s="38">
        <f>IF(ISNUMBER($AD51),SUM($AD51:$AH51),"")</f>
      </c>
      <c r="AK51" s="40">
        <f>IF(AND(ISNUMBER($AB51),ISNUMBER($AD51)),IF($AB51&gt;0,$AD51/$AB51,""),"")</f>
      </c>
      <c r="AL51" s="32" t="inlineStr">
        <is>
          <t xml:space="preserve">At technical</t>
        </is>
      </c>
      <c r="AM51" s="41">
        <f>IF(ISNUMBER($AD51),Header!$I$3,"")</f>
      </c>
      <c r="AN51" s="39">
        <f>IF(ISNUMBER($AD51),$AO51+$AP51,"")</f>
      </c>
      <c r="AO51" s="39">
        <f>IF(ISNUMBER($AD51),ROUND($AD51*Header!$K$3,2),"")</f>
      </c>
      <c r="AP51" s="39">
        <f>IF(ISNUMBER($AD51),ROUND($AD51*Header!$M$3,2),"")</f>
      </c>
      <c r="AQ51" s="38">
        <f>IF(ISNUMBER($AD51),ROUND($AD51,2)-$AO51-$AP51,"")</f>
      </c>
      <c r="AR51" s="39">
        <f>IF(ISNUMBER($AD51),IF(Header!$D$34="","?",$AD51*Header!$D$34),"")</f>
      </c>
      <c r="AS51" s="39">
        <f>IF(ISNUMBER($AB51),IF(Header!$D$34="","?",$AB51*Header!$D$34),"")</f>
      </c>
      <c r="AT51" s="42">
        <f>IF(AND(ISNUMBER($AB51),$M51&gt;0),$AB51/$M51*100,"")</f>
      </c>
      <c r="AU51" s="42">
        <f>IF(AND(ISNUMBER($AD51),$M51&gt;0),$AD51/$M51*100,"")</f>
      </c>
      <c r="AV51" s="40">
        <f>IF(AND(ISNUMBER($AB51),ISNUMBER($AD51),ABS($AB51)&gt;0),$AD51/$AB51,"")</f>
      </c>
      <c r="AW51" s="39">
        <f>IF(ISNUMBER($AD51),MAX(0,(1-0.55-Header!$O$3)*Header!$Q$3*$AQ51),"")</f>
      </c>
      <c r="AX51" s="43">
        <f>IF($A51="","",IF(TRIM(IF($A51="","Missing certificate ref. ","") &amp; IF($C51="","Missing effective date. ","") &amp; IF($D51="","Missing binding status. ","") &amp; IF($E51="","Missing movement type. ","") &amp; IF($I51="","Missing make. ","") &amp; IF($L51="","Missing vehicle class. ","") &amp; IF($M51="","Missing agreed value. ","") &amp; IF($N51="","Missing policy type. ","") &amp; IF($Q51="","Missing garaging state. ","") &amp; IF($R51="","Missing garaging ZIP. ","") &amp; IF($S51="","Missing cat zone. ","") &amp; IF($V51="","Missing valuation basis. ","") &amp; IF($W51="","Missing PD deductible. ","") &amp; IF($X51="","Missing liability limit. ","") &amp; IF($AB51="","Missing technical premium. ","") &amp; IF($AF51="","Missing surplus lines tax %. ",""))="","PASS","FAIL: "&amp;TRIM(IF($A51="","Missing certificate ref. ","") &amp; IF($C51="","Missing effective date. ","") &amp; IF($D51="","Missing binding status. ","") &amp; IF($E51="","Missing movement type. ","") &amp; IF($I51="","Missing make. ","") &amp; IF($L51="","Missing vehicle class. ","") &amp; IF($M51="","Missing agreed value. ","") &amp; IF($N51="","Missing policy type. ","") &amp; IF($Q51="","Missing garaging state. ","") &amp; IF($R51="","Missing garaging ZIP. ","") &amp; IF($S51="","Missing cat zone. ","") &amp; IF($V51="","Missing valuation basis. ","") &amp; IF($W51="","Missing PD deductible. ","") &amp; IF($X51="","Missing liability limit. ","") &amp; IF($AB51="","Missing technical premium. ","") &amp; IF($AF51="","Missing surplus lines tax %. ",""))))</f>
      </c>
      <c r="AY51" s="44">
        <f>IF($M51="","",IF(ISNUMBER($M51),IF($M51&gt;=Header!$C$18,"YES — refer","No"),""))</f>
      </c>
      <c r="AZ51" s="44">
        <f>IF($AD51="","",IF(ISNUMBER($AD51),IF($AD51&lt;Header!$C$20,"BELOW MIN PREMIUM","OK"),""))</f>
      </c>
      <c r="BA51" s="32" t="inlineStr">
        <is>
          <t xml:space="preserve">Yes</t>
        </is>
      </c>
      <c r="BB51" s="32" t="inlineStr">
        <is>
          <t xml:space="preserve">Yes</t>
        </is>
      </c>
      <c r="BC51" s="30" t="inlineStr">
        <is>
          <t xml:space="preserve">Synthetic demo data</t>
        </is>
      </c>
      <c r="BE51" s="45">
        <f>IF(OR($A51="",$L51="",$H51=""),"",IF(AND(LEFT($L51,2)="06",$H51&gt;1945),"FAIL - pre-war class, year "&amp;$H51,IF(AND(LEFT($L51,2)="07",OR($H51&lt;1946,$H51&gt;1972)),"FAIL - 1946-72 class, year "&amp;$H51,IF(AND(LEFT($L51,2)="08",OR($H51&lt;1973,$H51&gt;1999)),"FAIL - 1973-99 class, year "&amp;$H51,IF(AND(LEFT($L51,2)="09",OR($H51&lt;2000,$H51&gt;2010)),"FAIL - 2000-10 class, year "&amp;$H51,"OK")))))</f>
      </c>
      <c r="BF51" s="45">
        <f>IF($AD51="","",IF(ROUND($AO51+$AP51+$AQ51-$AD51,2)=0,"OK","FAIL - out by "&amp;TEXT($AO51+$AP51+$AQ51-$AD51,"$0.00")))</f>
      </c>
    </row>
    <row r="52" spans="1:58" ht="18.75" customHeight="1" x14ac:dyDescent="0.25">
      <c r="A52" s="46" t="inlineStr">
        <is>
          <t xml:space="preserve">CANON-202511-002225</t>
        </is>
      </c>
      <c r="B52" s="46" t="inlineStr">
        <is>
          <t xml:space="preserve">Wilhelmina Whitlock</t>
        </is>
      </c>
      <c r="C52" s="47">
        <v>45990</v>
      </c>
      <c r="D52" s="48" t="inlineStr">
        <is>
          <t xml:space="preserve">Bound - within authority</t>
        </is>
      </c>
      <c r="E52" s="48" t="inlineStr">
        <is>
          <t xml:space="preserve">New business</t>
        </is>
      </c>
      <c r="F52" s="46" t="inlineStr">
        <is>
          <t xml:space="preserve">B1234EXOTIC26</t>
        </is>
      </c>
      <c r="G52" s="33">
        <f>IF($A52="","",IF($C52="","",YEAR($C52)))</f>
      </c>
      <c r="H52" s="49">
        <v>2007</v>
      </c>
      <c r="I52" s="46" t="inlineStr">
        <is>
          <t xml:space="preserve">Mercedes-Benz</t>
        </is>
      </c>
      <c r="J52" s="46" t="inlineStr">
        <is>
          <t xml:space="preserve">AMG GT</t>
        </is>
      </c>
      <c r="K52" s="46" t="inlineStr">
        <is>
          <t xml:space="preserve">C46HNVM82P8L4AW8J</t>
        </is>
      </c>
      <c r="L52" s="48" t="inlineStr">
        <is>
          <t xml:space="preserve">02 - Sports / GT</t>
        </is>
      </c>
      <c r="M52" s="50">
        <v>330000</v>
      </c>
      <c r="N52" s="48" t="inlineStr">
        <is>
          <t xml:space="preserve">Personal</t>
        </is>
      </c>
      <c r="O52" s="46" t="inlineStr">
        <is>
          <t xml:space="preserve">Personal - regular use</t>
        </is>
      </c>
      <c r="P52" s="46" t="inlineStr">
        <is>
          <t xml:space="preserve">Under 1,000</t>
        </is>
      </c>
      <c r="Q52" s="46" t="inlineStr">
        <is>
          <t xml:space="preserve">North Dakota</t>
        </is>
      </c>
      <c r="R52" s="46" t="inlineStr">
        <is>
          <t xml:space="preserve">58501</t>
        </is>
      </c>
      <c r="S52" s="48" t="inlineStr">
        <is>
          <t xml:space="preserve">Severe convective - hail alley (high)</t>
        </is>
      </c>
      <c r="T52" s="36">
        <f>IF($A52="","",IF($S52="","",IFERROR(INDEX('[1]natural catastrophe'!$D$6:$D$17,MATCH($S52,'[1]natural catastrophe'!$B$6:$B$17,0)),"?")))</f>
      </c>
      <c r="U52" s="46" t="inlineStr">
        <is>
          <t xml:space="preserve">$5,000</t>
        </is>
      </c>
      <c r="V52" s="48" t="inlineStr">
        <is>
          <t xml:space="preserve">Agreed Value</t>
        </is>
      </c>
      <c r="W52" s="46" t="inlineStr">
        <is>
          <t xml:space="preserve">$1,000</t>
        </is>
      </c>
      <c r="X52" s="48" t="inlineStr">
        <is>
          <t xml:space="preserve">$1,000,000 CSL</t>
        </is>
      </c>
      <c r="Y52" s="46"/>
      <c r="Z52" s="46"/>
      <c r="AA52" s="48" t="inlineStr">
        <is>
          <t xml:space="preserve">Surplus Lines</t>
        </is>
      </c>
      <c r="AB52" s="50">
        <v>4379.3</v>
      </c>
      <c r="AC52" s="51">
        <v>0</v>
      </c>
      <c r="AD52" s="38">
        <f>IF(ISNUMBER($AB52),$AB52*(1+N($AC52)),"")</f>
      </c>
      <c r="AE52" s="50">
        <v>350</v>
      </c>
      <c r="AF52" s="50">
        <v>0</v>
      </c>
      <c r="AG52" s="51"/>
      <c r="AH52" s="39">
        <f>IF(ISNUMBER($AD52),($AD52+$AE52+$AF52)*$AG52,"")</f>
      </c>
      <c r="AI52" s="50"/>
      <c r="AJ52" s="38">
        <f>IF(ISNUMBER($AD52),SUM($AD52:$AH52),"")</f>
      </c>
      <c r="AK52" s="40">
        <f>IF(AND(ISNUMBER($AB52),ISNUMBER($AD52)),IF($AB52&gt;0,$AD52/$AB52,""),"")</f>
      </c>
      <c r="AL52" s="48" t="inlineStr">
        <is>
          <t xml:space="preserve">At technical</t>
        </is>
      </c>
      <c r="AM52" s="41">
        <f>IF(ISNUMBER($AD52),Header!$I$3,"")</f>
      </c>
      <c r="AN52" s="39">
        <f>IF(ISNUMBER($AD52),$AO52+$AP52,"")</f>
      </c>
      <c r="AO52" s="39">
        <f>IF(ISNUMBER($AD52),ROUND($AD52*Header!$K$3,2),"")</f>
      </c>
      <c r="AP52" s="39">
        <f>IF(ISNUMBER($AD52),ROUND($AD52*Header!$M$3,2),"")</f>
      </c>
      <c r="AQ52" s="38">
        <f>IF(ISNUMBER($AD52),ROUND($AD52,2)-$AO52-$AP52,"")</f>
      </c>
      <c r="AR52" s="39">
        <f>IF(ISNUMBER($AD52),IF(Header!$D$34="","?",$AD52*Header!$D$34),"")</f>
      </c>
      <c r="AS52" s="39">
        <f>IF(ISNUMBER($AB52),IF(Header!$D$34="","?",$AB52*Header!$D$34),"")</f>
      </c>
      <c r="AT52" s="42">
        <f>IF(AND(ISNUMBER($AB52),$M52&gt;0),$AB52/$M52*100,"")</f>
      </c>
      <c r="AU52" s="42">
        <f>IF(AND(ISNUMBER($AD52),$M52&gt;0),$AD52/$M52*100,"")</f>
      </c>
      <c r="AV52" s="40">
        <f>IF(AND(ISNUMBER($AB52),ISNUMBER($AD52),ABS($AB52)&gt;0),$AD52/$AB52,"")</f>
      </c>
      <c r="AW52" s="39">
        <f>IF(ISNUMBER($AD52),MAX(0,(1-0.55-Header!$O$3)*Header!$Q$3*$AQ52),"")</f>
      </c>
      <c r="AX52" s="43">
        <f>IF($A52="","",IF(TRIM(IF($A52="","Missing certificate ref. ","") &amp; IF($C52="","Missing effective date. ","") &amp; IF($D52="","Missing binding status. ","") &amp; IF($E52="","Missing movement type. ","") &amp; IF($I52="","Missing make. ","") &amp; IF($L52="","Missing vehicle class. ","") &amp; IF($M52="","Missing agreed value. ","") &amp; IF($N52="","Missing policy type. ","") &amp; IF($Q52="","Missing garaging state. ","") &amp; IF($R52="","Missing garaging ZIP. ","") &amp; IF($S52="","Missing cat zone. ","") &amp; IF($V52="","Missing valuation basis. ","") &amp; IF($W52="","Missing PD deductible. ","") &amp; IF($X52="","Missing liability limit. ","") &amp; IF($AB52="","Missing technical premium. ","") &amp; IF($AF52="","Missing surplus lines tax %. ",""))="","PASS","FAIL: "&amp;TRIM(IF($A52="","Missing certificate ref. ","") &amp; IF($C52="","Missing effective date. ","") &amp; IF($D52="","Missing binding status. ","") &amp; IF($E52="","Missing movement type. ","") &amp; IF($I52="","Missing make. ","") &amp; IF($L52="","Missing vehicle class. ","") &amp; IF($M52="","Missing agreed value. ","") &amp; IF($N52="","Missing policy type. ","") &amp; IF($Q52="","Missing garaging state. ","") &amp; IF($R52="","Missing garaging ZIP. ","") &amp; IF($S52="","Missing cat zone. ","") &amp; IF($V52="","Missing valuation basis. ","") &amp; IF($W52="","Missing PD deductible. ","") &amp; IF($X52="","Missing liability limit. ","") &amp; IF($AB52="","Missing technical premium. ","") &amp; IF($AF52="","Missing surplus lines tax %. ",""))))</f>
      </c>
      <c r="AY52" s="44">
        <f>IF($M52="","",IF(ISNUMBER($M52),IF($M52&gt;=Header!$C$18,"YES — refer","No"),""))</f>
      </c>
      <c r="AZ52" s="44">
        <f>IF($AD52="","",IF(ISNUMBER($AD52),IF($AD52&lt;Header!$C$20,"BELOW MIN PREMIUM","OK"),""))</f>
      </c>
      <c r="BA52" s="48" t="inlineStr">
        <is>
          <t xml:space="preserve">Yes</t>
        </is>
      </c>
      <c r="BB52" s="48" t="inlineStr">
        <is>
          <t xml:space="preserve">Yes</t>
        </is>
      </c>
      <c r="BC52" s="46" t="inlineStr">
        <is>
          <t xml:space="preserve">Synthetic demo data</t>
        </is>
      </c>
      <c r="BE52" s="45">
        <f>IF(OR($A52="",$L52="",$H52=""),"",IF(AND(LEFT($L52,2)="06",$H52&gt;1945),"FAIL - pre-war class, year "&amp;$H52,IF(AND(LEFT($L52,2)="07",OR($H52&lt;1946,$H52&gt;1972)),"FAIL - 1946-72 class, year "&amp;$H52,IF(AND(LEFT($L52,2)="08",OR($H52&lt;1973,$H52&gt;1999)),"FAIL - 1973-99 class, year "&amp;$H52,IF(AND(LEFT($L52,2)="09",OR($H52&lt;2000,$H52&gt;2010)),"FAIL - 2000-10 class, year "&amp;$H52,"OK")))))</f>
      </c>
      <c r="BF52" s="45">
        <f>IF($AD52="","",IF(ROUND($AO52+$AP52+$AQ52-$AD52,2)=0,"OK","FAIL - out by "&amp;TEXT($AO52+$AP52+$AQ52-$AD52,"$0.00")))</f>
      </c>
    </row>
    <row r="53" spans="1:58" ht="18.75" customHeight="1" x14ac:dyDescent="0.25">
      <c r="A53" s="30" t="inlineStr">
        <is>
          <t xml:space="preserve">CANON-202511-002227</t>
        </is>
      </c>
      <c r="B53" s="30" t="inlineStr">
        <is>
          <t xml:space="preserve">Saoirse Blackwood</t>
        </is>
      </c>
      <c r="C53" s="31">
        <v>45988</v>
      </c>
      <c r="D53" s="32" t="inlineStr">
        <is>
          <t xml:space="preserve">Bound - within authority</t>
        </is>
      </c>
      <c r="E53" s="32" t="inlineStr">
        <is>
          <t xml:space="preserve">New business</t>
        </is>
      </c>
      <c r="F53" s="30" t="inlineStr">
        <is>
          <t xml:space="preserve">B1234EXOTIC26</t>
        </is>
      </c>
      <c r="G53" s="33">
        <f>IF($A53="","",IF($C53="","",YEAR($C53)))</f>
      </c>
      <c r="H53" s="34">
        <v>1958</v>
      </c>
      <c r="I53" s="30" t="inlineStr">
        <is>
          <t xml:space="preserve">Ferrari</t>
        </is>
      </c>
      <c r="J53" s="30" t="inlineStr">
        <is>
          <t xml:space="preserve">275 GTB/4</t>
        </is>
      </c>
      <c r="K53" s="30" t="inlineStr">
        <is>
          <t xml:space="preserve">NX3BR6Y8AZGXSP3JL</t>
        </is>
      </c>
      <c r="L53" s="32" t="inlineStr">
        <is>
          <t xml:space="preserve">07 - Post-War Classic (1946-1972)</t>
        </is>
      </c>
      <c r="M53" s="35">
        <v>470000</v>
      </c>
      <c r="N53" s="32" t="inlineStr">
        <is>
          <t xml:space="preserve">Personal</t>
        </is>
      </c>
      <c r="O53" s="30" t="inlineStr">
        <is>
          <t xml:space="preserve">Personal - regular use</t>
        </is>
      </c>
      <c r="P53" s="30" t="inlineStr">
        <is>
          <t xml:space="preserve">2,500 - 5,000</t>
        </is>
      </c>
      <c r="Q53" s="30" t="inlineStr">
        <is>
          <t xml:space="preserve">New Jersey</t>
        </is>
      </c>
      <c r="R53" s="30" t="inlineStr">
        <is>
          <t xml:space="preserve">07102</t>
        </is>
      </c>
      <c r="S53" s="32" t="inlineStr">
        <is>
          <t xml:space="preserve">Tier 3 - Coastal wind (25-100 miles)</t>
        </is>
      </c>
      <c r="T53" s="36">
        <f>IF($A53="","",IF($S53="","",IFERROR(INDEX('[1]natural catastrophe'!$D$6:$D$17,MATCH($S53,'[1]natural catastrophe'!$B$6:$B$17,0)),"?")))</f>
      </c>
      <c r="U53" s="30" t="inlineStr">
        <is>
          <t xml:space="preserve">2% of agreed value, minimum $10,000</t>
        </is>
      </c>
      <c r="V53" s="32" t="inlineStr">
        <is>
          <t xml:space="preserve">Agreed Value</t>
        </is>
      </c>
      <c r="W53" s="30" t="inlineStr">
        <is>
          <t xml:space="preserve">$1,000</t>
        </is>
      </c>
      <c r="X53" s="32" t="inlineStr">
        <is>
          <t xml:space="preserve">$1,000,000 CSL</t>
        </is>
      </c>
      <c r="Y53" s="30"/>
      <c r="Z53" s="30"/>
      <c r="AA53" s="32" t="inlineStr">
        <is>
          <t xml:space="preserve">Surplus Lines</t>
        </is>
      </c>
      <c r="AB53" s="35">
        <v>3561.31</v>
      </c>
      <c r="AC53" s="37">
        <v>0</v>
      </c>
      <c r="AD53" s="38">
        <f>IF(ISNUMBER($AB53),$AB53*(1+N($AC53)),"")</f>
      </c>
      <c r="AE53" s="35">
        <v>350</v>
      </c>
      <c r="AF53" s="35">
        <v>0</v>
      </c>
      <c r="AG53" s="37"/>
      <c r="AH53" s="39">
        <f>IF(ISNUMBER($AD53),($AD53+$AE53+$AF53)*$AG53,"")</f>
      </c>
      <c r="AI53" s="35"/>
      <c r="AJ53" s="38">
        <f>IF(ISNUMBER($AD53),SUM($AD53:$AH53),"")</f>
      </c>
      <c r="AK53" s="40">
        <f>IF(AND(ISNUMBER($AB53),ISNUMBER($AD53)),IF($AB53&gt;0,$AD53/$AB53,""),"")</f>
      </c>
      <c r="AL53" s="32" t="inlineStr">
        <is>
          <t xml:space="preserve">At technical</t>
        </is>
      </c>
      <c r="AM53" s="41">
        <f>IF(ISNUMBER($AD53),Header!$I$3,"")</f>
      </c>
      <c r="AN53" s="39">
        <f>IF(ISNUMBER($AD53),$AO53+$AP53,"")</f>
      </c>
      <c r="AO53" s="39">
        <f>IF(ISNUMBER($AD53),ROUND($AD53*Header!$K$3,2),"")</f>
      </c>
      <c r="AP53" s="39">
        <f>IF(ISNUMBER($AD53),ROUND($AD53*Header!$M$3,2),"")</f>
      </c>
      <c r="AQ53" s="38">
        <f>IF(ISNUMBER($AD53),ROUND($AD53,2)-$AO53-$AP53,"")</f>
      </c>
      <c r="AR53" s="39">
        <f>IF(ISNUMBER($AD53),IF(Header!$D$34="","?",$AD53*Header!$D$34),"")</f>
      </c>
      <c r="AS53" s="39">
        <f>IF(ISNUMBER($AB53),IF(Header!$D$34="","?",$AB53*Header!$D$34),"")</f>
      </c>
      <c r="AT53" s="42">
        <f>IF(AND(ISNUMBER($AB53),$M53&gt;0),$AB53/$M53*100,"")</f>
      </c>
      <c r="AU53" s="42">
        <f>IF(AND(ISNUMBER($AD53),$M53&gt;0),$AD53/$M53*100,"")</f>
      </c>
      <c r="AV53" s="40">
        <f>IF(AND(ISNUMBER($AB53),ISNUMBER($AD53),ABS($AB53)&gt;0),$AD53/$AB53,"")</f>
      </c>
      <c r="AW53" s="39">
        <f>IF(ISNUMBER($AD53),MAX(0,(1-0.55-Header!$O$3)*Header!$Q$3*$AQ53),"")</f>
      </c>
      <c r="AX53" s="43">
        <f>IF($A53="","",IF(TRIM(IF($A53="","Missing certificate ref. ","") &amp; IF($C53="","Missing effective date. ","") &amp; IF($D53="","Missing binding status. ","") &amp; IF($E53="","Missing movement type. ","") &amp; IF($I53="","Missing make. ","") &amp; IF($L53="","Missing vehicle class. ","") &amp; IF($M53="","Missing agreed value. ","") &amp; IF($N53="","Missing policy type. ","") &amp; IF($Q53="","Missing garaging state. ","") &amp; IF($R53="","Missing garaging ZIP. ","") &amp; IF($S53="","Missing cat zone. ","") &amp; IF($V53="","Missing valuation basis. ","") &amp; IF($W53="","Missing PD deductible. ","") &amp; IF($X53="","Missing liability limit. ","") &amp; IF($AB53="","Missing technical premium. ","") &amp; IF($AF53="","Missing surplus lines tax %. ",""))="","PASS","FAIL: "&amp;TRIM(IF($A53="","Missing certificate ref. ","") &amp; IF($C53="","Missing effective date. ","") &amp; IF($D53="","Missing binding status. ","") &amp; IF($E53="","Missing movement type. ","") &amp; IF($I53="","Missing make. ","") &amp; IF($L53="","Missing vehicle class. ","") &amp; IF($M53="","Missing agreed value. ","") &amp; IF($N53="","Missing policy type. ","") &amp; IF($Q53="","Missing garaging state. ","") &amp; IF($R53="","Missing garaging ZIP. ","") &amp; IF($S53="","Missing cat zone. ","") &amp; IF($V53="","Missing valuation basis. ","") &amp; IF($W53="","Missing PD deductible. ","") &amp; IF($X53="","Missing liability limit. ","") &amp; IF($AB53="","Missing technical premium. ","") &amp; IF($AF53="","Missing surplus lines tax %. ",""))))</f>
      </c>
      <c r="AY53" s="44">
        <f>IF($M53="","",IF(ISNUMBER($M53),IF($M53&gt;=Header!$C$18,"YES — refer","No"),""))</f>
      </c>
      <c r="AZ53" s="44">
        <f>IF($AD53="","",IF(ISNUMBER($AD53),IF($AD53&lt;Header!$C$20,"BELOW MIN PREMIUM","OK"),""))</f>
      </c>
      <c r="BA53" s="32" t="inlineStr">
        <is>
          <t xml:space="preserve">Yes</t>
        </is>
      </c>
      <c r="BB53" s="32" t="inlineStr">
        <is>
          <t xml:space="preserve">Yes</t>
        </is>
      </c>
      <c r="BC53" s="30" t="inlineStr">
        <is>
          <t xml:space="preserve">Synthetic demo data</t>
        </is>
      </c>
      <c r="BE53" s="45">
        <f>IF(OR($A53="",$L53="",$H53=""),"",IF(AND(LEFT($L53,2)="06",$H53&gt;1945),"FAIL - pre-war class, year "&amp;$H53,IF(AND(LEFT($L53,2)="07",OR($H53&lt;1946,$H53&gt;1972)),"FAIL - 1946-72 class, year "&amp;$H53,IF(AND(LEFT($L53,2)="08",OR($H53&lt;1973,$H53&gt;1999)),"FAIL - 1973-99 class, year "&amp;$H53,IF(AND(LEFT($L53,2)="09",OR($H53&lt;2000,$H53&gt;2010)),"FAIL - 2000-10 class, year "&amp;$H53,"OK")))))</f>
      </c>
      <c r="BF53" s="45">
        <f>IF($AD53="","",IF(ROUND($AO53+$AP53+$AQ53-$AD53,2)=0,"OK","FAIL - out by "&amp;TEXT($AO53+$AP53+$AQ53-$AD53,"$0.00")))</f>
      </c>
    </row>
    <row r="54" spans="1:58" ht="18.75" customHeight="1" x14ac:dyDescent="0.25">
      <c r="A54" s="46" t="inlineStr">
        <is>
          <t xml:space="preserve">CANON-202511-002229</t>
        </is>
      </c>
      <c r="B54" s="46" t="inlineStr">
        <is>
          <t xml:space="preserve">Delphine Kingsford</t>
        </is>
      </c>
      <c r="C54" s="47">
        <v>45963</v>
      </c>
      <c r="D54" s="48" t="inlineStr">
        <is>
          <t xml:space="preserve">Bound - within authority</t>
        </is>
      </c>
      <c r="E54" s="48" t="inlineStr">
        <is>
          <t xml:space="preserve">New business</t>
        </is>
      </c>
      <c r="F54" s="46" t="inlineStr">
        <is>
          <t xml:space="preserve">B1234EXOTIC26</t>
        </is>
      </c>
      <c r="G54" s="33">
        <f>IF($A54="","",IF($C54="","",YEAR($C54)))</f>
      </c>
      <c r="H54" s="49">
        <v>2016</v>
      </c>
      <c r="I54" s="46" t="inlineStr">
        <is>
          <t xml:space="preserve">Aston Martin</t>
        </is>
      </c>
      <c r="J54" s="46" t="inlineStr">
        <is>
          <t xml:space="preserve">DB12</t>
        </is>
      </c>
      <c r="K54" s="46" t="inlineStr">
        <is>
          <t xml:space="preserve">TAEAVH41J4GEEY3Z9</t>
        </is>
      </c>
      <c r="L54" s="48" t="inlineStr">
        <is>
          <t xml:space="preserve">02 - Sports / GT</t>
        </is>
      </c>
      <c r="M54" s="50">
        <v>710000</v>
      </c>
      <c r="N54" s="48" t="inlineStr">
        <is>
          <t xml:space="preserve">Personal</t>
        </is>
      </c>
      <c r="O54" s="46" t="inlineStr">
        <is>
          <t xml:space="preserve">Personal - regular use</t>
        </is>
      </c>
      <c r="P54" s="46" t="inlineStr">
        <is>
          <t xml:space="preserve">Under 1,000</t>
        </is>
      </c>
      <c r="Q54" s="46" t="inlineStr">
        <is>
          <t xml:space="preserve">Texas</t>
        </is>
      </c>
      <c r="R54" s="46" t="inlineStr">
        <is>
          <t xml:space="preserve">75201</t>
        </is>
      </c>
      <c r="S54" s="48" t="inlineStr">
        <is>
          <t xml:space="preserve">Tier 2 - Coastal wind (1-25 miles)</t>
        </is>
      </c>
      <c r="T54" s="36">
        <f>IF($A54="","",IF($S54="","",IFERROR(INDEX('[1]natural catastrophe'!$D$6:$D$17,MATCH($S54,'[1]natural catastrophe'!$B$6:$B$17,0)),"?")))</f>
      </c>
      <c r="U54" s="46" t="inlineStr">
        <is>
          <t xml:space="preserve">2% of agreed value, minimum $10,000</t>
        </is>
      </c>
      <c r="V54" s="48" t="inlineStr">
        <is>
          <t xml:space="preserve">Agreed Value</t>
        </is>
      </c>
      <c r="W54" s="46" t="inlineStr">
        <is>
          <t xml:space="preserve">$1,000</t>
        </is>
      </c>
      <c r="X54" s="48" t="inlineStr">
        <is>
          <t xml:space="preserve">$1,000,000 CSL</t>
        </is>
      </c>
      <c r="Y54" s="46"/>
      <c r="Z54" s="46"/>
      <c r="AA54" s="48" t="inlineStr">
        <is>
          <t xml:space="preserve">Surplus Lines</t>
        </is>
      </c>
      <c r="AB54" s="50">
        <v>9206.58</v>
      </c>
      <c r="AC54" s="51">
        <v>0</v>
      </c>
      <c r="AD54" s="38">
        <f>IF(ISNUMBER($AB54),$AB54*(1+N($AC54)),"")</f>
      </c>
      <c r="AE54" s="50">
        <v>350</v>
      </c>
      <c r="AF54" s="50">
        <v>0</v>
      </c>
      <c r="AG54" s="51"/>
      <c r="AH54" s="39">
        <f>IF(ISNUMBER($AD54),($AD54+$AE54+$AF54)*$AG54,"")</f>
      </c>
      <c r="AI54" s="50"/>
      <c r="AJ54" s="38">
        <f>IF(ISNUMBER($AD54),SUM($AD54:$AH54),"")</f>
      </c>
      <c r="AK54" s="40">
        <f>IF(AND(ISNUMBER($AB54),ISNUMBER($AD54)),IF($AB54&gt;0,$AD54/$AB54,""),"")</f>
      </c>
      <c r="AL54" s="48" t="inlineStr">
        <is>
          <t xml:space="preserve">At technical</t>
        </is>
      </c>
      <c r="AM54" s="41">
        <f>IF(ISNUMBER($AD54),Header!$I$3,"")</f>
      </c>
      <c r="AN54" s="39">
        <f>IF(ISNUMBER($AD54),$AO54+$AP54,"")</f>
      </c>
      <c r="AO54" s="39">
        <f>IF(ISNUMBER($AD54),ROUND($AD54*Header!$K$3,2),"")</f>
      </c>
      <c r="AP54" s="39">
        <f>IF(ISNUMBER($AD54),ROUND($AD54*Header!$M$3,2),"")</f>
      </c>
      <c r="AQ54" s="38">
        <f>IF(ISNUMBER($AD54),ROUND($AD54,2)-$AO54-$AP54,"")</f>
      </c>
      <c r="AR54" s="39">
        <f>IF(ISNUMBER($AD54),IF(Header!$D$34="","?",$AD54*Header!$D$34),"")</f>
      </c>
      <c r="AS54" s="39">
        <f>IF(ISNUMBER($AB54),IF(Header!$D$34="","?",$AB54*Header!$D$34),"")</f>
      </c>
      <c r="AT54" s="42">
        <f>IF(AND(ISNUMBER($AB54),$M54&gt;0),$AB54/$M54*100,"")</f>
      </c>
      <c r="AU54" s="42">
        <f>IF(AND(ISNUMBER($AD54),$M54&gt;0),$AD54/$M54*100,"")</f>
      </c>
      <c r="AV54" s="40">
        <f>IF(AND(ISNUMBER($AB54),ISNUMBER($AD54),ABS($AB54)&gt;0),$AD54/$AB54,"")</f>
      </c>
      <c r="AW54" s="39">
        <f>IF(ISNUMBER($AD54),MAX(0,(1-0.55-Header!$O$3)*Header!$Q$3*$AQ54),"")</f>
      </c>
      <c r="AX54" s="43">
        <f>IF($A54="","",IF(TRIM(IF($A54="","Missing certificate ref. ","") &amp; IF($C54="","Missing effective date. ","") &amp; IF($D54="","Missing binding status. ","") &amp; IF($E54="","Missing movement type. ","") &amp; IF($I54="","Missing make. ","") &amp; IF($L54="","Missing vehicle class. ","") &amp; IF($M54="","Missing agreed value. ","") &amp; IF($N54="","Missing policy type. ","") &amp; IF($Q54="","Missing garaging state. ","") &amp; IF($R54="","Missing garaging ZIP. ","") &amp; IF($S54="","Missing cat zone. ","") &amp; IF($V54="","Missing valuation basis. ","") &amp; IF($W54="","Missing PD deductible. ","") &amp; IF($X54="","Missing liability limit. ","") &amp; IF($AB54="","Missing technical premium. ","") &amp; IF($AF54="","Missing surplus lines tax %. ",""))="","PASS","FAIL: "&amp;TRIM(IF($A54="","Missing certificate ref. ","") &amp; IF($C54="","Missing effective date. ","") &amp; IF($D54="","Missing binding status. ","") &amp; IF($E54="","Missing movement type. ","") &amp; IF($I54="","Missing make. ","") &amp; IF($L54="","Missing vehicle class. ","") &amp; IF($M54="","Missing agreed value. ","") &amp; IF($N54="","Missing policy type. ","") &amp; IF($Q54="","Missing garaging state. ","") &amp; IF($R54="","Missing garaging ZIP. ","") &amp; IF($S54="","Missing cat zone. ","") &amp; IF($V54="","Missing valuation basis. ","") &amp; IF($W54="","Missing PD deductible. ","") &amp; IF($X54="","Missing liability limit. ","") &amp; IF($AB54="","Missing technical premium. ","") &amp; IF($AF54="","Missing surplus lines tax %. ",""))))</f>
      </c>
      <c r="AY54" s="44">
        <f>IF($M54="","",IF(ISNUMBER($M54),IF($M54&gt;=Header!$C$18,"YES — refer","No"),""))</f>
      </c>
      <c r="AZ54" s="44">
        <f>IF($AD54="","",IF(ISNUMBER($AD54),IF($AD54&lt;Header!$C$20,"BELOW MIN PREMIUM","OK"),""))</f>
      </c>
      <c r="BA54" s="48" t="inlineStr">
        <is>
          <t xml:space="preserve">Yes</t>
        </is>
      </c>
      <c r="BB54" s="48" t="inlineStr">
        <is>
          <t xml:space="preserve">Yes</t>
        </is>
      </c>
      <c r="BC54" s="46" t="inlineStr">
        <is>
          <t xml:space="preserve">Synthetic demo data</t>
        </is>
      </c>
      <c r="BE54" s="45">
        <f>IF(OR($A54="",$L54="",$H54=""),"",IF(AND(LEFT($L54,2)="06",$H54&gt;1945),"FAIL - pre-war class, year "&amp;$H54,IF(AND(LEFT($L54,2)="07",OR($H54&lt;1946,$H54&gt;1972)),"FAIL - 1946-72 class, year "&amp;$H54,IF(AND(LEFT($L54,2)="08",OR($H54&lt;1973,$H54&gt;1999)),"FAIL - 1973-99 class, year "&amp;$H54,IF(AND(LEFT($L54,2)="09",OR($H54&lt;2000,$H54&gt;2010)),"FAIL - 2000-10 class, year "&amp;$H54,"OK")))))</f>
      </c>
      <c r="BF54" s="45">
        <f>IF($AD54="","",IF(ROUND($AO54+$AP54+$AQ54-$AD54,2)=0,"OK","FAIL - out by "&amp;TEXT($AO54+$AP54+$AQ54-$AD54,"$0.00")))</f>
      </c>
    </row>
    <row r="55" spans="1:58" ht="18.75" customHeight="1" x14ac:dyDescent="0.25">
      <c r="A55" s="30" t="inlineStr">
        <is>
          <t xml:space="preserve">CANON-202511-002230</t>
        </is>
      </c>
      <c r="B55" s="30" t="inlineStr">
        <is>
          <t xml:space="preserve">Fitzgerald Ashcombe</t>
        </is>
      </c>
      <c r="C55" s="31">
        <v>45991</v>
      </c>
      <c r="D55" s="32" t="inlineStr">
        <is>
          <t xml:space="preserve">Bound - within authority</t>
        </is>
      </c>
      <c r="E55" s="32" t="inlineStr">
        <is>
          <t xml:space="preserve">New business</t>
        </is>
      </c>
      <c r="F55" s="30" t="inlineStr">
        <is>
          <t xml:space="preserve">B1234EXOTIC26</t>
        </is>
      </c>
      <c r="G55" s="33">
        <f>IF($A55="","",IF($C55="","",YEAR($C55)))</f>
      </c>
      <c r="H55" s="34">
        <v>1997</v>
      </c>
      <c r="I55" s="30" t="inlineStr">
        <is>
          <t xml:space="preserve">Porsche</t>
        </is>
      </c>
      <c r="J55" s="30" t="inlineStr">
        <is>
          <t xml:space="preserve">911 Turbo S</t>
        </is>
      </c>
      <c r="K55" s="30" t="inlineStr">
        <is>
          <t xml:space="preserve">XJJ3TXMVKLC4506XB</t>
        </is>
      </c>
      <c r="L55" s="32" t="inlineStr">
        <is>
          <t xml:space="preserve">02 - Sports / GT</t>
        </is>
      </c>
      <c r="M55" s="35">
        <v>195000</v>
      </c>
      <c r="N55" s="32" t="inlineStr">
        <is>
          <t xml:space="preserve">Personal</t>
        </is>
      </c>
      <c r="O55" s="30" t="inlineStr">
        <is>
          <t xml:space="preserve">Personal - regular use</t>
        </is>
      </c>
      <c r="P55" s="30" t="inlineStr">
        <is>
          <t xml:space="preserve">1,000 - 2,500</t>
        </is>
      </c>
      <c r="Q55" s="30" t="inlineStr">
        <is>
          <t xml:space="preserve">New Jersey</t>
        </is>
      </c>
      <c r="R55" s="30" t="inlineStr">
        <is>
          <t xml:space="preserve">07102</t>
        </is>
      </c>
      <c r="S55" s="32" t="inlineStr">
        <is>
          <t xml:space="preserve">Tier 3 - Coastal wind (25-100 miles)</t>
        </is>
      </c>
      <c r="T55" s="36">
        <f>IF($A55="","",IF($S55="","",IFERROR(INDEX('[1]natural catastrophe'!$D$6:$D$17,MATCH($S55,'[1]natural catastrophe'!$B$6:$B$17,0)),"?")))</f>
      </c>
      <c r="U55" s="30" t="inlineStr">
        <is>
          <t xml:space="preserve">2% of agreed value, minimum $10,000</t>
        </is>
      </c>
      <c r="V55" s="32" t="inlineStr">
        <is>
          <t xml:space="preserve">Agreed Value</t>
        </is>
      </c>
      <c r="W55" s="30" t="inlineStr">
        <is>
          <t xml:space="preserve">$1,000</t>
        </is>
      </c>
      <c r="X55" s="32" t="inlineStr">
        <is>
          <t xml:space="preserve">$1,000,000 CSL</t>
        </is>
      </c>
      <c r="Y55" s="30"/>
      <c r="Z55" s="30"/>
      <c r="AA55" s="32" t="inlineStr">
        <is>
          <t xml:space="preserve">Surplus Lines</t>
        </is>
      </c>
      <c r="AB55" s="35">
        <v>2831.99</v>
      </c>
      <c r="AC55" s="37">
        <v>0</v>
      </c>
      <c r="AD55" s="38">
        <f>IF(ISNUMBER($AB55),$AB55*(1+N($AC55)),"")</f>
      </c>
      <c r="AE55" s="35">
        <v>350</v>
      </c>
      <c r="AF55" s="35">
        <v>0</v>
      </c>
      <c r="AG55" s="37"/>
      <c r="AH55" s="39">
        <f>IF(ISNUMBER($AD55),($AD55+$AE55+$AF55)*$AG55,"")</f>
      </c>
      <c r="AI55" s="35"/>
      <c r="AJ55" s="38">
        <f>IF(ISNUMBER($AD55),SUM($AD55:$AH55),"")</f>
      </c>
      <c r="AK55" s="40">
        <f>IF(AND(ISNUMBER($AB55),ISNUMBER($AD55)),IF($AB55&gt;0,$AD55/$AB55,""),"")</f>
      </c>
      <c r="AL55" s="32" t="inlineStr">
        <is>
          <t xml:space="preserve">At technical</t>
        </is>
      </c>
      <c r="AM55" s="41">
        <f>IF(ISNUMBER($AD55),Header!$I$3,"")</f>
      </c>
      <c r="AN55" s="39">
        <f>IF(ISNUMBER($AD55),$AO55+$AP55,"")</f>
      </c>
      <c r="AO55" s="39">
        <f>IF(ISNUMBER($AD55),ROUND($AD55*Header!$K$3,2),"")</f>
      </c>
      <c r="AP55" s="39">
        <f>IF(ISNUMBER($AD55),ROUND($AD55*Header!$M$3,2),"")</f>
      </c>
      <c r="AQ55" s="38">
        <f>IF(ISNUMBER($AD55),ROUND($AD55,2)-$AO55-$AP55,"")</f>
      </c>
      <c r="AR55" s="39">
        <f>IF(ISNUMBER($AD55),IF(Header!$D$34="","?",$AD55*Header!$D$34),"")</f>
      </c>
      <c r="AS55" s="39">
        <f>IF(ISNUMBER($AB55),IF(Header!$D$34="","?",$AB55*Header!$D$34),"")</f>
      </c>
      <c r="AT55" s="42">
        <f>IF(AND(ISNUMBER($AB55),$M55&gt;0),$AB55/$M55*100,"")</f>
      </c>
      <c r="AU55" s="42">
        <f>IF(AND(ISNUMBER($AD55),$M55&gt;0),$AD55/$M55*100,"")</f>
      </c>
      <c r="AV55" s="40">
        <f>IF(AND(ISNUMBER($AB55),ISNUMBER($AD55),ABS($AB55)&gt;0),$AD55/$AB55,"")</f>
      </c>
      <c r="AW55" s="39">
        <f>IF(ISNUMBER($AD55),MAX(0,(1-0.55-Header!$O$3)*Header!$Q$3*$AQ55),"")</f>
      </c>
      <c r="AX55" s="43">
        <f>IF($A55="","",IF(TRIM(IF($A55="","Missing certificate ref. ","") &amp; IF($C55="","Missing effective date. ","") &amp; IF($D55="","Missing binding status. ","") &amp; IF($E55="","Missing movement type. ","") &amp; IF($I55="","Missing make. ","") &amp; IF($L55="","Missing vehicle class. ","") &amp; IF($M55="","Missing agreed value. ","") &amp; IF($N55="","Missing policy type. ","") &amp; IF($Q55="","Missing garaging state. ","") &amp; IF($R55="","Missing garaging ZIP. ","") &amp; IF($S55="","Missing cat zone. ","") &amp; IF($V55="","Missing valuation basis. ","") &amp; IF($W55="","Missing PD deductible. ","") &amp; IF($X55="","Missing liability limit. ","") &amp; IF($AB55="","Missing technical premium. ","") &amp; IF($AF55="","Missing surplus lines tax %. ",""))="","PASS","FAIL: "&amp;TRIM(IF($A55="","Missing certificate ref. ","") &amp; IF($C55="","Missing effective date. ","") &amp; IF($D55="","Missing binding status. ","") &amp; IF($E55="","Missing movement type. ","") &amp; IF($I55="","Missing make. ","") &amp; IF($L55="","Missing vehicle class. ","") &amp; IF($M55="","Missing agreed value. ","") &amp; IF($N55="","Missing policy type. ","") &amp; IF($Q55="","Missing garaging state. ","") &amp; IF($R55="","Missing garaging ZIP. ","") &amp; IF($S55="","Missing cat zone. ","") &amp; IF($V55="","Missing valuation basis. ","") &amp; IF($W55="","Missing PD deductible. ","") &amp; IF($X55="","Missing liability limit. ","") &amp; IF($AB55="","Missing technical premium. ","") &amp; IF($AF55="","Missing surplus lines tax %. ",""))))</f>
      </c>
      <c r="AY55" s="44">
        <f>IF($M55="","",IF(ISNUMBER($M55),IF($M55&gt;=Header!$C$18,"YES — refer","No"),""))</f>
      </c>
      <c r="AZ55" s="44">
        <f>IF($AD55="","",IF(ISNUMBER($AD55),IF($AD55&lt;Header!$C$20,"BELOW MIN PREMIUM","OK"),""))</f>
      </c>
      <c r="BA55" s="32" t="inlineStr">
        <is>
          <t xml:space="preserve">Yes</t>
        </is>
      </c>
      <c r="BB55" s="32" t="inlineStr">
        <is>
          <t xml:space="preserve">Yes</t>
        </is>
      </c>
      <c r="BC55" s="30" t="inlineStr">
        <is>
          <t xml:space="preserve">Synthetic demo data</t>
        </is>
      </c>
      <c r="BE55" s="45">
        <f>IF(OR($A55="",$L55="",$H55=""),"",IF(AND(LEFT($L55,2)="06",$H55&gt;1945),"FAIL - pre-war class, year "&amp;$H55,IF(AND(LEFT($L55,2)="07",OR($H55&lt;1946,$H55&gt;1972)),"FAIL - 1946-72 class, year "&amp;$H55,IF(AND(LEFT($L55,2)="08",OR($H55&lt;1973,$H55&gt;1999)),"FAIL - 1973-99 class, year "&amp;$H55,IF(AND(LEFT($L55,2)="09",OR($H55&lt;2000,$H55&gt;2010)),"FAIL - 2000-10 class, year "&amp;$H55,"OK")))))</f>
      </c>
      <c r="BF55" s="45">
        <f>IF($AD55="","",IF(ROUND($AO55+$AP55+$AQ55-$AD55,2)=0,"OK","FAIL - out by "&amp;TEXT($AO55+$AP55+$AQ55-$AD55,"$0.00")))</f>
      </c>
    </row>
    <row r="56" spans="1:58" ht="18.75" customHeight="1" x14ac:dyDescent="0.25">
      <c r="A56" s="46" t="inlineStr">
        <is>
          <t xml:space="preserve">CANON-202511-002231</t>
        </is>
      </c>
      <c r="B56" s="46" t="inlineStr">
        <is>
          <t xml:space="preserve">Wilhelmina Vasquez</t>
        </is>
      </c>
      <c r="C56" s="47">
        <v>45981</v>
      </c>
      <c r="D56" s="48" t="inlineStr">
        <is>
          <t xml:space="preserve">Bound - within authority</t>
        </is>
      </c>
      <c r="E56" s="48" t="inlineStr">
        <is>
          <t xml:space="preserve">New business</t>
        </is>
      </c>
      <c r="F56" s="46" t="inlineStr">
        <is>
          <t xml:space="preserve">B1234EXOTIC26</t>
        </is>
      </c>
      <c r="G56" s="33">
        <f>IF($A56="","",IF($C56="","",YEAR($C56)))</f>
      </c>
      <c r="H56" s="49">
        <v>1991</v>
      </c>
      <c r="I56" s="46" t="inlineStr">
        <is>
          <t xml:space="preserve">Bentley</t>
        </is>
      </c>
      <c r="J56" s="46" t="inlineStr">
        <is>
          <t xml:space="preserve">Continental GT</t>
        </is>
      </c>
      <c r="K56" s="46" t="inlineStr">
        <is>
          <t xml:space="preserve">8KRG78LTYSY4S62VC</t>
        </is>
      </c>
      <c r="L56" s="48" t="inlineStr">
        <is>
          <t xml:space="preserve">02 - Sports / GT</t>
        </is>
      </c>
      <c r="M56" s="50">
        <v>230000</v>
      </c>
      <c r="N56" s="48" t="inlineStr">
        <is>
          <t xml:space="preserve">Personal</t>
        </is>
      </c>
      <c r="O56" s="46" t="inlineStr">
        <is>
          <t xml:space="preserve">Personal - regular use</t>
        </is>
      </c>
      <c r="P56" s="46" t="inlineStr">
        <is>
          <t xml:space="preserve">Under 1,000</t>
        </is>
      </c>
      <c r="Q56" s="46" t="inlineStr">
        <is>
          <t xml:space="preserve">Oklahoma</t>
        </is>
      </c>
      <c r="R56" s="46" t="inlineStr">
        <is>
          <t xml:space="preserve">73102</t>
        </is>
      </c>
      <c r="S56" s="48" t="inlineStr">
        <is>
          <t xml:space="preserve">Severe convective - hail alley (high)</t>
        </is>
      </c>
      <c r="T56" s="36">
        <f>IF($A56="","",IF($S56="","",IFERROR(INDEX('[1]natural catastrophe'!$D$6:$D$17,MATCH($S56,'[1]natural catastrophe'!$B$6:$B$17,0)),"?")))</f>
      </c>
      <c r="U56" s="46" t="inlineStr">
        <is>
          <t xml:space="preserve">$5,000</t>
        </is>
      </c>
      <c r="V56" s="48" t="inlineStr">
        <is>
          <t xml:space="preserve">Agreed Value</t>
        </is>
      </c>
      <c r="W56" s="46" t="inlineStr">
        <is>
          <t xml:space="preserve">$1,000</t>
        </is>
      </c>
      <c r="X56" s="48" t="inlineStr">
        <is>
          <t xml:space="preserve">$1,000,000 CSL</t>
        </is>
      </c>
      <c r="Y56" s="46"/>
      <c r="Z56" s="46"/>
      <c r="AA56" s="48" t="inlineStr">
        <is>
          <t xml:space="preserve">Surplus Lines</t>
        </is>
      </c>
      <c r="AB56" s="50">
        <v>4625.03</v>
      </c>
      <c r="AC56" s="51">
        <v>0</v>
      </c>
      <c r="AD56" s="38">
        <f>IF(ISNUMBER($AB56),$AB56*(1+N($AC56)),"")</f>
      </c>
      <c r="AE56" s="50">
        <v>350</v>
      </c>
      <c r="AF56" s="50">
        <v>0</v>
      </c>
      <c r="AG56" s="51"/>
      <c r="AH56" s="39">
        <f>IF(ISNUMBER($AD56),($AD56+$AE56+$AF56)*$AG56,"")</f>
      </c>
      <c r="AI56" s="50"/>
      <c r="AJ56" s="38">
        <f>IF(ISNUMBER($AD56),SUM($AD56:$AH56),"")</f>
      </c>
      <c r="AK56" s="40">
        <f>IF(AND(ISNUMBER($AB56),ISNUMBER($AD56)),IF($AB56&gt;0,$AD56/$AB56,""),"")</f>
      </c>
      <c r="AL56" s="48" t="inlineStr">
        <is>
          <t xml:space="preserve">At technical</t>
        </is>
      </c>
      <c r="AM56" s="41">
        <f>IF(ISNUMBER($AD56),Header!$I$3,"")</f>
      </c>
      <c r="AN56" s="39">
        <f>IF(ISNUMBER($AD56),$AO56+$AP56,"")</f>
      </c>
      <c r="AO56" s="39">
        <f>IF(ISNUMBER($AD56),ROUND($AD56*Header!$K$3,2),"")</f>
      </c>
      <c r="AP56" s="39">
        <f>IF(ISNUMBER($AD56),ROUND($AD56*Header!$M$3,2),"")</f>
      </c>
      <c r="AQ56" s="38">
        <f>IF(ISNUMBER($AD56),ROUND($AD56,2)-$AO56-$AP56,"")</f>
      </c>
      <c r="AR56" s="39">
        <f>IF(ISNUMBER($AD56),IF(Header!$D$34="","?",$AD56*Header!$D$34),"")</f>
      </c>
      <c r="AS56" s="39">
        <f>IF(ISNUMBER($AB56),IF(Header!$D$34="","?",$AB56*Header!$D$34),"")</f>
      </c>
      <c r="AT56" s="42">
        <f>IF(AND(ISNUMBER($AB56),$M56&gt;0),$AB56/$M56*100,"")</f>
      </c>
      <c r="AU56" s="42">
        <f>IF(AND(ISNUMBER($AD56),$M56&gt;0),$AD56/$M56*100,"")</f>
      </c>
      <c r="AV56" s="40">
        <f>IF(AND(ISNUMBER($AB56),ISNUMBER($AD56),ABS($AB56)&gt;0),$AD56/$AB56,"")</f>
      </c>
      <c r="AW56" s="39">
        <f>IF(ISNUMBER($AD56),MAX(0,(1-0.55-Header!$O$3)*Header!$Q$3*$AQ56),"")</f>
      </c>
      <c r="AX56" s="43">
        <f>IF($A56="","",IF(TRIM(IF($A56="","Missing certificate ref. ","") &amp; IF($C56="","Missing effective date. ","") &amp; IF($D56="","Missing binding status. ","") &amp; IF($E56="","Missing movement type. ","") &amp; IF($I56="","Missing make. ","") &amp; IF($L56="","Missing vehicle class. ","") &amp; IF($M56="","Missing agreed value. ","") &amp; IF($N56="","Missing policy type. ","") &amp; IF($Q56="","Missing garaging state. ","") &amp; IF($R56="","Missing garaging ZIP. ","") &amp; IF($S56="","Missing cat zone. ","") &amp; IF($V56="","Missing valuation basis. ","") &amp; IF($W56="","Missing PD deductible. ","") &amp; IF($X56="","Missing liability limit. ","") &amp; IF($AB56="","Missing technical premium. ","") &amp; IF($AF56="","Missing surplus lines tax %. ",""))="","PASS","FAIL: "&amp;TRIM(IF($A56="","Missing certificate ref. ","") &amp; IF($C56="","Missing effective date. ","") &amp; IF($D56="","Missing binding status. ","") &amp; IF($E56="","Missing movement type. ","") &amp; IF($I56="","Missing make. ","") &amp; IF($L56="","Missing vehicle class. ","") &amp; IF($M56="","Missing agreed value. ","") &amp; IF($N56="","Missing policy type. ","") &amp; IF($Q56="","Missing garaging state. ","") &amp; IF($R56="","Missing garaging ZIP. ","") &amp; IF($S56="","Missing cat zone. ","") &amp; IF($V56="","Missing valuation basis. ","") &amp; IF($W56="","Missing PD deductible. ","") &amp; IF($X56="","Missing liability limit. ","") &amp; IF($AB56="","Missing technical premium. ","") &amp; IF($AF56="","Missing surplus lines tax %. ",""))))</f>
      </c>
      <c r="AY56" s="44">
        <f>IF($M56="","",IF(ISNUMBER($M56),IF($M56&gt;=Header!$C$18,"YES — refer","No"),""))</f>
      </c>
      <c r="AZ56" s="44">
        <f>IF($AD56="","",IF(ISNUMBER($AD56),IF($AD56&lt;Header!$C$20,"BELOW MIN PREMIUM","OK"),""))</f>
      </c>
      <c r="BA56" s="48" t="inlineStr">
        <is>
          <t xml:space="preserve">Yes</t>
        </is>
      </c>
      <c r="BB56" s="48" t="inlineStr">
        <is>
          <t xml:space="preserve">Yes</t>
        </is>
      </c>
      <c r="BC56" s="46" t="inlineStr">
        <is>
          <t xml:space="preserve">Synthetic demo data</t>
        </is>
      </c>
      <c r="BE56" s="45">
        <f>IF(OR($A56="",$L56="",$H56=""),"",IF(AND(LEFT($L56,2)="06",$H56&gt;1945),"FAIL - pre-war class, year "&amp;$H56,IF(AND(LEFT($L56,2)="07",OR($H56&lt;1946,$H56&gt;1972)),"FAIL - 1946-72 class, year "&amp;$H56,IF(AND(LEFT($L56,2)="08",OR($H56&lt;1973,$H56&gt;1999)),"FAIL - 1973-99 class, year "&amp;$H56,IF(AND(LEFT($L56,2)="09",OR($H56&lt;2000,$H56&gt;2010)),"FAIL - 2000-10 class, year "&amp;$H56,"OK")))))</f>
      </c>
      <c r="BF56" s="45">
        <f>IF($AD56="","",IF(ROUND($AO56+$AP56+$AQ56-$AD56,2)=0,"OK","FAIL - out by "&amp;TEXT($AO56+$AP56+$AQ56-$AD56,"$0.00")))</f>
      </c>
    </row>
    <row r="57" spans="1:58" ht="18.75" customHeight="1" x14ac:dyDescent="0.25">
      <c r="A57" s="30" t="inlineStr">
        <is>
          <t xml:space="preserve">CANON-202511-002232</t>
        </is>
      </c>
      <c r="B57" s="30" t="inlineStr">
        <is>
          <t xml:space="preserve">Sunniva Farkas</t>
        </is>
      </c>
      <c r="C57" s="31">
        <v>45974</v>
      </c>
      <c r="D57" s="32" t="inlineStr">
        <is>
          <t xml:space="preserve">Bound - within authority</t>
        </is>
      </c>
      <c r="E57" s="32" t="inlineStr">
        <is>
          <t xml:space="preserve">New business</t>
        </is>
      </c>
      <c r="F57" s="30" t="inlineStr">
        <is>
          <t xml:space="preserve">B1234EXOTIC26</t>
        </is>
      </c>
      <c r="G57" s="33">
        <f>IF($A57="","",IF($C57="","",YEAR($C57)))</f>
      </c>
      <c r="H57" s="34">
        <v>1957</v>
      </c>
      <c r="I57" s="30" t="inlineStr">
        <is>
          <t xml:space="preserve">Maserati</t>
        </is>
      </c>
      <c r="J57" s="30" t="inlineStr">
        <is>
          <t xml:space="preserve">GranTurismo</t>
        </is>
      </c>
      <c r="K57" s="30" t="inlineStr">
        <is>
          <t xml:space="preserve">MBJXYX9NNSDM32CSK</t>
        </is>
      </c>
      <c r="L57" s="32" t="inlineStr">
        <is>
          <t xml:space="preserve">02 - Sports / GT</t>
        </is>
      </c>
      <c r="M57" s="35">
        <v>555000</v>
      </c>
      <c r="N57" s="32" t="inlineStr">
        <is>
          <t xml:space="preserve">Personal</t>
        </is>
      </c>
      <c r="O57" s="30" t="inlineStr">
        <is>
          <t xml:space="preserve">Personal - regular use</t>
        </is>
      </c>
      <c r="P57" s="30" t="inlineStr">
        <is>
          <t xml:space="preserve">Under 1,000</t>
        </is>
      </c>
      <c r="Q57" s="30" t="inlineStr">
        <is>
          <t xml:space="preserve">Hawaii</t>
        </is>
      </c>
      <c r="R57" s="30" t="inlineStr">
        <is>
          <t xml:space="preserve">96813</t>
        </is>
      </c>
      <c r="S57" s="32" t="inlineStr">
        <is>
          <t xml:space="preserve">Earthquake - high (CA, Cascadia, New Madrid)</t>
        </is>
      </c>
      <c r="T57" s="36">
        <f>IF($A57="","",IF($S57="","",IFERROR(INDEX('[1]natural catastrophe'!$D$6:$D$17,MATCH($S57,'[1]natural catastrophe'!$B$6:$B$17,0)),"?")))</f>
      </c>
      <c r="U57" s="30" t="inlineStr">
        <is>
          <t xml:space="preserve">$5,000</t>
        </is>
      </c>
      <c r="V57" s="32" t="inlineStr">
        <is>
          <t xml:space="preserve">Agreed Value</t>
        </is>
      </c>
      <c r="W57" s="30" t="inlineStr">
        <is>
          <t xml:space="preserve">$1,000</t>
        </is>
      </c>
      <c r="X57" s="32" t="inlineStr">
        <is>
          <t xml:space="preserve">$1,000,000 CSL</t>
        </is>
      </c>
      <c r="Y57" s="30"/>
      <c r="Z57" s="30"/>
      <c r="AA57" s="32" t="inlineStr">
        <is>
          <t xml:space="preserve">Surplus Lines</t>
        </is>
      </c>
      <c r="AB57" s="35">
        <v>8135.38</v>
      </c>
      <c r="AC57" s="37">
        <v>0</v>
      </c>
      <c r="AD57" s="38">
        <f>IF(ISNUMBER($AB57),$AB57*(1+N($AC57)),"")</f>
      </c>
      <c r="AE57" s="35">
        <v>350</v>
      </c>
      <c r="AF57" s="35">
        <v>0</v>
      </c>
      <c r="AG57" s="37"/>
      <c r="AH57" s="39">
        <f>IF(ISNUMBER($AD57),($AD57+$AE57+$AF57)*$AG57,"")</f>
      </c>
      <c r="AI57" s="35"/>
      <c r="AJ57" s="38">
        <f>IF(ISNUMBER($AD57),SUM($AD57:$AH57),"")</f>
      </c>
      <c r="AK57" s="40">
        <f>IF(AND(ISNUMBER($AB57),ISNUMBER($AD57)),IF($AB57&gt;0,$AD57/$AB57,""),"")</f>
      </c>
      <c r="AL57" s="32" t="inlineStr">
        <is>
          <t xml:space="preserve">At technical</t>
        </is>
      </c>
      <c r="AM57" s="41">
        <f>IF(ISNUMBER($AD57),Header!$I$3,"")</f>
      </c>
      <c r="AN57" s="39">
        <f>IF(ISNUMBER($AD57),$AO57+$AP57,"")</f>
      </c>
      <c r="AO57" s="39">
        <f>IF(ISNUMBER($AD57),ROUND($AD57*Header!$K$3,2),"")</f>
      </c>
      <c r="AP57" s="39">
        <f>IF(ISNUMBER($AD57),ROUND($AD57*Header!$M$3,2),"")</f>
      </c>
      <c r="AQ57" s="38">
        <f>IF(ISNUMBER($AD57),ROUND($AD57,2)-$AO57-$AP57,"")</f>
      </c>
      <c r="AR57" s="39">
        <f>IF(ISNUMBER($AD57),IF(Header!$D$34="","?",$AD57*Header!$D$34),"")</f>
      </c>
      <c r="AS57" s="39">
        <f>IF(ISNUMBER($AB57),IF(Header!$D$34="","?",$AB57*Header!$D$34),"")</f>
      </c>
      <c r="AT57" s="42">
        <f>IF(AND(ISNUMBER($AB57),$M57&gt;0),$AB57/$M57*100,"")</f>
      </c>
      <c r="AU57" s="42">
        <f>IF(AND(ISNUMBER($AD57),$M57&gt;0),$AD57/$M57*100,"")</f>
      </c>
      <c r="AV57" s="40">
        <f>IF(AND(ISNUMBER($AB57),ISNUMBER($AD57),ABS($AB57)&gt;0),$AD57/$AB57,"")</f>
      </c>
      <c r="AW57" s="39">
        <f>IF(ISNUMBER($AD57),MAX(0,(1-0.55-Header!$O$3)*Header!$Q$3*$AQ57),"")</f>
      </c>
      <c r="AX57" s="43">
        <f>IF($A57="","",IF(TRIM(IF($A57="","Missing certificate ref. ","") &amp; IF($C57="","Missing effective date. ","") &amp; IF($D57="","Missing binding status. ","") &amp; IF($E57="","Missing movement type. ","") &amp; IF($I57="","Missing make. ","") &amp; IF($L57="","Missing vehicle class. ","") &amp; IF($M57="","Missing agreed value. ","") &amp; IF($N57="","Missing policy type. ","") &amp; IF($Q57="","Missing garaging state. ","") &amp; IF($R57="","Missing garaging ZIP. ","") &amp; IF($S57="","Missing cat zone. ","") &amp; IF($V57="","Missing valuation basis. ","") &amp; IF($W57="","Missing PD deductible. ","") &amp; IF($X57="","Missing liability limit. ","") &amp; IF($AB57="","Missing technical premium. ","") &amp; IF($AF57="","Missing surplus lines tax %. ",""))="","PASS","FAIL: "&amp;TRIM(IF($A57="","Missing certificate ref. ","") &amp; IF($C57="","Missing effective date. ","") &amp; IF($D57="","Missing binding status. ","") &amp; IF($E57="","Missing movement type. ","") &amp; IF($I57="","Missing make. ","") &amp; IF($L57="","Missing vehicle class. ","") &amp; IF($M57="","Missing agreed value. ","") &amp; IF($N57="","Missing policy type. ","") &amp; IF($Q57="","Missing garaging state. ","") &amp; IF($R57="","Missing garaging ZIP. ","") &amp; IF($S57="","Missing cat zone. ","") &amp; IF($V57="","Missing valuation basis. ","") &amp; IF($W57="","Missing PD deductible. ","") &amp; IF($X57="","Missing liability limit. ","") &amp; IF($AB57="","Missing technical premium. ","") &amp; IF($AF57="","Missing surplus lines tax %. ",""))))</f>
      </c>
      <c r="AY57" s="44">
        <f>IF($M57="","",IF(ISNUMBER($M57),IF($M57&gt;=Header!$C$18,"YES — refer","No"),""))</f>
      </c>
      <c r="AZ57" s="44">
        <f>IF($AD57="","",IF(ISNUMBER($AD57),IF($AD57&lt;Header!$C$20,"BELOW MIN PREMIUM","OK"),""))</f>
      </c>
      <c r="BA57" s="32" t="inlineStr">
        <is>
          <t xml:space="preserve">Yes</t>
        </is>
      </c>
      <c r="BB57" s="32" t="inlineStr">
        <is>
          <t xml:space="preserve">Yes</t>
        </is>
      </c>
      <c r="BC57" s="30" t="inlineStr">
        <is>
          <t xml:space="preserve">Synthetic demo data</t>
        </is>
      </c>
      <c r="BE57" s="45">
        <f>IF(OR($A57="",$L57="",$H57=""),"",IF(AND(LEFT($L57,2)="06",$H57&gt;1945),"FAIL - pre-war class, year "&amp;$H57,IF(AND(LEFT($L57,2)="07",OR($H57&lt;1946,$H57&gt;1972)),"FAIL - 1946-72 class, year "&amp;$H57,IF(AND(LEFT($L57,2)="08",OR($H57&lt;1973,$H57&gt;1999)),"FAIL - 1973-99 class, year "&amp;$H57,IF(AND(LEFT($L57,2)="09",OR($H57&lt;2000,$H57&gt;2010)),"FAIL - 2000-10 class, year "&amp;$H57,"OK")))))</f>
      </c>
      <c r="BF57" s="45">
        <f>IF($AD57="","",IF(ROUND($AO57+$AP57+$AQ57-$AD57,2)=0,"OK","FAIL - out by "&amp;TEXT($AO57+$AP57+$AQ57-$AD57,"$0.00")))</f>
      </c>
    </row>
    <row r="58" spans="1:58" ht="18.75" customHeight="1" x14ac:dyDescent="0.25">
      <c r="A58" s="46" t="inlineStr">
        <is>
          <t xml:space="preserve">CANON-202511-002234</t>
        </is>
      </c>
      <c r="B58" s="46" t="inlineStr">
        <is>
          <t xml:space="preserve">Thaddeus Kingsford</t>
        </is>
      </c>
      <c r="C58" s="47">
        <v>45970</v>
      </c>
      <c r="D58" s="48" t="inlineStr">
        <is>
          <t xml:space="preserve">Bound - within authority</t>
        </is>
      </c>
      <c r="E58" s="48" t="inlineStr">
        <is>
          <t xml:space="preserve">New business</t>
        </is>
      </c>
      <c r="F58" s="46" t="inlineStr">
        <is>
          <t xml:space="preserve">B1234EXOTIC26</t>
        </is>
      </c>
      <c r="G58" s="33">
        <f>IF($A58="","",IF($C58="","",YEAR($C58)))</f>
      </c>
      <c r="H58" s="49">
        <v>1981</v>
      </c>
      <c r="I58" s="46" t="inlineStr">
        <is>
          <t xml:space="preserve">Porsche</t>
        </is>
      </c>
      <c r="J58" s="46" t="inlineStr">
        <is>
          <t xml:space="preserve">911 Turbo S</t>
        </is>
      </c>
      <c r="K58" s="46" t="inlineStr">
        <is>
          <t xml:space="preserve">7X9ZV7A2MHXT4Z09P</t>
        </is>
      </c>
      <c r="L58" s="48" t="inlineStr">
        <is>
          <t xml:space="preserve">02 - Sports / GT</t>
        </is>
      </c>
      <c r="M58" s="50">
        <v>470000</v>
      </c>
      <c r="N58" s="48" t="inlineStr">
        <is>
          <t xml:space="preserve">Personal</t>
        </is>
      </c>
      <c r="O58" s="46" t="inlineStr">
        <is>
          <t xml:space="preserve">Personal - regular use</t>
        </is>
      </c>
      <c r="P58" s="46" t="inlineStr">
        <is>
          <t xml:space="preserve">Under 1,000</t>
        </is>
      </c>
      <c r="Q58" s="46" t="inlineStr">
        <is>
          <t xml:space="preserve">North Dakota</t>
        </is>
      </c>
      <c r="R58" s="46" t="inlineStr">
        <is>
          <t xml:space="preserve">58501</t>
        </is>
      </c>
      <c r="S58" s="48" t="inlineStr">
        <is>
          <t xml:space="preserve">Severe convective - hail alley (high)</t>
        </is>
      </c>
      <c r="T58" s="36">
        <f>IF($A58="","",IF($S58="","",IFERROR(INDEX('[1]natural catastrophe'!$D$6:$D$17,MATCH($S58,'[1]natural catastrophe'!$B$6:$B$17,0)),"?")))</f>
      </c>
      <c r="U58" s="46" t="inlineStr">
        <is>
          <t xml:space="preserve">$5,000</t>
        </is>
      </c>
      <c r="V58" s="48" t="inlineStr">
        <is>
          <t xml:space="preserve">Agreed Value</t>
        </is>
      </c>
      <c r="W58" s="46" t="inlineStr">
        <is>
          <t xml:space="preserve">$1,000</t>
        </is>
      </c>
      <c r="X58" s="48" t="inlineStr">
        <is>
          <t xml:space="preserve">$1,000,000 CSL</t>
        </is>
      </c>
      <c r="Y58" s="46"/>
      <c r="Z58" s="46"/>
      <c r="AA58" s="48" t="inlineStr">
        <is>
          <t xml:space="preserve">Surplus Lines</t>
        </is>
      </c>
      <c r="AB58" s="50">
        <v>6237.17</v>
      </c>
      <c r="AC58" s="51">
        <v>0</v>
      </c>
      <c r="AD58" s="38">
        <f>IF(ISNUMBER($AB58),$AB58*(1+N($AC58)),"")</f>
      </c>
      <c r="AE58" s="50">
        <v>350</v>
      </c>
      <c r="AF58" s="50">
        <v>0</v>
      </c>
      <c r="AG58" s="51"/>
      <c r="AH58" s="39">
        <f>IF(ISNUMBER($AD58),($AD58+$AE58+$AF58)*$AG58,"")</f>
      </c>
      <c r="AI58" s="50"/>
      <c r="AJ58" s="38">
        <f>IF(ISNUMBER($AD58),SUM($AD58:$AH58),"")</f>
      </c>
      <c r="AK58" s="40">
        <f>IF(AND(ISNUMBER($AB58),ISNUMBER($AD58)),IF($AB58&gt;0,$AD58/$AB58,""),"")</f>
      </c>
      <c r="AL58" s="48" t="inlineStr">
        <is>
          <t xml:space="preserve">At technical</t>
        </is>
      </c>
      <c r="AM58" s="41">
        <f>IF(ISNUMBER($AD58),Header!$I$3,"")</f>
      </c>
      <c r="AN58" s="39">
        <f>IF(ISNUMBER($AD58),$AO58+$AP58,"")</f>
      </c>
      <c r="AO58" s="39">
        <f>IF(ISNUMBER($AD58),ROUND($AD58*Header!$K$3,2),"")</f>
      </c>
      <c r="AP58" s="39">
        <f>IF(ISNUMBER($AD58),ROUND($AD58*Header!$M$3,2),"")</f>
      </c>
      <c r="AQ58" s="38">
        <f>IF(ISNUMBER($AD58),ROUND($AD58,2)-$AO58-$AP58,"")</f>
      </c>
      <c r="AR58" s="39">
        <f>IF(ISNUMBER($AD58),IF(Header!$D$34="","?",$AD58*Header!$D$34),"")</f>
      </c>
      <c r="AS58" s="39">
        <f>IF(ISNUMBER($AB58),IF(Header!$D$34="","?",$AB58*Header!$D$34),"")</f>
      </c>
      <c r="AT58" s="42">
        <f>IF(AND(ISNUMBER($AB58),$M58&gt;0),$AB58/$M58*100,"")</f>
      </c>
      <c r="AU58" s="42">
        <f>IF(AND(ISNUMBER($AD58),$M58&gt;0),$AD58/$M58*100,"")</f>
      </c>
      <c r="AV58" s="40">
        <f>IF(AND(ISNUMBER($AB58),ISNUMBER($AD58),ABS($AB58)&gt;0),$AD58/$AB58,"")</f>
      </c>
      <c r="AW58" s="39">
        <f>IF(ISNUMBER($AD58),MAX(0,(1-0.55-Header!$O$3)*Header!$Q$3*$AQ58),"")</f>
      </c>
      <c r="AX58" s="43">
        <f>IF($A58="","",IF(TRIM(IF($A58="","Missing certificate ref. ","") &amp; IF($C58="","Missing effective date. ","") &amp; IF($D58="","Missing binding status. ","") &amp; IF($E58="","Missing movement type. ","") &amp; IF($I58="","Missing make. ","") &amp; IF($L58="","Missing vehicle class. ","") &amp; IF($M58="","Missing agreed value. ","") &amp; IF($N58="","Missing policy type. ","") &amp; IF($Q58="","Missing garaging state. ","") &amp; IF($R58="","Missing garaging ZIP. ","") &amp; IF($S58="","Missing cat zone. ","") &amp; IF($V58="","Missing valuation basis. ","") &amp; IF($W58="","Missing PD deductible. ","") &amp; IF($X58="","Missing liability limit. ","") &amp; IF($AB58="","Missing technical premium. ","") &amp; IF($AF58="","Missing surplus lines tax %. ",""))="","PASS","FAIL: "&amp;TRIM(IF($A58="","Missing certificate ref. ","") &amp; IF($C58="","Missing effective date. ","") &amp; IF($D58="","Missing binding status. ","") &amp; IF($E58="","Missing movement type. ","") &amp; IF($I58="","Missing make. ","") &amp; IF($L58="","Missing vehicle class. ","") &amp; IF($M58="","Missing agreed value. ","") &amp; IF($N58="","Missing policy type. ","") &amp; IF($Q58="","Missing garaging state. ","") &amp; IF($R58="","Missing garaging ZIP. ","") &amp; IF($S58="","Missing cat zone. ","") &amp; IF($V58="","Missing valuation basis. ","") &amp; IF($W58="","Missing PD deductible. ","") &amp; IF($X58="","Missing liability limit. ","") &amp; IF($AB58="","Missing technical premium. ","") &amp; IF($AF58="","Missing surplus lines tax %. ",""))))</f>
      </c>
      <c r="AY58" s="44">
        <f>IF($M58="","",IF(ISNUMBER($M58),IF($M58&gt;=Header!$C$18,"YES — refer","No"),""))</f>
      </c>
      <c r="AZ58" s="44">
        <f>IF($AD58="","",IF(ISNUMBER($AD58),IF($AD58&lt;Header!$C$20,"BELOW MIN PREMIUM","OK"),""))</f>
      </c>
      <c r="BA58" s="48" t="inlineStr">
        <is>
          <t xml:space="preserve">Yes</t>
        </is>
      </c>
      <c r="BB58" s="48" t="inlineStr">
        <is>
          <t xml:space="preserve">Yes</t>
        </is>
      </c>
      <c r="BC58" s="46" t="inlineStr">
        <is>
          <t xml:space="preserve">Synthetic demo data</t>
        </is>
      </c>
      <c r="BE58" s="45">
        <f>IF(OR($A58="",$L58="",$H58=""),"",IF(AND(LEFT($L58,2)="06",$H58&gt;1945),"FAIL - pre-war class, year "&amp;$H58,IF(AND(LEFT($L58,2)="07",OR($H58&lt;1946,$H58&gt;1972)),"FAIL - 1946-72 class, year "&amp;$H58,IF(AND(LEFT($L58,2)="08",OR($H58&lt;1973,$H58&gt;1999)),"FAIL - 1973-99 class, year "&amp;$H58,IF(AND(LEFT($L58,2)="09",OR($H58&lt;2000,$H58&gt;2010)),"FAIL - 2000-10 class, year "&amp;$H58,"OK")))))</f>
      </c>
      <c r="BF58" s="45">
        <f>IF($AD58="","",IF(ROUND($AO58+$AP58+$AQ58-$AD58,2)=0,"OK","FAIL - out by "&amp;TEXT($AO58+$AP58+$AQ58-$AD58,"$0.00")))</f>
      </c>
    </row>
    <row r="59" spans="1:58" ht="18.75" customHeight="1" x14ac:dyDescent="0.25">
      <c r="A59" s="30" t="inlineStr">
        <is>
          <t xml:space="preserve">CANON-202511-002237</t>
        </is>
      </c>
      <c r="B59" s="30" t="inlineStr">
        <is>
          <t xml:space="preserve">Ottilie Delacroix</t>
        </is>
      </c>
      <c r="C59" s="31">
        <v>45978</v>
      </c>
      <c r="D59" s="32" t="inlineStr">
        <is>
          <t xml:space="preserve">Bound - within authority</t>
        </is>
      </c>
      <c r="E59" s="32" t="inlineStr">
        <is>
          <t xml:space="preserve">New business</t>
        </is>
      </c>
      <c r="F59" s="30" t="inlineStr">
        <is>
          <t xml:space="preserve">B1234EXOTIC26</t>
        </is>
      </c>
      <c r="G59" s="33">
        <f>IF($A59="","",IF($C59="","",YEAR($C59)))</f>
      </c>
      <c r="H59" s="34">
        <v>1980</v>
      </c>
      <c r="I59" s="30" t="inlineStr">
        <is>
          <t xml:space="preserve">Bugatti</t>
        </is>
      </c>
      <c r="J59" s="30" t="inlineStr">
        <is>
          <t xml:space="preserve">Type 57</t>
        </is>
      </c>
      <c r="K59" s="30" t="inlineStr">
        <is>
          <t xml:space="preserve">1JVC842BZ4HHBY5CY</t>
        </is>
      </c>
      <c r="L59" s="32" t="inlineStr">
        <is>
          <t xml:space="preserve">08 - Modern Classic (1973-1999)</t>
        </is>
      </c>
      <c r="M59" s="35">
        <v>415000</v>
      </c>
      <c r="N59" s="32" t="inlineStr">
        <is>
          <t xml:space="preserve">Personal</t>
        </is>
      </c>
      <c r="O59" s="30" t="inlineStr">
        <is>
          <t xml:space="preserve">Personal - regular use</t>
        </is>
      </c>
      <c r="P59" s="30" t="inlineStr">
        <is>
          <t xml:space="preserve">1,000 - 2,500</t>
        </is>
      </c>
      <c r="Q59" s="30" t="inlineStr">
        <is>
          <t xml:space="preserve">New York</t>
        </is>
      </c>
      <c r="R59" s="30" t="inlineStr">
        <is>
          <t xml:space="preserve">10022</t>
        </is>
      </c>
      <c r="S59" s="32" t="inlineStr">
        <is>
          <t xml:space="preserve">Tier 3 - Coastal wind (25-100 miles)</t>
        </is>
      </c>
      <c r="T59" s="36">
        <f>IF($A59="","",IF($S59="","",IFERROR(INDEX('[1]natural catastrophe'!$D$6:$D$17,MATCH($S59,'[1]natural catastrophe'!$B$6:$B$17,0)),"?")))</f>
      </c>
      <c r="U59" s="30" t="inlineStr">
        <is>
          <t xml:space="preserve">2% of agreed value, minimum $10,000</t>
        </is>
      </c>
      <c r="V59" s="32" t="inlineStr">
        <is>
          <t xml:space="preserve">Agreed Value</t>
        </is>
      </c>
      <c r="W59" s="30" t="inlineStr">
        <is>
          <t xml:space="preserve">$1,000</t>
        </is>
      </c>
      <c r="X59" s="32" t="inlineStr">
        <is>
          <t xml:space="preserve">$1,000,000 CSL</t>
        </is>
      </c>
      <c r="Y59" s="30"/>
      <c r="Z59" s="30"/>
      <c r="AA59" s="32" t="inlineStr">
        <is>
          <t xml:space="preserve">Surplus Lines</t>
        </is>
      </c>
      <c r="AB59" s="35">
        <v>3870.22</v>
      </c>
      <c r="AC59" s="37">
        <v>0</v>
      </c>
      <c r="AD59" s="38">
        <f>IF(ISNUMBER($AB59),$AB59*(1+N($AC59)),"")</f>
      </c>
      <c r="AE59" s="35">
        <v>350</v>
      </c>
      <c r="AF59" s="35">
        <v>0</v>
      </c>
      <c r="AG59" s="37"/>
      <c r="AH59" s="39">
        <f>IF(ISNUMBER($AD59),($AD59+$AE59+$AF59)*$AG59,"")</f>
      </c>
      <c r="AI59" s="35"/>
      <c r="AJ59" s="38">
        <f>IF(ISNUMBER($AD59),SUM($AD59:$AH59),"")</f>
      </c>
      <c r="AK59" s="40">
        <f>IF(AND(ISNUMBER($AB59),ISNUMBER($AD59)),IF($AB59&gt;0,$AD59/$AB59,""),"")</f>
      </c>
      <c r="AL59" s="32" t="inlineStr">
        <is>
          <t xml:space="preserve">At technical</t>
        </is>
      </c>
      <c r="AM59" s="41">
        <f>IF(ISNUMBER($AD59),Header!$I$3,"")</f>
      </c>
      <c r="AN59" s="39">
        <f>IF(ISNUMBER($AD59),$AO59+$AP59,"")</f>
      </c>
      <c r="AO59" s="39">
        <f>IF(ISNUMBER($AD59),ROUND($AD59*Header!$K$3,2),"")</f>
      </c>
      <c r="AP59" s="39">
        <f>IF(ISNUMBER($AD59),ROUND($AD59*Header!$M$3,2),"")</f>
      </c>
      <c r="AQ59" s="38">
        <f>IF(ISNUMBER($AD59),ROUND($AD59,2)-$AO59-$AP59,"")</f>
      </c>
      <c r="AR59" s="39">
        <f>IF(ISNUMBER($AD59),IF(Header!$D$34="","?",$AD59*Header!$D$34),"")</f>
      </c>
      <c r="AS59" s="39">
        <f>IF(ISNUMBER($AB59),IF(Header!$D$34="","?",$AB59*Header!$D$34),"")</f>
      </c>
      <c r="AT59" s="42">
        <f>IF(AND(ISNUMBER($AB59),$M59&gt;0),$AB59/$M59*100,"")</f>
      </c>
      <c r="AU59" s="42">
        <f>IF(AND(ISNUMBER($AD59),$M59&gt;0),$AD59/$M59*100,"")</f>
      </c>
      <c r="AV59" s="40">
        <f>IF(AND(ISNUMBER($AB59),ISNUMBER($AD59),ABS($AB59)&gt;0),$AD59/$AB59,"")</f>
      </c>
      <c r="AW59" s="39">
        <f>IF(ISNUMBER($AD59),MAX(0,(1-0.55-Header!$O$3)*Header!$Q$3*$AQ59),"")</f>
      </c>
      <c r="AX59" s="43">
        <f>IF($A59="","",IF(TRIM(IF($A59="","Missing certificate ref. ","") &amp; IF($C59="","Missing effective date. ","") &amp; IF($D59="","Missing binding status. ","") &amp; IF($E59="","Missing movement type. ","") &amp; IF($I59="","Missing make. ","") &amp; IF($L59="","Missing vehicle class. ","") &amp; IF($M59="","Missing agreed value. ","") &amp; IF($N59="","Missing policy type. ","") &amp; IF($Q59="","Missing garaging state. ","") &amp; IF($R59="","Missing garaging ZIP. ","") &amp; IF($S59="","Missing cat zone. ","") &amp; IF($V59="","Missing valuation basis. ","") &amp; IF($W59="","Missing PD deductible. ","") &amp; IF($X59="","Missing liability limit. ","") &amp; IF($AB59="","Missing technical premium. ","") &amp; IF($AF59="","Missing surplus lines tax %. ",""))="","PASS","FAIL: "&amp;TRIM(IF($A59="","Missing certificate ref. ","") &amp; IF($C59="","Missing effective date. ","") &amp; IF($D59="","Missing binding status. ","") &amp; IF($E59="","Missing movement type. ","") &amp; IF($I59="","Missing make. ","") &amp; IF($L59="","Missing vehicle class. ","") &amp; IF($M59="","Missing agreed value. ","") &amp; IF($N59="","Missing policy type. ","") &amp; IF($Q59="","Missing garaging state. ","") &amp; IF($R59="","Missing garaging ZIP. ","") &amp; IF($S59="","Missing cat zone. ","") &amp; IF($V59="","Missing valuation basis. ","") &amp; IF($W59="","Missing PD deductible. ","") &amp; IF($X59="","Missing liability limit. ","") &amp; IF($AB59="","Missing technical premium. ","") &amp; IF($AF59="","Missing surplus lines tax %. ",""))))</f>
      </c>
      <c r="AY59" s="44">
        <f>IF($M59="","",IF(ISNUMBER($M59),IF($M59&gt;=Header!$C$18,"YES — refer","No"),""))</f>
      </c>
      <c r="AZ59" s="44">
        <f>IF($AD59="","",IF(ISNUMBER($AD59),IF($AD59&lt;Header!$C$20,"BELOW MIN PREMIUM","OK"),""))</f>
      </c>
      <c r="BA59" s="32" t="inlineStr">
        <is>
          <t xml:space="preserve">Yes</t>
        </is>
      </c>
      <c r="BB59" s="32" t="inlineStr">
        <is>
          <t xml:space="preserve">Yes</t>
        </is>
      </c>
      <c r="BC59" s="30" t="inlineStr">
        <is>
          <t xml:space="preserve">Synthetic demo data</t>
        </is>
      </c>
      <c r="BE59" s="45">
        <f>IF(OR($A59="",$L59="",$H59=""),"",IF(AND(LEFT($L59,2)="06",$H59&gt;1945),"FAIL - pre-war class, year "&amp;$H59,IF(AND(LEFT($L59,2)="07",OR($H59&lt;1946,$H59&gt;1972)),"FAIL - 1946-72 class, year "&amp;$H59,IF(AND(LEFT($L59,2)="08",OR($H59&lt;1973,$H59&gt;1999)),"FAIL - 1973-99 class, year "&amp;$H59,IF(AND(LEFT($L59,2)="09",OR($H59&lt;2000,$H59&gt;2010)),"FAIL - 2000-10 class, year "&amp;$H59,"OK")))))</f>
      </c>
      <c r="BF59" s="45">
        <f>IF($AD59="","",IF(ROUND($AO59+$AP59+$AQ59-$AD59,2)=0,"OK","FAIL - out by "&amp;TEXT($AO59+$AP59+$AQ59-$AD59,"$0.00")))</f>
      </c>
    </row>
    <row r="60" spans="1:58" ht="18.75" customHeight="1" x14ac:dyDescent="0.25">
      <c r="A60" s="46" t="inlineStr">
        <is>
          <t xml:space="preserve">CANON-202511-002238</t>
        </is>
      </c>
      <c r="B60" s="46" t="inlineStr">
        <is>
          <t xml:space="preserve">Marisol Ashcombe</t>
        </is>
      </c>
      <c r="C60" s="47">
        <v>45971</v>
      </c>
      <c r="D60" s="48" t="inlineStr">
        <is>
          <t xml:space="preserve">Bound - within authority</t>
        </is>
      </c>
      <c r="E60" s="48" t="inlineStr">
        <is>
          <t xml:space="preserve">New business</t>
        </is>
      </c>
      <c r="F60" s="46" t="inlineStr">
        <is>
          <t xml:space="preserve">B1234EXOTIC26</t>
        </is>
      </c>
      <c r="G60" s="33">
        <f>IF($A60="","",IF($C60="","",YEAR($C60)))</f>
      </c>
      <c r="H60" s="49">
        <v>1965</v>
      </c>
      <c r="I60" s="46" t="inlineStr">
        <is>
          <t xml:space="preserve">Jaguar</t>
        </is>
      </c>
      <c r="J60" s="46" t="inlineStr">
        <is>
          <t xml:space="preserve">E-Type Series 1</t>
        </is>
      </c>
      <c r="K60" s="46" t="inlineStr">
        <is>
          <t xml:space="preserve">5D5TM9WV34V62T3UP</t>
        </is>
      </c>
      <c r="L60" s="48" t="inlineStr">
        <is>
          <t xml:space="preserve">07 - Post-War Classic (1946-1972)</t>
        </is>
      </c>
      <c r="M60" s="50">
        <v>515000</v>
      </c>
      <c r="N60" s="48" t="inlineStr">
        <is>
          <t xml:space="preserve">Personal</t>
        </is>
      </c>
      <c r="O60" s="46" t="inlineStr">
        <is>
          <t xml:space="preserve">Personal - regular use</t>
        </is>
      </c>
      <c r="P60" s="46" t="inlineStr">
        <is>
          <t xml:space="preserve">Under 1,000</t>
        </is>
      </c>
      <c r="Q60" s="46" t="inlineStr">
        <is>
          <t xml:space="preserve">New York</t>
        </is>
      </c>
      <c r="R60" s="46" t="inlineStr">
        <is>
          <t xml:space="preserve">10022</t>
        </is>
      </c>
      <c r="S60" s="48" t="inlineStr">
        <is>
          <t xml:space="preserve">Tier 3 - Coastal wind (25-100 miles)</t>
        </is>
      </c>
      <c r="T60" s="36">
        <f>IF($A60="","",IF($S60="","",IFERROR(INDEX('[1]natural catastrophe'!$D$6:$D$17,MATCH($S60,'[1]natural catastrophe'!$B$6:$B$17,0)),"?")))</f>
      </c>
      <c r="U60" s="46" t="inlineStr">
        <is>
          <t xml:space="preserve">2% of agreed value, minimum $10,000</t>
        </is>
      </c>
      <c r="V60" s="48" t="inlineStr">
        <is>
          <t xml:space="preserve">Agreed Value</t>
        </is>
      </c>
      <c r="W60" s="46" t="inlineStr">
        <is>
          <t xml:space="preserve">$1,000</t>
        </is>
      </c>
      <c r="X60" s="48" t="inlineStr">
        <is>
          <t xml:space="preserve">$1,000,000 CSL</t>
        </is>
      </c>
      <c r="Y60" s="46"/>
      <c r="Z60" s="46"/>
      <c r="AA60" s="48" t="inlineStr">
        <is>
          <t xml:space="preserve">Surplus Lines</t>
        </is>
      </c>
      <c r="AB60" s="50">
        <v>4917.16</v>
      </c>
      <c r="AC60" s="51">
        <v>0</v>
      </c>
      <c r="AD60" s="38">
        <f>IF(ISNUMBER($AB60),$AB60*(1+N($AC60)),"")</f>
      </c>
      <c r="AE60" s="50">
        <v>350</v>
      </c>
      <c r="AF60" s="50">
        <v>0</v>
      </c>
      <c r="AG60" s="51"/>
      <c r="AH60" s="39">
        <f>IF(ISNUMBER($AD60),($AD60+$AE60+$AF60)*$AG60,"")</f>
      </c>
      <c r="AI60" s="50"/>
      <c r="AJ60" s="38">
        <f>IF(ISNUMBER($AD60),SUM($AD60:$AH60),"")</f>
      </c>
      <c r="AK60" s="40">
        <f>IF(AND(ISNUMBER($AB60),ISNUMBER($AD60)),IF($AB60&gt;0,$AD60/$AB60,""),"")</f>
      </c>
      <c r="AL60" s="48" t="inlineStr">
        <is>
          <t xml:space="preserve">At technical</t>
        </is>
      </c>
      <c r="AM60" s="41">
        <f>IF(ISNUMBER($AD60),Header!$I$3,"")</f>
      </c>
      <c r="AN60" s="39">
        <f>IF(ISNUMBER($AD60),$AO60+$AP60,"")</f>
      </c>
      <c r="AO60" s="39">
        <f>IF(ISNUMBER($AD60),ROUND($AD60*Header!$K$3,2),"")</f>
      </c>
      <c r="AP60" s="39">
        <f>IF(ISNUMBER($AD60),ROUND($AD60*Header!$M$3,2),"")</f>
      </c>
      <c r="AQ60" s="38">
        <f>IF(ISNUMBER($AD60),ROUND($AD60,2)-$AO60-$AP60,"")</f>
      </c>
      <c r="AR60" s="39">
        <f>IF(ISNUMBER($AD60),IF(Header!$D$34="","?",$AD60*Header!$D$34),"")</f>
      </c>
      <c r="AS60" s="39">
        <f>IF(ISNUMBER($AB60),IF(Header!$D$34="","?",$AB60*Header!$D$34),"")</f>
      </c>
      <c r="AT60" s="42">
        <f>IF(AND(ISNUMBER($AB60),$M60&gt;0),$AB60/$M60*100,"")</f>
      </c>
      <c r="AU60" s="42">
        <f>IF(AND(ISNUMBER($AD60),$M60&gt;0),$AD60/$M60*100,"")</f>
      </c>
      <c r="AV60" s="40">
        <f>IF(AND(ISNUMBER($AB60),ISNUMBER($AD60),ABS($AB60)&gt;0),$AD60/$AB60,"")</f>
      </c>
      <c r="AW60" s="39">
        <f>IF(ISNUMBER($AD60),MAX(0,(1-0.55-Header!$O$3)*Header!$Q$3*$AQ60),"")</f>
      </c>
      <c r="AX60" s="43">
        <f>IF($A60="","",IF(TRIM(IF($A60="","Missing certificate ref. ","") &amp; IF($C60="","Missing effective date. ","") &amp; IF($D60="","Missing binding status. ","") &amp; IF($E60="","Missing movement type. ","") &amp; IF($I60="","Missing make. ","") &amp; IF($L60="","Missing vehicle class. ","") &amp; IF($M60="","Missing agreed value. ","") &amp; IF($N60="","Missing policy type. ","") &amp; IF($Q60="","Missing garaging state. ","") &amp; IF($R60="","Missing garaging ZIP. ","") &amp; IF($S60="","Missing cat zone. ","") &amp; IF($V60="","Missing valuation basis. ","") &amp; IF($W60="","Missing PD deductible. ","") &amp; IF($X60="","Missing liability limit. ","") &amp; IF($AB60="","Missing technical premium. ","") &amp; IF($AF60="","Missing surplus lines tax %. ",""))="","PASS","FAIL: "&amp;TRIM(IF($A60="","Missing certificate ref. ","") &amp; IF($C60="","Missing effective date. ","") &amp; IF($D60="","Missing binding status. ","") &amp; IF($E60="","Missing movement type. ","") &amp; IF($I60="","Missing make. ","") &amp; IF($L60="","Missing vehicle class. ","") &amp; IF($M60="","Missing agreed value. ","") &amp; IF($N60="","Missing policy type. ","") &amp; IF($Q60="","Missing garaging state. ","") &amp; IF($R60="","Missing garaging ZIP. ","") &amp; IF($S60="","Missing cat zone. ","") &amp; IF($V60="","Missing valuation basis. ","") &amp; IF($W60="","Missing PD deductible. ","") &amp; IF($X60="","Missing liability limit. ","") &amp; IF($AB60="","Missing technical premium. ","") &amp; IF($AF60="","Missing surplus lines tax %. ",""))))</f>
      </c>
      <c r="AY60" s="44">
        <f>IF($M60="","",IF(ISNUMBER($M60),IF($M60&gt;=Header!$C$18,"YES — refer","No"),""))</f>
      </c>
      <c r="AZ60" s="44">
        <f>IF($AD60="","",IF(ISNUMBER($AD60),IF($AD60&lt;Header!$C$20,"BELOW MIN PREMIUM","OK"),""))</f>
      </c>
      <c r="BA60" s="48" t="inlineStr">
        <is>
          <t xml:space="preserve">Yes</t>
        </is>
      </c>
      <c r="BB60" s="48" t="inlineStr">
        <is>
          <t xml:space="preserve">Yes</t>
        </is>
      </c>
      <c r="BC60" s="46" t="inlineStr">
        <is>
          <t xml:space="preserve">Synthetic demo data</t>
        </is>
      </c>
      <c r="BE60" s="45">
        <f>IF(OR($A60="",$L60="",$H60=""),"",IF(AND(LEFT($L60,2)="06",$H60&gt;1945),"FAIL - pre-war class, year "&amp;$H60,IF(AND(LEFT($L60,2)="07",OR($H60&lt;1946,$H60&gt;1972)),"FAIL - 1946-72 class, year "&amp;$H60,IF(AND(LEFT($L60,2)="08",OR($H60&lt;1973,$H60&gt;1999)),"FAIL - 1973-99 class, year "&amp;$H60,IF(AND(LEFT($L60,2)="09",OR($H60&lt;2000,$H60&gt;2010)),"FAIL - 2000-10 class, year "&amp;$H60,"OK")))))</f>
      </c>
      <c r="BF60" s="45">
        <f>IF($AD60="","",IF(ROUND($AO60+$AP60+$AQ60-$AD60,2)=0,"OK","FAIL - out by "&amp;TEXT($AO60+$AP60+$AQ60-$AD60,"$0.00")))</f>
      </c>
    </row>
    <row r="61" spans="1:58" ht="18.75" customHeight="1" x14ac:dyDescent="0.25">
      <c r="A61" s="30" t="inlineStr">
        <is>
          <t xml:space="preserve">CANON-202511-002239</t>
        </is>
      </c>
      <c r="B61" s="30" t="inlineStr">
        <is>
          <t xml:space="preserve">Fitzgerald Larsson</t>
        </is>
      </c>
      <c r="C61" s="31">
        <v>45981</v>
      </c>
      <c r="D61" s="32" t="inlineStr">
        <is>
          <t xml:space="preserve">Bound - within authority</t>
        </is>
      </c>
      <c r="E61" s="32" t="inlineStr">
        <is>
          <t xml:space="preserve">New business</t>
        </is>
      </c>
      <c r="F61" s="30" t="inlineStr">
        <is>
          <t xml:space="preserve">B1234EXOTIC26</t>
        </is>
      </c>
      <c r="G61" s="33">
        <f>IF($A61="","",IF($C61="","",YEAR($C61)))</f>
      </c>
      <c r="H61" s="34">
        <v>1981</v>
      </c>
      <c r="I61" s="30" t="inlineStr">
        <is>
          <t xml:space="preserve">Mercedes-Benz</t>
        </is>
      </c>
      <c r="J61" s="30" t="inlineStr">
        <is>
          <t xml:space="preserve">AMG GT</t>
        </is>
      </c>
      <c r="K61" s="30" t="inlineStr">
        <is>
          <t xml:space="preserve">NYZLXZ3EUPPBW4F2N</t>
        </is>
      </c>
      <c r="L61" s="32" t="inlineStr">
        <is>
          <t xml:space="preserve">02 - Sports / GT</t>
        </is>
      </c>
      <c r="M61" s="35">
        <v>715000</v>
      </c>
      <c r="N61" s="32" t="inlineStr">
        <is>
          <t xml:space="preserve">Personal</t>
        </is>
      </c>
      <c r="O61" s="30" t="inlineStr">
        <is>
          <t xml:space="preserve">Personal - regular use</t>
        </is>
      </c>
      <c r="P61" s="30" t="inlineStr">
        <is>
          <t xml:space="preserve">1,000 - 2,500</t>
        </is>
      </c>
      <c r="Q61" s="30" t="inlineStr">
        <is>
          <t xml:space="preserve">Iowa</t>
        </is>
      </c>
      <c r="R61" s="30" t="inlineStr">
        <is>
          <t xml:space="preserve">50309</t>
        </is>
      </c>
      <c r="S61" s="32" t="inlineStr">
        <is>
          <t xml:space="preserve">Severe convective - hail alley (high)</t>
        </is>
      </c>
      <c r="T61" s="36">
        <f>IF($A61="","",IF($S61="","",IFERROR(INDEX('[1]natural catastrophe'!$D$6:$D$17,MATCH($S61,'[1]natural catastrophe'!$B$6:$B$17,0)),"?")))</f>
      </c>
      <c r="U61" s="30" t="inlineStr">
        <is>
          <t xml:space="preserve">$5,000</t>
        </is>
      </c>
      <c r="V61" s="32" t="inlineStr">
        <is>
          <t xml:space="preserve">Agreed Value</t>
        </is>
      </c>
      <c r="W61" s="30" t="inlineStr">
        <is>
          <t xml:space="preserve">$1,000</t>
        </is>
      </c>
      <c r="X61" s="32" t="inlineStr">
        <is>
          <t xml:space="preserve">$1,000,000 CSL</t>
        </is>
      </c>
      <c r="Y61" s="30"/>
      <c r="Z61" s="30"/>
      <c r="AA61" s="32" t="inlineStr">
        <is>
          <t xml:space="preserve">Surplus Lines</t>
        </is>
      </c>
      <c r="AB61" s="35">
        <v>8868.3</v>
      </c>
      <c r="AC61" s="37">
        <v>0</v>
      </c>
      <c r="AD61" s="38">
        <f>IF(ISNUMBER($AB61),$AB61*(1+N($AC61)),"")</f>
      </c>
      <c r="AE61" s="35">
        <v>350</v>
      </c>
      <c r="AF61" s="35">
        <v>0</v>
      </c>
      <c r="AG61" s="37"/>
      <c r="AH61" s="39">
        <f>IF(ISNUMBER($AD61),($AD61+$AE61+$AF61)*$AG61,"")</f>
      </c>
      <c r="AI61" s="35"/>
      <c r="AJ61" s="38">
        <f>IF(ISNUMBER($AD61),SUM($AD61:$AH61),"")</f>
      </c>
      <c r="AK61" s="40">
        <f>IF(AND(ISNUMBER($AB61),ISNUMBER($AD61)),IF($AB61&gt;0,$AD61/$AB61,""),"")</f>
      </c>
      <c r="AL61" s="32" t="inlineStr">
        <is>
          <t xml:space="preserve">At technical</t>
        </is>
      </c>
      <c r="AM61" s="41">
        <f>IF(ISNUMBER($AD61),Header!$I$3,"")</f>
      </c>
      <c r="AN61" s="39">
        <f>IF(ISNUMBER($AD61),$AO61+$AP61,"")</f>
      </c>
      <c r="AO61" s="39">
        <f>IF(ISNUMBER($AD61),ROUND($AD61*Header!$K$3,2),"")</f>
      </c>
      <c r="AP61" s="39">
        <f>IF(ISNUMBER($AD61),ROUND($AD61*Header!$M$3,2),"")</f>
      </c>
      <c r="AQ61" s="38">
        <f>IF(ISNUMBER($AD61),ROUND($AD61,2)-$AO61-$AP61,"")</f>
      </c>
      <c r="AR61" s="39">
        <f>IF(ISNUMBER($AD61),IF(Header!$D$34="","?",$AD61*Header!$D$34),"")</f>
      </c>
      <c r="AS61" s="39">
        <f>IF(ISNUMBER($AB61),IF(Header!$D$34="","?",$AB61*Header!$D$34),"")</f>
      </c>
      <c r="AT61" s="42">
        <f>IF(AND(ISNUMBER($AB61),$M61&gt;0),$AB61/$M61*100,"")</f>
      </c>
      <c r="AU61" s="42">
        <f>IF(AND(ISNUMBER($AD61),$M61&gt;0),$AD61/$M61*100,"")</f>
      </c>
      <c r="AV61" s="40">
        <f>IF(AND(ISNUMBER($AB61),ISNUMBER($AD61),ABS($AB61)&gt;0),$AD61/$AB61,"")</f>
      </c>
      <c r="AW61" s="39">
        <f>IF(ISNUMBER($AD61),MAX(0,(1-0.55-Header!$O$3)*Header!$Q$3*$AQ61),"")</f>
      </c>
      <c r="AX61" s="43">
        <f>IF($A61="","",IF(TRIM(IF($A61="","Missing certificate ref. ","") &amp; IF($C61="","Missing effective date. ","") &amp; IF($D61="","Missing binding status. ","") &amp; IF($E61="","Missing movement type. ","") &amp; IF($I61="","Missing make. ","") &amp; IF($L61="","Missing vehicle class. ","") &amp; IF($M61="","Missing agreed value. ","") &amp; IF($N61="","Missing policy type. ","") &amp; IF($Q61="","Missing garaging state. ","") &amp; IF($R61="","Missing garaging ZIP. ","") &amp; IF($S61="","Missing cat zone. ","") &amp; IF($V61="","Missing valuation basis. ","") &amp; IF($W61="","Missing PD deductible. ","") &amp; IF($X61="","Missing liability limit. ","") &amp; IF($AB61="","Missing technical premium. ","") &amp; IF($AF61="","Missing surplus lines tax %. ",""))="","PASS","FAIL: "&amp;TRIM(IF($A61="","Missing certificate ref. ","") &amp; IF($C61="","Missing effective date. ","") &amp; IF($D61="","Missing binding status. ","") &amp; IF($E61="","Missing movement type. ","") &amp; IF($I61="","Missing make. ","") &amp; IF($L61="","Missing vehicle class. ","") &amp; IF($M61="","Missing agreed value. ","") &amp; IF($N61="","Missing policy type. ","") &amp; IF($Q61="","Missing garaging state. ","") &amp; IF($R61="","Missing garaging ZIP. ","") &amp; IF($S61="","Missing cat zone. ","") &amp; IF($V61="","Missing valuation basis. ","") &amp; IF($W61="","Missing PD deductible. ","") &amp; IF($X61="","Missing liability limit. ","") &amp; IF($AB61="","Missing technical premium. ","") &amp; IF($AF61="","Missing surplus lines tax %. ",""))))</f>
      </c>
      <c r="AY61" s="44">
        <f>IF($M61="","",IF(ISNUMBER($M61),IF($M61&gt;=Header!$C$18,"YES — refer","No"),""))</f>
      </c>
      <c r="AZ61" s="44">
        <f>IF($AD61="","",IF(ISNUMBER($AD61),IF($AD61&lt;Header!$C$20,"BELOW MIN PREMIUM","OK"),""))</f>
      </c>
      <c r="BA61" s="32" t="inlineStr">
        <is>
          <t xml:space="preserve">Yes</t>
        </is>
      </c>
      <c r="BB61" s="32" t="inlineStr">
        <is>
          <t xml:space="preserve">Yes</t>
        </is>
      </c>
      <c r="BC61" s="30" t="inlineStr">
        <is>
          <t xml:space="preserve">Synthetic demo data</t>
        </is>
      </c>
      <c r="BE61" s="45">
        <f>IF(OR($A61="",$L61="",$H61=""),"",IF(AND(LEFT($L61,2)="06",$H61&gt;1945),"FAIL - pre-war class, year "&amp;$H61,IF(AND(LEFT($L61,2)="07",OR($H61&lt;1946,$H61&gt;1972)),"FAIL - 1946-72 class, year "&amp;$H61,IF(AND(LEFT($L61,2)="08",OR($H61&lt;1973,$H61&gt;1999)),"FAIL - 1973-99 class, year "&amp;$H61,IF(AND(LEFT($L61,2)="09",OR($H61&lt;2000,$H61&gt;2010)),"FAIL - 2000-10 class, year "&amp;$H61,"OK")))))</f>
      </c>
      <c r="BF61" s="45">
        <f>IF($AD61="","",IF(ROUND($AO61+$AP61+$AQ61-$AD61,2)=0,"OK","FAIL - out by "&amp;TEXT($AO61+$AP61+$AQ61-$AD61,"$0.00")))</f>
      </c>
    </row>
    <row r="62" spans="1:58" ht="18.75" customHeight="1" x14ac:dyDescent="0.25">
      <c r="A62" s="46" t="inlineStr">
        <is>
          <t xml:space="preserve">CANON-202511-002240</t>
        </is>
      </c>
      <c r="B62" s="46" t="inlineStr">
        <is>
          <t xml:space="preserve">Mireille Nakashima</t>
        </is>
      </c>
      <c r="C62" s="47">
        <v>45973</v>
      </c>
      <c r="D62" s="48" t="inlineStr">
        <is>
          <t xml:space="preserve">Bound - within authority</t>
        </is>
      </c>
      <c r="E62" s="48" t="inlineStr">
        <is>
          <t xml:space="preserve">New business</t>
        </is>
      </c>
      <c r="F62" s="46" t="inlineStr">
        <is>
          <t xml:space="preserve">B1234EXOTIC26</t>
        </is>
      </c>
      <c r="G62" s="33">
        <f>IF($A62="","",IF($C62="","",YEAR($C62)))</f>
      </c>
      <c r="H62" s="49">
        <v>1958</v>
      </c>
      <c r="I62" s="46" t="inlineStr">
        <is>
          <t xml:space="preserve">Ferrari</t>
        </is>
      </c>
      <c r="J62" s="46" t="inlineStr">
        <is>
          <t xml:space="preserve">296 GTB</t>
        </is>
      </c>
      <c r="K62" s="46" t="inlineStr">
        <is>
          <t xml:space="preserve">SDJPZ95B9DL48XF0V</t>
        </is>
      </c>
      <c r="L62" s="48" t="inlineStr">
        <is>
          <t xml:space="preserve">03 - Supercar</t>
        </is>
      </c>
      <c r="M62" s="50">
        <v>520000</v>
      </c>
      <c r="N62" s="48" t="inlineStr">
        <is>
          <t xml:space="preserve">Personal</t>
        </is>
      </c>
      <c r="O62" s="46" t="inlineStr">
        <is>
          <t xml:space="preserve">Personal - regular use</t>
        </is>
      </c>
      <c r="P62" s="46" t="inlineStr">
        <is>
          <t xml:space="preserve">1,000 - 2,500</t>
        </is>
      </c>
      <c r="Q62" s="46" t="inlineStr">
        <is>
          <t xml:space="preserve">Colorado</t>
        </is>
      </c>
      <c r="R62" s="46" t="inlineStr">
        <is>
          <t xml:space="preserve">80202</t>
        </is>
      </c>
      <c r="S62" s="48" t="inlineStr">
        <is>
          <t xml:space="preserve">Severe convective - hail alley (high)</t>
        </is>
      </c>
      <c r="T62" s="36">
        <f>IF($A62="","",IF($S62="","",IFERROR(INDEX('[1]natural catastrophe'!$D$6:$D$17,MATCH($S62,'[1]natural catastrophe'!$B$6:$B$17,0)),"?")))</f>
      </c>
      <c r="U62" s="46" t="inlineStr">
        <is>
          <t xml:space="preserve">$5,000</t>
        </is>
      </c>
      <c r="V62" s="48" t="inlineStr">
        <is>
          <t xml:space="preserve">Agreed Value</t>
        </is>
      </c>
      <c r="W62" s="46" t="inlineStr">
        <is>
          <t xml:space="preserve">$1,000</t>
        </is>
      </c>
      <c r="X62" s="48" t="inlineStr">
        <is>
          <t xml:space="preserve">$1,000,000 CSL</t>
        </is>
      </c>
      <c r="Y62" s="46"/>
      <c r="Z62" s="46"/>
      <c r="AA62" s="48" t="inlineStr">
        <is>
          <t xml:space="preserve">Surplus Lines</t>
        </is>
      </c>
      <c r="AB62" s="50">
        <v>9426.45</v>
      </c>
      <c r="AC62" s="51">
        <v>0</v>
      </c>
      <c r="AD62" s="38">
        <f>IF(ISNUMBER($AB62),$AB62*(1+N($AC62)),"")</f>
      </c>
      <c r="AE62" s="50">
        <v>350</v>
      </c>
      <c r="AF62" s="50">
        <v>0</v>
      </c>
      <c r="AG62" s="51"/>
      <c r="AH62" s="39">
        <f>IF(ISNUMBER($AD62),($AD62+$AE62+$AF62)*$AG62,"")</f>
      </c>
      <c r="AI62" s="50"/>
      <c r="AJ62" s="38">
        <f>IF(ISNUMBER($AD62),SUM($AD62:$AH62),"")</f>
      </c>
      <c r="AK62" s="40">
        <f>IF(AND(ISNUMBER($AB62),ISNUMBER($AD62)),IF($AB62&gt;0,$AD62/$AB62,""),"")</f>
      </c>
      <c r="AL62" s="48" t="inlineStr">
        <is>
          <t xml:space="preserve">At technical</t>
        </is>
      </c>
      <c r="AM62" s="41">
        <f>IF(ISNUMBER($AD62),Header!$I$3,"")</f>
      </c>
      <c r="AN62" s="39">
        <f>IF(ISNUMBER($AD62),$AO62+$AP62,"")</f>
      </c>
      <c r="AO62" s="39">
        <f>IF(ISNUMBER($AD62),ROUND($AD62*Header!$K$3,2),"")</f>
      </c>
      <c r="AP62" s="39">
        <f>IF(ISNUMBER($AD62),ROUND($AD62*Header!$M$3,2),"")</f>
      </c>
      <c r="AQ62" s="38">
        <f>IF(ISNUMBER($AD62),ROUND($AD62,2)-$AO62-$AP62,"")</f>
      </c>
      <c r="AR62" s="39">
        <f>IF(ISNUMBER($AD62),IF(Header!$D$34="","?",$AD62*Header!$D$34),"")</f>
      </c>
      <c r="AS62" s="39">
        <f>IF(ISNUMBER($AB62),IF(Header!$D$34="","?",$AB62*Header!$D$34),"")</f>
      </c>
      <c r="AT62" s="42">
        <f>IF(AND(ISNUMBER($AB62),$M62&gt;0),$AB62/$M62*100,"")</f>
      </c>
      <c r="AU62" s="42">
        <f>IF(AND(ISNUMBER($AD62),$M62&gt;0),$AD62/$M62*100,"")</f>
      </c>
      <c r="AV62" s="40">
        <f>IF(AND(ISNUMBER($AB62),ISNUMBER($AD62),ABS($AB62)&gt;0),$AD62/$AB62,"")</f>
      </c>
      <c r="AW62" s="39">
        <f>IF(ISNUMBER($AD62),MAX(0,(1-0.55-Header!$O$3)*Header!$Q$3*$AQ62),"")</f>
      </c>
      <c r="AX62" s="43">
        <f>IF($A62="","",IF(TRIM(IF($A62="","Missing certificate ref. ","") &amp; IF($C62="","Missing effective date. ","") &amp; IF($D62="","Missing binding status. ","") &amp; IF($E62="","Missing movement type. ","") &amp; IF($I62="","Missing make. ","") &amp; IF($L62="","Missing vehicle class. ","") &amp; IF($M62="","Missing agreed value. ","") &amp; IF($N62="","Missing policy type. ","") &amp; IF($Q62="","Missing garaging state. ","") &amp; IF($R62="","Missing garaging ZIP. ","") &amp; IF($S62="","Missing cat zone. ","") &amp; IF($V62="","Missing valuation basis. ","") &amp; IF($W62="","Missing PD deductible. ","") &amp; IF($X62="","Missing liability limit. ","") &amp; IF($AB62="","Missing technical premium. ","") &amp; IF($AF62="","Missing surplus lines tax %. ",""))="","PASS","FAIL: "&amp;TRIM(IF($A62="","Missing certificate ref. ","") &amp; IF($C62="","Missing effective date. ","") &amp; IF($D62="","Missing binding status. ","") &amp; IF($E62="","Missing movement type. ","") &amp; IF($I62="","Missing make. ","") &amp; IF($L62="","Missing vehicle class. ","") &amp; IF($M62="","Missing agreed value. ","") &amp; IF($N62="","Missing policy type. ","") &amp; IF($Q62="","Missing garaging state. ","") &amp; IF($R62="","Missing garaging ZIP. ","") &amp; IF($S62="","Missing cat zone. ","") &amp; IF($V62="","Missing valuation basis. ","") &amp; IF($W62="","Missing PD deductible. ","") &amp; IF($X62="","Missing liability limit. ","") &amp; IF($AB62="","Missing technical premium. ","") &amp; IF($AF62="","Missing surplus lines tax %. ",""))))</f>
      </c>
      <c r="AY62" s="44">
        <f>IF($M62="","",IF(ISNUMBER($M62),IF($M62&gt;=Header!$C$18,"YES — refer","No"),""))</f>
      </c>
      <c r="AZ62" s="44">
        <f>IF($AD62="","",IF(ISNUMBER($AD62),IF($AD62&lt;Header!$C$20,"BELOW MIN PREMIUM","OK"),""))</f>
      </c>
      <c r="BA62" s="48" t="inlineStr">
        <is>
          <t xml:space="preserve">Yes</t>
        </is>
      </c>
      <c r="BB62" s="48" t="inlineStr">
        <is>
          <t xml:space="preserve">Yes</t>
        </is>
      </c>
      <c r="BC62" s="46" t="inlineStr">
        <is>
          <t xml:space="preserve">Synthetic demo data</t>
        </is>
      </c>
      <c r="BE62" s="45">
        <f>IF(OR($A62="",$L62="",$H62=""),"",IF(AND(LEFT($L62,2)="06",$H62&gt;1945),"FAIL - pre-war class, year "&amp;$H62,IF(AND(LEFT($L62,2)="07",OR($H62&lt;1946,$H62&gt;1972)),"FAIL - 1946-72 class, year "&amp;$H62,IF(AND(LEFT($L62,2)="08",OR($H62&lt;1973,$H62&gt;1999)),"FAIL - 1973-99 class, year "&amp;$H62,IF(AND(LEFT($L62,2)="09",OR($H62&lt;2000,$H62&gt;2010)),"FAIL - 2000-10 class, year "&amp;$H62,"OK")))))</f>
      </c>
      <c r="BF62" s="45">
        <f>IF($AD62="","",IF(ROUND($AO62+$AP62+$AQ62-$AD62,2)=0,"OK","FAIL - out by "&amp;TEXT($AO62+$AP62+$AQ62-$AD62,"$0.00")))</f>
      </c>
    </row>
    <row r="63" spans="1:58" ht="18.75" customHeight="1" x14ac:dyDescent="0.25">
      <c r="A63" s="30" t="inlineStr">
        <is>
          <t xml:space="preserve">CANON-202511-002241</t>
        </is>
      </c>
      <c r="B63" s="30" t="inlineStr">
        <is>
          <t xml:space="preserve">Priya Chattopadhyay</t>
        </is>
      </c>
      <c r="C63" s="31">
        <v>45978</v>
      </c>
      <c r="D63" s="32" t="inlineStr">
        <is>
          <t xml:space="preserve">Bound - within authority</t>
        </is>
      </c>
      <c r="E63" s="32" t="inlineStr">
        <is>
          <t xml:space="preserve">New business</t>
        </is>
      </c>
      <c r="F63" s="30" t="inlineStr">
        <is>
          <t xml:space="preserve">B1234EXOTIC26</t>
        </is>
      </c>
      <c r="G63" s="33">
        <f>IF($A63="","",IF($C63="","",YEAR($C63)))</f>
      </c>
      <c r="H63" s="34">
        <v>2018</v>
      </c>
      <c r="I63" s="30" t="inlineStr">
        <is>
          <t xml:space="preserve">BMW</t>
        </is>
      </c>
      <c r="J63" s="30" t="inlineStr">
        <is>
          <t xml:space="preserve">M8 Competition</t>
        </is>
      </c>
      <c r="K63" s="30" t="inlineStr">
        <is>
          <t xml:space="preserve">053S5J0V9GR0G2XTH</t>
        </is>
      </c>
      <c r="L63" s="32" t="inlineStr">
        <is>
          <t xml:space="preserve">02 - Sports / GT</t>
        </is>
      </c>
      <c r="M63" s="35">
        <v>300000</v>
      </c>
      <c r="N63" s="32" t="inlineStr">
        <is>
          <t xml:space="preserve">Personal</t>
        </is>
      </c>
      <c r="O63" s="30" t="inlineStr">
        <is>
          <t xml:space="preserve">Personal - regular use</t>
        </is>
      </c>
      <c r="P63" s="30" t="inlineStr">
        <is>
          <t xml:space="preserve">Under 1,000</t>
        </is>
      </c>
      <c r="Q63" s="30" t="inlineStr">
        <is>
          <t xml:space="preserve">Colorado</t>
        </is>
      </c>
      <c r="R63" s="30" t="inlineStr">
        <is>
          <t xml:space="preserve">80202</t>
        </is>
      </c>
      <c r="S63" s="32" t="inlineStr">
        <is>
          <t xml:space="preserve">Severe convective - hail alley (high)</t>
        </is>
      </c>
      <c r="T63" s="36">
        <f>IF($A63="","",IF($S63="","",IFERROR(INDEX('[1]natural catastrophe'!$D$6:$D$17,MATCH($S63,'[1]natural catastrophe'!$B$6:$B$17,0)),"?")))</f>
      </c>
      <c r="U63" s="30" t="inlineStr">
        <is>
          <t xml:space="preserve">$5,000</t>
        </is>
      </c>
      <c r="V63" s="32" t="inlineStr">
        <is>
          <t xml:space="preserve">Agreed Value</t>
        </is>
      </c>
      <c r="W63" s="30" t="inlineStr">
        <is>
          <t xml:space="preserve">$1,000</t>
        </is>
      </c>
      <c r="X63" s="32" t="inlineStr">
        <is>
          <t xml:space="preserve">$1,000,000 CSL</t>
        </is>
      </c>
      <c r="Y63" s="30"/>
      <c r="Z63" s="30"/>
      <c r="AA63" s="32" t="inlineStr">
        <is>
          <t xml:space="preserve">Surplus Lines</t>
        </is>
      </c>
      <c r="AB63" s="35">
        <v>4293.42</v>
      </c>
      <c r="AC63" s="37">
        <v>0</v>
      </c>
      <c r="AD63" s="38">
        <f>IF(ISNUMBER($AB63),$AB63*(1+N($AC63)),"")</f>
      </c>
      <c r="AE63" s="35">
        <v>350</v>
      </c>
      <c r="AF63" s="35">
        <v>0</v>
      </c>
      <c r="AG63" s="37"/>
      <c r="AH63" s="39">
        <f>IF(ISNUMBER($AD63),($AD63+$AE63+$AF63)*$AG63,"")</f>
      </c>
      <c r="AI63" s="35"/>
      <c r="AJ63" s="38">
        <f>IF(ISNUMBER($AD63),SUM($AD63:$AH63),"")</f>
      </c>
      <c r="AK63" s="40">
        <f>IF(AND(ISNUMBER($AB63),ISNUMBER($AD63)),IF($AB63&gt;0,$AD63/$AB63,""),"")</f>
      </c>
      <c r="AL63" s="32" t="inlineStr">
        <is>
          <t xml:space="preserve">At technical</t>
        </is>
      </c>
      <c r="AM63" s="41">
        <f>IF(ISNUMBER($AD63),Header!$I$3,"")</f>
      </c>
      <c r="AN63" s="39">
        <f>IF(ISNUMBER($AD63),$AO63+$AP63,"")</f>
      </c>
      <c r="AO63" s="39">
        <f>IF(ISNUMBER($AD63),ROUND($AD63*Header!$K$3,2),"")</f>
      </c>
      <c r="AP63" s="39">
        <f>IF(ISNUMBER($AD63),ROUND($AD63*Header!$M$3,2),"")</f>
      </c>
      <c r="AQ63" s="38">
        <f>IF(ISNUMBER($AD63),ROUND($AD63,2)-$AO63-$AP63,"")</f>
      </c>
      <c r="AR63" s="39">
        <f>IF(ISNUMBER($AD63),IF(Header!$D$34="","?",$AD63*Header!$D$34),"")</f>
      </c>
      <c r="AS63" s="39">
        <f>IF(ISNUMBER($AB63),IF(Header!$D$34="","?",$AB63*Header!$D$34),"")</f>
      </c>
      <c r="AT63" s="42">
        <f>IF(AND(ISNUMBER($AB63),$M63&gt;0),$AB63/$M63*100,"")</f>
      </c>
      <c r="AU63" s="42">
        <f>IF(AND(ISNUMBER($AD63),$M63&gt;0),$AD63/$M63*100,"")</f>
      </c>
      <c r="AV63" s="40">
        <f>IF(AND(ISNUMBER($AB63),ISNUMBER($AD63),ABS($AB63)&gt;0),$AD63/$AB63,"")</f>
      </c>
      <c r="AW63" s="39">
        <f>IF(ISNUMBER($AD63),MAX(0,(1-0.55-Header!$O$3)*Header!$Q$3*$AQ63),"")</f>
      </c>
      <c r="AX63" s="43">
        <f>IF($A63="","",IF(TRIM(IF($A63="","Missing certificate ref. ","") &amp; IF($C63="","Missing effective date. ","") &amp; IF($D63="","Missing binding status. ","") &amp; IF($E63="","Missing movement type. ","") &amp; IF($I63="","Missing make. ","") &amp; IF($L63="","Missing vehicle class. ","") &amp; IF($M63="","Missing agreed value. ","") &amp; IF($N63="","Missing policy type. ","") &amp; IF($Q63="","Missing garaging state. ","") &amp; IF($R63="","Missing garaging ZIP. ","") &amp; IF($S63="","Missing cat zone. ","") &amp; IF($V63="","Missing valuation basis. ","") &amp; IF($W63="","Missing PD deductible. ","") &amp; IF($X63="","Missing liability limit. ","") &amp; IF($AB63="","Missing technical premium. ","") &amp; IF($AF63="","Missing surplus lines tax %. ",""))="","PASS","FAIL: "&amp;TRIM(IF($A63="","Missing certificate ref. ","") &amp; IF($C63="","Missing effective date. ","") &amp; IF($D63="","Missing binding status. ","") &amp; IF($E63="","Missing movement type. ","") &amp; IF($I63="","Missing make. ","") &amp; IF($L63="","Missing vehicle class. ","") &amp; IF($M63="","Missing agreed value. ","") &amp; IF($N63="","Missing policy type. ","") &amp; IF($Q63="","Missing garaging state. ","") &amp; IF($R63="","Missing garaging ZIP. ","") &amp; IF($S63="","Missing cat zone. ","") &amp; IF($V63="","Missing valuation basis. ","") &amp; IF($W63="","Missing PD deductible. ","") &amp; IF($X63="","Missing liability limit. ","") &amp; IF($AB63="","Missing technical premium. ","") &amp; IF($AF63="","Missing surplus lines tax %. ",""))))</f>
      </c>
      <c r="AY63" s="44">
        <f>IF($M63="","",IF(ISNUMBER($M63),IF($M63&gt;=Header!$C$18,"YES — refer","No"),""))</f>
      </c>
      <c r="AZ63" s="44">
        <f>IF($AD63="","",IF(ISNUMBER($AD63),IF($AD63&lt;Header!$C$20,"BELOW MIN PREMIUM","OK"),""))</f>
      </c>
      <c r="BA63" s="32" t="inlineStr">
        <is>
          <t xml:space="preserve">Yes</t>
        </is>
      </c>
      <c r="BB63" s="32" t="inlineStr">
        <is>
          <t xml:space="preserve">Yes</t>
        </is>
      </c>
      <c r="BC63" s="30" t="inlineStr">
        <is>
          <t xml:space="preserve">Synthetic demo data</t>
        </is>
      </c>
      <c r="BE63" s="45">
        <f>IF(OR($A63="",$L63="",$H63=""),"",IF(AND(LEFT($L63,2)="06",$H63&gt;1945),"FAIL - pre-war class, year "&amp;$H63,IF(AND(LEFT($L63,2)="07",OR($H63&lt;1946,$H63&gt;1972)),"FAIL - 1946-72 class, year "&amp;$H63,IF(AND(LEFT($L63,2)="08",OR($H63&lt;1973,$H63&gt;1999)),"FAIL - 1973-99 class, year "&amp;$H63,IF(AND(LEFT($L63,2)="09",OR($H63&lt;2000,$H63&gt;2010)),"FAIL - 2000-10 class, year "&amp;$H63,"OK")))))</f>
      </c>
      <c r="BF63" s="45">
        <f>IF($AD63="","",IF(ROUND($AO63+$AP63+$AQ63-$AD63,2)=0,"OK","FAIL - out by "&amp;TEXT($AO63+$AP63+$AQ63-$AD63,"$0.00")))</f>
      </c>
    </row>
    <row r="64" spans="1:58" ht="18.75" customHeight="1" x14ac:dyDescent="0.25">
      <c r="A64" s="46" t="inlineStr">
        <is>
          <t xml:space="preserve">CANON-202511-002244</t>
        </is>
      </c>
      <c r="B64" s="46" t="inlineStr">
        <is>
          <t xml:space="preserve">Thaddeus Harrington</t>
        </is>
      </c>
      <c r="C64" s="47">
        <v>45966</v>
      </c>
      <c r="D64" s="48" t="inlineStr">
        <is>
          <t xml:space="preserve">Bound - within authority</t>
        </is>
      </c>
      <c r="E64" s="48" t="inlineStr">
        <is>
          <t xml:space="preserve">New business</t>
        </is>
      </c>
      <c r="F64" s="46" t="inlineStr">
        <is>
          <t xml:space="preserve">B1234EXOTIC26</t>
        </is>
      </c>
      <c r="G64" s="33">
        <f>IF($A64="","",IF($C64="","",YEAR($C64)))</f>
      </c>
      <c r="H64" s="49">
        <v>1987</v>
      </c>
      <c r="I64" s="46" t="inlineStr">
        <is>
          <t xml:space="preserve">Jaguar</t>
        </is>
      </c>
      <c r="J64" s="46" t="inlineStr">
        <is>
          <t xml:space="preserve">E-Type Series 1</t>
        </is>
      </c>
      <c r="K64" s="46" t="inlineStr">
        <is>
          <t xml:space="preserve">6D4U8XTYXB2GUJP6S</t>
        </is>
      </c>
      <c r="L64" s="48" t="inlineStr">
        <is>
          <t xml:space="preserve">08 - Modern Classic (1973-1999)</t>
        </is>
      </c>
      <c r="M64" s="50">
        <v>295000</v>
      </c>
      <c r="N64" s="48" t="inlineStr">
        <is>
          <t xml:space="preserve">Personal</t>
        </is>
      </c>
      <c r="O64" s="46" t="inlineStr">
        <is>
          <t xml:space="preserve">Personal - regular use</t>
        </is>
      </c>
      <c r="P64" s="46" t="inlineStr">
        <is>
          <t xml:space="preserve">1,000 - 2,500</t>
        </is>
      </c>
      <c r="Q64" s="46" t="inlineStr">
        <is>
          <t xml:space="preserve">Iowa</t>
        </is>
      </c>
      <c r="R64" s="46" t="inlineStr">
        <is>
          <t xml:space="preserve">50309</t>
        </is>
      </c>
      <c r="S64" s="48" t="inlineStr">
        <is>
          <t xml:space="preserve">Severe convective - hail alley (high)</t>
        </is>
      </c>
      <c r="T64" s="36">
        <f>IF($A64="","",IF($S64="","",IFERROR(INDEX('[1]natural catastrophe'!$D$6:$D$17,MATCH($S64,'[1]natural catastrophe'!$B$6:$B$17,0)),"?")))</f>
      </c>
      <c r="U64" s="46" t="inlineStr">
        <is>
          <t xml:space="preserve">$5,000</t>
        </is>
      </c>
      <c r="V64" s="48" t="inlineStr">
        <is>
          <t xml:space="preserve">Agreed Value</t>
        </is>
      </c>
      <c r="W64" s="46" t="inlineStr">
        <is>
          <t xml:space="preserve">$1,000</t>
        </is>
      </c>
      <c r="X64" s="48" t="inlineStr">
        <is>
          <t xml:space="preserve">$1,000,000 CSL</t>
        </is>
      </c>
      <c r="Y64" s="46"/>
      <c r="Z64" s="46"/>
      <c r="AA64" s="48" t="inlineStr">
        <is>
          <t xml:space="preserve">Surplus Lines</t>
        </is>
      </c>
      <c r="AB64" s="50">
        <v>2702</v>
      </c>
      <c r="AC64" s="51">
        <v>0</v>
      </c>
      <c r="AD64" s="38">
        <f>IF(ISNUMBER($AB64),$AB64*(1+N($AC64)),"")</f>
      </c>
      <c r="AE64" s="50">
        <v>350</v>
      </c>
      <c r="AF64" s="50">
        <v>0</v>
      </c>
      <c r="AG64" s="51"/>
      <c r="AH64" s="39">
        <f>IF(ISNUMBER($AD64),($AD64+$AE64+$AF64)*$AG64,"")</f>
      </c>
      <c r="AI64" s="50"/>
      <c r="AJ64" s="38">
        <f>IF(ISNUMBER($AD64),SUM($AD64:$AH64),"")</f>
      </c>
      <c r="AK64" s="40">
        <f>IF(AND(ISNUMBER($AB64),ISNUMBER($AD64)),IF($AB64&gt;0,$AD64/$AB64,""),"")</f>
      </c>
      <c r="AL64" s="48" t="inlineStr">
        <is>
          <t xml:space="preserve">At technical</t>
        </is>
      </c>
      <c r="AM64" s="41">
        <f>IF(ISNUMBER($AD64),Header!$I$3,"")</f>
      </c>
      <c r="AN64" s="39">
        <f>IF(ISNUMBER($AD64),$AO64+$AP64,"")</f>
      </c>
      <c r="AO64" s="39">
        <f>IF(ISNUMBER($AD64),ROUND($AD64*Header!$K$3,2),"")</f>
      </c>
      <c r="AP64" s="39">
        <f>IF(ISNUMBER($AD64),ROUND($AD64*Header!$M$3,2),"")</f>
      </c>
      <c r="AQ64" s="38">
        <f>IF(ISNUMBER($AD64),ROUND($AD64,2)-$AO64-$AP64,"")</f>
      </c>
      <c r="AR64" s="39">
        <f>IF(ISNUMBER($AD64),IF(Header!$D$34="","?",$AD64*Header!$D$34),"")</f>
      </c>
      <c r="AS64" s="39">
        <f>IF(ISNUMBER($AB64),IF(Header!$D$34="","?",$AB64*Header!$D$34),"")</f>
      </c>
      <c r="AT64" s="42">
        <f>IF(AND(ISNUMBER($AB64),$M64&gt;0),$AB64/$M64*100,"")</f>
      </c>
      <c r="AU64" s="42">
        <f>IF(AND(ISNUMBER($AD64),$M64&gt;0),$AD64/$M64*100,"")</f>
      </c>
      <c r="AV64" s="40">
        <f>IF(AND(ISNUMBER($AB64),ISNUMBER($AD64),ABS($AB64)&gt;0),$AD64/$AB64,"")</f>
      </c>
      <c r="AW64" s="39">
        <f>IF(ISNUMBER($AD64),MAX(0,(1-0.55-Header!$O$3)*Header!$Q$3*$AQ64),"")</f>
      </c>
      <c r="AX64" s="43">
        <f>IF($A64="","",IF(TRIM(IF($A64="","Missing certificate ref. ","") &amp; IF($C64="","Missing effective date. ","") &amp; IF($D64="","Missing binding status. ","") &amp; IF($E64="","Missing movement type. ","") &amp; IF($I64="","Missing make. ","") &amp; IF($L64="","Missing vehicle class. ","") &amp; IF($M64="","Missing agreed value. ","") &amp; IF($N64="","Missing policy type. ","") &amp; IF($Q64="","Missing garaging state. ","") &amp; IF($R64="","Missing garaging ZIP. ","") &amp; IF($S64="","Missing cat zone. ","") &amp; IF($V64="","Missing valuation basis. ","") &amp; IF($W64="","Missing PD deductible. ","") &amp; IF($X64="","Missing liability limit. ","") &amp; IF($AB64="","Missing technical premium. ","") &amp; IF($AF64="","Missing surplus lines tax %. ",""))="","PASS","FAIL: "&amp;TRIM(IF($A64="","Missing certificate ref. ","") &amp; IF($C64="","Missing effective date. ","") &amp; IF($D64="","Missing binding status. ","") &amp; IF($E64="","Missing movement type. ","") &amp; IF($I64="","Missing make. ","") &amp; IF($L64="","Missing vehicle class. ","") &amp; IF($M64="","Missing agreed value. ","") &amp; IF($N64="","Missing policy type. ","") &amp; IF($Q64="","Missing garaging state. ","") &amp; IF($R64="","Missing garaging ZIP. ","") &amp; IF($S64="","Missing cat zone. ","") &amp; IF($V64="","Missing valuation basis. ","") &amp; IF($W64="","Missing PD deductible. ","") &amp; IF($X64="","Missing liability limit. ","") &amp; IF($AB64="","Missing technical premium. ","") &amp; IF($AF64="","Missing surplus lines tax %. ",""))))</f>
      </c>
      <c r="AY64" s="44">
        <f>IF($M64="","",IF(ISNUMBER($M64),IF($M64&gt;=Header!$C$18,"YES — refer","No"),""))</f>
      </c>
      <c r="AZ64" s="44">
        <f>IF($AD64="","",IF(ISNUMBER($AD64),IF($AD64&lt;Header!$C$20,"BELOW MIN PREMIUM","OK"),""))</f>
      </c>
      <c r="BA64" s="48" t="inlineStr">
        <is>
          <t xml:space="preserve">Yes</t>
        </is>
      </c>
      <c r="BB64" s="48" t="inlineStr">
        <is>
          <t xml:space="preserve">Yes</t>
        </is>
      </c>
      <c r="BC64" s="46" t="inlineStr">
        <is>
          <t xml:space="preserve">Synthetic demo data</t>
        </is>
      </c>
      <c r="BE64" s="45">
        <f>IF(OR($A64="",$L64="",$H64=""),"",IF(AND(LEFT($L64,2)="06",$H64&gt;1945),"FAIL - pre-war class, year "&amp;$H64,IF(AND(LEFT($L64,2)="07",OR($H64&lt;1946,$H64&gt;1972)),"FAIL - 1946-72 class, year "&amp;$H64,IF(AND(LEFT($L64,2)="08",OR($H64&lt;1973,$H64&gt;1999)),"FAIL - 1973-99 class, year "&amp;$H64,IF(AND(LEFT($L64,2)="09",OR($H64&lt;2000,$H64&gt;2010)),"FAIL - 2000-10 class, year "&amp;$H64,"OK")))))</f>
      </c>
      <c r="BF64" s="45">
        <f>IF($AD64="","",IF(ROUND($AO64+$AP64+$AQ64-$AD64,2)=0,"OK","FAIL - out by "&amp;TEXT($AO64+$AP64+$AQ64-$AD64,"$0.00")))</f>
      </c>
    </row>
    <row r="65" spans="1:58" ht="18.75" customHeight="1" x14ac:dyDescent="0.25">
      <c r="A65" s="30" t="inlineStr">
        <is>
          <t xml:space="preserve">CANON-202511-002245</t>
        </is>
      </c>
      <c r="B65" s="30" t="inlineStr">
        <is>
          <t xml:space="preserve">Wilhelmina Thistlewood</t>
        </is>
      </c>
      <c r="C65" s="31">
        <v>45983</v>
      </c>
      <c r="D65" s="32" t="inlineStr">
        <is>
          <t xml:space="preserve">Bound - within authority</t>
        </is>
      </c>
      <c r="E65" s="32" t="inlineStr">
        <is>
          <t xml:space="preserve">New business</t>
        </is>
      </c>
      <c r="F65" s="30" t="inlineStr">
        <is>
          <t xml:space="preserve">B1234EXOTIC26</t>
        </is>
      </c>
      <c r="G65" s="33">
        <f>IF($A65="","",IF($C65="","",YEAR($C65)))</f>
      </c>
      <c r="H65" s="34">
        <v>2014</v>
      </c>
      <c r="I65" s="30" t="inlineStr">
        <is>
          <t xml:space="preserve">Aston Martin</t>
        </is>
      </c>
      <c r="J65" s="30" t="inlineStr">
        <is>
          <t xml:space="preserve">DB12</t>
        </is>
      </c>
      <c r="K65" s="30" t="inlineStr">
        <is>
          <t xml:space="preserve">GZUA7KSWYJZHARMNX</t>
        </is>
      </c>
      <c r="L65" s="32" t="inlineStr">
        <is>
          <t xml:space="preserve">02 - Sports / GT</t>
        </is>
      </c>
      <c r="M65" s="35">
        <v>265000</v>
      </c>
      <c r="N65" s="32" t="inlineStr">
        <is>
          <t xml:space="preserve">Personal</t>
        </is>
      </c>
      <c r="O65" s="30" t="inlineStr">
        <is>
          <t xml:space="preserve">Personal - regular use</t>
        </is>
      </c>
      <c r="P65" s="30" t="inlineStr">
        <is>
          <t xml:space="preserve">2,500 - 5,000</t>
        </is>
      </c>
      <c r="Q65" s="30" t="inlineStr">
        <is>
          <t xml:space="preserve">Texas</t>
        </is>
      </c>
      <c r="R65" s="30" t="inlineStr">
        <is>
          <t xml:space="preserve">75201</t>
        </is>
      </c>
      <c r="S65" s="32" t="inlineStr">
        <is>
          <t xml:space="preserve">Tier 2 - Coastal wind (1-25 miles)</t>
        </is>
      </c>
      <c r="T65" s="36">
        <f>IF($A65="","",IF($S65="","",IFERROR(INDEX('[1]natural catastrophe'!$D$6:$D$17,MATCH($S65,'[1]natural catastrophe'!$B$6:$B$17,0)),"?")))</f>
      </c>
      <c r="U65" s="30" t="inlineStr">
        <is>
          <t xml:space="preserve">2% of agreed value, minimum $10,000</t>
        </is>
      </c>
      <c r="V65" s="32" t="inlineStr">
        <is>
          <t xml:space="preserve">Agreed Value</t>
        </is>
      </c>
      <c r="W65" s="30" t="inlineStr">
        <is>
          <t xml:space="preserve">$1,000</t>
        </is>
      </c>
      <c r="X65" s="32" t="inlineStr">
        <is>
          <t xml:space="preserve">$1,000,000 CSL</t>
        </is>
      </c>
      <c r="Y65" s="30"/>
      <c r="Z65" s="30"/>
      <c r="AA65" s="32" t="inlineStr">
        <is>
          <t xml:space="preserve">Surplus Lines</t>
        </is>
      </c>
      <c r="AB65" s="35">
        <v>3964.91</v>
      </c>
      <c r="AC65" s="37">
        <v>0</v>
      </c>
      <c r="AD65" s="38">
        <f>IF(ISNUMBER($AB65),$AB65*(1+N($AC65)),"")</f>
      </c>
      <c r="AE65" s="35">
        <v>350</v>
      </c>
      <c r="AF65" s="35">
        <v>0</v>
      </c>
      <c r="AG65" s="37"/>
      <c r="AH65" s="39">
        <f>IF(ISNUMBER($AD65),($AD65+$AE65+$AF65)*$AG65,"")</f>
      </c>
      <c r="AI65" s="35"/>
      <c r="AJ65" s="38">
        <f>IF(ISNUMBER($AD65),SUM($AD65:$AH65),"")</f>
      </c>
      <c r="AK65" s="40">
        <f>IF(AND(ISNUMBER($AB65),ISNUMBER($AD65)),IF($AB65&gt;0,$AD65/$AB65,""),"")</f>
      </c>
      <c r="AL65" s="32" t="inlineStr">
        <is>
          <t xml:space="preserve">At technical</t>
        </is>
      </c>
      <c r="AM65" s="41">
        <f>IF(ISNUMBER($AD65),Header!$I$3,"")</f>
      </c>
      <c r="AN65" s="39">
        <f>IF(ISNUMBER($AD65),$AO65+$AP65,"")</f>
      </c>
      <c r="AO65" s="39">
        <f>IF(ISNUMBER($AD65),ROUND($AD65*Header!$K$3,2),"")</f>
      </c>
      <c r="AP65" s="39">
        <f>IF(ISNUMBER($AD65),ROUND($AD65*Header!$M$3,2),"")</f>
      </c>
      <c r="AQ65" s="38">
        <f>IF(ISNUMBER($AD65),ROUND($AD65,2)-$AO65-$AP65,"")</f>
      </c>
      <c r="AR65" s="39">
        <f>IF(ISNUMBER($AD65),IF(Header!$D$34="","?",$AD65*Header!$D$34),"")</f>
      </c>
      <c r="AS65" s="39">
        <f>IF(ISNUMBER($AB65),IF(Header!$D$34="","?",$AB65*Header!$D$34),"")</f>
      </c>
      <c r="AT65" s="42">
        <f>IF(AND(ISNUMBER($AB65),$M65&gt;0),$AB65/$M65*100,"")</f>
      </c>
      <c r="AU65" s="42">
        <f>IF(AND(ISNUMBER($AD65),$M65&gt;0),$AD65/$M65*100,"")</f>
      </c>
      <c r="AV65" s="40">
        <f>IF(AND(ISNUMBER($AB65),ISNUMBER($AD65),ABS($AB65)&gt;0),$AD65/$AB65,"")</f>
      </c>
      <c r="AW65" s="39">
        <f>IF(ISNUMBER($AD65),MAX(0,(1-0.55-Header!$O$3)*Header!$Q$3*$AQ65),"")</f>
      </c>
      <c r="AX65" s="43">
        <f>IF($A65="","",IF(TRIM(IF($A65="","Missing certificate ref. ","") &amp; IF($C65="","Missing effective date. ","") &amp; IF($D65="","Missing binding status. ","") &amp; IF($E65="","Missing movement type. ","") &amp; IF($I65="","Missing make. ","") &amp; IF($L65="","Missing vehicle class. ","") &amp; IF($M65="","Missing agreed value. ","") &amp; IF($N65="","Missing policy type. ","") &amp; IF($Q65="","Missing garaging state. ","") &amp; IF($R65="","Missing garaging ZIP. ","") &amp; IF($S65="","Missing cat zone. ","") &amp; IF($V65="","Missing valuation basis. ","") &amp; IF($W65="","Missing PD deductible. ","") &amp; IF($X65="","Missing liability limit. ","") &amp; IF($AB65="","Missing technical premium. ","") &amp; IF($AF65="","Missing surplus lines tax %. ",""))="","PASS","FAIL: "&amp;TRIM(IF($A65="","Missing certificate ref. ","") &amp; IF($C65="","Missing effective date. ","") &amp; IF($D65="","Missing binding status. ","") &amp; IF($E65="","Missing movement type. ","") &amp; IF($I65="","Missing make. ","") &amp; IF($L65="","Missing vehicle class. ","") &amp; IF($M65="","Missing agreed value. ","") &amp; IF($N65="","Missing policy type. ","") &amp; IF($Q65="","Missing garaging state. ","") &amp; IF($R65="","Missing garaging ZIP. ","") &amp; IF($S65="","Missing cat zone. ","") &amp; IF($V65="","Missing valuation basis. ","") &amp; IF($W65="","Missing PD deductible. ","") &amp; IF($X65="","Missing liability limit. ","") &amp; IF($AB65="","Missing technical premium. ","") &amp; IF($AF65="","Missing surplus lines tax %. ",""))))</f>
      </c>
      <c r="AY65" s="44">
        <f>IF($M65="","",IF(ISNUMBER($M65),IF($M65&gt;=Header!$C$18,"YES — refer","No"),""))</f>
      </c>
      <c r="AZ65" s="44">
        <f>IF($AD65="","",IF(ISNUMBER($AD65),IF($AD65&lt;Header!$C$20,"BELOW MIN PREMIUM","OK"),""))</f>
      </c>
      <c r="BA65" s="32" t="inlineStr">
        <is>
          <t xml:space="preserve">Yes</t>
        </is>
      </c>
      <c r="BB65" s="32" t="inlineStr">
        <is>
          <t xml:space="preserve">Yes</t>
        </is>
      </c>
      <c r="BC65" s="30" t="inlineStr">
        <is>
          <t xml:space="preserve">Synthetic demo data</t>
        </is>
      </c>
      <c r="BE65" s="45">
        <f>IF(OR($A65="",$L65="",$H65=""),"",IF(AND(LEFT($L65,2)="06",$H65&gt;1945),"FAIL - pre-war class, year "&amp;$H65,IF(AND(LEFT($L65,2)="07",OR($H65&lt;1946,$H65&gt;1972)),"FAIL - 1946-72 class, year "&amp;$H65,IF(AND(LEFT($L65,2)="08",OR($H65&lt;1973,$H65&gt;1999)),"FAIL - 1973-99 class, year "&amp;$H65,IF(AND(LEFT($L65,2)="09",OR($H65&lt;2000,$H65&gt;2010)),"FAIL - 2000-10 class, year "&amp;$H65,"OK")))))</f>
      </c>
      <c r="BF65" s="45">
        <f>IF($AD65="","",IF(ROUND($AO65+$AP65+$AQ65-$AD65,2)=0,"OK","FAIL - out by "&amp;TEXT($AO65+$AP65+$AQ65-$AD65,"$0.00")))</f>
      </c>
    </row>
    <row r="66" spans="1:58" ht="18.75" customHeight="1" x14ac:dyDescent="0.25">
      <c r="A66" s="46" t="inlineStr">
        <is>
          <t xml:space="preserve">CANON-202511-002246</t>
        </is>
      </c>
      <c r="B66" s="46" t="inlineStr">
        <is>
          <t xml:space="preserve">Priya Kingsford</t>
        </is>
      </c>
      <c r="C66" s="47">
        <v>45974</v>
      </c>
      <c r="D66" s="48" t="inlineStr">
        <is>
          <t xml:space="preserve">Bound - within authority</t>
        </is>
      </c>
      <c r="E66" s="48" t="inlineStr">
        <is>
          <t xml:space="preserve">New business</t>
        </is>
      </c>
      <c r="F66" s="46" t="inlineStr">
        <is>
          <t xml:space="preserve">B1234EXOTIC26</t>
        </is>
      </c>
      <c r="G66" s="33">
        <f>IF($A66="","",IF($C66="","",YEAR($C66)))</f>
      </c>
      <c r="H66" s="49">
        <v>1978</v>
      </c>
      <c r="I66" s="46" t="inlineStr">
        <is>
          <t xml:space="preserve">Mercedes-Benz</t>
        </is>
      </c>
      <c r="J66" s="46" t="inlineStr">
        <is>
          <t xml:space="preserve">AMG GT</t>
        </is>
      </c>
      <c r="K66" s="46" t="inlineStr">
        <is>
          <t xml:space="preserve">XFKUT5EF91LPS5PW6</t>
        </is>
      </c>
      <c r="L66" s="48" t="inlineStr">
        <is>
          <t xml:space="preserve">02 - Sports / GT</t>
        </is>
      </c>
      <c r="M66" s="50">
        <v>540000</v>
      </c>
      <c r="N66" s="48" t="inlineStr">
        <is>
          <t xml:space="preserve">Personal</t>
        </is>
      </c>
      <c r="O66" s="46" t="inlineStr">
        <is>
          <t xml:space="preserve">Personal - regular use</t>
        </is>
      </c>
      <c r="P66" s="46" t="inlineStr">
        <is>
          <t xml:space="preserve">1,000 - 2,500</t>
        </is>
      </c>
      <c r="Q66" s="46" t="inlineStr">
        <is>
          <t xml:space="preserve">Delaware</t>
        </is>
      </c>
      <c r="R66" s="46" t="inlineStr">
        <is>
          <t xml:space="preserve">19801</t>
        </is>
      </c>
      <c r="S66" s="48" t="inlineStr">
        <is>
          <t xml:space="preserve">Tier 3 - Coastal wind (25-100 miles)</t>
        </is>
      </c>
      <c r="T66" s="36">
        <f>IF($A66="","",IF($S66="","",IFERROR(INDEX('[1]natural catastrophe'!$D$6:$D$17,MATCH($S66,'[1]natural catastrophe'!$B$6:$B$17,0)),"?")))</f>
      </c>
      <c r="U66" s="46" t="inlineStr">
        <is>
          <t xml:space="preserve">2% of agreed value, minimum $10,000</t>
        </is>
      </c>
      <c r="V66" s="48" t="inlineStr">
        <is>
          <t xml:space="preserve">Agreed Value</t>
        </is>
      </c>
      <c r="W66" s="46" t="inlineStr">
        <is>
          <t xml:space="preserve">$1,000</t>
        </is>
      </c>
      <c r="X66" s="48" t="inlineStr">
        <is>
          <t xml:space="preserve">$1,000,000 CSL</t>
        </is>
      </c>
      <c r="Y66" s="46"/>
      <c r="Z66" s="46"/>
      <c r="AA66" s="48" t="inlineStr">
        <is>
          <t xml:space="preserve">Surplus Lines</t>
        </is>
      </c>
      <c r="AB66" s="50">
        <v>7611.07</v>
      </c>
      <c r="AC66" s="51">
        <v>0</v>
      </c>
      <c r="AD66" s="38">
        <f>IF(ISNUMBER($AB66),$AB66*(1+N($AC66)),"")</f>
      </c>
      <c r="AE66" s="50">
        <v>350</v>
      </c>
      <c r="AF66" s="50">
        <v>0</v>
      </c>
      <c r="AG66" s="51"/>
      <c r="AH66" s="39">
        <f>IF(ISNUMBER($AD66),($AD66+$AE66+$AF66)*$AG66,"")</f>
      </c>
      <c r="AI66" s="50"/>
      <c r="AJ66" s="38">
        <f>IF(ISNUMBER($AD66),SUM($AD66:$AH66),"")</f>
      </c>
      <c r="AK66" s="40">
        <f>IF(AND(ISNUMBER($AB66),ISNUMBER($AD66)),IF($AB66&gt;0,$AD66/$AB66,""),"")</f>
      </c>
      <c r="AL66" s="48" t="inlineStr">
        <is>
          <t xml:space="preserve">At technical</t>
        </is>
      </c>
      <c r="AM66" s="41">
        <f>IF(ISNUMBER($AD66),Header!$I$3,"")</f>
      </c>
      <c r="AN66" s="39">
        <f>IF(ISNUMBER($AD66),$AO66+$AP66,"")</f>
      </c>
      <c r="AO66" s="39">
        <f>IF(ISNUMBER($AD66),ROUND($AD66*Header!$K$3,2),"")</f>
      </c>
      <c r="AP66" s="39">
        <f>IF(ISNUMBER($AD66),ROUND($AD66*Header!$M$3,2),"")</f>
      </c>
      <c r="AQ66" s="38">
        <f>IF(ISNUMBER($AD66),ROUND($AD66,2)-$AO66-$AP66,"")</f>
      </c>
      <c r="AR66" s="39">
        <f>IF(ISNUMBER($AD66),IF(Header!$D$34="","?",$AD66*Header!$D$34),"")</f>
      </c>
      <c r="AS66" s="39">
        <f>IF(ISNUMBER($AB66),IF(Header!$D$34="","?",$AB66*Header!$D$34),"")</f>
      </c>
      <c r="AT66" s="42">
        <f>IF(AND(ISNUMBER($AB66),$M66&gt;0),$AB66/$M66*100,"")</f>
      </c>
      <c r="AU66" s="42">
        <f>IF(AND(ISNUMBER($AD66),$M66&gt;0),$AD66/$M66*100,"")</f>
      </c>
      <c r="AV66" s="40">
        <f>IF(AND(ISNUMBER($AB66),ISNUMBER($AD66),ABS($AB66)&gt;0),$AD66/$AB66,"")</f>
      </c>
      <c r="AW66" s="39">
        <f>IF(ISNUMBER($AD66),MAX(0,(1-0.55-Header!$O$3)*Header!$Q$3*$AQ66),"")</f>
      </c>
      <c r="AX66" s="43">
        <f>IF($A66="","",IF(TRIM(IF($A66="","Missing certificate ref. ","") &amp; IF($C66="","Missing effective date. ","") &amp; IF($D66="","Missing binding status. ","") &amp; IF($E66="","Missing movement type. ","") &amp; IF($I66="","Missing make. ","") &amp; IF($L66="","Missing vehicle class. ","") &amp; IF($M66="","Missing agreed value. ","") &amp; IF($N66="","Missing policy type. ","") &amp; IF($Q66="","Missing garaging state. ","") &amp; IF($R66="","Missing garaging ZIP. ","") &amp; IF($S66="","Missing cat zone. ","") &amp; IF($V66="","Missing valuation basis. ","") &amp; IF($W66="","Missing PD deductible. ","") &amp; IF($X66="","Missing liability limit. ","") &amp; IF($AB66="","Missing technical premium. ","") &amp; IF($AF66="","Missing surplus lines tax %. ",""))="","PASS","FAIL: "&amp;TRIM(IF($A66="","Missing certificate ref. ","") &amp; IF($C66="","Missing effective date. ","") &amp; IF($D66="","Missing binding status. ","") &amp; IF($E66="","Missing movement type. ","") &amp; IF($I66="","Missing make. ","") &amp; IF($L66="","Missing vehicle class. ","") &amp; IF($M66="","Missing agreed value. ","") &amp; IF($N66="","Missing policy type. ","") &amp; IF($Q66="","Missing garaging state. ","") &amp; IF($R66="","Missing garaging ZIP. ","") &amp; IF($S66="","Missing cat zone. ","") &amp; IF($V66="","Missing valuation basis. ","") &amp; IF($W66="","Missing PD deductible. ","") &amp; IF($X66="","Missing liability limit. ","") &amp; IF($AB66="","Missing technical premium. ","") &amp; IF($AF66="","Missing surplus lines tax %. ",""))))</f>
      </c>
      <c r="AY66" s="44">
        <f>IF($M66="","",IF(ISNUMBER($M66),IF($M66&gt;=Header!$C$18,"YES — refer","No"),""))</f>
      </c>
      <c r="AZ66" s="44">
        <f>IF($AD66="","",IF(ISNUMBER($AD66),IF($AD66&lt;Header!$C$20,"BELOW MIN PREMIUM","OK"),""))</f>
      </c>
      <c r="BA66" s="48" t="inlineStr">
        <is>
          <t xml:space="preserve">Yes</t>
        </is>
      </c>
      <c r="BB66" s="48" t="inlineStr">
        <is>
          <t xml:space="preserve">Yes</t>
        </is>
      </c>
      <c r="BC66" s="46" t="inlineStr">
        <is>
          <t xml:space="preserve">Synthetic demo data</t>
        </is>
      </c>
      <c r="BE66" s="45">
        <f>IF(OR($A66="",$L66="",$H66=""),"",IF(AND(LEFT($L66,2)="06",$H66&gt;1945),"FAIL - pre-war class, year "&amp;$H66,IF(AND(LEFT($L66,2)="07",OR($H66&lt;1946,$H66&gt;1972)),"FAIL - 1946-72 class, year "&amp;$H66,IF(AND(LEFT($L66,2)="08",OR($H66&lt;1973,$H66&gt;1999)),"FAIL - 1973-99 class, year "&amp;$H66,IF(AND(LEFT($L66,2)="09",OR($H66&lt;2000,$H66&gt;2010)),"FAIL - 2000-10 class, year "&amp;$H66,"OK")))))</f>
      </c>
      <c r="BF66" s="45">
        <f>IF($AD66="","",IF(ROUND($AO66+$AP66+$AQ66-$AD66,2)=0,"OK","FAIL - out by "&amp;TEXT($AO66+$AP66+$AQ66-$AD66,"$0.00")))</f>
      </c>
    </row>
    <row r="67" spans="1:58" ht="18.75" customHeight="1" x14ac:dyDescent="0.25">
      <c r="A67" s="30" t="inlineStr">
        <is>
          <t xml:space="preserve">CANON-202511-002248</t>
        </is>
      </c>
      <c r="B67" s="30" t="inlineStr">
        <is>
          <t xml:space="preserve">Cassius Ashcombe</t>
        </is>
      </c>
      <c r="C67" s="31">
        <v>45967</v>
      </c>
      <c r="D67" s="32" t="inlineStr">
        <is>
          <t xml:space="preserve">Bound - within authority</t>
        </is>
      </c>
      <c r="E67" s="32" t="inlineStr">
        <is>
          <t xml:space="preserve">New business</t>
        </is>
      </c>
      <c r="F67" s="30" t="inlineStr">
        <is>
          <t xml:space="preserve">B1234EXOTIC26</t>
        </is>
      </c>
      <c r="G67" s="33">
        <f>IF($A67="","",IF($C67="","",YEAR($C67)))</f>
      </c>
      <c r="H67" s="34">
        <v>2022</v>
      </c>
      <c r="I67" s="30" t="inlineStr">
        <is>
          <t xml:space="preserve">Lamborghini</t>
        </is>
      </c>
      <c r="J67" s="30" t="inlineStr">
        <is>
          <t xml:space="preserve">Huracan EVO</t>
        </is>
      </c>
      <c r="K67" s="30" t="inlineStr">
        <is>
          <t xml:space="preserve">R4JMDXFDCUER9XNLD</t>
        </is>
      </c>
      <c r="L67" s="32" t="inlineStr">
        <is>
          <t xml:space="preserve">03 - Supercar</t>
        </is>
      </c>
      <c r="M67" s="35">
        <v>720000</v>
      </c>
      <c r="N67" s="32" t="inlineStr">
        <is>
          <t xml:space="preserve">Personal</t>
        </is>
      </c>
      <c r="O67" s="30" t="inlineStr">
        <is>
          <t xml:space="preserve">Personal - regular use</t>
        </is>
      </c>
      <c r="P67" s="30" t="inlineStr">
        <is>
          <t xml:space="preserve">1,000 - 2,500</t>
        </is>
      </c>
      <c r="Q67" s="30" t="inlineStr">
        <is>
          <t xml:space="preserve">Texas</t>
        </is>
      </c>
      <c r="R67" s="30" t="inlineStr">
        <is>
          <t xml:space="preserve">75201</t>
        </is>
      </c>
      <c r="S67" s="32" t="inlineStr">
        <is>
          <t xml:space="preserve">Tier 2 - Coastal wind (1-25 miles)</t>
        </is>
      </c>
      <c r="T67" s="36">
        <f>IF($A67="","",IF($S67="","",IFERROR(INDEX('[1]natural catastrophe'!$D$6:$D$17,MATCH($S67,'[1]natural catastrophe'!$B$6:$B$17,0)),"?")))</f>
      </c>
      <c r="U67" s="30" t="inlineStr">
        <is>
          <t xml:space="preserve">2% of agreed value, minimum $10,000</t>
        </is>
      </c>
      <c r="V67" s="32" t="inlineStr">
        <is>
          <t xml:space="preserve">Agreed Value</t>
        </is>
      </c>
      <c r="W67" s="30" t="inlineStr">
        <is>
          <t xml:space="preserve">$1,000</t>
        </is>
      </c>
      <c r="X67" s="32" t="inlineStr">
        <is>
          <t xml:space="preserve">$1,000,000 CSL</t>
        </is>
      </c>
      <c r="Y67" s="30"/>
      <c r="Z67" s="30"/>
      <c r="AA67" s="32" t="inlineStr">
        <is>
          <t xml:space="preserve">Surplus Lines</t>
        </is>
      </c>
      <c r="AB67" s="35">
        <v>13645.28</v>
      </c>
      <c r="AC67" s="37">
        <v>0</v>
      </c>
      <c r="AD67" s="38">
        <f>IF(ISNUMBER($AB67),$AB67*(1+N($AC67)),"")</f>
      </c>
      <c r="AE67" s="35">
        <v>350</v>
      </c>
      <c r="AF67" s="35">
        <v>0</v>
      </c>
      <c r="AG67" s="37"/>
      <c r="AH67" s="39">
        <f>IF(ISNUMBER($AD67),($AD67+$AE67+$AF67)*$AG67,"")</f>
      </c>
      <c r="AI67" s="35"/>
      <c r="AJ67" s="38">
        <f>IF(ISNUMBER($AD67),SUM($AD67:$AH67),"")</f>
      </c>
      <c r="AK67" s="40">
        <f>IF(AND(ISNUMBER($AB67),ISNUMBER($AD67)),IF($AB67&gt;0,$AD67/$AB67,""),"")</f>
      </c>
      <c r="AL67" s="32" t="inlineStr">
        <is>
          <t xml:space="preserve">At technical</t>
        </is>
      </c>
      <c r="AM67" s="41">
        <f>IF(ISNUMBER($AD67),Header!$I$3,"")</f>
      </c>
      <c r="AN67" s="39">
        <f>IF(ISNUMBER($AD67),$AO67+$AP67,"")</f>
      </c>
      <c r="AO67" s="39">
        <f>IF(ISNUMBER($AD67),ROUND($AD67*Header!$K$3,2),"")</f>
      </c>
      <c r="AP67" s="39">
        <f>IF(ISNUMBER($AD67),ROUND($AD67*Header!$M$3,2),"")</f>
      </c>
      <c r="AQ67" s="38">
        <f>IF(ISNUMBER($AD67),ROUND($AD67,2)-$AO67-$AP67,"")</f>
      </c>
      <c r="AR67" s="39">
        <f>IF(ISNUMBER($AD67),IF(Header!$D$34="","?",$AD67*Header!$D$34),"")</f>
      </c>
      <c r="AS67" s="39">
        <f>IF(ISNUMBER($AB67),IF(Header!$D$34="","?",$AB67*Header!$D$34),"")</f>
      </c>
      <c r="AT67" s="42">
        <f>IF(AND(ISNUMBER($AB67),$M67&gt;0),$AB67/$M67*100,"")</f>
      </c>
      <c r="AU67" s="42">
        <f>IF(AND(ISNUMBER($AD67),$M67&gt;0),$AD67/$M67*100,"")</f>
      </c>
      <c r="AV67" s="40">
        <f>IF(AND(ISNUMBER($AB67),ISNUMBER($AD67),ABS($AB67)&gt;0),$AD67/$AB67,"")</f>
      </c>
      <c r="AW67" s="39">
        <f>IF(ISNUMBER($AD67),MAX(0,(1-0.55-Header!$O$3)*Header!$Q$3*$AQ67),"")</f>
      </c>
      <c r="AX67" s="43">
        <f>IF($A67="","",IF(TRIM(IF($A67="","Missing certificate ref. ","") &amp; IF($C67="","Missing effective date. ","") &amp; IF($D67="","Missing binding status. ","") &amp; IF($E67="","Missing movement type. ","") &amp; IF($I67="","Missing make. ","") &amp; IF($L67="","Missing vehicle class. ","") &amp; IF($M67="","Missing agreed value. ","") &amp; IF($N67="","Missing policy type. ","") &amp; IF($Q67="","Missing garaging state. ","") &amp; IF($R67="","Missing garaging ZIP. ","") &amp; IF($S67="","Missing cat zone. ","") &amp; IF($V67="","Missing valuation basis. ","") &amp; IF($W67="","Missing PD deductible. ","") &amp; IF($X67="","Missing liability limit. ","") &amp; IF($AB67="","Missing technical premium. ","") &amp; IF($AF67="","Missing surplus lines tax %. ",""))="","PASS","FAIL: "&amp;TRIM(IF($A67="","Missing certificate ref. ","") &amp; IF($C67="","Missing effective date. ","") &amp; IF($D67="","Missing binding status. ","") &amp; IF($E67="","Missing movement type. ","") &amp; IF($I67="","Missing make. ","") &amp; IF($L67="","Missing vehicle class. ","") &amp; IF($M67="","Missing agreed value. ","") &amp; IF($N67="","Missing policy type. ","") &amp; IF($Q67="","Missing garaging state. ","") &amp; IF($R67="","Missing garaging ZIP. ","") &amp; IF($S67="","Missing cat zone. ","") &amp; IF($V67="","Missing valuation basis. ","") &amp; IF($W67="","Missing PD deductible. ","") &amp; IF($X67="","Missing liability limit. ","") &amp; IF($AB67="","Missing technical premium. ","") &amp; IF($AF67="","Missing surplus lines tax %. ",""))))</f>
      </c>
      <c r="AY67" s="44">
        <f>IF($M67="","",IF(ISNUMBER($M67),IF($M67&gt;=Header!$C$18,"YES — refer","No"),""))</f>
      </c>
      <c r="AZ67" s="44">
        <f>IF($AD67="","",IF(ISNUMBER($AD67),IF($AD67&lt;Header!$C$20,"BELOW MIN PREMIUM","OK"),""))</f>
      </c>
      <c r="BA67" s="32" t="inlineStr">
        <is>
          <t xml:space="preserve">Yes</t>
        </is>
      </c>
      <c r="BB67" s="32" t="inlineStr">
        <is>
          <t xml:space="preserve">Yes</t>
        </is>
      </c>
      <c r="BC67" s="30" t="inlineStr">
        <is>
          <t xml:space="preserve">Synthetic demo data</t>
        </is>
      </c>
      <c r="BE67" s="45">
        <f>IF(OR($A67="",$L67="",$H67=""),"",IF(AND(LEFT($L67,2)="06",$H67&gt;1945),"FAIL - pre-war class, year "&amp;$H67,IF(AND(LEFT($L67,2)="07",OR($H67&lt;1946,$H67&gt;1972)),"FAIL - 1946-72 class, year "&amp;$H67,IF(AND(LEFT($L67,2)="08",OR($H67&lt;1973,$H67&gt;1999)),"FAIL - 1973-99 class, year "&amp;$H67,IF(AND(LEFT($L67,2)="09",OR($H67&lt;2000,$H67&gt;2010)),"FAIL - 2000-10 class, year "&amp;$H67,"OK")))))</f>
      </c>
      <c r="BF67" s="45">
        <f>IF($AD67="","",IF(ROUND($AO67+$AP67+$AQ67-$AD67,2)=0,"OK","FAIL - out by "&amp;TEXT($AO67+$AP67+$AQ67-$AD67,"$0.00")))</f>
      </c>
    </row>
    <row r="68" spans="1:58" ht="18.75" customHeight="1" x14ac:dyDescent="0.25">
      <c r="A68" s="46" t="inlineStr">
        <is>
          <t xml:space="preserve">CANON-202511-002249</t>
        </is>
      </c>
      <c r="B68" s="46" t="inlineStr">
        <is>
          <t xml:space="preserve">Sunniva Thistlewood</t>
        </is>
      </c>
      <c r="C68" s="47">
        <v>45986</v>
      </c>
      <c r="D68" s="48" t="inlineStr">
        <is>
          <t xml:space="preserve">Bound - within authority</t>
        </is>
      </c>
      <c r="E68" s="48" t="inlineStr">
        <is>
          <t xml:space="preserve">New business</t>
        </is>
      </c>
      <c r="F68" s="46" t="inlineStr">
        <is>
          <t xml:space="preserve">B1234EXOTIC26</t>
        </is>
      </c>
      <c r="G68" s="33">
        <f>IF($A68="","",IF($C68="","",YEAR($C68)))</f>
      </c>
      <c r="H68" s="49">
        <v>2004</v>
      </c>
      <c r="I68" s="46" t="inlineStr">
        <is>
          <t xml:space="preserve">Porsche</t>
        </is>
      </c>
      <c r="J68" s="46" t="inlineStr">
        <is>
          <t xml:space="preserve">911 Turbo S</t>
        </is>
      </c>
      <c r="K68" s="46" t="inlineStr">
        <is>
          <t xml:space="preserve">7DVHXSN53BYGCBVYG</t>
        </is>
      </c>
      <c r="L68" s="48" t="inlineStr">
        <is>
          <t xml:space="preserve">02 - Sports / GT</t>
        </is>
      </c>
      <c r="M68" s="50">
        <v>925000</v>
      </c>
      <c r="N68" s="48" t="inlineStr">
        <is>
          <t xml:space="preserve">Personal</t>
        </is>
      </c>
      <c r="O68" s="46" t="inlineStr">
        <is>
          <t xml:space="preserve">Personal - regular use</t>
        </is>
      </c>
      <c r="P68" s="46" t="inlineStr">
        <is>
          <t xml:space="preserve">Under 1,000</t>
        </is>
      </c>
      <c r="Q68" s="46" t="inlineStr">
        <is>
          <t xml:space="preserve">Nebraska</t>
        </is>
      </c>
      <c r="R68" s="46" t="inlineStr">
        <is>
          <t xml:space="preserve">68102</t>
        </is>
      </c>
      <c r="S68" s="48" t="inlineStr">
        <is>
          <t xml:space="preserve">Severe convective - hail alley (high)</t>
        </is>
      </c>
      <c r="T68" s="36">
        <f>IF($A68="","",IF($S68="","",IFERROR(INDEX('[1]natural catastrophe'!$D$6:$D$17,MATCH($S68,'[1]natural catastrophe'!$B$6:$B$17,0)),"?")))</f>
      </c>
      <c r="U68" s="46" t="inlineStr">
        <is>
          <t xml:space="preserve">$5,000</t>
        </is>
      </c>
      <c r="V68" s="48" t="inlineStr">
        <is>
          <t xml:space="preserve">Agreed Value</t>
        </is>
      </c>
      <c r="W68" s="46" t="inlineStr">
        <is>
          <t xml:space="preserve">$1,000</t>
        </is>
      </c>
      <c r="X68" s="48" t="inlineStr">
        <is>
          <t xml:space="preserve">$1,000,000 CSL</t>
        </is>
      </c>
      <c r="Y68" s="46"/>
      <c r="Z68" s="46"/>
      <c r="AA68" s="48" t="inlineStr">
        <is>
          <t xml:space="preserve">Surplus Lines</t>
        </is>
      </c>
      <c r="AB68" s="50">
        <v>13558.98</v>
      </c>
      <c r="AC68" s="51">
        <v>0</v>
      </c>
      <c r="AD68" s="38">
        <f>IF(ISNUMBER($AB68),$AB68*(1+N($AC68)),"")</f>
      </c>
      <c r="AE68" s="50">
        <v>350</v>
      </c>
      <c r="AF68" s="50">
        <v>0</v>
      </c>
      <c r="AG68" s="51"/>
      <c r="AH68" s="39">
        <f>IF(ISNUMBER($AD68),($AD68+$AE68+$AF68)*$AG68,"")</f>
      </c>
      <c r="AI68" s="50"/>
      <c r="AJ68" s="38">
        <f>IF(ISNUMBER($AD68),SUM($AD68:$AH68),"")</f>
      </c>
      <c r="AK68" s="40">
        <f>IF(AND(ISNUMBER($AB68),ISNUMBER($AD68)),IF($AB68&gt;0,$AD68/$AB68,""),"")</f>
      </c>
      <c r="AL68" s="48" t="inlineStr">
        <is>
          <t xml:space="preserve">At technical</t>
        </is>
      </c>
      <c r="AM68" s="41">
        <f>IF(ISNUMBER($AD68),Header!$I$3,"")</f>
      </c>
      <c r="AN68" s="39">
        <f>IF(ISNUMBER($AD68),$AO68+$AP68,"")</f>
      </c>
      <c r="AO68" s="39">
        <f>IF(ISNUMBER($AD68),ROUND($AD68*Header!$K$3,2),"")</f>
      </c>
      <c r="AP68" s="39">
        <f>IF(ISNUMBER($AD68),ROUND($AD68*Header!$M$3,2),"")</f>
      </c>
      <c r="AQ68" s="38">
        <f>IF(ISNUMBER($AD68),ROUND($AD68,2)-$AO68-$AP68,"")</f>
      </c>
      <c r="AR68" s="39">
        <f>IF(ISNUMBER($AD68),IF(Header!$D$34="","?",$AD68*Header!$D$34),"")</f>
      </c>
      <c r="AS68" s="39">
        <f>IF(ISNUMBER($AB68),IF(Header!$D$34="","?",$AB68*Header!$D$34),"")</f>
      </c>
      <c r="AT68" s="42">
        <f>IF(AND(ISNUMBER($AB68),$M68&gt;0),$AB68/$M68*100,"")</f>
      </c>
      <c r="AU68" s="42">
        <f>IF(AND(ISNUMBER($AD68),$M68&gt;0),$AD68/$M68*100,"")</f>
      </c>
      <c r="AV68" s="40">
        <f>IF(AND(ISNUMBER($AB68),ISNUMBER($AD68),ABS($AB68)&gt;0),$AD68/$AB68,"")</f>
      </c>
      <c r="AW68" s="39">
        <f>IF(ISNUMBER($AD68),MAX(0,(1-0.55-Header!$O$3)*Header!$Q$3*$AQ68),"")</f>
      </c>
      <c r="AX68" s="43">
        <f>IF($A68="","",IF(TRIM(IF($A68="","Missing certificate ref. ","") &amp; IF($C68="","Missing effective date. ","") &amp; IF($D68="","Missing binding status. ","") &amp; IF($E68="","Missing movement type. ","") &amp; IF($I68="","Missing make. ","") &amp; IF($L68="","Missing vehicle class. ","") &amp; IF($M68="","Missing agreed value. ","") &amp; IF($N68="","Missing policy type. ","") &amp; IF($Q68="","Missing garaging state. ","") &amp; IF($R68="","Missing garaging ZIP. ","") &amp; IF($S68="","Missing cat zone. ","") &amp; IF($V68="","Missing valuation basis. ","") &amp; IF($W68="","Missing PD deductible. ","") &amp; IF($X68="","Missing liability limit. ","") &amp; IF($AB68="","Missing technical premium. ","") &amp; IF($AF68="","Missing surplus lines tax %. ",""))="","PASS","FAIL: "&amp;TRIM(IF($A68="","Missing certificate ref. ","") &amp; IF($C68="","Missing effective date. ","") &amp; IF($D68="","Missing binding status. ","") &amp; IF($E68="","Missing movement type. ","") &amp; IF($I68="","Missing make. ","") &amp; IF($L68="","Missing vehicle class. ","") &amp; IF($M68="","Missing agreed value. ","") &amp; IF($N68="","Missing policy type. ","") &amp; IF($Q68="","Missing garaging state. ","") &amp; IF($R68="","Missing garaging ZIP. ","") &amp; IF($S68="","Missing cat zone. ","") &amp; IF($V68="","Missing valuation basis. ","") &amp; IF($W68="","Missing PD deductible. ","") &amp; IF($X68="","Missing liability limit. ","") &amp; IF($AB68="","Missing technical premium. ","") &amp; IF($AF68="","Missing surplus lines tax %. ",""))))</f>
      </c>
      <c r="AY68" s="44">
        <f>IF($M68="","",IF(ISNUMBER($M68),IF($M68&gt;=Header!$C$18,"YES — refer","No"),""))</f>
      </c>
      <c r="AZ68" s="44">
        <f>IF($AD68="","",IF(ISNUMBER($AD68),IF($AD68&lt;Header!$C$20,"BELOW MIN PREMIUM","OK"),""))</f>
      </c>
      <c r="BA68" s="48" t="inlineStr">
        <is>
          <t xml:space="preserve">Yes</t>
        </is>
      </c>
      <c r="BB68" s="48" t="inlineStr">
        <is>
          <t xml:space="preserve">Yes</t>
        </is>
      </c>
      <c r="BC68" s="46" t="inlineStr">
        <is>
          <t xml:space="preserve">Synthetic demo data</t>
        </is>
      </c>
      <c r="BE68" s="45">
        <f>IF(OR($A68="",$L68="",$H68=""),"",IF(AND(LEFT($L68,2)="06",$H68&gt;1945),"FAIL - pre-war class, year "&amp;$H68,IF(AND(LEFT($L68,2)="07",OR($H68&lt;1946,$H68&gt;1972)),"FAIL - 1946-72 class, year "&amp;$H68,IF(AND(LEFT($L68,2)="08",OR($H68&lt;1973,$H68&gt;1999)),"FAIL - 1973-99 class, year "&amp;$H68,IF(AND(LEFT($L68,2)="09",OR($H68&lt;2000,$H68&gt;2010)),"FAIL - 2000-10 class, year "&amp;$H68,"OK")))))</f>
      </c>
      <c r="BF68" s="45">
        <f>IF($AD68="","",IF(ROUND($AO68+$AP68+$AQ68-$AD68,2)=0,"OK","FAIL - out by "&amp;TEXT($AO68+$AP68+$AQ68-$AD68,"$0.00")))</f>
      </c>
    </row>
    <row r="69" spans="1:58" ht="18.75" customHeight="1" x14ac:dyDescent="0.25">
      <c r="A69" s="30" t="inlineStr">
        <is>
          <t xml:space="preserve">CANON-202511-002251</t>
        </is>
      </c>
      <c r="B69" s="30" t="inlineStr">
        <is>
          <t xml:space="preserve">Aurelio Chattopadhyay</t>
        </is>
      </c>
      <c r="C69" s="31">
        <v>45965</v>
      </c>
      <c r="D69" s="32" t="inlineStr">
        <is>
          <t xml:space="preserve">Bound - within authority</t>
        </is>
      </c>
      <c r="E69" s="32" t="inlineStr">
        <is>
          <t xml:space="preserve">New business</t>
        </is>
      </c>
      <c r="F69" s="30" t="inlineStr">
        <is>
          <t xml:space="preserve">B1234EXOTIC26</t>
        </is>
      </c>
      <c r="G69" s="33">
        <f>IF($A69="","",IF($C69="","",YEAR($C69)))</f>
      </c>
      <c r="H69" s="34">
        <v>1983</v>
      </c>
      <c r="I69" s="30" t="inlineStr">
        <is>
          <t xml:space="preserve">Porsche</t>
        </is>
      </c>
      <c r="J69" s="30" t="inlineStr">
        <is>
          <t xml:space="preserve">911 Turbo S</t>
        </is>
      </c>
      <c r="K69" s="30" t="inlineStr">
        <is>
          <t xml:space="preserve">8W9TYVNHCP4WJWYEF</t>
        </is>
      </c>
      <c r="L69" s="32" t="inlineStr">
        <is>
          <t xml:space="preserve">02 - Sports / GT</t>
        </is>
      </c>
      <c r="M69" s="35">
        <v>895000</v>
      </c>
      <c r="N69" s="32" t="inlineStr">
        <is>
          <t xml:space="preserve">Personal</t>
        </is>
      </c>
      <c r="O69" s="30" t="inlineStr">
        <is>
          <t xml:space="preserve">Personal - regular use</t>
        </is>
      </c>
      <c r="P69" s="30" t="inlineStr">
        <is>
          <t xml:space="preserve">Under 1,000</t>
        </is>
      </c>
      <c r="Q69" s="30" t="inlineStr">
        <is>
          <t xml:space="preserve">California</t>
        </is>
      </c>
      <c r="R69" s="30" t="inlineStr">
        <is>
          <t xml:space="preserve">90012</t>
        </is>
      </c>
      <c r="S69" s="32" t="inlineStr">
        <is>
          <t xml:space="preserve">Earthquake - high (CA, Cascadia, New Madrid)</t>
        </is>
      </c>
      <c r="T69" s="36">
        <f>IF($A69="","",IF($S69="","",IFERROR(INDEX('[1]natural catastrophe'!$D$6:$D$17,MATCH($S69,'[1]natural catastrophe'!$B$6:$B$17,0)),"?")))</f>
      </c>
      <c r="U69" s="30" t="inlineStr">
        <is>
          <t xml:space="preserve">$5,000</t>
        </is>
      </c>
      <c r="V69" s="32" t="inlineStr">
        <is>
          <t xml:space="preserve">Agreed Value</t>
        </is>
      </c>
      <c r="W69" s="30" t="inlineStr">
        <is>
          <t xml:space="preserve">$1,000</t>
        </is>
      </c>
      <c r="X69" s="32" t="inlineStr">
        <is>
          <t xml:space="preserve">$1,000,000 CSL</t>
        </is>
      </c>
      <c r="Y69" s="30"/>
      <c r="Z69" s="30"/>
      <c r="AA69" s="32" t="inlineStr">
        <is>
          <t xml:space="preserve">Surplus Lines</t>
        </is>
      </c>
      <c r="AB69" s="35">
        <v>13623.82</v>
      </c>
      <c r="AC69" s="37">
        <v>0</v>
      </c>
      <c r="AD69" s="38">
        <f>IF(ISNUMBER($AB69),$AB69*(1+N($AC69)),"")</f>
      </c>
      <c r="AE69" s="35">
        <v>350</v>
      </c>
      <c r="AF69" s="35">
        <v>0</v>
      </c>
      <c r="AG69" s="37"/>
      <c r="AH69" s="39">
        <f>IF(ISNUMBER($AD69),($AD69+$AE69+$AF69)*$AG69,"")</f>
      </c>
      <c r="AI69" s="35"/>
      <c r="AJ69" s="38">
        <f>IF(ISNUMBER($AD69),SUM($AD69:$AH69),"")</f>
      </c>
      <c r="AK69" s="40">
        <f>IF(AND(ISNUMBER($AB69),ISNUMBER($AD69)),IF($AB69&gt;0,$AD69/$AB69,""),"")</f>
      </c>
      <c r="AL69" s="32" t="inlineStr">
        <is>
          <t xml:space="preserve">At technical</t>
        </is>
      </c>
      <c r="AM69" s="41">
        <f>IF(ISNUMBER($AD69),Header!$I$3,"")</f>
      </c>
      <c r="AN69" s="39">
        <f>IF(ISNUMBER($AD69),$AO69+$AP69,"")</f>
      </c>
      <c r="AO69" s="39">
        <f>IF(ISNUMBER($AD69),ROUND($AD69*Header!$K$3,2),"")</f>
      </c>
      <c r="AP69" s="39">
        <f>IF(ISNUMBER($AD69),ROUND($AD69*Header!$M$3,2),"")</f>
      </c>
      <c r="AQ69" s="38">
        <f>IF(ISNUMBER($AD69),ROUND($AD69,2)-$AO69-$AP69,"")</f>
      </c>
      <c r="AR69" s="39">
        <f>IF(ISNUMBER($AD69),IF(Header!$D$34="","?",$AD69*Header!$D$34),"")</f>
      </c>
      <c r="AS69" s="39">
        <f>IF(ISNUMBER($AB69),IF(Header!$D$34="","?",$AB69*Header!$D$34),"")</f>
      </c>
      <c r="AT69" s="42">
        <f>IF(AND(ISNUMBER($AB69),$M69&gt;0),$AB69/$M69*100,"")</f>
      </c>
      <c r="AU69" s="42">
        <f>IF(AND(ISNUMBER($AD69),$M69&gt;0),$AD69/$M69*100,"")</f>
      </c>
      <c r="AV69" s="40">
        <f>IF(AND(ISNUMBER($AB69),ISNUMBER($AD69),ABS($AB69)&gt;0),$AD69/$AB69,"")</f>
      </c>
      <c r="AW69" s="39">
        <f>IF(ISNUMBER($AD69),MAX(0,(1-0.55-Header!$O$3)*Header!$Q$3*$AQ69),"")</f>
      </c>
      <c r="AX69" s="43">
        <f>IF($A69="","",IF(TRIM(IF($A69="","Missing certificate ref. ","") &amp; IF($C69="","Missing effective date. ","") &amp; IF($D69="","Missing binding status. ","") &amp; IF($E69="","Missing movement type. ","") &amp; IF($I69="","Missing make. ","") &amp; IF($L69="","Missing vehicle class. ","") &amp; IF($M69="","Missing agreed value. ","") &amp; IF($N69="","Missing policy type. ","") &amp; IF($Q69="","Missing garaging state. ","") &amp; IF($R69="","Missing garaging ZIP. ","") &amp; IF($S69="","Missing cat zone. ","") &amp; IF($V69="","Missing valuation basis. ","") &amp; IF($W69="","Missing PD deductible. ","") &amp; IF($X69="","Missing liability limit. ","") &amp; IF($AB69="","Missing technical premium. ","") &amp; IF($AF69="","Missing surplus lines tax %. ",""))="","PASS","FAIL: "&amp;TRIM(IF($A69="","Missing certificate ref. ","") &amp; IF($C69="","Missing effective date. ","") &amp; IF($D69="","Missing binding status. ","") &amp; IF($E69="","Missing movement type. ","") &amp; IF($I69="","Missing make. ","") &amp; IF($L69="","Missing vehicle class. ","") &amp; IF($M69="","Missing agreed value. ","") &amp; IF($N69="","Missing policy type. ","") &amp; IF($Q69="","Missing garaging state. ","") &amp; IF($R69="","Missing garaging ZIP. ","") &amp; IF($S69="","Missing cat zone. ","") &amp; IF($V69="","Missing valuation basis. ","") &amp; IF($W69="","Missing PD deductible. ","") &amp; IF($X69="","Missing liability limit. ","") &amp; IF($AB69="","Missing technical premium. ","") &amp; IF($AF69="","Missing surplus lines tax %. ",""))))</f>
      </c>
      <c r="AY69" s="44">
        <f>IF($M69="","",IF(ISNUMBER($M69),IF($M69&gt;=Header!$C$18,"YES — refer","No"),""))</f>
      </c>
      <c r="AZ69" s="44">
        <f>IF($AD69="","",IF(ISNUMBER($AD69),IF($AD69&lt;Header!$C$20,"BELOW MIN PREMIUM","OK"),""))</f>
      </c>
      <c r="BA69" s="32" t="inlineStr">
        <is>
          <t xml:space="preserve">Yes</t>
        </is>
      </c>
      <c r="BB69" s="32" t="inlineStr">
        <is>
          <t xml:space="preserve">Yes</t>
        </is>
      </c>
      <c r="BC69" s="30" t="inlineStr">
        <is>
          <t xml:space="preserve">Synthetic demo data</t>
        </is>
      </c>
      <c r="BE69" s="45">
        <f>IF(OR($A69="",$L69="",$H69=""),"",IF(AND(LEFT($L69,2)="06",$H69&gt;1945),"FAIL - pre-war class, year "&amp;$H69,IF(AND(LEFT($L69,2)="07",OR($H69&lt;1946,$H69&gt;1972)),"FAIL - 1946-72 class, year "&amp;$H69,IF(AND(LEFT($L69,2)="08",OR($H69&lt;1973,$H69&gt;1999)),"FAIL - 1973-99 class, year "&amp;$H69,IF(AND(LEFT($L69,2)="09",OR($H69&lt;2000,$H69&gt;2010)),"FAIL - 2000-10 class, year "&amp;$H69,"OK")))))</f>
      </c>
      <c r="BF69" s="45">
        <f>IF($AD69="","",IF(ROUND($AO69+$AP69+$AQ69-$AD69,2)=0,"OK","FAIL - out by "&amp;TEXT($AO69+$AP69+$AQ69-$AD69,"$0.00")))</f>
      </c>
    </row>
    <row r="70" spans="1:58" ht="18.75" customHeight="1" x14ac:dyDescent="0.25">
      <c r="A70" s="46" t="inlineStr">
        <is>
          <t xml:space="preserve">CANON-202511-002252</t>
        </is>
      </c>
      <c r="B70" s="46" t="inlineStr">
        <is>
          <t xml:space="preserve">Fenwick Vandermeer</t>
        </is>
      </c>
      <c r="C70" s="47">
        <v>45990</v>
      </c>
      <c r="D70" s="48" t="inlineStr">
        <is>
          <t xml:space="preserve">Bound - within authority</t>
        </is>
      </c>
      <c r="E70" s="48" t="inlineStr">
        <is>
          <t xml:space="preserve">New business</t>
        </is>
      </c>
      <c r="F70" s="46" t="inlineStr">
        <is>
          <t xml:space="preserve">B1234EXOTIC26</t>
        </is>
      </c>
      <c r="G70" s="33">
        <f>IF($A70="","",IF($C70="","",YEAR($C70)))</f>
      </c>
      <c r="H70" s="49">
        <v>1995</v>
      </c>
      <c r="I70" s="46" t="inlineStr">
        <is>
          <t xml:space="preserve">Bentley</t>
        </is>
      </c>
      <c r="J70" s="46" t="inlineStr">
        <is>
          <t xml:space="preserve">4.5 Litre</t>
        </is>
      </c>
      <c r="K70" s="46" t="inlineStr">
        <is>
          <t xml:space="preserve">RXR6B4C86X223X22J</t>
        </is>
      </c>
      <c r="L70" s="48" t="inlineStr">
        <is>
          <t xml:space="preserve">08 - Modern Classic (1973-1999)</t>
        </is>
      </c>
      <c r="M70" s="50">
        <v>525000</v>
      </c>
      <c r="N70" s="48" t="inlineStr">
        <is>
          <t xml:space="preserve">Personal</t>
        </is>
      </c>
      <c r="O70" s="46" t="inlineStr">
        <is>
          <t xml:space="preserve">Personal - regular use</t>
        </is>
      </c>
      <c r="P70" s="46" t="inlineStr">
        <is>
          <t xml:space="preserve">1,000 - 2,500</t>
        </is>
      </c>
      <c r="Q70" s="46" t="inlineStr">
        <is>
          <t xml:space="preserve">Maine</t>
        </is>
      </c>
      <c r="R70" s="46" t="inlineStr">
        <is>
          <t xml:space="preserve">04101</t>
        </is>
      </c>
      <c r="S70" s="48" t="inlineStr">
        <is>
          <t xml:space="preserve">Tier 3 - Coastal wind (25-100 miles)</t>
        </is>
      </c>
      <c r="T70" s="36">
        <f>IF($A70="","",IF($S70="","",IFERROR(INDEX('[1]natural catastrophe'!$D$6:$D$17,MATCH($S70,'[1]natural catastrophe'!$B$6:$B$17,0)),"?")))</f>
      </c>
      <c r="U70" s="46" t="inlineStr">
        <is>
          <t xml:space="preserve">2% of agreed value, minimum $10,000</t>
        </is>
      </c>
      <c r="V70" s="48" t="inlineStr">
        <is>
          <t xml:space="preserve">Agreed Value</t>
        </is>
      </c>
      <c r="W70" s="46" t="inlineStr">
        <is>
          <t xml:space="preserve">$1,000</t>
        </is>
      </c>
      <c r="X70" s="48" t="inlineStr">
        <is>
          <t xml:space="preserve">$1,000,000 CSL</t>
        </is>
      </c>
      <c r="Y70" s="46"/>
      <c r="Z70" s="46"/>
      <c r="AA70" s="48" t="inlineStr">
        <is>
          <t xml:space="preserve">Surplus Lines</t>
        </is>
      </c>
      <c r="AB70" s="50">
        <v>3737.62</v>
      </c>
      <c r="AC70" s="51">
        <v>0</v>
      </c>
      <c r="AD70" s="38">
        <f>IF(ISNUMBER($AB70),$AB70*(1+N($AC70)),"")</f>
      </c>
      <c r="AE70" s="50">
        <v>350</v>
      </c>
      <c r="AF70" s="50">
        <v>0</v>
      </c>
      <c r="AG70" s="51"/>
      <c r="AH70" s="39">
        <f>IF(ISNUMBER($AD70),($AD70+$AE70+$AF70)*$AG70,"")</f>
      </c>
      <c r="AI70" s="50"/>
      <c r="AJ70" s="38">
        <f>IF(ISNUMBER($AD70),SUM($AD70:$AH70),"")</f>
      </c>
      <c r="AK70" s="40">
        <f>IF(AND(ISNUMBER($AB70),ISNUMBER($AD70)),IF($AB70&gt;0,$AD70/$AB70,""),"")</f>
      </c>
      <c r="AL70" s="48" t="inlineStr">
        <is>
          <t xml:space="preserve">At technical</t>
        </is>
      </c>
      <c r="AM70" s="41">
        <f>IF(ISNUMBER($AD70),Header!$I$3,"")</f>
      </c>
      <c r="AN70" s="39">
        <f>IF(ISNUMBER($AD70),$AO70+$AP70,"")</f>
      </c>
      <c r="AO70" s="39">
        <f>IF(ISNUMBER($AD70),ROUND($AD70*Header!$K$3,2),"")</f>
      </c>
      <c r="AP70" s="39">
        <f>IF(ISNUMBER($AD70),ROUND($AD70*Header!$M$3,2),"")</f>
      </c>
      <c r="AQ70" s="38">
        <f>IF(ISNUMBER($AD70),ROUND($AD70,2)-$AO70-$AP70,"")</f>
      </c>
      <c r="AR70" s="39">
        <f>IF(ISNUMBER($AD70),IF(Header!$D$34="","?",$AD70*Header!$D$34),"")</f>
      </c>
      <c r="AS70" s="39">
        <f>IF(ISNUMBER($AB70),IF(Header!$D$34="","?",$AB70*Header!$D$34),"")</f>
      </c>
      <c r="AT70" s="42">
        <f>IF(AND(ISNUMBER($AB70),$M70&gt;0),$AB70/$M70*100,"")</f>
      </c>
      <c r="AU70" s="42">
        <f>IF(AND(ISNUMBER($AD70),$M70&gt;0),$AD70/$M70*100,"")</f>
      </c>
      <c r="AV70" s="40">
        <f>IF(AND(ISNUMBER($AB70),ISNUMBER($AD70),ABS($AB70)&gt;0),$AD70/$AB70,"")</f>
      </c>
      <c r="AW70" s="39">
        <f>IF(ISNUMBER($AD70),MAX(0,(1-0.55-Header!$O$3)*Header!$Q$3*$AQ70),"")</f>
      </c>
      <c r="AX70" s="43">
        <f>IF($A70="","",IF(TRIM(IF($A70="","Missing certificate ref. ","") &amp; IF($C70="","Missing effective date. ","") &amp; IF($D70="","Missing binding status. ","") &amp; IF($E70="","Missing movement type. ","") &amp; IF($I70="","Missing make. ","") &amp; IF($L70="","Missing vehicle class. ","") &amp; IF($M70="","Missing agreed value. ","") &amp; IF($N70="","Missing policy type. ","") &amp; IF($Q70="","Missing garaging state. ","") &amp; IF($R70="","Missing garaging ZIP. ","") &amp; IF($S70="","Missing cat zone. ","") &amp; IF($V70="","Missing valuation basis. ","") &amp; IF($W70="","Missing PD deductible. ","") &amp; IF($X70="","Missing liability limit. ","") &amp; IF($AB70="","Missing technical premium. ","") &amp; IF($AF70="","Missing surplus lines tax %. ",""))="","PASS","FAIL: "&amp;TRIM(IF($A70="","Missing certificate ref. ","") &amp; IF($C70="","Missing effective date. ","") &amp; IF($D70="","Missing binding status. ","") &amp; IF($E70="","Missing movement type. ","") &amp; IF($I70="","Missing make. ","") &amp; IF($L70="","Missing vehicle class. ","") &amp; IF($M70="","Missing agreed value. ","") &amp; IF($N70="","Missing policy type. ","") &amp; IF($Q70="","Missing garaging state. ","") &amp; IF($R70="","Missing garaging ZIP. ","") &amp; IF($S70="","Missing cat zone. ","") &amp; IF($V70="","Missing valuation basis. ","") &amp; IF($W70="","Missing PD deductible. ","") &amp; IF($X70="","Missing liability limit. ","") &amp; IF($AB70="","Missing technical premium. ","") &amp; IF($AF70="","Missing surplus lines tax %. ",""))))</f>
      </c>
      <c r="AY70" s="44">
        <f>IF($M70="","",IF(ISNUMBER($M70),IF($M70&gt;=Header!$C$18,"YES — refer","No"),""))</f>
      </c>
      <c r="AZ70" s="44">
        <f>IF($AD70="","",IF(ISNUMBER($AD70),IF($AD70&lt;Header!$C$20,"BELOW MIN PREMIUM","OK"),""))</f>
      </c>
      <c r="BA70" s="48" t="inlineStr">
        <is>
          <t xml:space="preserve">Yes</t>
        </is>
      </c>
      <c r="BB70" s="48" t="inlineStr">
        <is>
          <t xml:space="preserve">Yes</t>
        </is>
      </c>
      <c r="BC70" s="46" t="inlineStr">
        <is>
          <t xml:space="preserve">Synthetic demo data</t>
        </is>
      </c>
      <c r="BE70" s="45">
        <f>IF(OR($A70="",$L70="",$H70=""),"",IF(AND(LEFT($L70,2)="06",$H70&gt;1945),"FAIL - pre-war class, year "&amp;$H70,IF(AND(LEFT($L70,2)="07",OR($H70&lt;1946,$H70&gt;1972)),"FAIL - 1946-72 class, year "&amp;$H70,IF(AND(LEFT($L70,2)="08",OR($H70&lt;1973,$H70&gt;1999)),"FAIL - 1973-99 class, year "&amp;$H70,IF(AND(LEFT($L70,2)="09",OR($H70&lt;2000,$H70&gt;2010)),"FAIL - 2000-10 class, year "&amp;$H70,"OK")))))</f>
      </c>
      <c r="BF70" s="45">
        <f>IF($AD70="","",IF(ROUND($AO70+$AP70+$AQ70-$AD70,2)=0,"OK","FAIL - out by "&amp;TEXT($AO70+$AP70+$AQ70-$AD70,"$0.00")))</f>
      </c>
    </row>
    <row r="71" spans="1:58" ht="18.75" customHeight="1" x14ac:dyDescent="0.25">
      <c r="A71" s="30" t="inlineStr">
        <is>
          <t xml:space="preserve">CANON-202511-002253</t>
        </is>
      </c>
      <c r="B71" s="30" t="inlineStr">
        <is>
          <t xml:space="preserve">Priya Kingsford</t>
        </is>
      </c>
      <c r="C71" s="31">
        <v>45985</v>
      </c>
      <c r="D71" s="32" t="inlineStr">
        <is>
          <t xml:space="preserve">Bound - within authority</t>
        </is>
      </c>
      <c r="E71" s="32" t="inlineStr">
        <is>
          <t xml:space="preserve">New business</t>
        </is>
      </c>
      <c r="F71" s="30" t="inlineStr">
        <is>
          <t xml:space="preserve">B1234EXOTIC26</t>
        </is>
      </c>
      <c r="G71" s="33">
        <f>IF($A71="","",IF($C71="","",YEAR($C71)))</f>
      </c>
      <c r="H71" s="34">
        <v>1967</v>
      </c>
      <c r="I71" s="30" t="inlineStr">
        <is>
          <t xml:space="preserve">Icon</t>
        </is>
      </c>
      <c r="J71" s="30" t="inlineStr">
        <is>
          <t xml:space="preserve">Derelict</t>
        </is>
      </c>
      <c r="K71" s="30" t="inlineStr">
        <is>
          <t xml:space="preserve">8DX9TJ2DE9Y7J1TCG</t>
        </is>
      </c>
      <c r="L71" s="32" t="inlineStr">
        <is>
          <t xml:space="preserve">11 - Restomod / Coachbuilt / Bespoke</t>
        </is>
      </c>
      <c r="M71" s="35">
        <v>560000</v>
      </c>
      <c r="N71" s="32" t="inlineStr">
        <is>
          <t xml:space="preserve">Personal</t>
        </is>
      </c>
      <c r="O71" s="30" t="inlineStr">
        <is>
          <t xml:space="preserve">Personal - regular use</t>
        </is>
      </c>
      <c r="P71" s="30" t="inlineStr">
        <is>
          <t xml:space="preserve">Under 1,000</t>
        </is>
      </c>
      <c r="Q71" s="30" t="inlineStr">
        <is>
          <t xml:space="preserve">Idaho</t>
        </is>
      </c>
      <c r="R71" s="30" t="inlineStr">
        <is>
          <t xml:space="preserve">83702</t>
        </is>
      </c>
      <c r="S71" s="32" t="inlineStr">
        <is>
          <t xml:space="preserve">Wildfire - WUI high hazard</t>
        </is>
      </c>
      <c r="T71" s="36">
        <f>IF($A71="","",IF($S71="","",IFERROR(INDEX('[1]natural catastrophe'!$D$6:$D$17,MATCH($S71,'[1]natural catastrophe'!$B$6:$B$17,0)),"?")))</f>
      </c>
      <c r="U71" s="30" t="inlineStr">
        <is>
          <t xml:space="preserve">$5,000</t>
        </is>
      </c>
      <c r="V71" s="32" t="inlineStr">
        <is>
          <t xml:space="preserve">Agreed Value</t>
        </is>
      </c>
      <c r="W71" s="30" t="inlineStr">
        <is>
          <t xml:space="preserve">$1,000</t>
        </is>
      </c>
      <c r="X71" s="32" t="inlineStr">
        <is>
          <t xml:space="preserve">$1,000,000 CSL</t>
        </is>
      </c>
      <c r="Y71" s="30"/>
      <c r="Z71" s="30"/>
      <c r="AA71" s="32" t="inlineStr">
        <is>
          <t xml:space="preserve">Surplus Lines</t>
        </is>
      </c>
      <c r="AB71" s="35">
        <v>7501.47</v>
      </c>
      <c r="AC71" s="37">
        <v>0</v>
      </c>
      <c r="AD71" s="38">
        <f>IF(ISNUMBER($AB71),$AB71*(1+N($AC71)),"")</f>
      </c>
      <c r="AE71" s="35">
        <v>350</v>
      </c>
      <c r="AF71" s="35">
        <v>0</v>
      </c>
      <c r="AG71" s="37"/>
      <c r="AH71" s="39">
        <f>IF(ISNUMBER($AD71),($AD71+$AE71+$AF71)*$AG71,"")</f>
      </c>
      <c r="AI71" s="35"/>
      <c r="AJ71" s="38">
        <f>IF(ISNUMBER($AD71),SUM($AD71:$AH71),"")</f>
      </c>
      <c r="AK71" s="40">
        <f>IF(AND(ISNUMBER($AB71),ISNUMBER($AD71)),IF($AB71&gt;0,$AD71/$AB71,""),"")</f>
      </c>
      <c r="AL71" s="32" t="inlineStr">
        <is>
          <t xml:space="preserve">At technical</t>
        </is>
      </c>
      <c r="AM71" s="41">
        <f>IF(ISNUMBER($AD71),Header!$I$3,"")</f>
      </c>
      <c r="AN71" s="39">
        <f>IF(ISNUMBER($AD71),$AO71+$AP71,"")</f>
      </c>
      <c r="AO71" s="39">
        <f>IF(ISNUMBER($AD71),ROUND($AD71*Header!$K$3,2),"")</f>
      </c>
      <c r="AP71" s="39">
        <f>IF(ISNUMBER($AD71),ROUND($AD71*Header!$M$3,2),"")</f>
      </c>
      <c r="AQ71" s="38">
        <f>IF(ISNUMBER($AD71),ROUND($AD71,2)-$AO71-$AP71,"")</f>
      </c>
      <c r="AR71" s="39">
        <f>IF(ISNUMBER($AD71),IF(Header!$D$34="","?",$AD71*Header!$D$34),"")</f>
      </c>
      <c r="AS71" s="39">
        <f>IF(ISNUMBER($AB71),IF(Header!$D$34="","?",$AB71*Header!$D$34),"")</f>
      </c>
      <c r="AT71" s="42">
        <f>IF(AND(ISNUMBER($AB71),$M71&gt;0),$AB71/$M71*100,"")</f>
      </c>
      <c r="AU71" s="42">
        <f>IF(AND(ISNUMBER($AD71),$M71&gt;0),$AD71/$M71*100,"")</f>
      </c>
      <c r="AV71" s="40">
        <f>IF(AND(ISNUMBER($AB71),ISNUMBER($AD71),ABS($AB71)&gt;0),$AD71/$AB71,"")</f>
      </c>
      <c r="AW71" s="39">
        <f>IF(ISNUMBER($AD71),MAX(0,(1-0.55-Header!$O$3)*Header!$Q$3*$AQ71),"")</f>
      </c>
      <c r="AX71" s="43">
        <f>IF($A71="","",IF(TRIM(IF($A71="","Missing certificate ref. ","") &amp; IF($C71="","Missing effective date. ","") &amp; IF($D71="","Missing binding status. ","") &amp; IF($E71="","Missing movement type. ","") &amp; IF($I71="","Missing make. ","") &amp; IF($L71="","Missing vehicle class. ","") &amp; IF($M71="","Missing agreed value. ","") &amp; IF($N71="","Missing policy type. ","") &amp; IF($Q71="","Missing garaging state. ","") &amp; IF($R71="","Missing garaging ZIP. ","") &amp; IF($S71="","Missing cat zone. ","") &amp; IF($V71="","Missing valuation basis. ","") &amp; IF($W71="","Missing PD deductible. ","") &amp; IF($X71="","Missing liability limit. ","") &amp; IF($AB71="","Missing technical premium. ","") &amp; IF($AF71="","Missing surplus lines tax %. ",""))="","PASS","FAIL: "&amp;TRIM(IF($A71="","Missing certificate ref. ","") &amp; IF($C71="","Missing effective date. ","") &amp; IF($D71="","Missing binding status. ","") &amp; IF($E71="","Missing movement type. ","") &amp; IF($I71="","Missing make. ","") &amp; IF($L71="","Missing vehicle class. ","") &amp; IF($M71="","Missing agreed value. ","") &amp; IF($N71="","Missing policy type. ","") &amp; IF($Q71="","Missing garaging state. ","") &amp; IF($R71="","Missing garaging ZIP. ","") &amp; IF($S71="","Missing cat zone. ","") &amp; IF($V71="","Missing valuation basis. ","") &amp; IF($W71="","Missing PD deductible. ","") &amp; IF($X71="","Missing liability limit. ","") &amp; IF($AB71="","Missing technical premium. ","") &amp; IF($AF71="","Missing surplus lines tax %. ",""))))</f>
      </c>
      <c r="AY71" s="44">
        <f>IF($M71="","",IF(ISNUMBER($M71),IF($M71&gt;=Header!$C$18,"YES — refer","No"),""))</f>
      </c>
      <c r="AZ71" s="44">
        <f>IF($AD71="","",IF(ISNUMBER($AD71),IF($AD71&lt;Header!$C$20,"BELOW MIN PREMIUM","OK"),""))</f>
      </c>
      <c r="BA71" s="32" t="inlineStr">
        <is>
          <t xml:space="preserve">Yes</t>
        </is>
      </c>
      <c r="BB71" s="32" t="inlineStr">
        <is>
          <t xml:space="preserve">Yes</t>
        </is>
      </c>
      <c r="BC71" s="30" t="inlineStr">
        <is>
          <t xml:space="preserve">Synthetic demo data</t>
        </is>
      </c>
      <c r="BE71" s="45">
        <f>IF(OR($A71="",$L71="",$H71=""),"",IF(AND(LEFT($L71,2)="06",$H71&gt;1945),"FAIL - pre-war class, year "&amp;$H71,IF(AND(LEFT($L71,2)="07",OR($H71&lt;1946,$H71&gt;1972)),"FAIL - 1946-72 class, year "&amp;$H71,IF(AND(LEFT($L71,2)="08",OR($H71&lt;1973,$H71&gt;1999)),"FAIL - 1973-99 class, year "&amp;$H71,IF(AND(LEFT($L71,2)="09",OR($H71&lt;2000,$H71&gt;2010)),"FAIL - 2000-10 class, year "&amp;$H71,"OK")))))</f>
      </c>
      <c r="BF71" s="45">
        <f>IF($AD71="","",IF(ROUND($AO71+$AP71+$AQ71-$AD71,2)=0,"OK","FAIL - out by "&amp;TEXT($AO71+$AP71+$AQ71-$AD71,"$0.00")))</f>
      </c>
    </row>
    <row r="72" spans="1:58" ht="18.75" customHeight="1" x14ac:dyDescent="0.25">
      <c r="A72" s="46" t="inlineStr">
        <is>
          <t xml:space="preserve">CANON-202511-002254</t>
        </is>
      </c>
      <c r="B72" s="46" t="inlineStr">
        <is>
          <t xml:space="preserve">Lorenzo Rourke</t>
        </is>
      </c>
      <c r="C72" s="47">
        <v>45972</v>
      </c>
      <c r="D72" s="48" t="inlineStr">
        <is>
          <t xml:space="preserve">Bound - within authority</t>
        </is>
      </c>
      <c r="E72" s="48" t="inlineStr">
        <is>
          <t xml:space="preserve">New business</t>
        </is>
      </c>
      <c r="F72" s="46" t="inlineStr">
        <is>
          <t xml:space="preserve">B1234EXOTIC26</t>
        </is>
      </c>
      <c r="G72" s="33">
        <f>IF($A72="","",IF($C72="","",YEAR($C72)))</f>
      </c>
      <c r="H72" s="49">
        <v>1992</v>
      </c>
      <c r="I72" s="46" t="inlineStr">
        <is>
          <t xml:space="preserve">Mercedes-Benz</t>
        </is>
      </c>
      <c r="J72" s="46" t="inlineStr">
        <is>
          <t xml:space="preserve">280SL Pagoda</t>
        </is>
      </c>
      <c r="K72" s="46" t="inlineStr">
        <is>
          <t xml:space="preserve">07XCBGH126VBF5GGE</t>
        </is>
      </c>
      <c r="L72" s="48" t="inlineStr">
        <is>
          <t xml:space="preserve">08 - Modern Classic (1973-1999)</t>
        </is>
      </c>
      <c r="M72" s="50">
        <v>730000</v>
      </c>
      <c r="N72" s="48" t="inlineStr">
        <is>
          <t xml:space="preserve">Personal</t>
        </is>
      </c>
      <c r="O72" s="46" t="inlineStr">
        <is>
          <t xml:space="preserve">Personal - regular use</t>
        </is>
      </c>
      <c r="P72" s="46" t="inlineStr">
        <is>
          <t xml:space="preserve">Under 1,000</t>
        </is>
      </c>
      <c r="Q72" s="46" t="inlineStr">
        <is>
          <t xml:space="preserve">Hawaii</t>
        </is>
      </c>
      <c r="R72" s="46" t="inlineStr">
        <is>
          <t xml:space="preserve">96813</t>
        </is>
      </c>
      <c r="S72" s="48" t="inlineStr">
        <is>
          <t xml:space="preserve">Earthquake - high (CA, Cascadia, New Madrid)</t>
        </is>
      </c>
      <c r="T72" s="36">
        <f>IF($A72="","",IF($S72="","",IFERROR(INDEX('[1]natural catastrophe'!$D$6:$D$17,MATCH($S72,'[1]natural catastrophe'!$B$6:$B$17,0)),"?")))</f>
      </c>
      <c r="U72" s="46" t="inlineStr">
        <is>
          <t xml:space="preserve">$5,000</t>
        </is>
      </c>
      <c r="V72" s="48" t="inlineStr">
        <is>
          <t xml:space="preserve">Agreed Value</t>
        </is>
      </c>
      <c r="W72" s="46" t="inlineStr">
        <is>
          <t xml:space="preserve">$1,000</t>
        </is>
      </c>
      <c r="X72" s="48" t="inlineStr">
        <is>
          <t xml:space="preserve">$1,000,000 CSL</t>
        </is>
      </c>
      <c r="Y72" s="46"/>
      <c r="Z72" s="46"/>
      <c r="AA72" s="48" t="inlineStr">
        <is>
          <t xml:space="preserve">Surplus Lines</t>
        </is>
      </c>
      <c r="AB72" s="50">
        <v>7078.86</v>
      </c>
      <c r="AC72" s="51">
        <v>0</v>
      </c>
      <c r="AD72" s="38">
        <f>IF(ISNUMBER($AB72),$AB72*(1+N($AC72)),"")</f>
      </c>
      <c r="AE72" s="50">
        <v>350</v>
      </c>
      <c r="AF72" s="50">
        <v>0</v>
      </c>
      <c r="AG72" s="51"/>
      <c r="AH72" s="39">
        <f>IF(ISNUMBER($AD72),($AD72+$AE72+$AF72)*$AG72,"")</f>
      </c>
      <c r="AI72" s="50"/>
      <c r="AJ72" s="38">
        <f>IF(ISNUMBER($AD72),SUM($AD72:$AH72),"")</f>
      </c>
      <c r="AK72" s="40">
        <f>IF(AND(ISNUMBER($AB72),ISNUMBER($AD72)),IF($AB72&gt;0,$AD72/$AB72,""),"")</f>
      </c>
      <c r="AL72" s="48" t="inlineStr">
        <is>
          <t xml:space="preserve">At technical</t>
        </is>
      </c>
      <c r="AM72" s="41">
        <f>IF(ISNUMBER($AD72),Header!$I$3,"")</f>
      </c>
      <c r="AN72" s="39">
        <f>IF(ISNUMBER($AD72),$AO72+$AP72,"")</f>
      </c>
      <c r="AO72" s="39">
        <f>IF(ISNUMBER($AD72),ROUND($AD72*Header!$K$3,2),"")</f>
      </c>
      <c r="AP72" s="39">
        <f>IF(ISNUMBER($AD72),ROUND($AD72*Header!$M$3,2),"")</f>
      </c>
      <c r="AQ72" s="38">
        <f>IF(ISNUMBER($AD72),ROUND($AD72,2)-$AO72-$AP72,"")</f>
      </c>
      <c r="AR72" s="39">
        <f>IF(ISNUMBER($AD72),IF(Header!$D$34="","?",$AD72*Header!$D$34),"")</f>
      </c>
      <c r="AS72" s="39">
        <f>IF(ISNUMBER($AB72),IF(Header!$D$34="","?",$AB72*Header!$D$34),"")</f>
      </c>
      <c r="AT72" s="42">
        <f>IF(AND(ISNUMBER($AB72),$M72&gt;0),$AB72/$M72*100,"")</f>
      </c>
      <c r="AU72" s="42">
        <f>IF(AND(ISNUMBER($AD72),$M72&gt;0),$AD72/$M72*100,"")</f>
      </c>
      <c r="AV72" s="40">
        <f>IF(AND(ISNUMBER($AB72),ISNUMBER($AD72),ABS($AB72)&gt;0),$AD72/$AB72,"")</f>
      </c>
      <c r="AW72" s="39">
        <f>IF(ISNUMBER($AD72),MAX(0,(1-0.55-Header!$O$3)*Header!$Q$3*$AQ72),"")</f>
      </c>
      <c r="AX72" s="43">
        <f>IF($A72="","",IF(TRIM(IF($A72="","Missing certificate ref. ","") &amp; IF($C72="","Missing effective date. ","") &amp; IF($D72="","Missing binding status. ","") &amp; IF($E72="","Missing movement type. ","") &amp; IF($I72="","Missing make. ","") &amp; IF($L72="","Missing vehicle class. ","") &amp; IF($M72="","Missing agreed value. ","") &amp; IF($N72="","Missing policy type. ","") &amp; IF($Q72="","Missing garaging state. ","") &amp; IF($R72="","Missing garaging ZIP. ","") &amp; IF($S72="","Missing cat zone. ","") &amp; IF($V72="","Missing valuation basis. ","") &amp; IF($W72="","Missing PD deductible. ","") &amp; IF($X72="","Missing liability limit. ","") &amp; IF($AB72="","Missing technical premium. ","") &amp; IF($AF72="","Missing surplus lines tax %. ",""))="","PASS","FAIL: "&amp;TRIM(IF($A72="","Missing certificate ref. ","") &amp; IF($C72="","Missing effective date. ","") &amp; IF($D72="","Missing binding status. ","") &amp; IF($E72="","Missing movement type. ","") &amp; IF($I72="","Missing make. ","") &amp; IF($L72="","Missing vehicle class. ","") &amp; IF($M72="","Missing agreed value. ","") &amp; IF($N72="","Missing policy type. ","") &amp; IF($Q72="","Missing garaging state. ","") &amp; IF($R72="","Missing garaging ZIP. ","") &amp; IF($S72="","Missing cat zone. ","") &amp; IF($V72="","Missing valuation basis. ","") &amp; IF($W72="","Missing PD deductible. ","") &amp; IF($X72="","Missing liability limit. ","") &amp; IF($AB72="","Missing technical premium. ","") &amp; IF($AF72="","Missing surplus lines tax %. ",""))))</f>
      </c>
      <c r="AY72" s="44">
        <f>IF($M72="","",IF(ISNUMBER($M72),IF($M72&gt;=Header!$C$18,"YES — refer","No"),""))</f>
      </c>
      <c r="AZ72" s="44">
        <f>IF($AD72="","",IF(ISNUMBER($AD72),IF($AD72&lt;Header!$C$20,"BELOW MIN PREMIUM","OK"),""))</f>
      </c>
      <c r="BA72" s="48" t="inlineStr">
        <is>
          <t xml:space="preserve">Yes</t>
        </is>
      </c>
      <c r="BB72" s="48" t="inlineStr">
        <is>
          <t xml:space="preserve">Yes</t>
        </is>
      </c>
      <c r="BC72" s="46" t="inlineStr">
        <is>
          <t xml:space="preserve">Synthetic demo data</t>
        </is>
      </c>
      <c r="BE72" s="45">
        <f>IF(OR($A72="",$L72="",$H72=""),"",IF(AND(LEFT($L72,2)="06",$H72&gt;1945),"FAIL - pre-war class, year "&amp;$H72,IF(AND(LEFT($L72,2)="07",OR($H72&lt;1946,$H72&gt;1972)),"FAIL - 1946-72 class, year "&amp;$H72,IF(AND(LEFT($L72,2)="08",OR($H72&lt;1973,$H72&gt;1999)),"FAIL - 1973-99 class, year "&amp;$H72,IF(AND(LEFT($L72,2)="09",OR($H72&lt;2000,$H72&gt;2010)),"FAIL - 2000-10 class, year "&amp;$H72,"OK")))))</f>
      </c>
      <c r="BF72" s="45">
        <f>IF($AD72="","",IF(ROUND($AO72+$AP72+$AQ72-$AD72,2)=0,"OK","FAIL - out by "&amp;TEXT($AO72+$AP72+$AQ72-$AD72,"$0.00")))</f>
      </c>
    </row>
    <row r="73" spans="1:58" ht="18.75" customHeight="1" x14ac:dyDescent="0.25">
      <c r="A73" s="30" t="inlineStr">
        <is>
          <t xml:space="preserve">CANON-202511-002255</t>
        </is>
      </c>
      <c r="B73" s="30" t="inlineStr">
        <is>
          <t xml:space="preserve">Ramona Whitlock</t>
        </is>
      </c>
      <c r="C73" s="31">
        <v>45982</v>
      </c>
      <c r="D73" s="32" t="inlineStr">
        <is>
          <t xml:space="preserve">Bound - within authority</t>
        </is>
      </c>
      <c r="E73" s="32" t="inlineStr">
        <is>
          <t xml:space="preserve">New business</t>
        </is>
      </c>
      <c r="F73" s="30" t="inlineStr">
        <is>
          <t xml:space="preserve">B1234EXOTIC26</t>
        </is>
      </c>
      <c r="G73" s="33">
        <f>IF($A73="","",IF($C73="","",YEAR($C73)))</f>
      </c>
      <c r="H73" s="34">
        <v>1998</v>
      </c>
      <c r="I73" s="30" t="inlineStr">
        <is>
          <t xml:space="preserve">Ferrari</t>
        </is>
      </c>
      <c r="J73" s="30" t="inlineStr">
        <is>
          <t xml:space="preserve">296 GTB</t>
        </is>
      </c>
      <c r="K73" s="30" t="inlineStr">
        <is>
          <t xml:space="preserve">359F78KFME0JBZ5K3</t>
        </is>
      </c>
      <c r="L73" s="32" t="inlineStr">
        <is>
          <t xml:space="preserve">03 - Supercar</t>
        </is>
      </c>
      <c r="M73" s="35">
        <v>730000</v>
      </c>
      <c r="N73" s="32" t="inlineStr">
        <is>
          <t xml:space="preserve">Personal</t>
        </is>
      </c>
      <c r="O73" s="30" t="inlineStr">
        <is>
          <t xml:space="preserve">Personal - regular use</t>
        </is>
      </c>
      <c r="P73" s="30" t="inlineStr">
        <is>
          <t xml:space="preserve">Under 1,000</t>
        </is>
      </c>
      <c r="Q73" s="30" t="inlineStr">
        <is>
          <t xml:space="preserve">Utah</t>
        </is>
      </c>
      <c r="R73" s="30" t="inlineStr">
        <is>
          <t xml:space="preserve">84101</t>
        </is>
      </c>
      <c r="S73" s="32" t="inlineStr">
        <is>
          <t xml:space="preserve">Wildfire - WUI high hazard</t>
        </is>
      </c>
      <c r="T73" s="36">
        <f>IF($A73="","",IF($S73="","",IFERROR(INDEX('[1]natural catastrophe'!$D$6:$D$17,MATCH($S73,'[1]natural catastrophe'!$B$6:$B$17,0)),"?")))</f>
      </c>
      <c r="U73" s="30" t="inlineStr">
        <is>
          <t xml:space="preserve">$5,000</t>
        </is>
      </c>
      <c r="V73" s="32" t="inlineStr">
        <is>
          <t xml:space="preserve">Agreed Value</t>
        </is>
      </c>
      <c r="W73" s="30" t="inlineStr">
        <is>
          <t xml:space="preserve">$1,000</t>
        </is>
      </c>
      <c r="X73" s="32" t="inlineStr">
        <is>
          <t xml:space="preserve">$1,000,000 CSL</t>
        </is>
      </c>
      <c r="Y73" s="30"/>
      <c r="Z73" s="30"/>
      <c r="AA73" s="32" t="inlineStr">
        <is>
          <t xml:space="preserve">Surplus Lines</t>
        </is>
      </c>
      <c r="AB73" s="35">
        <v>16240.85</v>
      </c>
      <c r="AC73" s="37">
        <v>0</v>
      </c>
      <c r="AD73" s="38">
        <f>IF(ISNUMBER($AB73),$AB73*(1+N($AC73)),"")</f>
      </c>
      <c r="AE73" s="35">
        <v>350</v>
      </c>
      <c r="AF73" s="35">
        <v>0</v>
      </c>
      <c r="AG73" s="37"/>
      <c r="AH73" s="39">
        <f>IF(ISNUMBER($AD73),($AD73+$AE73+$AF73)*$AG73,"")</f>
      </c>
      <c r="AI73" s="35"/>
      <c r="AJ73" s="38">
        <f>IF(ISNUMBER($AD73),SUM($AD73:$AH73),"")</f>
      </c>
      <c r="AK73" s="40">
        <f>IF(AND(ISNUMBER($AB73),ISNUMBER($AD73)),IF($AB73&gt;0,$AD73/$AB73,""),"")</f>
      </c>
      <c r="AL73" s="32" t="inlineStr">
        <is>
          <t xml:space="preserve">At technical</t>
        </is>
      </c>
      <c r="AM73" s="41">
        <f>IF(ISNUMBER($AD73),Header!$I$3,"")</f>
      </c>
      <c r="AN73" s="39">
        <f>IF(ISNUMBER($AD73),$AO73+$AP73,"")</f>
      </c>
      <c r="AO73" s="39">
        <f>IF(ISNUMBER($AD73),ROUND($AD73*Header!$K$3,2),"")</f>
      </c>
      <c r="AP73" s="39">
        <f>IF(ISNUMBER($AD73),ROUND($AD73*Header!$M$3,2),"")</f>
      </c>
      <c r="AQ73" s="38">
        <f>IF(ISNUMBER($AD73),ROUND($AD73,2)-$AO73-$AP73,"")</f>
      </c>
      <c r="AR73" s="39">
        <f>IF(ISNUMBER($AD73),IF(Header!$D$34="","?",$AD73*Header!$D$34),"")</f>
      </c>
      <c r="AS73" s="39">
        <f>IF(ISNUMBER($AB73),IF(Header!$D$34="","?",$AB73*Header!$D$34),"")</f>
      </c>
      <c r="AT73" s="42">
        <f>IF(AND(ISNUMBER($AB73),$M73&gt;0),$AB73/$M73*100,"")</f>
      </c>
      <c r="AU73" s="42">
        <f>IF(AND(ISNUMBER($AD73),$M73&gt;0),$AD73/$M73*100,"")</f>
      </c>
      <c r="AV73" s="40">
        <f>IF(AND(ISNUMBER($AB73),ISNUMBER($AD73),ABS($AB73)&gt;0),$AD73/$AB73,"")</f>
      </c>
      <c r="AW73" s="39">
        <f>IF(ISNUMBER($AD73),MAX(0,(1-0.55-Header!$O$3)*Header!$Q$3*$AQ73),"")</f>
      </c>
      <c r="AX73" s="43">
        <f>IF($A73="","",IF(TRIM(IF($A73="","Missing certificate ref. ","") &amp; IF($C73="","Missing effective date. ","") &amp; IF($D73="","Missing binding status. ","") &amp; IF($E73="","Missing movement type. ","") &amp; IF($I73="","Missing make. ","") &amp; IF($L73="","Missing vehicle class. ","") &amp; IF($M73="","Missing agreed value. ","") &amp; IF($N73="","Missing policy type. ","") &amp; IF($Q73="","Missing garaging state. ","") &amp; IF($R73="","Missing garaging ZIP. ","") &amp; IF($S73="","Missing cat zone. ","") &amp; IF($V73="","Missing valuation basis. ","") &amp; IF($W73="","Missing PD deductible. ","") &amp; IF($X73="","Missing liability limit. ","") &amp; IF($AB73="","Missing technical premium. ","") &amp; IF($AF73="","Missing surplus lines tax %. ",""))="","PASS","FAIL: "&amp;TRIM(IF($A73="","Missing certificate ref. ","") &amp; IF($C73="","Missing effective date. ","") &amp; IF($D73="","Missing binding status. ","") &amp; IF($E73="","Missing movement type. ","") &amp; IF($I73="","Missing make. ","") &amp; IF($L73="","Missing vehicle class. ","") &amp; IF($M73="","Missing agreed value. ","") &amp; IF($N73="","Missing policy type. ","") &amp; IF($Q73="","Missing garaging state. ","") &amp; IF($R73="","Missing garaging ZIP. ","") &amp; IF($S73="","Missing cat zone. ","") &amp; IF($V73="","Missing valuation basis. ","") &amp; IF($W73="","Missing PD deductible. ","") &amp; IF($X73="","Missing liability limit. ","") &amp; IF($AB73="","Missing technical premium. ","") &amp; IF($AF73="","Missing surplus lines tax %. ",""))))</f>
      </c>
      <c r="AY73" s="44">
        <f>IF($M73="","",IF(ISNUMBER($M73),IF($M73&gt;=Header!$C$18,"YES — refer","No"),""))</f>
      </c>
      <c r="AZ73" s="44">
        <f>IF($AD73="","",IF(ISNUMBER($AD73),IF($AD73&lt;Header!$C$20,"BELOW MIN PREMIUM","OK"),""))</f>
      </c>
      <c r="BA73" s="32" t="inlineStr">
        <is>
          <t xml:space="preserve">Yes</t>
        </is>
      </c>
      <c r="BB73" s="32" t="inlineStr">
        <is>
          <t xml:space="preserve">Yes</t>
        </is>
      </c>
      <c r="BC73" s="30" t="inlineStr">
        <is>
          <t xml:space="preserve">Synthetic demo data</t>
        </is>
      </c>
      <c r="BE73" s="45">
        <f>IF(OR($A73="",$L73="",$H73=""),"",IF(AND(LEFT($L73,2)="06",$H73&gt;1945),"FAIL - pre-war class, year "&amp;$H73,IF(AND(LEFT($L73,2)="07",OR($H73&lt;1946,$H73&gt;1972)),"FAIL - 1946-72 class, year "&amp;$H73,IF(AND(LEFT($L73,2)="08",OR($H73&lt;1973,$H73&gt;1999)),"FAIL - 1973-99 class, year "&amp;$H73,IF(AND(LEFT($L73,2)="09",OR($H73&lt;2000,$H73&gt;2010)),"FAIL - 2000-10 class, year "&amp;$H73,"OK")))))</f>
      </c>
      <c r="BF73" s="45">
        <f>IF($AD73="","",IF(ROUND($AO73+$AP73+$AQ73-$AD73,2)=0,"OK","FAIL - out by "&amp;TEXT($AO73+$AP73+$AQ73-$AD73,"$0.00")))</f>
      </c>
    </row>
    <row r="74" spans="1:58" ht="18.75" customHeight="1" x14ac:dyDescent="0.25">
      <c r="A74" s="46" t="inlineStr">
        <is>
          <t xml:space="preserve">CANON-202511-002258</t>
        </is>
      </c>
      <c r="B74" s="46" t="inlineStr">
        <is>
          <t xml:space="preserve">Desmond Vandermeer</t>
        </is>
      </c>
      <c r="C74" s="47">
        <v>45975</v>
      </c>
      <c r="D74" s="48" t="inlineStr">
        <is>
          <t xml:space="preserve">Bound - within authority</t>
        </is>
      </c>
      <c r="E74" s="48" t="inlineStr">
        <is>
          <t xml:space="preserve">New business</t>
        </is>
      </c>
      <c r="F74" s="46" t="inlineStr">
        <is>
          <t xml:space="preserve">B1234EXOTIC26</t>
        </is>
      </c>
      <c r="G74" s="33">
        <f>IF($A74="","",IF($C74="","",YEAR($C74)))</f>
      </c>
      <c r="H74" s="49">
        <v>2014</v>
      </c>
      <c r="I74" s="46" t="inlineStr">
        <is>
          <t xml:space="preserve">Porsche</t>
        </is>
      </c>
      <c r="J74" s="46" t="inlineStr">
        <is>
          <t xml:space="preserve">911 Turbo S</t>
        </is>
      </c>
      <c r="K74" s="46" t="inlineStr">
        <is>
          <t xml:space="preserve">PVLFRPNWHLFZ4BUDC</t>
        </is>
      </c>
      <c r="L74" s="48" t="inlineStr">
        <is>
          <t xml:space="preserve">02 - Sports / GT</t>
        </is>
      </c>
      <c r="M74" s="50">
        <v>245000</v>
      </c>
      <c r="N74" s="48" t="inlineStr">
        <is>
          <t xml:space="preserve">Personal</t>
        </is>
      </c>
      <c r="O74" s="46" t="inlineStr">
        <is>
          <t xml:space="preserve">Personal - regular use</t>
        </is>
      </c>
      <c r="P74" s="46" t="inlineStr">
        <is>
          <t xml:space="preserve">1,000 - 2,500</t>
        </is>
      </c>
      <c r="Q74" s="46" t="inlineStr">
        <is>
          <t xml:space="preserve">North Carolina</t>
        </is>
      </c>
      <c r="R74" s="46" t="inlineStr">
        <is>
          <t xml:space="preserve">28202</t>
        </is>
      </c>
      <c r="S74" s="48" t="inlineStr">
        <is>
          <t xml:space="preserve">Tier 2 - Coastal wind (1-25 miles)</t>
        </is>
      </c>
      <c r="T74" s="36">
        <f>IF($A74="","",IF($S74="","",IFERROR(INDEX('[1]natural catastrophe'!$D$6:$D$17,MATCH($S74,'[1]natural catastrophe'!$B$6:$B$17,0)),"?")))</f>
      </c>
      <c r="U74" s="46" t="inlineStr">
        <is>
          <t xml:space="preserve">2% of agreed value, minimum $10,000</t>
        </is>
      </c>
      <c r="V74" s="48" t="inlineStr">
        <is>
          <t xml:space="preserve">Agreed Value</t>
        </is>
      </c>
      <c r="W74" s="46" t="inlineStr">
        <is>
          <t xml:space="preserve">$1,000</t>
        </is>
      </c>
      <c r="X74" s="48" t="inlineStr">
        <is>
          <t xml:space="preserve">$1,000,000 CSL</t>
        </is>
      </c>
      <c r="Y74" s="46"/>
      <c r="Z74" s="46"/>
      <c r="AA74" s="48" t="inlineStr">
        <is>
          <t xml:space="preserve">Surplus Lines</t>
        </is>
      </c>
      <c r="AB74" s="50">
        <v>4496.56</v>
      </c>
      <c r="AC74" s="51">
        <v>0</v>
      </c>
      <c r="AD74" s="38">
        <f>IF(ISNUMBER($AB74),$AB74*(1+N($AC74)),"")</f>
      </c>
      <c r="AE74" s="50">
        <v>350</v>
      </c>
      <c r="AF74" s="50">
        <v>0</v>
      </c>
      <c r="AG74" s="51"/>
      <c r="AH74" s="39">
        <f>IF(ISNUMBER($AD74),($AD74+$AE74+$AF74)*$AG74,"")</f>
      </c>
      <c r="AI74" s="50"/>
      <c r="AJ74" s="38">
        <f>IF(ISNUMBER($AD74),SUM($AD74:$AH74),"")</f>
      </c>
      <c r="AK74" s="40">
        <f>IF(AND(ISNUMBER($AB74),ISNUMBER($AD74)),IF($AB74&gt;0,$AD74/$AB74,""),"")</f>
      </c>
      <c r="AL74" s="48" t="inlineStr">
        <is>
          <t xml:space="preserve">At technical</t>
        </is>
      </c>
      <c r="AM74" s="41">
        <f>IF(ISNUMBER($AD74),Header!$I$3,"")</f>
      </c>
      <c r="AN74" s="39">
        <f>IF(ISNUMBER($AD74),$AO74+$AP74,"")</f>
      </c>
      <c r="AO74" s="39">
        <f>IF(ISNUMBER($AD74),ROUND($AD74*Header!$K$3,2),"")</f>
      </c>
      <c r="AP74" s="39">
        <f>IF(ISNUMBER($AD74),ROUND($AD74*Header!$M$3,2),"")</f>
      </c>
      <c r="AQ74" s="38">
        <f>IF(ISNUMBER($AD74),ROUND($AD74,2)-$AO74-$AP74,"")</f>
      </c>
      <c r="AR74" s="39">
        <f>IF(ISNUMBER($AD74),IF(Header!$D$34="","?",$AD74*Header!$D$34),"")</f>
      </c>
      <c r="AS74" s="39">
        <f>IF(ISNUMBER($AB74),IF(Header!$D$34="","?",$AB74*Header!$D$34),"")</f>
      </c>
      <c r="AT74" s="42">
        <f>IF(AND(ISNUMBER($AB74),$M74&gt;0),$AB74/$M74*100,"")</f>
      </c>
      <c r="AU74" s="42">
        <f>IF(AND(ISNUMBER($AD74),$M74&gt;0),$AD74/$M74*100,"")</f>
      </c>
      <c r="AV74" s="40">
        <f>IF(AND(ISNUMBER($AB74),ISNUMBER($AD74),ABS($AB74)&gt;0),$AD74/$AB74,"")</f>
      </c>
      <c r="AW74" s="39">
        <f>IF(ISNUMBER($AD74),MAX(0,(1-0.55-Header!$O$3)*Header!$Q$3*$AQ74),"")</f>
      </c>
      <c r="AX74" s="43">
        <f>IF($A74="","",IF(TRIM(IF($A74="","Missing certificate ref. ","") &amp; IF($C74="","Missing effective date. ","") &amp; IF($D74="","Missing binding status. ","") &amp; IF($E74="","Missing movement type. ","") &amp; IF($I74="","Missing make. ","") &amp; IF($L74="","Missing vehicle class. ","") &amp; IF($M74="","Missing agreed value. ","") &amp; IF($N74="","Missing policy type. ","") &amp; IF($Q74="","Missing garaging state. ","") &amp; IF($R74="","Missing garaging ZIP. ","") &amp; IF($S74="","Missing cat zone. ","") &amp; IF($V74="","Missing valuation basis. ","") &amp; IF($W74="","Missing PD deductible. ","") &amp; IF($X74="","Missing liability limit. ","") &amp; IF($AB74="","Missing technical premium. ","") &amp; IF($AF74="","Missing surplus lines tax %. ",""))="","PASS","FAIL: "&amp;TRIM(IF($A74="","Missing certificate ref. ","") &amp; IF($C74="","Missing effective date. ","") &amp; IF($D74="","Missing binding status. ","") &amp; IF($E74="","Missing movement type. ","") &amp; IF($I74="","Missing make. ","") &amp; IF($L74="","Missing vehicle class. ","") &amp; IF($M74="","Missing agreed value. ","") &amp; IF($N74="","Missing policy type. ","") &amp; IF($Q74="","Missing garaging state. ","") &amp; IF($R74="","Missing garaging ZIP. ","") &amp; IF($S74="","Missing cat zone. ","") &amp; IF($V74="","Missing valuation basis. ","") &amp; IF($W74="","Missing PD deductible. ","") &amp; IF($X74="","Missing liability limit. ","") &amp; IF($AB74="","Missing technical premium. ","") &amp; IF($AF74="","Missing surplus lines tax %. ",""))))</f>
      </c>
      <c r="AY74" s="44">
        <f>IF($M74="","",IF(ISNUMBER($M74),IF($M74&gt;=Header!$C$18,"YES — refer","No"),""))</f>
      </c>
      <c r="AZ74" s="44">
        <f>IF($AD74="","",IF(ISNUMBER($AD74),IF($AD74&lt;Header!$C$20,"BELOW MIN PREMIUM","OK"),""))</f>
      </c>
      <c r="BA74" s="48" t="inlineStr">
        <is>
          <t xml:space="preserve">Yes</t>
        </is>
      </c>
      <c r="BB74" s="48" t="inlineStr">
        <is>
          <t xml:space="preserve">Yes</t>
        </is>
      </c>
      <c r="BC74" s="46" t="inlineStr">
        <is>
          <t xml:space="preserve">Synthetic demo data</t>
        </is>
      </c>
      <c r="BE74" s="45">
        <f>IF(OR($A74="",$L74="",$H74=""),"",IF(AND(LEFT($L74,2)="06",$H74&gt;1945),"FAIL - pre-war class, year "&amp;$H74,IF(AND(LEFT($L74,2)="07",OR($H74&lt;1946,$H74&gt;1972)),"FAIL - 1946-72 class, year "&amp;$H74,IF(AND(LEFT($L74,2)="08",OR($H74&lt;1973,$H74&gt;1999)),"FAIL - 1973-99 class, year "&amp;$H74,IF(AND(LEFT($L74,2)="09",OR($H74&lt;2000,$H74&gt;2010)),"FAIL - 2000-10 class, year "&amp;$H74,"OK")))))</f>
      </c>
      <c r="BF74" s="45">
        <f>IF($AD74="","",IF(ROUND($AO74+$AP74+$AQ74-$AD74,2)=0,"OK","FAIL - out by "&amp;TEXT($AO74+$AP74+$AQ74-$AD74,"$0.00")))</f>
      </c>
    </row>
    <row r="75" spans="1:58" ht="18.75" customHeight="1" x14ac:dyDescent="0.25">
      <c r="A75" s="30" t="inlineStr">
        <is>
          <t xml:space="preserve">CANON-202511-002259</t>
        </is>
      </c>
      <c r="B75" s="30" t="inlineStr">
        <is>
          <t xml:space="preserve">Fitzgerald Vandermeer</t>
        </is>
      </c>
      <c r="C75" s="31">
        <v>45976</v>
      </c>
      <c r="D75" s="32" t="inlineStr">
        <is>
          <t xml:space="preserve">Bound - within authority</t>
        </is>
      </c>
      <c r="E75" s="32" t="inlineStr">
        <is>
          <t xml:space="preserve">New business</t>
        </is>
      </c>
      <c r="F75" s="30" t="inlineStr">
        <is>
          <t xml:space="preserve">B1234EXOTIC26</t>
        </is>
      </c>
      <c r="G75" s="33">
        <f>IF($A75="","",IF($C75="","",YEAR($C75)))</f>
      </c>
      <c r="H75" s="34">
        <v>2016</v>
      </c>
      <c r="I75" s="30" t="inlineStr">
        <is>
          <t xml:space="preserve">Maserati</t>
        </is>
      </c>
      <c r="J75" s="30" t="inlineStr">
        <is>
          <t xml:space="preserve">GranTurismo</t>
        </is>
      </c>
      <c r="K75" s="30" t="inlineStr">
        <is>
          <t xml:space="preserve">ZXVG0RVPF68TE741F</t>
        </is>
      </c>
      <c r="L75" s="32" t="inlineStr">
        <is>
          <t xml:space="preserve">02 - Sports / GT</t>
        </is>
      </c>
      <c r="M75" s="35">
        <v>330000</v>
      </c>
      <c r="N75" s="32" t="inlineStr">
        <is>
          <t xml:space="preserve">Personal</t>
        </is>
      </c>
      <c r="O75" s="30" t="inlineStr">
        <is>
          <t xml:space="preserve">Personal - regular use</t>
        </is>
      </c>
      <c r="P75" s="30" t="inlineStr">
        <is>
          <t xml:space="preserve">Under 1,000</t>
        </is>
      </c>
      <c r="Q75" s="30" t="inlineStr">
        <is>
          <t xml:space="preserve">California</t>
        </is>
      </c>
      <c r="R75" s="30" t="inlineStr">
        <is>
          <t xml:space="preserve">90012</t>
        </is>
      </c>
      <c r="S75" s="32" t="inlineStr">
        <is>
          <t xml:space="preserve">Earthquake - high (CA, Cascadia, New Madrid)</t>
        </is>
      </c>
      <c r="T75" s="36">
        <f>IF($A75="","",IF($S75="","",IFERROR(INDEX('[1]natural catastrophe'!$D$6:$D$17,MATCH($S75,'[1]natural catastrophe'!$B$6:$B$17,0)),"?")))</f>
      </c>
      <c r="U75" s="30" t="inlineStr">
        <is>
          <t xml:space="preserve">$5,000</t>
        </is>
      </c>
      <c r="V75" s="32" t="inlineStr">
        <is>
          <t xml:space="preserve">Agreed Value</t>
        </is>
      </c>
      <c r="W75" s="30" t="inlineStr">
        <is>
          <t xml:space="preserve">$1,000</t>
        </is>
      </c>
      <c r="X75" s="32" t="inlineStr">
        <is>
          <t xml:space="preserve">$1,000,000 CSL</t>
        </is>
      </c>
      <c r="Y75" s="30"/>
      <c r="Z75" s="30"/>
      <c r="AA75" s="32" t="inlineStr">
        <is>
          <t xml:space="preserve">Surplus Lines</t>
        </is>
      </c>
      <c r="AB75" s="35">
        <v>5796.13</v>
      </c>
      <c r="AC75" s="37">
        <v>0</v>
      </c>
      <c r="AD75" s="38">
        <f>IF(ISNUMBER($AB75),$AB75*(1+N($AC75)),"")</f>
      </c>
      <c r="AE75" s="35">
        <v>350</v>
      </c>
      <c r="AF75" s="35">
        <v>0</v>
      </c>
      <c r="AG75" s="37"/>
      <c r="AH75" s="39">
        <f>IF(ISNUMBER($AD75),($AD75+$AE75+$AF75)*$AG75,"")</f>
      </c>
      <c r="AI75" s="35"/>
      <c r="AJ75" s="38">
        <f>IF(ISNUMBER($AD75),SUM($AD75:$AH75),"")</f>
      </c>
      <c r="AK75" s="40">
        <f>IF(AND(ISNUMBER($AB75),ISNUMBER($AD75)),IF($AB75&gt;0,$AD75/$AB75,""),"")</f>
      </c>
      <c r="AL75" s="32" t="inlineStr">
        <is>
          <t xml:space="preserve">At technical</t>
        </is>
      </c>
      <c r="AM75" s="41">
        <f>IF(ISNUMBER($AD75),Header!$I$3,"")</f>
      </c>
      <c r="AN75" s="39">
        <f>IF(ISNUMBER($AD75),$AO75+$AP75,"")</f>
      </c>
      <c r="AO75" s="39">
        <f>IF(ISNUMBER($AD75),ROUND($AD75*Header!$K$3,2),"")</f>
      </c>
      <c r="AP75" s="39">
        <f>IF(ISNUMBER($AD75),ROUND($AD75*Header!$M$3,2),"")</f>
      </c>
      <c r="AQ75" s="38">
        <f>IF(ISNUMBER($AD75),ROUND($AD75,2)-$AO75-$AP75,"")</f>
      </c>
      <c r="AR75" s="39">
        <f>IF(ISNUMBER($AD75),IF(Header!$D$34="","?",$AD75*Header!$D$34),"")</f>
      </c>
      <c r="AS75" s="39">
        <f>IF(ISNUMBER($AB75),IF(Header!$D$34="","?",$AB75*Header!$D$34),"")</f>
      </c>
      <c r="AT75" s="42">
        <f>IF(AND(ISNUMBER($AB75),$M75&gt;0),$AB75/$M75*100,"")</f>
      </c>
      <c r="AU75" s="42">
        <f>IF(AND(ISNUMBER($AD75),$M75&gt;0),$AD75/$M75*100,"")</f>
      </c>
      <c r="AV75" s="40">
        <f>IF(AND(ISNUMBER($AB75),ISNUMBER($AD75),ABS($AB75)&gt;0),$AD75/$AB75,"")</f>
      </c>
      <c r="AW75" s="39">
        <f>IF(ISNUMBER($AD75),MAX(0,(1-0.55-Header!$O$3)*Header!$Q$3*$AQ75),"")</f>
      </c>
      <c r="AX75" s="43">
        <f>IF($A75="","",IF(TRIM(IF($A75="","Missing certificate ref. ","") &amp; IF($C75="","Missing effective date. ","") &amp; IF($D75="","Missing binding status. ","") &amp; IF($E75="","Missing movement type. ","") &amp; IF($I75="","Missing make. ","") &amp; IF($L75="","Missing vehicle class. ","") &amp; IF($M75="","Missing agreed value. ","") &amp; IF($N75="","Missing policy type. ","") &amp; IF($Q75="","Missing garaging state. ","") &amp; IF($R75="","Missing garaging ZIP. ","") &amp; IF($S75="","Missing cat zone. ","") &amp; IF($V75="","Missing valuation basis. ","") &amp; IF($W75="","Missing PD deductible. ","") &amp; IF($X75="","Missing liability limit. ","") &amp; IF($AB75="","Missing technical premium. ","") &amp; IF($AF75="","Missing surplus lines tax %. ",""))="","PASS","FAIL: "&amp;TRIM(IF($A75="","Missing certificate ref. ","") &amp; IF($C75="","Missing effective date. ","") &amp; IF($D75="","Missing binding status. ","") &amp; IF($E75="","Missing movement type. ","") &amp; IF($I75="","Missing make. ","") &amp; IF($L75="","Missing vehicle class. ","") &amp; IF($M75="","Missing agreed value. ","") &amp; IF($N75="","Missing policy type. ","") &amp; IF($Q75="","Missing garaging state. ","") &amp; IF($R75="","Missing garaging ZIP. ","") &amp; IF($S75="","Missing cat zone. ","") &amp; IF($V75="","Missing valuation basis. ","") &amp; IF($W75="","Missing PD deductible. ","") &amp; IF($X75="","Missing liability limit. ","") &amp; IF($AB75="","Missing technical premium. ","") &amp; IF($AF75="","Missing surplus lines tax %. ",""))))</f>
      </c>
      <c r="AY75" s="44">
        <f>IF($M75="","",IF(ISNUMBER($M75),IF($M75&gt;=Header!$C$18,"YES — refer","No"),""))</f>
      </c>
      <c r="AZ75" s="44">
        <f>IF($AD75="","",IF(ISNUMBER($AD75),IF($AD75&lt;Header!$C$20,"BELOW MIN PREMIUM","OK"),""))</f>
      </c>
      <c r="BA75" s="32" t="inlineStr">
        <is>
          <t xml:space="preserve">Yes</t>
        </is>
      </c>
      <c r="BB75" s="32" t="inlineStr">
        <is>
          <t xml:space="preserve">Yes</t>
        </is>
      </c>
      <c r="BC75" s="30" t="inlineStr">
        <is>
          <t xml:space="preserve">Synthetic demo data</t>
        </is>
      </c>
      <c r="BE75" s="45">
        <f>IF(OR($A75="",$L75="",$H75=""),"",IF(AND(LEFT($L75,2)="06",$H75&gt;1945),"FAIL - pre-war class, year "&amp;$H75,IF(AND(LEFT($L75,2)="07",OR($H75&lt;1946,$H75&gt;1972)),"FAIL - 1946-72 class, year "&amp;$H75,IF(AND(LEFT($L75,2)="08",OR($H75&lt;1973,$H75&gt;1999)),"FAIL - 1973-99 class, year "&amp;$H75,IF(AND(LEFT($L75,2)="09",OR($H75&lt;2000,$H75&gt;2010)),"FAIL - 2000-10 class, year "&amp;$H75,"OK")))))</f>
      </c>
      <c r="BF75" s="45">
        <f>IF($AD75="","",IF(ROUND($AO75+$AP75+$AQ75-$AD75,2)=0,"OK","FAIL - out by "&amp;TEXT($AO75+$AP75+$AQ75-$AD75,"$0.00")))</f>
      </c>
    </row>
    <row r="76" spans="1:58" ht="18.75" customHeight="1" x14ac:dyDescent="0.25">
      <c r="A76" s="46" t="inlineStr">
        <is>
          <t xml:space="preserve">CANON-202511-002262</t>
        </is>
      </c>
      <c r="B76" s="46" t="inlineStr">
        <is>
          <t xml:space="preserve">Mireille Thistlewood</t>
        </is>
      </c>
      <c r="C76" s="47">
        <v>45965</v>
      </c>
      <c r="D76" s="48" t="inlineStr">
        <is>
          <t xml:space="preserve">Bound - within authority</t>
        </is>
      </c>
      <c r="E76" s="48" t="inlineStr">
        <is>
          <t xml:space="preserve">New business</t>
        </is>
      </c>
      <c r="F76" s="46" t="inlineStr">
        <is>
          <t xml:space="preserve">B1234EXOTIC26</t>
        </is>
      </c>
      <c r="G76" s="33">
        <f>IF($A76="","",IF($C76="","",YEAR($C76)))</f>
      </c>
      <c r="H76" s="49">
        <v>2004</v>
      </c>
      <c r="I76" s="46" t="inlineStr">
        <is>
          <t xml:space="preserve">McLaren</t>
        </is>
      </c>
      <c r="J76" s="46" t="inlineStr">
        <is>
          <t xml:space="preserve">750S</t>
        </is>
      </c>
      <c r="K76" s="46" t="inlineStr">
        <is>
          <t xml:space="preserve">75L6V920EUU2NMBLN</t>
        </is>
      </c>
      <c r="L76" s="48" t="inlineStr">
        <is>
          <t xml:space="preserve">03 - Supercar</t>
        </is>
      </c>
      <c r="M76" s="50">
        <v>1040000</v>
      </c>
      <c r="N76" s="48" t="inlineStr">
        <is>
          <t xml:space="preserve">Personal</t>
        </is>
      </c>
      <c r="O76" s="46" t="inlineStr">
        <is>
          <t xml:space="preserve">Personal - regular use</t>
        </is>
      </c>
      <c r="P76" s="46" t="inlineStr">
        <is>
          <t xml:space="preserve">1,000 - 2,500</t>
        </is>
      </c>
      <c r="Q76" s="46" t="inlineStr">
        <is>
          <t xml:space="preserve">Connecticut</t>
        </is>
      </c>
      <c r="R76" s="46" t="inlineStr">
        <is>
          <t xml:space="preserve">06103</t>
        </is>
      </c>
      <c r="S76" s="48" t="inlineStr">
        <is>
          <t xml:space="preserve">Tier 3 - Coastal wind (25-100 miles)</t>
        </is>
      </c>
      <c r="T76" s="36">
        <f>IF($A76="","",IF($S76="","",IFERROR(INDEX('[1]natural catastrophe'!$D$6:$D$17,MATCH($S76,'[1]natural catastrophe'!$B$6:$B$17,0)),"?")))</f>
      </c>
      <c r="U76" s="46" t="inlineStr">
        <is>
          <t xml:space="preserve">2% of agreed value, minimum $10,000</t>
        </is>
      </c>
      <c r="V76" s="48" t="inlineStr">
        <is>
          <t xml:space="preserve">Agreed Value</t>
        </is>
      </c>
      <c r="W76" s="46" t="inlineStr">
        <is>
          <t xml:space="preserve">$1,000</t>
        </is>
      </c>
      <c r="X76" s="48" t="inlineStr">
        <is>
          <t xml:space="preserve">$1,000,000 CSL</t>
        </is>
      </c>
      <c r="Y76" s="46"/>
      <c r="Z76" s="46"/>
      <c r="AA76" s="48" t="inlineStr">
        <is>
          <t xml:space="preserve">Surplus Lines</t>
        </is>
      </c>
      <c r="AB76" s="50">
        <v>16164.79</v>
      </c>
      <c r="AC76" s="51">
        <v>0</v>
      </c>
      <c r="AD76" s="38">
        <f>IF(ISNUMBER($AB76),$AB76*(1+N($AC76)),"")</f>
      </c>
      <c r="AE76" s="50">
        <v>350</v>
      </c>
      <c r="AF76" s="50">
        <v>250</v>
      </c>
      <c r="AG76" s="51"/>
      <c r="AH76" s="39">
        <f>IF(ISNUMBER($AD76),($AD76+$AE76+$AF76)*$AG76,"")</f>
      </c>
      <c r="AI76" s="50"/>
      <c r="AJ76" s="38">
        <f>IF(ISNUMBER($AD76),SUM($AD76:$AH76),"")</f>
      </c>
      <c r="AK76" s="40">
        <f>IF(AND(ISNUMBER($AB76),ISNUMBER($AD76)),IF($AB76&gt;0,$AD76/$AB76,""),"")</f>
      </c>
      <c r="AL76" s="48" t="inlineStr">
        <is>
          <t xml:space="preserve">At technical</t>
        </is>
      </c>
      <c r="AM76" s="41">
        <f>IF(ISNUMBER($AD76),Header!$I$3,"")</f>
      </c>
      <c r="AN76" s="39">
        <f>IF(ISNUMBER($AD76),$AO76+$AP76,"")</f>
      </c>
      <c r="AO76" s="39">
        <f>IF(ISNUMBER($AD76),ROUND($AD76*Header!$K$3,2),"")</f>
      </c>
      <c r="AP76" s="39">
        <f>IF(ISNUMBER($AD76),ROUND($AD76*Header!$M$3,2),"")</f>
      </c>
      <c r="AQ76" s="38">
        <f>IF(ISNUMBER($AD76),ROUND($AD76,2)-$AO76-$AP76,"")</f>
      </c>
      <c r="AR76" s="39">
        <f>IF(ISNUMBER($AD76),IF(Header!$D$34="","?",$AD76*Header!$D$34),"")</f>
      </c>
      <c r="AS76" s="39">
        <f>IF(ISNUMBER($AB76),IF(Header!$D$34="","?",$AB76*Header!$D$34),"")</f>
      </c>
      <c r="AT76" s="42">
        <f>IF(AND(ISNUMBER($AB76),$M76&gt;0),$AB76/$M76*100,"")</f>
      </c>
      <c r="AU76" s="42">
        <f>IF(AND(ISNUMBER($AD76),$M76&gt;0),$AD76/$M76*100,"")</f>
      </c>
      <c r="AV76" s="40">
        <f>IF(AND(ISNUMBER($AB76),ISNUMBER($AD76),ABS($AB76)&gt;0),$AD76/$AB76,"")</f>
      </c>
      <c r="AW76" s="39">
        <f>IF(ISNUMBER($AD76),MAX(0,(1-0.55-Header!$O$3)*Header!$Q$3*$AQ76),"")</f>
      </c>
      <c r="AX76" s="43">
        <f>IF($A76="","",IF(TRIM(IF($A76="","Missing certificate ref. ","") &amp; IF($C76="","Missing effective date. ","") &amp; IF($D76="","Missing binding status. ","") &amp; IF($E76="","Missing movement type. ","") &amp; IF($I76="","Missing make. ","") &amp; IF($L76="","Missing vehicle class. ","") &amp; IF($M76="","Missing agreed value. ","") &amp; IF($N76="","Missing policy type. ","") &amp; IF($Q76="","Missing garaging state. ","") &amp; IF($R76="","Missing garaging ZIP. ","") &amp; IF($S76="","Missing cat zone. ","") &amp; IF($V76="","Missing valuation basis. ","") &amp; IF($W76="","Missing PD deductible. ","") &amp; IF($X76="","Missing liability limit. ","") &amp; IF($AB76="","Missing technical premium. ","") &amp; IF($AF76="","Missing surplus lines tax %. ",""))="","PASS","FAIL: "&amp;TRIM(IF($A76="","Missing certificate ref. ","") &amp; IF($C76="","Missing effective date. ","") &amp; IF($D76="","Missing binding status. ","") &amp; IF($E76="","Missing movement type. ","") &amp; IF($I76="","Missing make. ","") &amp; IF($L76="","Missing vehicle class. ","") &amp; IF($M76="","Missing agreed value. ","") &amp; IF($N76="","Missing policy type. ","") &amp; IF($Q76="","Missing garaging state. ","") &amp; IF($R76="","Missing garaging ZIP. ","") &amp; IF($S76="","Missing cat zone. ","") &amp; IF($V76="","Missing valuation basis. ","") &amp; IF($W76="","Missing PD deductible. ","") &amp; IF($X76="","Missing liability limit. ","") &amp; IF($AB76="","Missing technical premium. ","") &amp; IF($AF76="","Missing surplus lines tax %. ",""))))</f>
      </c>
      <c r="AY76" s="44">
        <f>IF($M76="","",IF(ISNUMBER($M76),IF($M76&gt;=Header!$C$18,"YES — refer","No"),""))</f>
      </c>
      <c r="AZ76" s="44">
        <f>IF($AD76="","",IF(ISNUMBER($AD76),IF($AD76&lt;Header!$C$20,"BELOW MIN PREMIUM","OK"),""))</f>
      </c>
      <c r="BA76" s="48" t="inlineStr">
        <is>
          <t xml:space="preserve">Yes</t>
        </is>
      </c>
      <c r="BB76" s="48" t="inlineStr">
        <is>
          <t xml:space="preserve">Yes</t>
        </is>
      </c>
      <c r="BC76" s="46" t="inlineStr">
        <is>
          <t xml:space="preserve">Synthetic demo data</t>
        </is>
      </c>
      <c r="BE76" s="45">
        <f>IF(OR($A76="",$L76="",$H76=""),"",IF(AND(LEFT($L76,2)="06",$H76&gt;1945),"FAIL - pre-war class, year "&amp;$H76,IF(AND(LEFT($L76,2)="07",OR($H76&lt;1946,$H76&gt;1972)),"FAIL - 1946-72 class, year "&amp;$H76,IF(AND(LEFT($L76,2)="08",OR($H76&lt;1973,$H76&gt;1999)),"FAIL - 1973-99 class, year "&amp;$H76,IF(AND(LEFT($L76,2)="09",OR($H76&lt;2000,$H76&gt;2010)),"FAIL - 2000-10 class, year "&amp;$H76,"OK")))))</f>
      </c>
      <c r="BF76" s="45">
        <f>IF($AD76="","",IF(ROUND($AO76+$AP76+$AQ76-$AD76,2)=0,"OK","FAIL - out by "&amp;TEXT($AO76+$AP76+$AQ76-$AD76,"$0.00")))</f>
      </c>
    </row>
    <row r="77" spans="1:58" ht="18.75" customHeight="1" x14ac:dyDescent="0.25">
      <c r="A77" s="30" t="inlineStr">
        <is>
          <t xml:space="preserve">CANON-202511-002263</t>
        </is>
      </c>
      <c r="B77" s="30" t="inlineStr">
        <is>
          <t xml:space="preserve">Priya Merriweather</t>
        </is>
      </c>
      <c r="C77" s="31">
        <v>45988</v>
      </c>
      <c r="D77" s="32" t="inlineStr">
        <is>
          <t xml:space="preserve">Bound - within authority</t>
        </is>
      </c>
      <c r="E77" s="32" t="inlineStr">
        <is>
          <t xml:space="preserve">New business</t>
        </is>
      </c>
      <c r="F77" s="30" t="inlineStr">
        <is>
          <t xml:space="preserve">B1234EXOTIC26</t>
        </is>
      </c>
      <c r="G77" s="33">
        <f>IF($A77="","",IF($C77="","",YEAR($C77)))</f>
      </c>
      <c r="H77" s="34">
        <v>2011</v>
      </c>
      <c r="I77" s="30" t="inlineStr">
        <is>
          <t xml:space="preserve">Porsche</t>
        </is>
      </c>
      <c r="J77" s="30" t="inlineStr">
        <is>
          <t xml:space="preserve">911 Turbo S</t>
        </is>
      </c>
      <c r="K77" s="30" t="inlineStr">
        <is>
          <t xml:space="preserve">2BSJGTU173B3WXUSJ</t>
        </is>
      </c>
      <c r="L77" s="32" t="inlineStr">
        <is>
          <t xml:space="preserve">02 - Sports / GT</t>
        </is>
      </c>
      <c r="M77" s="35">
        <v>360000</v>
      </c>
      <c r="N77" s="32" t="inlineStr">
        <is>
          <t xml:space="preserve">Personal</t>
        </is>
      </c>
      <c r="O77" s="30" t="inlineStr">
        <is>
          <t xml:space="preserve">Personal - regular use</t>
        </is>
      </c>
      <c r="P77" s="30" t="inlineStr">
        <is>
          <t xml:space="preserve">Under 1,000</t>
        </is>
      </c>
      <c r="Q77" s="30" t="inlineStr">
        <is>
          <t xml:space="preserve">New Jersey</t>
        </is>
      </c>
      <c r="R77" s="30" t="inlineStr">
        <is>
          <t xml:space="preserve">07102</t>
        </is>
      </c>
      <c r="S77" s="32" t="inlineStr">
        <is>
          <t xml:space="preserve">Tier 3 - Coastal wind (25-100 miles)</t>
        </is>
      </c>
      <c r="T77" s="36">
        <f>IF($A77="","",IF($S77="","",IFERROR(INDEX('[1]natural catastrophe'!$D$6:$D$17,MATCH($S77,'[1]natural catastrophe'!$B$6:$B$17,0)),"?")))</f>
      </c>
      <c r="U77" s="30" t="inlineStr">
        <is>
          <t xml:space="preserve">2% of agreed value, minimum $10,000</t>
        </is>
      </c>
      <c r="V77" s="32" t="inlineStr">
        <is>
          <t xml:space="preserve">Agreed Value</t>
        </is>
      </c>
      <c r="W77" s="30" t="inlineStr">
        <is>
          <t xml:space="preserve">$1,000</t>
        </is>
      </c>
      <c r="X77" s="32" t="inlineStr">
        <is>
          <t xml:space="preserve">$1,000,000 CSL</t>
        </is>
      </c>
      <c r="Y77" s="30"/>
      <c r="Z77" s="30"/>
      <c r="AA77" s="32" t="inlineStr">
        <is>
          <t xml:space="preserve">Surplus Lines</t>
        </is>
      </c>
      <c r="AB77" s="35">
        <v>4262.2</v>
      </c>
      <c r="AC77" s="37">
        <v>0</v>
      </c>
      <c r="AD77" s="38">
        <f>IF(ISNUMBER($AB77),$AB77*(1+N($AC77)),"")</f>
      </c>
      <c r="AE77" s="35">
        <v>350</v>
      </c>
      <c r="AF77" s="35">
        <v>0</v>
      </c>
      <c r="AG77" s="37"/>
      <c r="AH77" s="39">
        <f>IF(ISNUMBER($AD77),($AD77+$AE77+$AF77)*$AG77,"")</f>
      </c>
      <c r="AI77" s="35"/>
      <c r="AJ77" s="38">
        <f>IF(ISNUMBER($AD77),SUM($AD77:$AH77),"")</f>
      </c>
      <c r="AK77" s="40">
        <f>IF(AND(ISNUMBER($AB77),ISNUMBER($AD77)),IF($AB77&gt;0,$AD77/$AB77,""),"")</f>
      </c>
      <c r="AL77" s="32" t="inlineStr">
        <is>
          <t xml:space="preserve">At technical</t>
        </is>
      </c>
      <c r="AM77" s="41">
        <f>IF(ISNUMBER($AD77),Header!$I$3,"")</f>
      </c>
      <c r="AN77" s="39">
        <f>IF(ISNUMBER($AD77),$AO77+$AP77,"")</f>
      </c>
      <c r="AO77" s="39">
        <f>IF(ISNUMBER($AD77),ROUND($AD77*Header!$K$3,2),"")</f>
      </c>
      <c r="AP77" s="39">
        <f>IF(ISNUMBER($AD77),ROUND($AD77*Header!$M$3,2),"")</f>
      </c>
      <c r="AQ77" s="38">
        <f>IF(ISNUMBER($AD77),ROUND($AD77,2)-$AO77-$AP77,"")</f>
      </c>
      <c r="AR77" s="39">
        <f>IF(ISNUMBER($AD77),IF(Header!$D$34="","?",$AD77*Header!$D$34),"")</f>
      </c>
      <c r="AS77" s="39">
        <f>IF(ISNUMBER($AB77),IF(Header!$D$34="","?",$AB77*Header!$D$34),"")</f>
      </c>
      <c r="AT77" s="42">
        <f>IF(AND(ISNUMBER($AB77),$M77&gt;0),$AB77/$M77*100,"")</f>
      </c>
      <c r="AU77" s="42">
        <f>IF(AND(ISNUMBER($AD77),$M77&gt;0),$AD77/$M77*100,"")</f>
      </c>
      <c r="AV77" s="40">
        <f>IF(AND(ISNUMBER($AB77),ISNUMBER($AD77),ABS($AB77)&gt;0),$AD77/$AB77,"")</f>
      </c>
      <c r="AW77" s="39">
        <f>IF(ISNUMBER($AD77),MAX(0,(1-0.55-Header!$O$3)*Header!$Q$3*$AQ77),"")</f>
      </c>
      <c r="AX77" s="43">
        <f>IF($A77="","",IF(TRIM(IF($A77="","Missing certificate ref. ","") &amp; IF($C77="","Missing effective date. ","") &amp; IF($D77="","Missing binding status. ","") &amp; IF($E77="","Missing movement type. ","") &amp; IF($I77="","Missing make. ","") &amp; IF($L77="","Missing vehicle class. ","") &amp; IF($M77="","Missing agreed value. ","") &amp; IF($N77="","Missing policy type. ","") &amp; IF($Q77="","Missing garaging state. ","") &amp; IF($R77="","Missing garaging ZIP. ","") &amp; IF($S77="","Missing cat zone. ","") &amp; IF($V77="","Missing valuation basis. ","") &amp; IF($W77="","Missing PD deductible. ","") &amp; IF($X77="","Missing liability limit. ","") &amp; IF($AB77="","Missing technical premium. ","") &amp; IF($AF77="","Missing surplus lines tax %. ",""))="","PASS","FAIL: "&amp;TRIM(IF($A77="","Missing certificate ref. ","") &amp; IF($C77="","Missing effective date. ","") &amp; IF($D77="","Missing binding status. ","") &amp; IF($E77="","Missing movement type. ","") &amp; IF($I77="","Missing make. ","") &amp; IF($L77="","Missing vehicle class. ","") &amp; IF($M77="","Missing agreed value. ","") &amp; IF($N77="","Missing policy type. ","") &amp; IF($Q77="","Missing garaging state. ","") &amp; IF($R77="","Missing garaging ZIP. ","") &amp; IF($S77="","Missing cat zone. ","") &amp; IF($V77="","Missing valuation basis. ","") &amp; IF($W77="","Missing PD deductible. ","") &amp; IF($X77="","Missing liability limit. ","") &amp; IF($AB77="","Missing technical premium. ","") &amp; IF($AF77="","Missing surplus lines tax %. ",""))))</f>
      </c>
      <c r="AY77" s="44">
        <f>IF($M77="","",IF(ISNUMBER($M77),IF($M77&gt;=Header!$C$18,"YES — refer","No"),""))</f>
      </c>
      <c r="AZ77" s="44">
        <f>IF($AD77="","",IF(ISNUMBER($AD77),IF($AD77&lt;Header!$C$20,"BELOW MIN PREMIUM","OK"),""))</f>
      </c>
      <c r="BA77" s="32" t="inlineStr">
        <is>
          <t xml:space="preserve">Yes</t>
        </is>
      </c>
      <c r="BB77" s="32" t="inlineStr">
        <is>
          <t xml:space="preserve">Yes</t>
        </is>
      </c>
      <c r="BC77" s="30" t="inlineStr">
        <is>
          <t xml:space="preserve">Synthetic demo data</t>
        </is>
      </c>
      <c r="BE77" s="45">
        <f>IF(OR($A77="",$L77="",$H77=""),"",IF(AND(LEFT($L77,2)="06",$H77&gt;1945),"FAIL - pre-war class, year "&amp;$H77,IF(AND(LEFT($L77,2)="07",OR($H77&lt;1946,$H77&gt;1972)),"FAIL - 1946-72 class, year "&amp;$H77,IF(AND(LEFT($L77,2)="08",OR($H77&lt;1973,$H77&gt;1999)),"FAIL - 1973-99 class, year "&amp;$H77,IF(AND(LEFT($L77,2)="09",OR($H77&lt;2000,$H77&gt;2010)),"FAIL - 2000-10 class, year "&amp;$H77,"OK")))))</f>
      </c>
      <c r="BF77" s="45">
        <f>IF($AD77="","",IF(ROUND($AO77+$AP77+$AQ77-$AD77,2)=0,"OK","FAIL - out by "&amp;TEXT($AO77+$AP77+$AQ77-$AD77,"$0.00")))</f>
      </c>
    </row>
    <row r="78" spans="1:58" ht="18.75" customHeight="1" x14ac:dyDescent="0.25">
      <c r="A78" s="46" t="inlineStr">
        <is>
          <t xml:space="preserve">CANON-202511-002264</t>
        </is>
      </c>
      <c r="B78" s="46" t="inlineStr">
        <is>
          <t xml:space="preserve">Thaddeus Farkas</t>
        </is>
      </c>
      <c r="C78" s="47">
        <v>45972</v>
      </c>
      <c r="D78" s="48" t="inlineStr">
        <is>
          <t xml:space="preserve">Bound - within authority</t>
        </is>
      </c>
      <c r="E78" s="48" t="inlineStr">
        <is>
          <t xml:space="preserve">New business</t>
        </is>
      </c>
      <c r="F78" s="46" t="inlineStr">
        <is>
          <t xml:space="preserve">B1234EXOTIC26</t>
        </is>
      </c>
      <c r="G78" s="33">
        <f>IF($A78="","",IF($C78="","",YEAR($C78)))</f>
      </c>
      <c r="H78" s="49">
        <v>2002</v>
      </c>
      <c r="I78" s="46" t="inlineStr">
        <is>
          <t xml:space="preserve">Lamborghini</t>
        </is>
      </c>
      <c r="J78" s="46" t="inlineStr">
        <is>
          <t xml:space="preserve">Huracan EVO</t>
        </is>
      </c>
      <c r="K78" s="46" t="inlineStr">
        <is>
          <t xml:space="preserve">4Y4K1T4VCR2G7PZAU</t>
        </is>
      </c>
      <c r="L78" s="48" t="inlineStr">
        <is>
          <t xml:space="preserve">03 - Supercar</t>
        </is>
      </c>
      <c r="M78" s="50">
        <v>305000</v>
      </c>
      <c r="N78" s="48" t="inlineStr">
        <is>
          <t xml:space="preserve">Personal</t>
        </is>
      </c>
      <c r="O78" s="46" t="inlineStr">
        <is>
          <t xml:space="preserve">Personal - regular use</t>
        </is>
      </c>
      <c r="P78" s="46" t="inlineStr">
        <is>
          <t xml:space="preserve">Under 1,000</t>
        </is>
      </c>
      <c r="Q78" s="46" t="inlineStr">
        <is>
          <t xml:space="preserve">Illinois</t>
        </is>
      </c>
      <c r="R78" s="46" t="inlineStr">
        <is>
          <t xml:space="preserve">60601</t>
        </is>
      </c>
      <c r="S78" s="48" t="inlineStr">
        <is>
          <t xml:space="preserve">Severe convective - hail / tornado (moderate)</t>
        </is>
      </c>
      <c r="T78" s="36">
        <f>IF($A78="","",IF($S78="","",IFERROR(INDEX('[1]natural catastrophe'!$D$6:$D$17,MATCH($S78,'[1]natural catastrophe'!$B$6:$B$17,0)),"?")))</f>
      </c>
      <c r="U78" s="46" t="inlineStr">
        <is>
          <t xml:space="preserve">$5,000</t>
        </is>
      </c>
      <c r="V78" s="48" t="inlineStr">
        <is>
          <t xml:space="preserve">Agreed Value</t>
        </is>
      </c>
      <c r="W78" s="46" t="inlineStr">
        <is>
          <t xml:space="preserve">$1,000</t>
        </is>
      </c>
      <c r="X78" s="48" t="inlineStr">
        <is>
          <t xml:space="preserve">$1,000,000 CSL</t>
        </is>
      </c>
      <c r="Y78" s="46"/>
      <c r="Z78" s="46"/>
      <c r="AA78" s="48" t="inlineStr">
        <is>
          <t xml:space="preserve">Surplus Lines</t>
        </is>
      </c>
      <c r="AB78" s="50">
        <v>8274.95</v>
      </c>
      <c r="AC78" s="51">
        <v>0</v>
      </c>
      <c r="AD78" s="38">
        <f>IF(ISNUMBER($AB78),$AB78*(1+N($AC78)),"")</f>
      </c>
      <c r="AE78" s="50">
        <v>350</v>
      </c>
      <c r="AF78" s="50">
        <v>0</v>
      </c>
      <c r="AG78" s="51"/>
      <c r="AH78" s="39">
        <f>IF(ISNUMBER($AD78),($AD78+$AE78+$AF78)*$AG78,"")</f>
      </c>
      <c r="AI78" s="50"/>
      <c r="AJ78" s="38">
        <f>IF(ISNUMBER($AD78),SUM($AD78:$AH78),"")</f>
      </c>
      <c r="AK78" s="40">
        <f>IF(AND(ISNUMBER($AB78),ISNUMBER($AD78)),IF($AB78&gt;0,$AD78/$AB78,""),"")</f>
      </c>
      <c r="AL78" s="48" t="inlineStr">
        <is>
          <t xml:space="preserve">At technical</t>
        </is>
      </c>
      <c r="AM78" s="41">
        <f>IF(ISNUMBER($AD78),Header!$I$3,"")</f>
      </c>
      <c r="AN78" s="39">
        <f>IF(ISNUMBER($AD78),$AO78+$AP78,"")</f>
      </c>
      <c r="AO78" s="39">
        <f>IF(ISNUMBER($AD78),ROUND($AD78*Header!$K$3,2),"")</f>
      </c>
      <c r="AP78" s="39">
        <f>IF(ISNUMBER($AD78),ROUND($AD78*Header!$M$3,2),"")</f>
      </c>
      <c r="AQ78" s="38">
        <f>IF(ISNUMBER($AD78),ROUND($AD78,2)-$AO78-$AP78,"")</f>
      </c>
      <c r="AR78" s="39">
        <f>IF(ISNUMBER($AD78),IF(Header!$D$34="","?",$AD78*Header!$D$34),"")</f>
      </c>
      <c r="AS78" s="39">
        <f>IF(ISNUMBER($AB78),IF(Header!$D$34="","?",$AB78*Header!$D$34),"")</f>
      </c>
      <c r="AT78" s="42">
        <f>IF(AND(ISNUMBER($AB78),$M78&gt;0),$AB78/$M78*100,"")</f>
      </c>
      <c r="AU78" s="42">
        <f>IF(AND(ISNUMBER($AD78),$M78&gt;0),$AD78/$M78*100,"")</f>
      </c>
      <c r="AV78" s="40">
        <f>IF(AND(ISNUMBER($AB78),ISNUMBER($AD78),ABS($AB78)&gt;0),$AD78/$AB78,"")</f>
      </c>
      <c r="AW78" s="39">
        <f>IF(ISNUMBER($AD78),MAX(0,(1-0.55-Header!$O$3)*Header!$Q$3*$AQ78),"")</f>
      </c>
      <c r="AX78" s="43">
        <f>IF($A78="","",IF(TRIM(IF($A78="","Missing certificate ref. ","") &amp; IF($C78="","Missing effective date. ","") &amp; IF($D78="","Missing binding status. ","") &amp; IF($E78="","Missing movement type. ","") &amp; IF($I78="","Missing make. ","") &amp; IF($L78="","Missing vehicle class. ","") &amp; IF($M78="","Missing agreed value. ","") &amp; IF($N78="","Missing policy type. ","") &amp; IF($Q78="","Missing garaging state. ","") &amp; IF($R78="","Missing garaging ZIP. ","") &amp; IF($S78="","Missing cat zone. ","") &amp; IF($V78="","Missing valuation basis. ","") &amp; IF($W78="","Missing PD deductible. ","") &amp; IF($X78="","Missing liability limit. ","") &amp; IF($AB78="","Missing technical premium. ","") &amp; IF($AF78="","Missing surplus lines tax %. ",""))="","PASS","FAIL: "&amp;TRIM(IF($A78="","Missing certificate ref. ","") &amp; IF($C78="","Missing effective date. ","") &amp; IF($D78="","Missing binding status. ","") &amp; IF($E78="","Missing movement type. ","") &amp; IF($I78="","Missing make. ","") &amp; IF($L78="","Missing vehicle class. ","") &amp; IF($M78="","Missing agreed value. ","") &amp; IF($N78="","Missing policy type. ","") &amp; IF($Q78="","Missing garaging state. ","") &amp; IF($R78="","Missing garaging ZIP. ","") &amp; IF($S78="","Missing cat zone. ","") &amp; IF($V78="","Missing valuation basis. ","") &amp; IF($W78="","Missing PD deductible. ","") &amp; IF($X78="","Missing liability limit. ","") &amp; IF($AB78="","Missing technical premium. ","") &amp; IF($AF78="","Missing surplus lines tax %. ",""))))</f>
      </c>
      <c r="AY78" s="44">
        <f>IF($M78="","",IF(ISNUMBER($M78),IF($M78&gt;=Header!$C$18,"YES — refer","No"),""))</f>
      </c>
      <c r="AZ78" s="44">
        <f>IF($AD78="","",IF(ISNUMBER($AD78),IF($AD78&lt;Header!$C$20,"BELOW MIN PREMIUM","OK"),""))</f>
      </c>
      <c r="BA78" s="48" t="inlineStr">
        <is>
          <t xml:space="preserve">Yes</t>
        </is>
      </c>
      <c r="BB78" s="48" t="inlineStr">
        <is>
          <t xml:space="preserve">Yes</t>
        </is>
      </c>
      <c r="BC78" s="46" t="inlineStr">
        <is>
          <t xml:space="preserve">Synthetic demo data</t>
        </is>
      </c>
      <c r="BE78" s="45">
        <f>IF(OR($A78="",$L78="",$H78=""),"",IF(AND(LEFT($L78,2)="06",$H78&gt;1945),"FAIL - pre-war class, year "&amp;$H78,IF(AND(LEFT($L78,2)="07",OR($H78&lt;1946,$H78&gt;1972)),"FAIL - 1946-72 class, year "&amp;$H78,IF(AND(LEFT($L78,2)="08",OR($H78&lt;1973,$H78&gt;1999)),"FAIL - 1973-99 class, year "&amp;$H78,IF(AND(LEFT($L78,2)="09",OR($H78&lt;2000,$H78&gt;2010)),"FAIL - 2000-10 class, year "&amp;$H78,"OK")))))</f>
      </c>
      <c r="BF78" s="45">
        <f>IF($AD78="","",IF(ROUND($AO78+$AP78+$AQ78-$AD78,2)=0,"OK","FAIL - out by "&amp;TEXT($AO78+$AP78+$AQ78-$AD78,"$0.00")))</f>
      </c>
    </row>
    <row r="79" spans="1:58" ht="18.75" customHeight="1" x14ac:dyDescent="0.25">
      <c r="A79" s="30" t="inlineStr">
        <is>
          <t xml:space="preserve">CANON-202511-002265</t>
        </is>
      </c>
      <c r="B79" s="30" t="inlineStr">
        <is>
          <t xml:space="preserve">Emiliano Farkas</t>
        </is>
      </c>
      <c r="C79" s="31">
        <v>45988</v>
      </c>
      <c r="D79" s="32" t="inlineStr">
        <is>
          <t xml:space="preserve">Bound - within authority</t>
        </is>
      </c>
      <c r="E79" s="32" t="inlineStr">
        <is>
          <t xml:space="preserve">New business</t>
        </is>
      </c>
      <c r="F79" s="30" t="inlineStr">
        <is>
          <t xml:space="preserve">B1234EXOTIC26</t>
        </is>
      </c>
      <c r="G79" s="33">
        <f>IF($A79="","",IF($C79="","",YEAR($C79)))</f>
      </c>
      <c r="H79" s="34">
        <v>2007</v>
      </c>
      <c r="I79" s="30" t="inlineStr">
        <is>
          <t xml:space="preserve">Porsche</t>
        </is>
      </c>
      <c r="J79" s="30" t="inlineStr">
        <is>
          <t xml:space="preserve">911 Turbo S</t>
        </is>
      </c>
      <c r="K79" s="30" t="inlineStr">
        <is>
          <t xml:space="preserve">YP4CASZPM50EV6300</t>
        </is>
      </c>
      <c r="L79" s="32" t="inlineStr">
        <is>
          <t xml:space="preserve">02 - Sports / GT</t>
        </is>
      </c>
      <c r="M79" s="35">
        <v>1120000</v>
      </c>
      <c r="N79" s="32" t="inlineStr">
        <is>
          <t xml:space="preserve">Personal</t>
        </is>
      </c>
      <c r="O79" s="30" t="inlineStr">
        <is>
          <t xml:space="preserve">Personal - regular use</t>
        </is>
      </c>
      <c r="P79" s="30" t="inlineStr">
        <is>
          <t xml:space="preserve">1,000 - 2,500</t>
        </is>
      </c>
      <c r="Q79" s="30" t="inlineStr">
        <is>
          <t xml:space="preserve">Oregon</t>
        </is>
      </c>
      <c r="R79" s="30" t="inlineStr">
        <is>
          <t xml:space="preserve">97204</t>
        </is>
      </c>
      <c r="S79" s="32" t="inlineStr">
        <is>
          <t xml:space="preserve">Earthquake - high (CA, Cascadia, New Madrid)</t>
        </is>
      </c>
      <c r="T79" s="36">
        <f>IF($A79="","",IF($S79="","",IFERROR(INDEX('[1]natural catastrophe'!$D$6:$D$17,MATCH($S79,'[1]natural catastrophe'!$B$6:$B$17,0)),"?")))</f>
      </c>
      <c r="U79" s="30" t="inlineStr">
        <is>
          <t xml:space="preserve">$5,000</t>
        </is>
      </c>
      <c r="V79" s="32" t="inlineStr">
        <is>
          <t xml:space="preserve">Agreed Value</t>
        </is>
      </c>
      <c r="W79" s="30" t="inlineStr">
        <is>
          <t xml:space="preserve">$1,000</t>
        </is>
      </c>
      <c r="X79" s="32" t="inlineStr">
        <is>
          <t xml:space="preserve">$1,000,000 CSL</t>
        </is>
      </c>
      <c r="Y79" s="30"/>
      <c r="Z79" s="30"/>
      <c r="AA79" s="32" t="inlineStr">
        <is>
          <t xml:space="preserve">Surplus Lines</t>
        </is>
      </c>
      <c r="AB79" s="35">
        <v>12075.01</v>
      </c>
      <c r="AC79" s="37">
        <v>0</v>
      </c>
      <c r="AD79" s="38">
        <f>IF(ISNUMBER($AB79),$AB79*(1+N($AC79)),"")</f>
      </c>
      <c r="AE79" s="35">
        <v>350</v>
      </c>
      <c r="AF79" s="35">
        <v>250</v>
      </c>
      <c r="AG79" s="37"/>
      <c r="AH79" s="39">
        <f>IF(ISNUMBER($AD79),($AD79+$AE79+$AF79)*$AG79,"")</f>
      </c>
      <c r="AI79" s="35"/>
      <c r="AJ79" s="38">
        <f>IF(ISNUMBER($AD79),SUM($AD79:$AH79),"")</f>
      </c>
      <c r="AK79" s="40">
        <f>IF(AND(ISNUMBER($AB79),ISNUMBER($AD79)),IF($AB79&gt;0,$AD79/$AB79,""),"")</f>
      </c>
      <c r="AL79" s="32" t="inlineStr">
        <is>
          <t xml:space="preserve">At technical</t>
        </is>
      </c>
      <c r="AM79" s="41">
        <f>IF(ISNUMBER($AD79),Header!$I$3,"")</f>
      </c>
      <c r="AN79" s="39">
        <f>IF(ISNUMBER($AD79),$AO79+$AP79,"")</f>
      </c>
      <c r="AO79" s="39">
        <f>IF(ISNUMBER($AD79),ROUND($AD79*Header!$K$3,2),"")</f>
      </c>
      <c r="AP79" s="39">
        <f>IF(ISNUMBER($AD79),ROUND($AD79*Header!$M$3,2),"")</f>
      </c>
      <c r="AQ79" s="38">
        <f>IF(ISNUMBER($AD79),ROUND($AD79,2)-$AO79-$AP79,"")</f>
      </c>
      <c r="AR79" s="39">
        <f>IF(ISNUMBER($AD79),IF(Header!$D$34="","?",$AD79*Header!$D$34),"")</f>
      </c>
      <c r="AS79" s="39">
        <f>IF(ISNUMBER($AB79),IF(Header!$D$34="","?",$AB79*Header!$D$34),"")</f>
      </c>
      <c r="AT79" s="42">
        <f>IF(AND(ISNUMBER($AB79),$M79&gt;0),$AB79/$M79*100,"")</f>
      </c>
      <c r="AU79" s="42">
        <f>IF(AND(ISNUMBER($AD79),$M79&gt;0),$AD79/$M79*100,"")</f>
      </c>
      <c r="AV79" s="40">
        <f>IF(AND(ISNUMBER($AB79),ISNUMBER($AD79),ABS($AB79)&gt;0),$AD79/$AB79,"")</f>
      </c>
      <c r="AW79" s="39">
        <f>IF(ISNUMBER($AD79),MAX(0,(1-0.55-Header!$O$3)*Header!$Q$3*$AQ79),"")</f>
      </c>
      <c r="AX79" s="43">
        <f>IF($A79="","",IF(TRIM(IF($A79="","Missing certificate ref. ","") &amp; IF($C79="","Missing effective date. ","") &amp; IF($D79="","Missing binding status. ","") &amp; IF($E79="","Missing movement type. ","") &amp; IF($I79="","Missing make. ","") &amp; IF($L79="","Missing vehicle class. ","") &amp; IF($M79="","Missing agreed value. ","") &amp; IF($N79="","Missing policy type. ","") &amp; IF($Q79="","Missing garaging state. ","") &amp; IF($R79="","Missing garaging ZIP. ","") &amp; IF($S79="","Missing cat zone. ","") &amp; IF($V79="","Missing valuation basis. ","") &amp; IF($W79="","Missing PD deductible. ","") &amp; IF($X79="","Missing liability limit. ","") &amp; IF($AB79="","Missing technical premium. ","") &amp; IF($AF79="","Missing surplus lines tax %. ",""))="","PASS","FAIL: "&amp;TRIM(IF($A79="","Missing certificate ref. ","") &amp; IF($C79="","Missing effective date. ","") &amp; IF($D79="","Missing binding status. ","") &amp; IF($E79="","Missing movement type. ","") &amp; IF($I79="","Missing make. ","") &amp; IF($L79="","Missing vehicle class. ","") &amp; IF($M79="","Missing agreed value. ","") &amp; IF($N79="","Missing policy type. ","") &amp; IF($Q79="","Missing garaging state. ","") &amp; IF($R79="","Missing garaging ZIP. ","") &amp; IF($S79="","Missing cat zone. ","") &amp; IF($V79="","Missing valuation basis. ","") &amp; IF($W79="","Missing PD deductible. ","") &amp; IF($X79="","Missing liability limit. ","") &amp; IF($AB79="","Missing technical premium. ","") &amp; IF($AF79="","Missing surplus lines tax %. ",""))))</f>
      </c>
      <c r="AY79" s="44">
        <f>IF($M79="","",IF(ISNUMBER($M79),IF($M79&gt;=Header!$C$18,"YES — refer","No"),""))</f>
      </c>
      <c r="AZ79" s="44">
        <f>IF($AD79="","",IF(ISNUMBER($AD79),IF($AD79&lt;Header!$C$20,"BELOW MIN PREMIUM","OK"),""))</f>
      </c>
      <c r="BA79" s="32" t="inlineStr">
        <is>
          <t xml:space="preserve">Yes</t>
        </is>
      </c>
      <c r="BB79" s="32" t="inlineStr">
        <is>
          <t xml:space="preserve">Yes</t>
        </is>
      </c>
      <c r="BC79" s="30" t="inlineStr">
        <is>
          <t xml:space="preserve">Synthetic demo data</t>
        </is>
      </c>
      <c r="BE79" s="45">
        <f>IF(OR($A79="",$L79="",$H79=""),"",IF(AND(LEFT($L79,2)="06",$H79&gt;1945),"FAIL - pre-war class, year "&amp;$H79,IF(AND(LEFT($L79,2)="07",OR($H79&lt;1946,$H79&gt;1972)),"FAIL - 1946-72 class, year "&amp;$H79,IF(AND(LEFT($L79,2)="08",OR($H79&lt;1973,$H79&gt;1999)),"FAIL - 1973-99 class, year "&amp;$H79,IF(AND(LEFT($L79,2)="09",OR($H79&lt;2000,$H79&gt;2010)),"FAIL - 2000-10 class, year "&amp;$H79,"OK")))))</f>
      </c>
      <c r="BF79" s="45">
        <f>IF($AD79="","",IF(ROUND($AO79+$AP79+$AQ79-$AD79,2)=0,"OK","FAIL - out by "&amp;TEXT($AO79+$AP79+$AQ79-$AD79,"$0.00")))</f>
      </c>
    </row>
    <row r="80" spans="1:58" ht="18.75" customHeight="1" x14ac:dyDescent="0.25">
      <c r="A80" s="46" t="inlineStr">
        <is>
          <t xml:space="preserve">CANON-202511-002266</t>
        </is>
      </c>
      <c r="B80" s="46" t="inlineStr">
        <is>
          <t xml:space="preserve">Marisol Farkas</t>
        </is>
      </c>
      <c r="C80" s="47">
        <v>45990</v>
      </c>
      <c r="D80" s="48" t="inlineStr">
        <is>
          <t xml:space="preserve">Bound - within authority</t>
        </is>
      </c>
      <c r="E80" s="48" t="inlineStr">
        <is>
          <t xml:space="preserve">New business</t>
        </is>
      </c>
      <c r="F80" s="46" t="inlineStr">
        <is>
          <t xml:space="preserve">B1234EXOTIC26</t>
        </is>
      </c>
      <c r="G80" s="33">
        <f>IF($A80="","",IF($C80="","",YEAR($C80)))</f>
      </c>
      <c r="H80" s="49">
        <v>1984</v>
      </c>
      <c r="I80" s="46" t="inlineStr">
        <is>
          <t xml:space="preserve">Mercedes-Benz</t>
        </is>
      </c>
      <c r="J80" s="46" t="inlineStr">
        <is>
          <t xml:space="preserve">AMG GT</t>
        </is>
      </c>
      <c r="K80" s="46" t="inlineStr">
        <is>
          <t xml:space="preserve">J5TYM2RGSKZBBN382</t>
        </is>
      </c>
      <c r="L80" s="48" t="inlineStr">
        <is>
          <t xml:space="preserve">02 - Sports / GT</t>
        </is>
      </c>
      <c r="M80" s="50">
        <v>895000</v>
      </c>
      <c r="N80" s="48" t="inlineStr">
        <is>
          <t xml:space="preserve">Personal</t>
        </is>
      </c>
      <c r="O80" s="46" t="inlineStr">
        <is>
          <t xml:space="preserve">Personal - regular use</t>
        </is>
      </c>
      <c r="P80" s="46" t="inlineStr">
        <is>
          <t xml:space="preserve">2,500 - 5,000</t>
        </is>
      </c>
      <c r="Q80" s="46" t="inlineStr">
        <is>
          <t xml:space="preserve">West Virginia</t>
        </is>
      </c>
      <c r="R80" s="46" t="inlineStr">
        <is>
          <t xml:space="preserve">25301</t>
        </is>
      </c>
      <c r="S80" s="48" t="inlineStr">
        <is>
          <t xml:space="preserve">Low hazard - inland benign</t>
        </is>
      </c>
      <c r="T80" s="36">
        <f>IF($A80="","",IF($S80="","",IFERROR(INDEX('[1]natural catastrophe'!$D$6:$D$17,MATCH($S80,'[1]natural catastrophe'!$B$6:$B$17,0)),"?")))</f>
      </c>
      <c r="U80" s="46" t="inlineStr">
        <is>
          <t xml:space="preserve">$5,000</t>
        </is>
      </c>
      <c r="V80" s="48" t="inlineStr">
        <is>
          <t xml:space="preserve">Agreed Value</t>
        </is>
      </c>
      <c r="W80" s="46" t="inlineStr">
        <is>
          <t xml:space="preserve">$1,000</t>
        </is>
      </c>
      <c r="X80" s="48" t="inlineStr">
        <is>
          <t xml:space="preserve">$1,000,000 CSL</t>
        </is>
      </c>
      <c r="Y80" s="46"/>
      <c r="Z80" s="46"/>
      <c r="AA80" s="48" t="inlineStr">
        <is>
          <t xml:space="preserve">Surplus Lines</t>
        </is>
      </c>
      <c r="AB80" s="50">
        <v>13421.98</v>
      </c>
      <c r="AC80" s="51">
        <v>0</v>
      </c>
      <c r="AD80" s="38">
        <f>IF(ISNUMBER($AB80),$AB80*(1+N($AC80)),"")</f>
      </c>
      <c r="AE80" s="50">
        <v>350</v>
      </c>
      <c r="AF80" s="50">
        <v>0</v>
      </c>
      <c r="AG80" s="51"/>
      <c r="AH80" s="39">
        <f>IF(ISNUMBER($AD80),($AD80+$AE80+$AF80)*$AG80,"")</f>
      </c>
      <c r="AI80" s="50"/>
      <c r="AJ80" s="38">
        <f>IF(ISNUMBER($AD80),SUM($AD80:$AH80),"")</f>
      </c>
      <c r="AK80" s="40">
        <f>IF(AND(ISNUMBER($AB80),ISNUMBER($AD80)),IF($AB80&gt;0,$AD80/$AB80,""),"")</f>
      </c>
      <c r="AL80" s="48" t="inlineStr">
        <is>
          <t xml:space="preserve">At technical</t>
        </is>
      </c>
      <c r="AM80" s="41">
        <f>IF(ISNUMBER($AD80),Header!$I$3,"")</f>
      </c>
      <c r="AN80" s="39">
        <f>IF(ISNUMBER($AD80),$AO80+$AP80,"")</f>
      </c>
      <c r="AO80" s="39">
        <f>IF(ISNUMBER($AD80),ROUND($AD80*Header!$K$3,2),"")</f>
      </c>
      <c r="AP80" s="39">
        <f>IF(ISNUMBER($AD80),ROUND($AD80*Header!$M$3,2),"")</f>
      </c>
      <c r="AQ80" s="38">
        <f>IF(ISNUMBER($AD80),ROUND($AD80,2)-$AO80-$AP80,"")</f>
      </c>
      <c r="AR80" s="39">
        <f>IF(ISNUMBER($AD80),IF(Header!$D$34="","?",$AD80*Header!$D$34),"")</f>
      </c>
      <c r="AS80" s="39">
        <f>IF(ISNUMBER($AB80),IF(Header!$D$34="","?",$AB80*Header!$D$34),"")</f>
      </c>
      <c r="AT80" s="42">
        <f>IF(AND(ISNUMBER($AB80),$M80&gt;0),$AB80/$M80*100,"")</f>
      </c>
      <c r="AU80" s="42">
        <f>IF(AND(ISNUMBER($AD80),$M80&gt;0),$AD80/$M80*100,"")</f>
      </c>
      <c r="AV80" s="40">
        <f>IF(AND(ISNUMBER($AB80),ISNUMBER($AD80),ABS($AB80)&gt;0),$AD80/$AB80,"")</f>
      </c>
      <c r="AW80" s="39">
        <f>IF(ISNUMBER($AD80),MAX(0,(1-0.55-Header!$O$3)*Header!$Q$3*$AQ80),"")</f>
      </c>
      <c r="AX80" s="43">
        <f>IF($A80="","",IF(TRIM(IF($A80="","Missing certificate ref. ","") &amp; IF($C80="","Missing effective date. ","") &amp; IF($D80="","Missing binding status. ","") &amp; IF($E80="","Missing movement type. ","") &amp; IF($I80="","Missing make. ","") &amp; IF($L80="","Missing vehicle class. ","") &amp; IF($M80="","Missing agreed value. ","") &amp; IF($N80="","Missing policy type. ","") &amp; IF($Q80="","Missing garaging state. ","") &amp; IF($R80="","Missing garaging ZIP. ","") &amp; IF($S80="","Missing cat zone. ","") &amp; IF($V80="","Missing valuation basis. ","") &amp; IF($W80="","Missing PD deductible. ","") &amp; IF($X80="","Missing liability limit. ","") &amp; IF($AB80="","Missing technical premium. ","") &amp; IF($AF80="","Missing surplus lines tax %. ",""))="","PASS","FAIL: "&amp;TRIM(IF($A80="","Missing certificate ref. ","") &amp; IF($C80="","Missing effective date. ","") &amp; IF($D80="","Missing binding status. ","") &amp; IF($E80="","Missing movement type. ","") &amp; IF($I80="","Missing make. ","") &amp; IF($L80="","Missing vehicle class. ","") &amp; IF($M80="","Missing agreed value. ","") &amp; IF($N80="","Missing policy type. ","") &amp; IF($Q80="","Missing garaging state. ","") &amp; IF($R80="","Missing garaging ZIP. ","") &amp; IF($S80="","Missing cat zone. ","") &amp; IF($V80="","Missing valuation basis. ","") &amp; IF($W80="","Missing PD deductible. ","") &amp; IF($X80="","Missing liability limit. ","") &amp; IF($AB80="","Missing technical premium. ","") &amp; IF($AF80="","Missing surplus lines tax %. ",""))))</f>
      </c>
      <c r="AY80" s="44">
        <f>IF($M80="","",IF(ISNUMBER($M80),IF($M80&gt;=Header!$C$18,"YES — refer","No"),""))</f>
      </c>
      <c r="AZ80" s="44">
        <f>IF($AD80="","",IF(ISNUMBER($AD80),IF($AD80&lt;Header!$C$20,"BELOW MIN PREMIUM","OK"),""))</f>
      </c>
      <c r="BA80" s="48" t="inlineStr">
        <is>
          <t xml:space="preserve">Yes</t>
        </is>
      </c>
      <c r="BB80" s="48" t="inlineStr">
        <is>
          <t xml:space="preserve">Yes</t>
        </is>
      </c>
      <c r="BC80" s="46" t="inlineStr">
        <is>
          <t xml:space="preserve">Synthetic demo data</t>
        </is>
      </c>
      <c r="BE80" s="45">
        <f>IF(OR($A80="",$L80="",$H80=""),"",IF(AND(LEFT($L80,2)="06",$H80&gt;1945),"FAIL - pre-war class, year "&amp;$H80,IF(AND(LEFT($L80,2)="07",OR($H80&lt;1946,$H80&gt;1972)),"FAIL - 1946-72 class, year "&amp;$H80,IF(AND(LEFT($L80,2)="08",OR($H80&lt;1973,$H80&gt;1999)),"FAIL - 1973-99 class, year "&amp;$H80,IF(AND(LEFT($L80,2)="09",OR($H80&lt;2000,$H80&gt;2010)),"FAIL - 2000-10 class, year "&amp;$H80,"OK")))))</f>
      </c>
      <c r="BF80" s="45">
        <f>IF($AD80="","",IF(ROUND($AO80+$AP80+$AQ80-$AD80,2)=0,"OK","FAIL - out by "&amp;TEXT($AO80+$AP80+$AQ80-$AD80,"$0.00")))</f>
      </c>
    </row>
    <row r="81" spans="1:58" ht="18.75" customHeight="1" x14ac:dyDescent="0.25">
      <c r="A81" s="30" t="inlineStr">
        <is>
          <t xml:space="preserve">CANON-202511-002267</t>
        </is>
      </c>
      <c r="B81" s="30" t="inlineStr">
        <is>
          <t xml:space="preserve">Noor Pennington</t>
        </is>
      </c>
      <c r="C81" s="31">
        <v>45978</v>
      </c>
      <c r="D81" s="32" t="inlineStr">
        <is>
          <t xml:space="preserve">Bound - within authority</t>
        </is>
      </c>
      <c r="E81" s="32" t="inlineStr">
        <is>
          <t xml:space="preserve">New business</t>
        </is>
      </c>
      <c r="F81" s="30" t="inlineStr">
        <is>
          <t xml:space="preserve">B1234EXOTIC26</t>
        </is>
      </c>
      <c r="G81" s="33">
        <f>IF($A81="","",IF($C81="","",YEAR($C81)))</f>
      </c>
      <c r="H81" s="34">
        <v>1963</v>
      </c>
      <c r="I81" s="30" t="inlineStr">
        <is>
          <t xml:space="preserve">Mercedes-Benz</t>
        </is>
      </c>
      <c r="J81" s="30" t="inlineStr">
        <is>
          <t xml:space="preserve">AMG GT</t>
        </is>
      </c>
      <c r="K81" s="30" t="inlineStr">
        <is>
          <t xml:space="preserve">AUF0GDM5ZN98U3WPS</t>
        </is>
      </c>
      <c r="L81" s="32" t="inlineStr">
        <is>
          <t xml:space="preserve">02 - Sports / GT</t>
        </is>
      </c>
      <c r="M81" s="35">
        <v>175000</v>
      </c>
      <c r="N81" s="32" t="inlineStr">
        <is>
          <t xml:space="preserve">Personal</t>
        </is>
      </c>
      <c r="O81" s="30" t="inlineStr">
        <is>
          <t xml:space="preserve">Personal - regular use</t>
        </is>
      </c>
      <c r="P81" s="30" t="inlineStr">
        <is>
          <t xml:space="preserve">2,500 - 5,000</t>
        </is>
      </c>
      <c r="Q81" s="30" t="inlineStr">
        <is>
          <t xml:space="preserve">Michigan</t>
        </is>
      </c>
      <c r="R81" s="30" t="inlineStr">
        <is>
          <t xml:space="preserve">48226</t>
        </is>
      </c>
      <c r="S81" s="32" t="inlineStr">
        <is>
          <t xml:space="preserve">Severe convective - hail / tornado (moderate)</t>
        </is>
      </c>
      <c r="T81" s="36">
        <f>IF($A81="","",IF($S81="","",IFERROR(INDEX('[1]natural catastrophe'!$D$6:$D$17,MATCH($S81,'[1]natural catastrophe'!$B$6:$B$17,0)),"?")))</f>
      </c>
      <c r="U81" s="30" t="inlineStr">
        <is>
          <t xml:space="preserve">$5,000</t>
        </is>
      </c>
      <c r="V81" s="32" t="inlineStr">
        <is>
          <t xml:space="preserve">Agreed Value</t>
        </is>
      </c>
      <c r="W81" s="30" t="inlineStr">
        <is>
          <t xml:space="preserve">$1,000</t>
        </is>
      </c>
      <c r="X81" s="32" t="inlineStr">
        <is>
          <t xml:space="preserve">$1,000,000 CSL</t>
        </is>
      </c>
      <c r="Y81" s="30"/>
      <c r="Z81" s="30"/>
      <c r="AA81" s="32" t="inlineStr">
        <is>
          <t xml:space="preserve">Surplus Lines</t>
        </is>
      </c>
      <c r="AB81" s="35">
        <v>4328.99</v>
      </c>
      <c r="AC81" s="37">
        <v>0</v>
      </c>
      <c r="AD81" s="38">
        <f>IF(ISNUMBER($AB81),$AB81*(1+N($AC81)),"")</f>
      </c>
      <c r="AE81" s="35">
        <v>350</v>
      </c>
      <c r="AF81" s="35">
        <v>0</v>
      </c>
      <c r="AG81" s="37"/>
      <c r="AH81" s="39">
        <f>IF(ISNUMBER($AD81),($AD81+$AE81+$AF81)*$AG81,"")</f>
      </c>
      <c r="AI81" s="35"/>
      <c r="AJ81" s="38">
        <f>IF(ISNUMBER($AD81),SUM($AD81:$AH81),"")</f>
      </c>
      <c r="AK81" s="40">
        <f>IF(AND(ISNUMBER($AB81),ISNUMBER($AD81)),IF($AB81&gt;0,$AD81/$AB81,""),"")</f>
      </c>
      <c r="AL81" s="32" t="inlineStr">
        <is>
          <t xml:space="preserve">At technical</t>
        </is>
      </c>
      <c r="AM81" s="41">
        <f>IF(ISNUMBER($AD81),Header!$I$3,"")</f>
      </c>
      <c r="AN81" s="39">
        <f>IF(ISNUMBER($AD81),$AO81+$AP81,"")</f>
      </c>
      <c r="AO81" s="39">
        <f>IF(ISNUMBER($AD81),ROUND($AD81*Header!$K$3,2),"")</f>
      </c>
      <c r="AP81" s="39">
        <f>IF(ISNUMBER($AD81),ROUND($AD81*Header!$M$3,2),"")</f>
      </c>
      <c r="AQ81" s="38">
        <f>IF(ISNUMBER($AD81),ROUND($AD81,2)-$AO81-$AP81,"")</f>
      </c>
      <c r="AR81" s="39">
        <f>IF(ISNUMBER($AD81),IF(Header!$D$34="","?",$AD81*Header!$D$34),"")</f>
      </c>
      <c r="AS81" s="39">
        <f>IF(ISNUMBER($AB81),IF(Header!$D$34="","?",$AB81*Header!$D$34),"")</f>
      </c>
      <c r="AT81" s="42">
        <f>IF(AND(ISNUMBER($AB81),$M81&gt;0),$AB81/$M81*100,"")</f>
      </c>
      <c r="AU81" s="42">
        <f>IF(AND(ISNUMBER($AD81),$M81&gt;0),$AD81/$M81*100,"")</f>
      </c>
      <c r="AV81" s="40">
        <f>IF(AND(ISNUMBER($AB81),ISNUMBER($AD81),ABS($AB81)&gt;0),$AD81/$AB81,"")</f>
      </c>
      <c r="AW81" s="39">
        <f>IF(ISNUMBER($AD81),MAX(0,(1-0.55-Header!$O$3)*Header!$Q$3*$AQ81),"")</f>
      </c>
      <c r="AX81" s="43">
        <f>IF($A81="","",IF(TRIM(IF($A81="","Missing certificate ref. ","") &amp; IF($C81="","Missing effective date. ","") &amp; IF($D81="","Missing binding status. ","") &amp; IF($E81="","Missing movement type. ","") &amp; IF($I81="","Missing make. ","") &amp; IF($L81="","Missing vehicle class. ","") &amp; IF($M81="","Missing agreed value. ","") &amp; IF($N81="","Missing policy type. ","") &amp; IF($Q81="","Missing garaging state. ","") &amp; IF($R81="","Missing garaging ZIP. ","") &amp; IF($S81="","Missing cat zone. ","") &amp; IF($V81="","Missing valuation basis. ","") &amp; IF($W81="","Missing PD deductible. ","") &amp; IF($X81="","Missing liability limit. ","") &amp; IF($AB81="","Missing technical premium. ","") &amp; IF($AF81="","Missing surplus lines tax %. ",""))="","PASS","FAIL: "&amp;TRIM(IF($A81="","Missing certificate ref. ","") &amp; IF($C81="","Missing effective date. ","") &amp; IF($D81="","Missing binding status. ","") &amp; IF($E81="","Missing movement type. ","") &amp; IF($I81="","Missing make. ","") &amp; IF($L81="","Missing vehicle class. ","") &amp; IF($M81="","Missing agreed value. ","") &amp; IF($N81="","Missing policy type. ","") &amp; IF($Q81="","Missing garaging state. ","") &amp; IF($R81="","Missing garaging ZIP. ","") &amp; IF($S81="","Missing cat zone. ","") &amp; IF($V81="","Missing valuation basis. ","") &amp; IF($W81="","Missing PD deductible. ","") &amp; IF($X81="","Missing liability limit. ","") &amp; IF($AB81="","Missing technical premium. ","") &amp; IF($AF81="","Missing surplus lines tax %. ",""))))</f>
      </c>
      <c r="AY81" s="44">
        <f>IF($M81="","",IF(ISNUMBER($M81),IF($M81&gt;=Header!$C$18,"YES — refer","No"),""))</f>
      </c>
      <c r="AZ81" s="44">
        <f>IF($AD81="","",IF(ISNUMBER($AD81),IF($AD81&lt;Header!$C$20,"BELOW MIN PREMIUM","OK"),""))</f>
      </c>
      <c r="BA81" s="32" t="inlineStr">
        <is>
          <t xml:space="preserve">Yes</t>
        </is>
      </c>
      <c r="BB81" s="32" t="inlineStr">
        <is>
          <t xml:space="preserve">Yes</t>
        </is>
      </c>
      <c r="BC81" s="30" t="inlineStr">
        <is>
          <t xml:space="preserve">Synthetic demo data</t>
        </is>
      </c>
      <c r="BE81" s="45">
        <f>IF(OR($A81="",$L81="",$H81=""),"",IF(AND(LEFT($L81,2)="06",$H81&gt;1945),"FAIL - pre-war class, year "&amp;$H81,IF(AND(LEFT($L81,2)="07",OR($H81&lt;1946,$H81&gt;1972)),"FAIL - 1946-72 class, year "&amp;$H81,IF(AND(LEFT($L81,2)="08",OR($H81&lt;1973,$H81&gt;1999)),"FAIL - 1973-99 class, year "&amp;$H81,IF(AND(LEFT($L81,2)="09",OR($H81&lt;2000,$H81&gt;2010)),"FAIL - 2000-10 class, year "&amp;$H81,"OK")))))</f>
      </c>
      <c r="BF81" s="45">
        <f>IF($AD81="","",IF(ROUND($AO81+$AP81+$AQ81-$AD81,2)=0,"OK","FAIL - out by "&amp;TEXT($AO81+$AP81+$AQ81-$AD81,"$0.00")))</f>
      </c>
    </row>
    <row r="82" spans="1:58" ht="18.75" customHeight="1" x14ac:dyDescent="0.25">
      <c r="A82" s="46" t="inlineStr">
        <is>
          <t xml:space="preserve">CANON-202511-002268</t>
        </is>
      </c>
      <c r="B82" s="46" t="inlineStr">
        <is>
          <t xml:space="preserve">Priya Okonkwo</t>
        </is>
      </c>
      <c r="C82" s="47">
        <v>45988</v>
      </c>
      <c r="D82" s="48" t="inlineStr">
        <is>
          <t xml:space="preserve">Bound - within authority</t>
        </is>
      </c>
      <c r="E82" s="48" t="inlineStr">
        <is>
          <t xml:space="preserve">New business</t>
        </is>
      </c>
      <c r="F82" s="46" t="inlineStr">
        <is>
          <t xml:space="preserve">B1234EXOTIC26</t>
        </is>
      </c>
      <c r="G82" s="33">
        <f>IF($A82="","",IF($C82="","",YEAR($C82)))</f>
      </c>
      <c r="H82" s="49">
        <v>2006</v>
      </c>
      <c r="I82" s="46" t="inlineStr">
        <is>
          <t xml:space="preserve">Aston Martin</t>
        </is>
      </c>
      <c r="J82" s="46" t="inlineStr">
        <is>
          <t xml:space="preserve">DB12</t>
        </is>
      </c>
      <c r="K82" s="46" t="inlineStr">
        <is>
          <t xml:space="preserve">TPVZ5CEHTKGNTS1EB</t>
        </is>
      </c>
      <c r="L82" s="48" t="inlineStr">
        <is>
          <t xml:space="preserve">02 - Sports / GT</t>
        </is>
      </c>
      <c r="M82" s="50">
        <v>1635000</v>
      </c>
      <c r="N82" s="48" t="inlineStr">
        <is>
          <t xml:space="preserve">Personal</t>
        </is>
      </c>
      <c r="O82" s="46" t="inlineStr">
        <is>
          <t xml:space="preserve">Personal - regular use</t>
        </is>
      </c>
      <c r="P82" s="46" t="inlineStr">
        <is>
          <t xml:space="preserve">2,500 - 5,000</t>
        </is>
      </c>
      <c r="Q82" s="46" t="inlineStr">
        <is>
          <t xml:space="preserve">Michigan</t>
        </is>
      </c>
      <c r="R82" s="46" t="inlineStr">
        <is>
          <t xml:space="preserve">48226</t>
        </is>
      </c>
      <c r="S82" s="48" t="inlineStr">
        <is>
          <t xml:space="preserve">Severe convective - hail / tornado (moderate)</t>
        </is>
      </c>
      <c r="T82" s="36">
        <f>IF($A82="","",IF($S82="","",IFERROR(INDEX('[1]natural catastrophe'!$D$6:$D$17,MATCH($S82,'[1]natural catastrophe'!$B$6:$B$17,0)),"?")))</f>
      </c>
      <c r="U82" s="46" t="inlineStr">
        <is>
          <t xml:space="preserve">$5,000</t>
        </is>
      </c>
      <c r="V82" s="48" t="inlineStr">
        <is>
          <t xml:space="preserve">Agreed Value</t>
        </is>
      </c>
      <c r="W82" s="46" t="inlineStr">
        <is>
          <t xml:space="preserve">$1,000</t>
        </is>
      </c>
      <c r="X82" s="48" t="inlineStr">
        <is>
          <t xml:space="preserve">$1,000,000 CSL</t>
        </is>
      </c>
      <c r="Y82" s="46"/>
      <c r="Z82" s="46"/>
      <c r="AA82" s="48" t="inlineStr">
        <is>
          <t xml:space="preserve">Surplus Lines</t>
        </is>
      </c>
      <c r="AB82" s="50">
        <v>24179.14</v>
      </c>
      <c r="AC82" s="51">
        <v>0</v>
      </c>
      <c r="AD82" s="38">
        <f>IF(ISNUMBER($AB82),$AB82*(1+N($AC82)),"")</f>
      </c>
      <c r="AE82" s="50">
        <v>350</v>
      </c>
      <c r="AF82" s="50">
        <v>250</v>
      </c>
      <c r="AG82" s="51"/>
      <c r="AH82" s="39">
        <f>IF(ISNUMBER($AD82),($AD82+$AE82+$AF82)*$AG82,"")</f>
      </c>
      <c r="AI82" s="50"/>
      <c r="AJ82" s="38">
        <f>IF(ISNUMBER($AD82),SUM($AD82:$AH82),"")</f>
      </c>
      <c r="AK82" s="40">
        <f>IF(AND(ISNUMBER($AB82),ISNUMBER($AD82)),IF($AB82&gt;0,$AD82/$AB82,""),"")</f>
      </c>
      <c r="AL82" s="48" t="inlineStr">
        <is>
          <t xml:space="preserve">At technical</t>
        </is>
      </c>
      <c r="AM82" s="41">
        <f>IF(ISNUMBER($AD82),Header!$I$3,"")</f>
      </c>
      <c r="AN82" s="39">
        <f>IF(ISNUMBER($AD82),$AO82+$AP82,"")</f>
      </c>
      <c r="AO82" s="39">
        <f>IF(ISNUMBER($AD82),ROUND($AD82*Header!$K$3,2),"")</f>
      </c>
      <c r="AP82" s="39">
        <f>IF(ISNUMBER($AD82),ROUND($AD82*Header!$M$3,2),"")</f>
      </c>
      <c r="AQ82" s="38">
        <f>IF(ISNUMBER($AD82),ROUND($AD82,2)-$AO82-$AP82,"")</f>
      </c>
      <c r="AR82" s="39">
        <f>IF(ISNUMBER($AD82),IF(Header!$D$34="","?",$AD82*Header!$D$34),"")</f>
      </c>
      <c r="AS82" s="39">
        <f>IF(ISNUMBER($AB82),IF(Header!$D$34="","?",$AB82*Header!$D$34),"")</f>
      </c>
      <c r="AT82" s="42">
        <f>IF(AND(ISNUMBER($AB82),$M82&gt;0),$AB82/$M82*100,"")</f>
      </c>
      <c r="AU82" s="42">
        <f>IF(AND(ISNUMBER($AD82),$M82&gt;0),$AD82/$M82*100,"")</f>
      </c>
      <c r="AV82" s="40">
        <f>IF(AND(ISNUMBER($AB82),ISNUMBER($AD82),ABS($AB82)&gt;0),$AD82/$AB82,"")</f>
      </c>
      <c r="AW82" s="39">
        <f>IF(ISNUMBER($AD82),MAX(0,(1-0.55-Header!$O$3)*Header!$Q$3*$AQ82),"")</f>
      </c>
      <c r="AX82" s="43">
        <f>IF($A82="","",IF(TRIM(IF($A82="","Missing certificate ref. ","") &amp; IF($C82="","Missing effective date. ","") &amp; IF($D82="","Missing binding status. ","") &amp; IF($E82="","Missing movement type. ","") &amp; IF($I82="","Missing make. ","") &amp; IF($L82="","Missing vehicle class. ","") &amp; IF($M82="","Missing agreed value. ","") &amp; IF($N82="","Missing policy type. ","") &amp; IF($Q82="","Missing garaging state. ","") &amp; IF($R82="","Missing garaging ZIP. ","") &amp; IF($S82="","Missing cat zone. ","") &amp; IF($V82="","Missing valuation basis. ","") &amp; IF($W82="","Missing PD deductible. ","") &amp; IF($X82="","Missing liability limit. ","") &amp; IF($AB82="","Missing technical premium. ","") &amp; IF($AF82="","Missing surplus lines tax %. ",""))="","PASS","FAIL: "&amp;TRIM(IF($A82="","Missing certificate ref. ","") &amp; IF($C82="","Missing effective date. ","") &amp; IF($D82="","Missing binding status. ","") &amp; IF($E82="","Missing movement type. ","") &amp; IF($I82="","Missing make. ","") &amp; IF($L82="","Missing vehicle class. ","") &amp; IF($M82="","Missing agreed value. ","") &amp; IF($N82="","Missing policy type. ","") &amp; IF($Q82="","Missing garaging state. ","") &amp; IF($R82="","Missing garaging ZIP. ","") &amp; IF($S82="","Missing cat zone. ","") &amp; IF($V82="","Missing valuation basis. ","") &amp; IF($W82="","Missing PD deductible. ","") &amp; IF($X82="","Missing liability limit. ","") &amp; IF($AB82="","Missing technical premium. ","") &amp; IF($AF82="","Missing surplus lines tax %. ",""))))</f>
      </c>
      <c r="AY82" s="44">
        <f>IF($M82="","",IF(ISNUMBER($M82),IF($M82&gt;=Header!$C$18,"YES — refer","No"),""))</f>
      </c>
      <c r="AZ82" s="44">
        <f>IF($AD82="","",IF(ISNUMBER($AD82),IF($AD82&lt;Header!$C$20,"BELOW MIN PREMIUM","OK"),""))</f>
      </c>
      <c r="BA82" s="48" t="inlineStr">
        <is>
          <t xml:space="preserve">Yes</t>
        </is>
      </c>
      <c r="BB82" s="48" t="inlineStr">
        <is>
          <t xml:space="preserve">Yes</t>
        </is>
      </c>
      <c r="BC82" s="46" t="inlineStr">
        <is>
          <t xml:space="preserve">Synthetic demo data</t>
        </is>
      </c>
      <c r="BE82" s="45">
        <f>IF(OR($A82="",$L82="",$H82=""),"",IF(AND(LEFT($L82,2)="06",$H82&gt;1945),"FAIL - pre-war class, year "&amp;$H82,IF(AND(LEFT($L82,2)="07",OR($H82&lt;1946,$H82&gt;1972)),"FAIL - 1946-72 class, year "&amp;$H82,IF(AND(LEFT($L82,2)="08",OR($H82&lt;1973,$H82&gt;1999)),"FAIL - 1973-99 class, year "&amp;$H82,IF(AND(LEFT($L82,2)="09",OR($H82&lt;2000,$H82&gt;2010)),"FAIL - 2000-10 class, year "&amp;$H82,"OK")))))</f>
      </c>
      <c r="BF82" s="45">
        <f>IF($AD82="","",IF(ROUND($AO82+$AP82+$AQ82-$AD82,2)=0,"OK","FAIL - out by "&amp;TEXT($AO82+$AP82+$AQ82-$AD82,"$0.00")))</f>
      </c>
    </row>
    <row r="83" spans="1:58" ht="18.75" customHeight="1" x14ac:dyDescent="0.25">
      <c r="A83" s="30" t="inlineStr">
        <is>
          <t xml:space="preserve">CANON-202511-002269</t>
        </is>
      </c>
      <c r="B83" s="30" t="inlineStr">
        <is>
          <t xml:space="preserve">Ottilie Castellanos</t>
        </is>
      </c>
      <c r="C83" s="31">
        <v>45988</v>
      </c>
      <c r="D83" s="32" t="inlineStr">
        <is>
          <t xml:space="preserve">Bound - within authority</t>
        </is>
      </c>
      <c r="E83" s="32" t="inlineStr">
        <is>
          <t xml:space="preserve">New business</t>
        </is>
      </c>
      <c r="F83" s="30" t="inlineStr">
        <is>
          <t xml:space="preserve">B1234EXOTIC26</t>
        </is>
      </c>
      <c r="G83" s="33">
        <f>IF($A83="","",IF($C83="","",YEAR($C83)))</f>
      </c>
      <c r="H83" s="34">
        <v>1991</v>
      </c>
      <c r="I83" s="30" t="inlineStr">
        <is>
          <t xml:space="preserve">Ferrari</t>
        </is>
      </c>
      <c r="J83" s="30" t="inlineStr">
        <is>
          <t xml:space="preserve">SF90 Stradale</t>
        </is>
      </c>
      <c r="K83" s="30" t="inlineStr">
        <is>
          <t xml:space="preserve">5LH5DSDPBG0FF3GF9</t>
        </is>
      </c>
      <c r="L83" s="32" t="inlineStr">
        <is>
          <t xml:space="preserve">03 - Supercar</t>
        </is>
      </c>
      <c r="M83" s="35">
        <v>430000</v>
      </c>
      <c r="N83" s="32" t="inlineStr">
        <is>
          <t xml:space="preserve">Personal</t>
        </is>
      </c>
      <c r="O83" s="30" t="inlineStr">
        <is>
          <t xml:space="preserve">Personal - regular use</t>
        </is>
      </c>
      <c r="P83" s="30" t="inlineStr">
        <is>
          <t xml:space="preserve">2,500 - 5,000</t>
        </is>
      </c>
      <c r="Q83" s="30" t="inlineStr">
        <is>
          <t xml:space="preserve">New Jersey</t>
        </is>
      </c>
      <c r="R83" s="30" t="inlineStr">
        <is>
          <t xml:space="preserve">07102</t>
        </is>
      </c>
      <c r="S83" s="32" t="inlineStr">
        <is>
          <t xml:space="preserve">Tier 3 - Coastal wind (25-100 miles)</t>
        </is>
      </c>
      <c r="T83" s="36">
        <f>IF($A83="","",IF($S83="","",IFERROR(INDEX('[1]natural catastrophe'!$D$6:$D$17,MATCH($S83,'[1]natural catastrophe'!$B$6:$B$17,0)),"?")))</f>
      </c>
      <c r="U83" s="30" t="inlineStr">
        <is>
          <t xml:space="preserve">2% of agreed value, minimum $10,000</t>
        </is>
      </c>
      <c r="V83" s="32" t="inlineStr">
        <is>
          <t xml:space="preserve">Agreed Value</t>
        </is>
      </c>
      <c r="W83" s="30" t="inlineStr">
        <is>
          <t xml:space="preserve">$1,000</t>
        </is>
      </c>
      <c r="X83" s="32" t="inlineStr">
        <is>
          <t xml:space="preserve">$1,000,000 CSL</t>
        </is>
      </c>
      <c r="Y83" s="30"/>
      <c r="Z83" s="30"/>
      <c r="AA83" s="32" t="inlineStr">
        <is>
          <t xml:space="preserve">Surplus Lines</t>
        </is>
      </c>
      <c r="AB83" s="35">
        <v>7806.14</v>
      </c>
      <c r="AC83" s="37">
        <v>0</v>
      </c>
      <c r="AD83" s="38">
        <f>IF(ISNUMBER($AB83),$AB83*(1+N($AC83)),"")</f>
      </c>
      <c r="AE83" s="35">
        <v>350</v>
      </c>
      <c r="AF83" s="35">
        <v>0</v>
      </c>
      <c r="AG83" s="37"/>
      <c r="AH83" s="39">
        <f>IF(ISNUMBER($AD83),($AD83+$AE83+$AF83)*$AG83,"")</f>
      </c>
      <c r="AI83" s="35"/>
      <c r="AJ83" s="38">
        <f>IF(ISNUMBER($AD83),SUM($AD83:$AH83),"")</f>
      </c>
      <c r="AK83" s="40">
        <f>IF(AND(ISNUMBER($AB83),ISNUMBER($AD83)),IF($AB83&gt;0,$AD83/$AB83,""),"")</f>
      </c>
      <c r="AL83" s="32" t="inlineStr">
        <is>
          <t xml:space="preserve">At technical</t>
        </is>
      </c>
      <c r="AM83" s="41">
        <f>IF(ISNUMBER($AD83),Header!$I$3,"")</f>
      </c>
      <c r="AN83" s="39">
        <f>IF(ISNUMBER($AD83),$AO83+$AP83,"")</f>
      </c>
      <c r="AO83" s="39">
        <f>IF(ISNUMBER($AD83),ROUND($AD83*Header!$K$3,2),"")</f>
      </c>
      <c r="AP83" s="39">
        <f>IF(ISNUMBER($AD83),ROUND($AD83*Header!$M$3,2),"")</f>
      </c>
      <c r="AQ83" s="38">
        <f>IF(ISNUMBER($AD83),ROUND($AD83,2)-$AO83-$AP83,"")</f>
      </c>
      <c r="AR83" s="39">
        <f>IF(ISNUMBER($AD83),IF(Header!$D$34="","?",$AD83*Header!$D$34),"")</f>
      </c>
      <c r="AS83" s="39">
        <f>IF(ISNUMBER($AB83),IF(Header!$D$34="","?",$AB83*Header!$D$34),"")</f>
      </c>
      <c r="AT83" s="42">
        <f>IF(AND(ISNUMBER($AB83),$M83&gt;0),$AB83/$M83*100,"")</f>
      </c>
      <c r="AU83" s="42">
        <f>IF(AND(ISNUMBER($AD83),$M83&gt;0),$AD83/$M83*100,"")</f>
      </c>
      <c r="AV83" s="40">
        <f>IF(AND(ISNUMBER($AB83),ISNUMBER($AD83),ABS($AB83)&gt;0),$AD83/$AB83,"")</f>
      </c>
      <c r="AW83" s="39">
        <f>IF(ISNUMBER($AD83),MAX(0,(1-0.55-Header!$O$3)*Header!$Q$3*$AQ83),"")</f>
      </c>
      <c r="AX83" s="43">
        <f>IF($A83="","",IF(TRIM(IF($A83="","Missing certificate ref. ","") &amp; IF($C83="","Missing effective date. ","") &amp; IF($D83="","Missing binding status. ","") &amp; IF($E83="","Missing movement type. ","") &amp; IF($I83="","Missing make. ","") &amp; IF($L83="","Missing vehicle class. ","") &amp; IF($M83="","Missing agreed value. ","") &amp; IF($N83="","Missing policy type. ","") &amp; IF($Q83="","Missing garaging state. ","") &amp; IF($R83="","Missing garaging ZIP. ","") &amp; IF($S83="","Missing cat zone. ","") &amp; IF($V83="","Missing valuation basis. ","") &amp; IF($W83="","Missing PD deductible. ","") &amp; IF($X83="","Missing liability limit. ","") &amp; IF($AB83="","Missing technical premium. ","") &amp; IF($AF83="","Missing surplus lines tax %. ",""))="","PASS","FAIL: "&amp;TRIM(IF($A83="","Missing certificate ref. ","") &amp; IF($C83="","Missing effective date. ","") &amp; IF($D83="","Missing binding status. ","") &amp; IF($E83="","Missing movement type. ","") &amp; IF($I83="","Missing make. ","") &amp; IF($L83="","Missing vehicle class. ","") &amp; IF($M83="","Missing agreed value. ","") &amp; IF($N83="","Missing policy type. ","") &amp; IF($Q83="","Missing garaging state. ","") &amp; IF($R83="","Missing garaging ZIP. ","") &amp; IF($S83="","Missing cat zone. ","") &amp; IF($V83="","Missing valuation basis. ","") &amp; IF($W83="","Missing PD deductible. ","") &amp; IF($X83="","Missing liability limit. ","") &amp; IF($AB83="","Missing technical premium. ","") &amp; IF($AF83="","Missing surplus lines tax %. ",""))))</f>
      </c>
      <c r="AY83" s="44">
        <f>IF($M83="","",IF(ISNUMBER($M83),IF($M83&gt;=Header!$C$18,"YES — refer","No"),""))</f>
      </c>
      <c r="AZ83" s="44">
        <f>IF($AD83="","",IF(ISNUMBER($AD83),IF($AD83&lt;Header!$C$20,"BELOW MIN PREMIUM","OK"),""))</f>
      </c>
      <c r="BA83" s="32" t="inlineStr">
        <is>
          <t xml:space="preserve">Yes</t>
        </is>
      </c>
      <c r="BB83" s="32" t="inlineStr">
        <is>
          <t xml:space="preserve">Yes</t>
        </is>
      </c>
      <c r="BC83" s="30" t="inlineStr">
        <is>
          <t xml:space="preserve">Synthetic demo data</t>
        </is>
      </c>
      <c r="BE83" s="45">
        <f>IF(OR($A83="",$L83="",$H83=""),"",IF(AND(LEFT($L83,2)="06",$H83&gt;1945),"FAIL - pre-war class, year "&amp;$H83,IF(AND(LEFT($L83,2)="07",OR($H83&lt;1946,$H83&gt;1972)),"FAIL - 1946-72 class, year "&amp;$H83,IF(AND(LEFT($L83,2)="08",OR($H83&lt;1973,$H83&gt;1999)),"FAIL - 1973-99 class, year "&amp;$H83,IF(AND(LEFT($L83,2)="09",OR($H83&lt;2000,$H83&gt;2010)),"FAIL - 2000-10 class, year "&amp;$H83,"OK")))))</f>
      </c>
      <c r="BF83" s="45">
        <f>IF($AD83="","",IF(ROUND($AO83+$AP83+$AQ83-$AD83,2)=0,"OK","FAIL - out by "&amp;TEXT($AO83+$AP83+$AQ83-$AD83,"$0.00")))</f>
      </c>
    </row>
    <row r="84" spans="1:58" ht="18.75" customHeight="1" x14ac:dyDescent="0.25">
      <c r="A84" s="46" t="inlineStr">
        <is>
          <t xml:space="preserve">CANON-202511-002270</t>
        </is>
      </c>
      <c r="B84" s="46" t="inlineStr">
        <is>
          <t xml:space="preserve">Mireille Nakashima</t>
        </is>
      </c>
      <c r="C84" s="47">
        <v>45987</v>
      </c>
      <c r="D84" s="48" t="inlineStr">
        <is>
          <t xml:space="preserve">Bound - within authority</t>
        </is>
      </c>
      <c r="E84" s="48" t="inlineStr">
        <is>
          <t xml:space="preserve">New business</t>
        </is>
      </c>
      <c r="F84" s="46" t="inlineStr">
        <is>
          <t xml:space="preserve">B1234EXOTIC26</t>
        </is>
      </c>
      <c r="G84" s="33">
        <f>IF($A84="","",IF($C84="","",YEAR($C84)))</f>
      </c>
      <c r="H84" s="49">
        <v>1965</v>
      </c>
      <c r="I84" s="46" t="inlineStr">
        <is>
          <t xml:space="preserve">Lamborghini</t>
        </is>
      </c>
      <c r="J84" s="46" t="inlineStr">
        <is>
          <t xml:space="preserve">Huracan EVO</t>
        </is>
      </c>
      <c r="K84" s="46" t="inlineStr">
        <is>
          <t xml:space="preserve">VACJM87KZFRVRK9T3</t>
        </is>
      </c>
      <c r="L84" s="48" t="inlineStr">
        <is>
          <t xml:space="preserve">03 - Supercar</t>
        </is>
      </c>
      <c r="M84" s="50">
        <v>1205000</v>
      </c>
      <c r="N84" s="48" t="inlineStr">
        <is>
          <t xml:space="preserve">Personal</t>
        </is>
      </c>
      <c r="O84" s="46" t="inlineStr">
        <is>
          <t xml:space="preserve">Personal - regular use</t>
        </is>
      </c>
      <c r="P84" s="46" t="inlineStr">
        <is>
          <t xml:space="preserve">2,500 - 5,000</t>
        </is>
      </c>
      <c r="Q84" s="46" t="inlineStr">
        <is>
          <t xml:space="preserve">North Dakota</t>
        </is>
      </c>
      <c r="R84" s="46" t="inlineStr">
        <is>
          <t xml:space="preserve">58501</t>
        </is>
      </c>
      <c r="S84" s="48" t="inlineStr">
        <is>
          <t xml:space="preserve">Severe convective - hail alley (high)</t>
        </is>
      </c>
      <c r="T84" s="36">
        <f>IF($A84="","",IF($S84="","",IFERROR(INDEX('[1]natural catastrophe'!$D$6:$D$17,MATCH($S84,'[1]natural catastrophe'!$B$6:$B$17,0)),"?")))</f>
      </c>
      <c r="U84" s="46" t="inlineStr">
        <is>
          <t xml:space="preserve">$5,000</t>
        </is>
      </c>
      <c r="V84" s="48" t="inlineStr">
        <is>
          <t xml:space="preserve">Agreed Value</t>
        </is>
      </c>
      <c r="W84" s="46" t="inlineStr">
        <is>
          <t xml:space="preserve">$1,000</t>
        </is>
      </c>
      <c r="X84" s="48" t="inlineStr">
        <is>
          <t xml:space="preserve">$1,000,000 CSL</t>
        </is>
      </c>
      <c r="Y84" s="46"/>
      <c r="Z84" s="46"/>
      <c r="AA84" s="48" t="inlineStr">
        <is>
          <t xml:space="preserve">Surplus Lines</t>
        </is>
      </c>
      <c r="AB84" s="50">
        <v>17057.12</v>
      </c>
      <c r="AC84" s="51">
        <v>0</v>
      </c>
      <c r="AD84" s="38">
        <f>IF(ISNUMBER($AB84),$AB84*(1+N($AC84)),"")</f>
      </c>
      <c r="AE84" s="50">
        <v>350</v>
      </c>
      <c r="AF84" s="50">
        <v>250</v>
      </c>
      <c r="AG84" s="51"/>
      <c r="AH84" s="39">
        <f>IF(ISNUMBER($AD84),($AD84+$AE84+$AF84)*$AG84,"")</f>
      </c>
      <c r="AI84" s="50"/>
      <c r="AJ84" s="38">
        <f>IF(ISNUMBER($AD84),SUM($AD84:$AH84),"")</f>
      </c>
      <c r="AK84" s="40">
        <f>IF(AND(ISNUMBER($AB84),ISNUMBER($AD84)),IF($AB84&gt;0,$AD84/$AB84,""),"")</f>
      </c>
      <c r="AL84" s="48" t="inlineStr">
        <is>
          <t xml:space="preserve">At technical</t>
        </is>
      </c>
      <c r="AM84" s="41">
        <f>IF(ISNUMBER($AD84),Header!$I$3,"")</f>
      </c>
      <c r="AN84" s="39">
        <f>IF(ISNUMBER($AD84),$AO84+$AP84,"")</f>
      </c>
      <c r="AO84" s="39">
        <f>IF(ISNUMBER($AD84),ROUND($AD84*Header!$K$3,2),"")</f>
      </c>
      <c r="AP84" s="39">
        <f>IF(ISNUMBER($AD84),ROUND($AD84*Header!$M$3,2),"")</f>
      </c>
      <c r="AQ84" s="38">
        <f>IF(ISNUMBER($AD84),ROUND($AD84,2)-$AO84-$AP84,"")</f>
      </c>
      <c r="AR84" s="39">
        <f>IF(ISNUMBER($AD84),IF(Header!$D$34="","?",$AD84*Header!$D$34),"")</f>
      </c>
      <c r="AS84" s="39">
        <f>IF(ISNUMBER($AB84),IF(Header!$D$34="","?",$AB84*Header!$D$34),"")</f>
      </c>
      <c r="AT84" s="42">
        <f>IF(AND(ISNUMBER($AB84),$M84&gt;0),$AB84/$M84*100,"")</f>
      </c>
      <c r="AU84" s="42">
        <f>IF(AND(ISNUMBER($AD84),$M84&gt;0),$AD84/$M84*100,"")</f>
      </c>
      <c r="AV84" s="40">
        <f>IF(AND(ISNUMBER($AB84),ISNUMBER($AD84),ABS($AB84)&gt;0),$AD84/$AB84,"")</f>
      </c>
      <c r="AW84" s="39">
        <f>IF(ISNUMBER($AD84),MAX(0,(1-0.55-Header!$O$3)*Header!$Q$3*$AQ84),"")</f>
      </c>
      <c r="AX84" s="43">
        <f>IF($A84="","",IF(TRIM(IF($A84="","Missing certificate ref. ","") &amp; IF($C84="","Missing effective date. ","") &amp; IF($D84="","Missing binding status. ","") &amp; IF($E84="","Missing movement type. ","") &amp; IF($I84="","Missing make. ","") &amp; IF($L84="","Missing vehicle class. ","") &amp; IF($M84="","Missing agreed value. ","") &amp; IF($N84="","Missing policy type. ","") &amp; IF($Q84="","Missing garaging state. ","") &amp; IF($R84="","Missing garaging ZIP. ","") &amp; IF($S84="","Missing cat zone. ","") &amp; IF($V84="","Missing valuation basis. ","") &amp; IF($W84="","Missing PD deductible. ","") &amp; IF($X84="","Missing liability limit. ","") &amp; IF($AB84="","Missing technical premium. ","") &amp; IF($AF84="","Missing surplus lines tax %. ",""))="","PASS","FAIL: "&amp;TRIM(IF($A84="","Missing certificate ref. ","") &amp; IF($C84="","Missing effective date. ","") &amp; IF($D84="","Missing binding status. ","") &amp; IF($E84="","Missing movement type. ","") &amp; IF($I84="","Missing make. ","") &amp; IF($L84="","Missing vehicle class. ","") &amp; IF($M84="","Missing agreed value. ","") &amp; IF($N84="","Missing policy type. ","") &amp; IF($Q84="","Missing garaging state. ","") &amp; IF($R84="","Missing garaging ZIP. ","") &amp; IF($S84="","Missing cat zone. ","") &amp; IF($V84="","Missing valuation basis. ","") &amp; IF($W84="","Missing PD deductible. ","") &amp; IF($X84="","Missing liability limit. ","") &amp; IF($AB84="","Missing technical premium. ","") &amp; IF($AF84="","Missing surplus lines tax %. ",""))))</f>
      </c>
      <c r="AY84" s="44">
        <f>IF($M84="","",IF(ISNUMBER($M84),IF($M84&gt;=Header!$C$18,"YES — refer","No"),""))</f>
      </c>
      <c r="AZ84" s="44">
        <f>IF($AD84="","",IF(ISNUMBER($AD84),IF($AD84&lt;Header!$C$20,"BELOW MIN PREMIUM","OK"),""))</f>
      </c>
      <c r="BA84" s="48" t="inlineStr">
        <is>
          <t xml:space="preserve">Yes</t>
        </is>
      </c>
      <c r="BB84" s="48" t="inlineStr">
        <is>
          <t xml:space="preserve">Yes</t>
        </is>
      </c>
      <c r="BC84" s="46" t="inlineStr">
        <is>
          <t xml:space="preserve">Synthetic demo data</t>
        </is>
      </c>
      <c r="BE84" s="45">
        <f>IF(OR($A84="",$L84="",$H84=""),"",IF(AND(LEFT($L84,2)="06",$H84&gt;1945),"FAIL - pre-war class, year "&amp;$H84,IF(AND(LEFT($L84,2)="07",OR($H84&lt;1946,$H84&gt;1972)),"FAIL - 1946-72 class, year "&amp;$H84,IF(AND(LEFT($L84,2)="08",OR($H84&lt;1973,$H84&gt;1999)),"FAIL - 1973-99 class, year "&amp;$H84,IF(AND(LEFT($L84,2)="09",OR($H84&lt;2000,$H84&gt;2010)),"FAIL - 2000-10 class, year "&amp;$H84,"OK")))))</f>
      </c>
      <c r="BF84" s="45">
        <f>IF($AD84="","",IF(ROUND($AO84+$AP84+$AQ84-$AD84,2)=0,"OK","FAIL - out by "&amp;TEXT($AO84+$AP84+$AQ84-$AD84,"$0.00")))</f>
      </c>
    </row>
    <row r="85" spans="1:58" ht="18.75" customHeight="1" x14ac:dyDescent="0.25">
      <c r="A85" s="30" t="inlineStr">
        <is>
          <t xml:space="preserve">CANON-202511-002272</t>
        </is>
      </c>
      <c r="B85" s="30" t="inlineStr">
        <is>
          <t xml:space="preserve">Lorenzo Rourke</t>
        </is>
      </c>
      <c r="C85" s="31">
        <v>45972</v>
      </c>
      <c r="D85" s="32" t="inlineStr">
        <is>
          <t xml:space="preserve">Bound - within authority</t>
        </is>
      </c>
      <c r="E85" s="32" t="inlineStr">
        <is>
          <t xml:space="preserve">New business</t>
        </is>
      </c>
      <c r="F85" s="30" t="inlineStr">
        <is>
          <t xml:space="preserve">B1234EXOTIC26</t>
        </is>
      </c>
      <c r="G85" s="33">
        <f>IF($A85="","",IF($C85="","",YEAR($C85)))</f>
      </c>
      <c r="H85" s="34">
        <v>2009</v>
      </c>
      <c r="I85" s="30" t="inlineStr">
        <is>
          <t xml:space="preserve">BMW</t>
        </is>
      </c>
      <c r="J85" s="30" t="inlineStr">
        <is>
          <t xml:space="preserve">M8 Competition</t>
        </is>
      </c>
      <c r="K85" s="30" t="inlineStr">
        <is>
          <t xml:space="preserve">JEMBW904ZEV5JH5SM</t>
        </is>
      </c>
      <c r="L85" s="32" t="inlineStr">
        <is>
          <t xml:space="preserve">02 - Sports / GT</t>
        </is>
      </c>
      <c r="M85" s="35">
        <v>875000</v>
      </c>
      <c r="N85" s="32" t="inlineStr">
        <is>
          <t xml:space="preserve">Personal</t>
        </is>
      </c>
      <c r="O85" s="30" t="inlineStr">
        <is>
          <t xml:space="preserve">Personal - regular use</t>
        </is>
      </c>
      <c r="P85" s="30" t="inlineStr">
        <is>
          <t xml:space="preserve">1,000 - 2,500</t>
        </is>
      </c>
      <c r="Q85" s="30" t="inlineStr">
        <is>
          <t xml:space="preserve">Arkansas</t>
        </is>
      </c>
      <c r="R85" s="30" t="inlineStr">
        <is>
          <t xml:space="preserve">72201</t>
        </is>
      </c>
      <c r="S85" s="32" t="inlineStr">
        <is>
          <t xml:space="preserve">Severe convective - hail / tornado (moderate)</t>
        </is>
      </c>
      <c r="T85" s="36">
        <f>IF($A85="","",IF($S85="","",IFERROR(INDEX('[1]natural catastrophe'!$D$6:$D$17,MATCH($S85,'[1]natural catastrophe'!$B$6:$B$17,0)),"?")))</f>
      </c>
      <c r="U85" s="30" t="inlineStr">
        <is>
          <t xml:space="preserve">$5,000</t>
        </is>
      </c>
      <c r="V85" s="32" t="inlineStr">
        <is>
          <t xml:space="preserve">Agreed Value</t>
        </is>
      </c>
      <c r="W85" s="30" t="inlineStr">
        <is>
          <t xml:space="preserve">$1,000</t>
        </is>
      </c>
      <c r="X85" s="32" t="inlineStr">
        <is>
          <t xml:space="preserve">$1,000,000 CSL</t>
        </is>
      </c>
      <c r="Y85" s="30"/>
      <c r="Z85" s="30"/>
      <c r="AA85" s="32" t="inlineStr">
        <is>
          <t xml:space="preserve">Surplus Lines</t>
        </is>
      </c>
      <c r="AB85" s="35">
        <v>13615.36</v>
      </c>
      <c r="AC85" s="37">
        <v>0</v>
      </c>
      <c r="AD85" s="38">
        <f>IF(ISNUMBER($AB85),$AB85*(1+N($AC85)),"")</f>
      </c>
      <c r="AE85" s="35">
        <v>350</v>
      </c>
      <c r="AF85" s="35">
        <v>0</v>
      </c>
      <c r="AG85" s="37"/>
      <c r="AH85" s="39">
        <f>IF(ISNUMBER($AD85),($AD85+$AE85+$AF85)*$AG85,"")</f>
      </c>
      <c r="AI85" s="35"/>
      <c r="AJ85" s="38">
        <f>IF(ISNUMBER($AD85),SUM($AD85:$AH85),"")</f>
      </c>
      <c r="AK85" s="40">
        <f>IF(AND(ISNUMBER($AB85),ISNUMBER($AD85)),IF($AB85&gt;0,$AD85/$AB85,""),"")</f>
      </c>
      <c r="AL85" s="32" t="inlineStr">
        <is>
          <t xml:space="preserve">At technical</t>
        </is>
      </c>
      <c r="AM85" s="41">
        <f>IF(ISNUMBER($AD85),Header!$I$3,"")</f>
      </c>
      <c r="AN85" s="39">
        <f>IF(ISNUMBER($AD85),$AO85+$AP85,"")</f>
      </c>
      <c r="AO85" s="39">
        <f>IF(ISNUMBER($AD85),ROUND($AD85*Header!$K$3,2),"")</f>
      </c>
      <c r="AP85" s="39">
        <f>IF(ISNUMBER($AD85),ROUND($AD85*Header!$M$3,2),"")</f>
      </c>
      <c r="AQ85" s="38">
        <f>IF(ISNUMBER($AD85),ROUND($AD85,2)-$AO85-$AP85,"")</f>
      </c>
      <c r="AR85" s="39">
        <f>IF(ISNUMBER($AD85),IF(Header!$D$34="","?",$AD85*Header!$D$34),"")</f>
      </c>
      <c r="AS85" s="39">
        <f>IF(ISNUMBER($AB85),IF(Header!$D$34="","?",$AB85*Header!$D$34),"")</f>
      </c>
      <c r="AT85" s="42">
        <f>IF(AND(ISNUMBER($AB85),$M85&gt;0),$AB85/$M85*100,"")</f>
      </c>
      <c r="AU85" s="42">
        <f>IF(AND(ISNUMBER($AD85),$M85&gt;0),$AD85/$M85*100,"")</f>
      </c>
      <c r="AV85" s="40">
        <f>IF(AND(ISNUMBER($AB85),ISNUMBER($AD85),ABS($AB85)&gt;0),$AD85/$AB85,"")</f>
      </c>
      <c r="AW85" s="39">
        <f>IF(ISNUMBER($AD85),MAX(0,(1-0.55-Header!$O$3)*Header!$Q$3*$AQ85),"")</f>
      </c>
      <c r="AX85" s="43">
        <f>IF($A85="","",IF(TRIM(IF($A85="","Missing certificate ref. ","") &amp; IF($C85="","Missing effective date. ","") &amp; IF($D85="","Missing binding status. ","") &amp; IF($E85="","Missing movement type. ","") &amp; IF($I85="","Missing make. ","") &amp; IF($L85="","Missing vehicle class. ","") &amp; IF($M85="","Missing agreed value. ","") &amp; IF($N85="","Missing policy type. ","") &amp; IF($Q85="","Missing garaging state. ","") &amp; IF($R85="","Missing garaging ZIP. ","") &amp; IF($S85="","Missing cat zone. ","") &amp; IF($V85="","Missing valuation basis. ","") &amp; IF($W85="","Missing PD deductible. ","") &amp; IF($X85="","Missing liability limit. ","") &amp; IF($AB85="","Missing technical premium. ","") &amp; IF($AF85="","Missing surplus lines tax %. ",""))="","PASS","FAIL: "&amp;TRIM(IF($A85="","Missing certificate ref. ","") &amp; IF($C85="","Missing effective date. ","") &amp; IF($D85="","Missing binding status. ","") &amp; IF($E85="","Missing movement type. ","") &amp; IF($I85="","Missing make. ","") &amp; IF($L85="","Missing vehicle class. ","") &amp; IF($M85="","Missing agreed value. ","") &amp; IF($N85="","Missing policy type. ","") &amp; IF($Q85="","Missing garaging state. ","") &amp; IF($R85="","Missing garaging ZIP. ","") &amp; IF($S85="","Missing cat zone. ","") &amp; IF($V85="","Missing valuation basis. ","") &amp; IF($W85="","Missing PD deductible. ","") &amp; IF($X85="","Missing liability limit. ","") &amp; IF($AB85="","Missing technical premium. ","") &amp; IF($AF85="","Missing surplus lines tax %. ",""))))</f>
      </c>
      <c r="AY85" s="44">
        <f>IF($M85="","",IF(ISNUMBER($M85),IF($M85&gt;=Header!$C$18,"YES — refer","No"),""))</f>
      </c>
      <c r="AZ85" s="44">
        <f>IF($AD85="","",IF(ISNUMBER($AD85),IF($AD85&lt;Header!$C$20,"BELOW MIN PREMIUM","OK"),""))</f>
      </c>
      <c r="BA85" s="32" t="inlineStr">
        <is>
          <t xml:space="preserve">Yes</t>
        </is>
      </c>
      <c r="BB85" s="32" t="inlineStr">
        <is>
          <t xml:space="preserve">Yes</t>
        </is>
      </c>
      <c r="BC85" s="30" t="inlineStr">
        <is>
          <t xml:space="preserve">Synthetic demo data</t>
        </is>
      </c>
      <c r="BE85" s="45">
        <f>IF(OR($A85="",$L85="",$H85=""),"",IF(AND(LEFT($L85,2)="06",$H85&gt;1945),"FAIL - pre-war class, year "&amp;$H85,IF(AND(LEFT($L85,2)="07",OR($H85&lt;1946,$H85&gt;1972)),"FAIL - 1946-72 class, year "&amp;$H85,IF(AND(LEFT($L85,2)="08",OR($H85&lt;1973,$H85&gt;1999)),"FAIL - 1973-99 class, year "&amp;$H85,IF(AND(LEFT($L85,2)="09",OR($H85&lt;2000,$H85&gt;2010)),"FAIL - 2000-10 class, year "&amp;$H85,"OK")))))</f>
      </c>
      <c r="BF85" s="45">
        <f>IF($AD85="","",IF(ROUND($AO85+$AP85+$AQ85-$AD85,2)=0,"OK","FAIL - out by "&amp;TEXT($AO85+$AP85+$AQ85-$AD85,"$0.00")))</f>
      </c>
    </row>
    <row r="86" spans="1:58" ht="18.75" customHeight="1" x14ac:dyDescent="0.25">
      <c r="A86" s="46" t="inlineStr">
        <is>
          <t xml:space="preserve">CANON-202511-002273</t>
        </is>
      </c>
      <c r="B86" s="46" t="inlineStr">
        <is>
          <t xml:space="preserve">Ingrid Chattopadhyay</t>
        </is>
      </c>
      <c r="C86" s="47">
        <v>45980</v>
      </c>
      <c r="D86" s="48" t="inlineStr">
        <is>
          <t xml:space="preserve">Bound - within authority</t>
        </is>
      </c>
      <c r="E86" s="48" t="inlineStr">
        <is>
          <t xml:space="preserve">New business</t>
        </is>
      </c>
      <c r="F86" s="46" t="inlineStr">
        <is>
          <t xml:space="preserve">B1234EXOTIC26</t>
        </is>
      </c>
      <c r="G86" s="33">
        <f>IF($A86="","",IF($C86="","",YEAR($C86)))</f>
      </c>
      <c r="H86" s="49">
        <v>1988</v>
      </c>
      <c r="I86" s="46" t="inlineStr">
        <is>
          <t xml:space="preserve">Maserati</t>
        </is>
      </c>
      <c r="J86" s="46" t="inlineStr">
        <is>
          <t xml:space="preserve">GranTurismo</t>
        </is>
      </c>
      <c r="K86" s="46" t="inlineStr">
        <is>
          <t xml:space="preserve">3F5946U1U4UXKU6NV</t>
        </is>
      </c>
      <c r="L86" s="48" t="inlineStr">
        <is>
          <t xml:space="preserve">02 - Sports / GT</t>
        </is>
      </c>
      <c r="M86" s="50">
        <v>620000</v>
      </c>
      <c r="N86" s="48" t="inlineStr">
        <is>
          <t xml:space="preserve">Personal</t>
        </is>
      </c>
      <c r="O86" s="46" t="inlineStr">
        <is>
          <t xml:space="preserve">Personal - regular use</t>
        </is>
      </c>
      <c r="P86" s="46" t="inlineStr">
        <is>
          <t xml:space="preserve">2,500 - 5,000</t>
        </is>
      </c>
      <c r="Q86" s="46" t="inlineStr">
        <is>
          <t xml:space="preserve">Wisconsin</t>
        </is>
      </c>
      <c r="R86" s="46" t="inlineStr">
        <is>
          <t xml:space="preserve">53202</t>
        </is>
      </c>
      <c r="S86" s="48" t="inlineStr">
        <is>
          <t xml:space="preserve">Severe convective - hail / tornado (moderate)</t>
        </is>
      </c>
      <c r="T86" s="36">
        <f>IF($A86="","",IF($S86="","",IFERROR(INDEX('[1]natural catastrophe'!$D$6:$D$17,MATCH($S86,'[1]natural catastrophe'!$B$6:$B$17,0)),"?")))</f>
      </c>
      <c r="U86" s="46" t="inlineStr">
        <is>
          <t xml:space="preserve">$5,000</t>
        </is>
      </c>
      <c r="V86" s="48" t="inlineStr">
        <is>
          <t xml:space="preserve">Agreed Value</t>
        </is>
      </c>
      <c r="W86" s="46" t="inlineStr">
        <is>
          <t xml:space="preserve">$1,000</t>
        </is>
      </c>
      <c r="X86" s="48" t="inlineStr">
        <is>
          <t xml:space="preserve">$1,000,000 CSL</t>
        </is>
      </c>
      <c r="Y86" s="46"/>
      <c r="Z86" s="46"/>
      <c r="AA86" s="48" t="inlineStr">
        <is>
          <t xml:space="preserve">Surplus Lines</t>
        </is>
      </c>
      <c r="AB86" s="50">
        <v>8389.09</v>
      </c>
      <c r="AC86" s="51">
        <v>0</v>
      </c>
      <c r="AD86" s="38">
        <f>IF(ISNUMBER($AB86),$AB86*(1+N($AC86)),"")</f>
      </c>
      <c r="AE86" s="50">
        <v>350</v>
      </c>
      <c r="AF86" s="50">
        <v>0</v>
      </c>
      <c r="AG86" s="51"/>
      <c r="AH86" s="39">
        <f>IF(ISNUMBER($AD86),($AD86+$AE86+$AF86)*$AG86,"")</f>
      </c>
      <c r="AI86" s="50"/>
      <c r="AJ86" s="38">
        <f>IF(ISNUMBER($AD86),SUM($AD86:$AH86),"")</f>
      </c>
      <c r="AK86" s="40">
        <f>IF(AND(ISNUMBER($AB86),ISNUMBER($AD86)),IF($AB86&gt;0,$AD86/$AB86,""),"")</f>
      </c>
      <c r="AL86" s="48" t="inlineStr">
        <is>
          <t xml:space="preserve">At technical</t>
        </is>
      </c>
      <c r="AM86" s="41">
        <f>IF(ISNUMBER($AD86),Header!$I$3,"")</f>
      </c>
      <c r="AN86" s="39">
        <f>IF(ISNUMBER($AD86),$AO86+$AP86,"")</f>
      </c>
      <c r="AO86" s="39">
        <f>IF(ISNUMBER($AD86),ROUND($AD86*Header!$K$3,2),"")</f>
      </c>
      <c r="AP86" s="39">
        <f>IF(ISNUMBER($AD86),ROUND($AD86*Header!$M$3,2),"")</f>
      </c>
      <c r="AQ86" s="38">
        <f>IF(ISNUMBER($AD86),ROUND($AD86,2)-$AO86-$AP86,"")</f>
      </c>
      <c r="AR86" s="39">
        <f>IF(ISNUMBER($AD86),IF(Header!$D$34="","?",$AD86*Header!$D$34),"")</f>
      </c>
      <c r="AS86" s="39">
        <f>IF(ISNUMBER($AB86),IF(Header!$D$34="","?",$AB86*Header!$D$34),"")</f>
      </c>
      <c r="AT86" s="42">
        <f>IF(AND(ISNUMBER($AB86),$M86&gt;0),$AB86/$M86*100,"")</f>
      </c>
      <c r="AU86" s="42">
        <f>IF(AND(ISNUMBER($AD86),$M86&gt;0),$AD86/$M86*100,"")</f>
      </c>
      <c r="AV86" s="40">
        <f>IF(AND(ISNUMBER($AB86),ISNUMBER($AD86),ABS($AB86)&gt;0),$AD86/$AB86,"")</f>
      </c>
      <c r="AW86" s="39">
        <f>IF(ISNUMBER($AD86),MAX(0,(1-0.55-Header!$O$3)*Header!$Q$3*$AQ86),"")</f>
      </c>
      <c r="AX86" s="43">
        <f>IF($A86="","",IF(TRIM(IF($A86="","Missing certificate ref. ","") &amp; IF($C86="","Missing effective date. ","") &amp; IF($D86="","Missing binding status. ","") &amp; IF($E86="","Missing movement type. ","") &amp; IF($I86="","Missing make. ","") &amp; IF($L86="","Missing vehicle class. ","") &amp; IF($M86="","Missing agreed value. ","") &amp; IF($N86="","Missing policy type. ","") &amp; IF($Q86="","Missing garaging state. ","") &amp; IF($R86="","Missing garaging ZIP. ","") &amp; IF($S86="","Missing cat zone. ","") &amp; IF($V86="","Missing valuation basis. ","") &amp; IF($W86="","Missing PD deductible. ","") &amp; IF($X86="","Missing liability limit. ","") &amp; IF($AB86="","Missing technical premium. ","") &amp; IF($AF86="","Missing surplus lines tax %. ",""))="","PASS","FAIL: "&amp;TRIM(IF($A86="","Missing certificate ref. ","") &amp; IF($C86="","Missing effective date. ","") &amp; IF($D86="","Missing binding status. ","") &amp; IF($E86="","Missing movement type. ","") &amp; IF($I86="","Missing make. ","") &amp; IF($L86="","Missing vehicle class. ","") &amp; IF($M86="","Missing agreed value. ","") &amp; IF($N86="","Missing policy type. ","") &amp; IF($Q86="","Missing garaging state. ","") &amp; IF($R86="","Missing garaging ZIP. ","") &amp; IF($S86="","Missing cat zone. ","") &amp; IF($V86="","Missing valuation basis. ","") &amp; IF($W86="","Missing PD deductible. ","") &amp; IF($X86="","Missing liability limit. ","") &amp; IF($AB86="","Missing technical premium. ","") &amp; IF($AF86="","Missing surplus lines tax %. ",""))))</f>
      </c>
      <c r="AY86" s="44">
        <f>IF($M86="","",IF(ISNUMBER($M86),IF($M86&gt;=Header!$C$18,"YES — refer","No"),""))</f>
      </c>
      <c r="AZ86" s="44">
        <f>IF($AD86="","",IF(ISNUMBER($AD86),IF($AD86&lt;Header!$C$20,"BELOW MIN PREMIUM","OK"),""))</f>
      </c>
      <c r="BA86" s="48" t="inlineStr">
        <is>
          <t xml:space="preserve">Yes</t>
        </is>
      </c>
      <c r="BB86" s="48" t="inlineStr">
        <is>
          <t xml:space="preserve">Yes</t>
        </is>
      </c>
      <c r="BC86" s="46" t="inlineStr">
        <is>
          <t xml:space="preserve">Synthetic demo data</t>
        </is>
      </c>
      <c r="BE86" s="45">
        <f>IF(OR($A86="",$L86="",$H86=""),"",IF(AND(LEFT($L86,2)="06",$H86&gt;1945),"FAIL - pre-war class, year "&amp;$H86,IF(AND(LEFT($L86,2)="07",OR($H86&lt;1946,$H86&gt;1972)),"FAIL - 1946-72 class, year "&amp;$H86,IF(AND(LEFT($L86,2)="08",OR($H86&lt;1973,$H86&gt;1999)),"FAIL - 1973-99 class, year "&amp;$H86,IF(AND(LEFT($L86,2)="09",OR($H86&lt;2000,$H86&gt;2010)),"FAIL - 2000-10 class, year "&amp;$H86,"OK")))))</f>
      </c>
      <c r="BF86" s="45">
        <f>IF($AD86="","",IF(ROUND($AO86+$AP86+$AQ86-$AD86,2)=0,"OK","FAIL - out by "&amp;TEXT($AO86+$AP86+$AQ86-$AD86,"$0.00")))</f>
      </c>
    </row>
    <row r="87" spans="1:58" ht="18.75" customHeight="1" x14ac:dyDescent="0.25">
      <c r="A87" s="30" t="inlineStr">
        <is>
          <t xml:space="preserve">CANON-202511-002274</t>
        </is>
      </c>
      <c r="B87" s="30" t="inlineStr">
        <is>
          <t xml:space="preserve">Noor Fairweather</t>
        </is>
      </c>
      <c r="C87" s="31">
        <v>45972</v>
      </c>
      <c r="D87" s="32" t="inlineStr">
        <is>
          <t xml:space="preserve">Bound - within authority</t>
        </is>
      </c>
      <c r="E87" s="32" t="inlineStr">
        <is>
          <t xml:space="preserve">New business</t>
        </is>
      </c>
      <c r="F87" s="30" t="inlineStr">
        <is>
          <t xml:space="preserve">B1234EXOTIC26</t>
        </is>
      </c>
      <c r="G87" s="33">
        <f>IF($A87="","",IF($C87="","",YEAR($C87)))</f>
      </c>
      <c r="H87" s="34">
        <v>1995</v>
      </c>
      <c r="I87" s="30" t="inlineStr">
        <is>
          <t xml:space="preserve">Singer</t>
        </is>
      </c>
      <c r="J87" s="30" t="inlineStr">
        <is>
          <t xml:space="preserve">911 Reimagined</t>
        </is>
      </c>
      <c r="K87" s="30" t="inlineStr">
        <is>
          <t xml:space="preserve">XMGA98SPMPY0R066U</t>
        </is>
      </c>
      <c r="L87" s="32" t="inlineStr">
        <is>
          <t xml:space="preserve">11 - Restomod / Coachbuilt / Bespoke</t>
        </is>
      </c>
      <c r="M87" s="35">
        <v>1120000</v>
      </c>
      <c r="N87" s="32" t="inlineStr">
        <is>
          <t xml:space="preserve">Personal</t>
        </is>
      </c>
      <c r="O87" s="30" t="inlineStr">
        <is>
          <t xml:space="preserve">Personal - regular use</t>
        </is>
      </c>
      <c r="P87" s="30" t="inlineStr">
        <is>
          <t xml:space="preserve">1,000 - 2,500</t>
        </is>
      </c>
      <c r="Q87" s="30" t="inlineStr">
        <is>
          <t xml:space="preserve">Louisiana</t>
        </is>
      </c>
      <c r="R87" s="30" t="inlineStr">
        <is>
          <t xml:space="preserve">70112</t>
        </is>
      </c>
      <c r="S87" s="32" t="inlineStr">
        <is>
          <t xml:space="preserve">Tier 2 - Coastal wind (1-25 miles)</t>
        </is>
      </c>
      <c r="T87" s="36">
        <f>IF($A87="","",IF($S87="","",IFERROR(INDEX('[1]natural catastrophe'!$D$6:$D$17,MATCH($S87,'[1]natural catastrophe'!$B$6:$B$17,0)),"?")))</f>
      </c>
      <c r="U87" s="30" t="inlineStr">
        <is>
          <t xml:space="preserve">2% of agreed value, minimum $10,000</t>
        </is>
      </c>
      <c r="V87" s="32" t="inlineStr">
        <is>
          <t xml:space="preserve">Agreed Value</t>
        </is>
      </c>
      <c r="W87" s="30" t="inlineStr">
        <is>
          <t xml:space="preserve">$1,000</t>
        </is>
      </c>
      <c r="X87" s="32" t="inlineStr">
        <is>
          <t xml:space="preserve">$1,000,000 CSL</t>
        </is>
      </c>
      <c r="Y87" s="30"/>
      <c r="Z87" s="30"/>
      <c r="AA87" s="32" t="inlineStr">
        <is>
          <t xml:space="preserve">Surplus Lines</t>
        </is>
      </c>
      <c r="AB87" s="35">
        <v>15986.04</v>
      </c>
      <c r="AC87" s="37">
        <v>0</v>
      </c>
      <c r="AD87" s="38">
        <f>IF(ISNUMBER($AB87),$AB87*(1+N($AC87)),"")</f>
      </c>
      <c r="AE87" s="35">
        <v>350</v>
      </c>
      <c r="AF87" s="35">
        <v>250</v>
      </c>
      <c r="AG87" s="37"/>
      <c r="AH87" s="39">
        <f>IF(ISNUMBER($AD87),($AD87+$AE87+$AF87)*$AG87,"")</f>
      </c>
      <c r="AI87" s="35"/>
      <c r="AJ87" s="38">
        <f>IF(ISNUMBER($AD87),SUM($AD87:$AH87),"")</f>
      </c>
      <c r="AK87" s="40">
        <f>IF(AND(ISNUMBER($AB87),ISNUMBER($AD87)),IF($AB87&gt;0,$AD87/$AB87,""),"")</f>
      </c>
      <c r="AL87" s="32" t="inlineStr">
        <is>
          <t xml:space="preserve">At technical</t>
        </is>
      </c>
      <c r="AM87" s="41">
        <f>IF(ISNUMBER($AD87),Header!$I$3,"")</f>
      </c>
      <c r="AN87" s="39">
        <f>IF(ISNUMBER($AD87),$AO87+$AP87,"")</f>
      </c>
      <c r="AO87" s="39">
        <f>IF(ISNUMBER($AD87),ROUND($AD87*Header!$K$3,2),"")</f>
      </c>
      <c r="AP87" s="39">
        <f>IF(ISNUMBER($AD87),ROUND($AD87*Header!$M$3,2),"")</f>
      </c>
      <c r="AQ87" s="38">
        <f>IF(ISNUMBER($AD87),ROUND($AD87,2)-$AO87-$AP87,"")</f>
      </c>
      <c r="AR87" s="39">
        <f>IF(ISNUMBER($AD87),IF(Header!$D$34="","?",$AD87*Header!$D$34),"")</f>
      </c>
      <c r="AS87" s="39">
        <f>IF(ISNUMBER($AB87),IF(Header!$D$34="","?",$AB87*Header!$D$34),"")</f>
      </c>
      <c r="AT87" s="42">
        <f>IF(AND(ISNUMBER($AB87),$M87&gt;0),$AB87/$M87*100,"")</f>
      </c>
      <c r="AU87" s="42">
        <f>IF(AND(ISNUMBER($AD87),$M87&gt;0),$AD87/$M87*100,"")</f>
      </c>
      <c r="AV87" s="40">
        <f>IF(AND(ISNUMBER($AB87),ISNUMBER($AD87),ABS($AB87)&gt;0),$AD87/$AB87,"")</f>
      </c>
      <c r="AW87" s="39">
        <f>IF(ISNUMBER($AD87),MAX(0,(1-0.55-Header!$O$3)*Header!$Q$3*$AQ87),"")</f>
      </c>
      <c r="AX87" s="43">
        <f>IF($A87="","",IF(TRIM(IF($A87="","Missing certificate ref. ","") &amp; IF($C87="","Missing effective date. ","") &amp; IF($D87="","Missing binding status. ","") &amp; IF($E87="","Missing movement type. ","") &amp; IF($I87="","Missing make. ","") &amp; IF($L87="","Missing vehicle class. ","") &amp; IF($M87="","Missing agreed value. ","") &amp; IF($N87="","Missing policy type. ","") &amp; IF($Q87="","Missing garaging state. ","") &amp; IF($R87="","Missing garaging ZIP. ","") &amp; IF($S87="","Missing cat zone. ","") &amp; IF($V87="","Missing valuation basis. ","") &amp; IF($W87="","Missing PD deductible. ","") &amp; IF($X87="","Missing liability limit. ","") &amp; IF($AB87="","Missing technical premium. ","") &amp; IF($AF87="","Missing surplus lines tax %. ",""))="","PASS","FAIL: "&amp;TRIM(IF($A87="","Missing certificate ref. ","") &amp; IF($C87="","Missing effective date. ","") &amp; IF($D87="","Missing binding status. ","") &amp; IF($E87="","Missing movement type. ","") &amp; IF($I87="","Missing make. ","") &amp; IF($L87="","Missing vehicle class. ","") &amp; IF($M87="","Missing agreed value. ","") &amp; IF($N87="","Missing policy type. ","") &amp; IF($Q87="","Missing garaging state. ","") &amp; IF($R87="","Missing garaging ZIP. ","") &amp; IF($S87="","Missing cat zone. ","") &amp; IF($V87="","Missing valuation basis. ","") &amp; IF($W87="","Missing PD deductible. ","") &amp; IF($X87="","Missing liability limit. ","") &amp; IF($AB87="","Missing technical premium. ","") &amp; IF($AF87="","Missing surplus lines tax %. ",""))))</f>
      </c>
      <c r="AY87" s="44">
        <f>IF($M87="","",IF(ISNUMBER($M87),IF($M87&gt;=Header!$C$18,"YES — refer","No"),""))</f>
      </c>
      <c r="AZ87" s="44">
        <f>IF($AD87="","",IF(ISNUMBER($AD87),IF($AD87&lt;Header!$C$20,"BELOW MIN PREMIUM","OK"),""))</f>
      </c>
      <c r="BA87" s="32" t="inlineStr">
        <is>
          <t xml:space="preserve">Yes</t>
        </is>
      </c>
      <c r="BB87" s="32" t="inlineStr">
        <is>
          <t xml:space="preserve">Yes</t>
        </is>
      </c>
      <c r="BC87" s="30" t="inlineStr">
        <is>
          <t xml:space="preserve">Synthetic demo data</t>
        </is>
      </c>
      <c r="BE87" s="45">
        <f>IF(OR($A87="",$L87="",$H87=""),"",IF(AND(LEFT($L87,2)="06",$H87&gt;1945),"FAIL - pre-war class, year "&amp;$H87,IF(AND(LEFT($L87,2)="07",OR($H87&lt;1946,$H87&gt;1972)),"FAIL - 1946-72 class, year "&amp;$H87,IF(AND(LEFT($L87,2)="08",OR($H87&lt;1973,$H87&gt;1999)),"FAIL - 1973-99 class, year "&amp;$H87,IF(AND(LEFT($L87,2)="09",OR($H87&lt;2000,$H87&gt;2010)),"FAIL - 2000-10 class, year "&amp;$H87,"OK")))))</f>
      </c>
      <c r="BF87" s="45">
        <f>IF($AD87="","",IF(ROUND($AO87+$AP87+$AQ87-$AD87,2)=0,"OK","FAIL - out by "&amp;TEXT($AO87+$AP87+$AQ87-$AD87,"$0.00")))</f>
      </c>
    </row>
    <row r="88" spans="1:58" ht="18.75" customHeight="1" x14ac:dyDescent="0.25">
      <c r="A88" s="46" t="inlineStr">
        <is>
          <t xml:space="preserve">CANON-202511-002276</t>
        </is>
      </c>
      <c r="B88" s="46" t="inlineStr">
        <is>
          <t xml:space="preserve">Desmond Delacroix</t>
        </is>
      </c>
      <c r="C88" s="47">
        <v>45988</v>
      </c>
      <c r="D88" s="48" t="inlineStr">
        <is>
          <t xml:space="preserve">Bound - within authority</t>
        </is>
      </c>
      <c r="E88" s="48" t="inlineStr">
        <is>
          <t xml:space="preserve">New business</t>
        </is>
      </c>
      <c r="F88" s="46" t="inlineStr">
        <is>
          <t xml:space="preserve">B1234EXOTIC26</t>
        </is>
      </c>
      <c r="G88" s="33">
        <f>IF($A88="","",IF($C88="","",YEAR($C88)))</f>
      </c>
      <c r="H88" s="49">
        <v>1976</v>
      </c>
      <c r="I88" s="46" t="inlineStr">
        <is>
          <t xml:space="preserve">Porsche</t>
        </is>
      </c>
      <c r="J88" s="46" t="inlineStr">
        <is>
          <t xml:space="preserve">911 Turbo S</t>
        </is>
      </c>
      <c r="K88" s="46" t="inlineStr">
        <is>
          <t xml:space="preserve">YE9U04YMXMPZDKF42</t>
        </is>
      </c>
      <c r="L88" s="48" t="inlineStr">
        <is>
          <t xml:space="preserve">02 - Sports / GT</t>
        </is>
      </c>
      <c r="M88" s="50">
        <v>1345000</v>
      </c>
      <c r="N88" s="48" t="inlineStr">
        <is>
          <t xml:space="preserve">Personal</t>
        </is>
      </c>
      <c r="O88" s="46" t="inlineStr">
        <is>
          <t xml:space="preserve">Personal - regular use</t>
        </is>
      </c>
      <c r="P88" s="46" t="inlineStr">
        <is>
          <t xml:space="preserve">1,000 - 2,500</t>
        </is>
      </c>
      <c r="Q88" s="46" t="inlineStr">
        <is>
          <t xml:space="preserve">North Dakota</t>
        </is>
      </c>
      <c r="R88" s="46" t="inlineStr">
        <is>
          <t xml:space="preserve">58501</t>
        </is>
      </c>
      <c r="S88" s="48" t="inlineStr">
        <is>
          <t xml:space="preserve">Severe convective - hail alley (high)</t>
        </is>
      </c>
      <c r="T88" s="36">
        <f>IF($A88="","",IF($S88="","",IFERROR(INDEX('[1]natural catastrophe'!$D$6:$D$17,MATCH($S88,'[1]natural catastrophe'!$B$6:$B$17,0)),"?")))</f>
      </c>
      <c r="U88" s="46" t="inlineStr">
        <is>
          <t xml:space="preserve">$5,000</t>
        </is>
      </c>
      <c r="V88" s="48" t="inlineStr">
        <is>
          <t xml:space="preserve">Agreed Value</t>
        </is>
      </c>
      <c r="W88" s="46" t="inlineStr">
        <is>
          <t xml:space="preserve">$1,000</t>
        </is>
      </c>
      <c r="X88" s="48" t="inlineStr">
        <is>
          <t xml:space="preserve">$1,000,000 CSL</t>
        </is>
      </c>
      <c r="Y88" s="46"/>
      <c r="Z88" s="46"/>
      <c r="AA88" s="48" t="inlineStr">
        <is>
          <t xml:space="preserve">Surplus Lines</t>
        </is>
      </c>
      <c r="AB88" s="50">
        <v>13089.22</v>
      </c>
      <c r="AC88" s="51">
        <v>0</v>
      </c>
      <c r="AD88" s="38">
        <f>IF(ISNUMBER($AB88),$AB88*(1+N($AC88)),"")</f>
      </c>
      <c r="AE88" s="50">
        <v>350</v>
      </c>
      <c r="AF88" s="50">
        <v>250</v>
      </c>
      <c r="AG88" s="51"/>
      <c r="AH88" s="39">
        <f>IF(ISNUMBER($AD88),($AD88+$AE88+$AF88)*$AG88,"")</f>
      </c>
      <c r="AI88" s="50"/>
      <c r="AJ88" s="38">
        <f>IF(ISNUMBER($AD88),SUM($AD88:$AH88),"")</f>
      </c>
      <c r="AK88" s="40">
        <f>IF(AND(ISNUMBER($AB88),ISNUMBER($AD88)),IF($AB88&gt;0,$AD88/$AB88,""),"")</f>
      </c>
      <c r="AL88" s="48" t="inlineStr">
        <is>
          <t xml:space="preserve">At technical</t>
        </is>
      </c>
      <c r="AM88" s="41">
        <f>IF(ISNUMBER($AD88),Header!$I$3,"")</f>
      </c>
      <c r="AN88" s="39">
        <f>IF(ISNUMBER($AD88),$AO88+$AP88,"")</f>
      </c>
      <c r="AO88" s="39">
        <f>IF(ISNUMBER($AD88),ROUND($AD88*Header!$K$3,2),"")</f>
      </c>
      <c r="AP88" s="39">
        <f>IF(ISNUMBER($AD88),ROUND($AD88*Header!$M$3,2),"")</f>
      </c>
      <c r="AQ88" s="38">
        <f>IF(ISNUMBER($AD88),ROUND($AD88,2)-$AO88-$AP88,"")</f>
      </c>
      <c r="AR88" s="39">
        <f>IF(ISNUMBER($AD88),IF(Header!$D$34="","?",$AD88*Header!$D$34),"")</f>
      </c>
      <c r="AS88" s="39">
        <f>IF(ISNUMBER($AB88),IF(Header!$D$34="","?",$AB88*Header!$D$34),"")</f>
      </c>
      <c r="AT88" s="42">
        <f>IF(AND(ISNUMBER($AB88),$M88&gt;0),$AB88/$M88*100,"")</f>
      </c>
      <c r="AU88" s="42">
        <f>IF(AND(ISNUMBER($AD88),$M88&gt;0),$AD88/$M88*100,"")</f>
      </c>
      <c r="AV88" s="40">
        <f>IF(AND(ISNUMBER($AB88),ISNUMBER($AD88),ABS($AB88)&gt;0),$AD88/$AB88,"")</f>
      </c>
      <c r="AW88" s="39">
        <f>IF(ISNUMBER($AD88),MAX(0,(1-0.55-Header!$O$3)*Header!$Q$3*$AQ88),"")</f>
      </c>
      <c r="AX88" s="43">
        <f>IF($A88="","",IF(TRIM(IF($A88="","Missing certificate ref. ","") &amp; IF($C88="","Missing effective date. ","") &amp; IF($D88="","Missing binding status. ","") &amp; IF($E88="","Missing movement type. ","") &amp; IF($I88="","Missing make. ","") &amp; IF($L88="","Missing vehicle class. ","") &amp; IF($M88="","Missing agreed value. ","") &amp; IF($N88="","Missing policy type. ","") &amp; IF($Q88="","Missing garaging state. ","") &amp; IF($R88="","Missing garaging ZIP. ","") &amp; IF($S88="","Missing cat zone. ","") &amp; IF($V88="","Missing valuation basis. ","") &amp; IF($W88="","Missing PD deductible. ","") &amp; IF($X88="","Missing liability limit. ","") &amp; IF($AB88="","Missing technical premium. ","") &amp; IF($AF88="","Missing surplus lines tax %. ",""))="","PASS","FAIL: "&amp;TRIM(IF($A88="","Missing certificate ref. ","") &amp; IF($C88="","Missing effective date. ","") &amp; IF($D88="","Missing binding status. ","") &amp; IF($E88="","Missing movement type. ","") &amp; IF($I88="","Missing make. ","") &amp; IF($L88="","Missing vehicle class. ","") &amp; IF($M88="","Missing agreed value. ","") &amp; IF($N88="","Missing policy type. ","") &amp; IF($Q88="","Missing garaging state. ","") &amp; IF($R88="","Missing garaging ZIP. ","") &amp; IF($S88="","Missing cat zone. ","") &amp; IF($V88="","Missing valuation basis. ","") &amp; IF($W88="","Missing PD deductible. ","") &amp; IF($X88="","Missing liability limit. ","") &amp; IF($AB88="","Missing technical premium. ","") &amp; IF($AF88="","Missing surplus lines tax %. ",""))))</f>
      </c>
      <c r="AY88" s="44">
        <f>IF($M88="","",IF(ISNUMBER($M88),IF($M88&gt;=Header!$C$18,"YES — refer","No"),""))</f>
      </c>
      <c r="AZ88" s="44">
        <f>IF($AD88="","",IF(ISNUMBER($AD88),IF($AD88&lt;Header!$C$20,"BELOW MIN PREMIUM","OK"),""))</f>
      </c>
      <c r="BA88" s="48" t="inlineStr">
        <is>
          <t xml:space="preserve">Yes</t>
        </is>
      </c>
      <c r="BB88" s="48" t="inlineStr">
        <is>
          <t xml:space="preserve">Yes</t>
        </is>
      </c>
      <c r="BC88" s="46" t="inlineStr">
        <is>
          <t xml:space="preserve">Synthetic demo data</t>
        </is>
      </c>
      <c r="BE88" s="45">
        <f>IF(OR($A88="",$L88="",$H88=""),"",IF(AND(LEFT($L88,2)="06",$H88&gt;1945),"FAIL - pre-war class, year "&amp;$H88,IF(AND(LEFT($L88,2)="07",OR($H88&lt;1946,$H88&gt;1972)),"FAIL - 1946-72 class, year "&amp;$H88,IF(AND(LEFT($L88,2)="08",OR($H88&lt;1973,$H88&gt;1999)),"FAIL - 1973-99 class, year "&amp;$H88,IF(AND(LEFT($L88,2)="09",OR($H88&lt;2000,$H88&gt;2010)),"FAIL - 2000-10 class, year "&amp;$H88,"OK")))))</f>
      </c>
      <c r="BF88" s="45">
        <f>IF($AD88="","",IF(ROUND($AO88+$AP88+$AQ88-$AD88,2)=0,"OK","FAIL - out by "&amp;TEXT($AO88+$AP88+$AQ88-$AD88,"$0.00")))</f>
      </c>
    </row>
    <row r="89" spans="1:58" ht="18.75" customHeight="1" x14ac:dyDescent="0.25">
      <c r="A89" s="30" t="inlineStr">
        <is>
          <t xml:space="preserve">CANON-202511-002277</t>
        </is>
      </c>
      <c r="B89" s="30" t="inlineStr">
        <is>
          <t xml:space="preserve">Fitzgerald Underwood</t>
        </is>
      </c>
      <c r="C89" s="31">
        <v>45964</v>
      </c>
      <c r="D89" s="32" t="inlineStr">
        <is>
          <t xml:space="preserve">Bound - within authority</t>
        </is>
      </c>
      <c r="E89" s="32" t="inlineStr">
        <is>
          <t xml:space="preserve">New business</t>
        </is>
      </c>
      <c r="F89" s="30" t="inlineStr">
        <is>
          <t xml:space="preserve">B1234EXOTIC26</t>
        </is>
      </c>
      <c r="G89" s="33">
        <f>IF($A89="","",IF($C89="","",YEAR($C89)))</f>
      </c>
      <c r="H89" s="34">
        <v>1960</v>
      </c>
      <c r="I89" s="30" t="inlineStr">
        <is>
          <t xml:space="preserve">Bentley</t>
        </is>
      </c>
      <c r="J89" s="30" t="inlineStr">
        <is>
          <t xml:space="preserve">4.5 Litre</t>
        </is>
      </c>
      <c r="K89" s="30" t="inlineStr">
        <is>
          <t xml:space="preserve">E49N384KFTLN5ALNY</t>
        </is>
      </c>
      <c r="L89" s="32" t="inlineStr">
        <is>
          <t xml:space="preserve">07 - Post-War Classic (1946-1972)</t>
        </is>
      </c>
      <c r="M89" s="35">
        <v>645000</v>
      </c>
      <c r="N89" s="32" t="inlineStr">
        <is>
          <t xml:space="preserve">Personal</t>
        </is>
      </c>
      <c r="O89" s="30" t="inlineStr">
        <is>
          <t xml:space="preserve">Personal - regular use</t>
        </is>
      </c>
      <c r="P89" s="30" t="inlineStr">
        <is>
          <t xml:space="preserve">1,000 - 2,500</t>
        </is>
      </c>
      <c r="Q89" s="30" t="inlineStr">
        <is>
          <t xml:space="preserve">Oklahoma</t>
        </is>
      </c>
      <c r="R89" s="30" t="inlineStr">
        <is>
          <t xml:space="preserve">73102</t>
        </is>
      </c>
      <c r="S89" s="32" t="inlineStr">
        <is>
          <t xml:space="preserve">Severe convective - hail alley (high)</t>
        </is>
      </c>
      <c r="T89" s="36">
        <f>IF($A89="","",IF($S89="","",IFERROR(INDEX('[1]natural catastrophe'!$D$6:$D$17,MATCH($S89,'[1]natural catastrophe'!$B$6:$B$17,0)),"?")))</f>
      </c>
      <c r="U89" s="30" t="inlineStr">
        <is>
          <t xml:space="preserve">$5,000</t>
        </is>
      </c>
      <c r="V89" s="32" t="inlineStr">
        <is>
          <t xml:space="preserve">Agreed Value</t>
        </is>
      </c>
      <c r="W89" s="30" t="inlineStr">
        <is>
          <t xml:space="preserve">$1,000</t>
        </is>
      </c>
      <c r="X89" s="32" t="inlineStr">
        <is>
          <t xml:space="preserve">$1,000,000 CSL</t>
        </is>
      </c>
      <c r="Y89" s="30"/>
      <c r="Z89" s="30"/>
      <c r="AA89" s="32" t="inlineStr">
        <is>
          <t xml:space="preserve">Surplus Lines</t>
        </is>
      </c>
      <c r="AB89" s="35">
        <v>5357.26</v>
      </c>
      <c r="AC89" s="37">
        <v>0</v>
      </c>
      <c r="AD89" s="38">
        <f>IF(ISNUMBER($AB89),$AB89*(1+N($AC89)),"")</f>
      </c>
      <c r="AE89" s="35">
        <v>350</v>
      </c>
      <c r="AF89" s="35">
        <v>0</v>
      </c>
      <c r="AG89" s="37"/>
      <c r="AH89" s="39">
        <f>IF(ISNUMBER($AD89),($AD89+$AE89+$AF89)*$AG89,"")</f>
      </c>
      <c r="AI89" s="35"/>
      <c r="AJ89" s="38">
        <f>IF(ISNUMBER($AD89),SUM($AD89:$AH89),"")</f>
      </c>
      <c r="AK89" s="40">
        <f>IF(AND(ISNUMBER($AB89),ISNUMBER($AD89)),IF($AB89&gt;0,$AD89/$AB89,""),"")</f>
      </c>
      <c r="AL89" s="32" t="inlineStr">
        <is>
          <t xml:space="preserve">At technical</t>
        </is>
      </c>
      <c r="AM89" s="41">
        <f>IF(ISNUMBER($AD89),Header!$I$3,"")</f>
      </c>
      <c r="AN89" s="39">
        <f>IF(ISNUMBER($AD89),$AO89+$AP89,"")</f>
      </c>
      <c r="AO89" s="39">
        <f>IF(ISNUMBER($AD89),ROUND($AD89*Header!$K$3,2),"")</f>
      </c>
      <c r="AP89" s="39">
        <f>IF(ISNUMBER($AD89),ROUND($AD89*Header!$M$3,2),"")</f>
      </c>
      <c r="AQ89" s="38">
        <f>IF(ISNUMBER($AD89),ROUND($AD89,2)-$AO89-$AP89,"")</f>
      </c>
      <c r="AR89" s="39">
        <f>IF(ISNUMBER($AD89),IF(Header!$D$34="","?",$AD89*Header!$D$34),"")</f>
      </c>
      <c r="AS89" s="39">
        <f>IF(ISNUMBER($AB89),IF(Header!$D$34="","?",$AB89*Header!$D$34),"")</f>
      </c>
      <c r="AT89" s="42">
        <f>IF(AND(ISNUMBER($AB89),$M89&gt;0),$AB89/$M89*100,"")</f>
      </c>
      <c r="AU89" s="42">
        <f>IF(AND(ISNUMBER($AD89),$M89&gt;0),$AD89/$M89*100,"")</f>
      </c>
      <c r="AV89" s="40">
        <f>IF(AND(ISNUMBER($AB89),ISNUMBER($AD89),ABS($AB89)&gt;0),$AD89/$AB89,"")</f>
      </c>
      <c r="AW89" s="39">
        <f>IF(ISNUMBER($AD89),MAX(0,(1-0.55-Header!$O$3)*Header!$Q$3*$AQ89),"")</f>
      </c>
      <c r="AX89" s="43">
        <f>IF($A89="","",IF(TRIM(IF($A89="","Missing certificate ref. ","") &amp; IF($C89="","Missing effective date. ","") &amp; IF($D89="","Missing binding status. ","") &amp; IF($E89="","Missing movement type. ","") &amp; IF($I89="","Missing make. ","") &amp; IF($L89="","Missing vehicle class. ","") &amp; IF($M89="","Missing agreed value. ","") &amp; IF($N89="","Missing policy type. ","") &amp; IF($Q89="","Missing garaging state. ","") &amp; IF($R89="","Missing garaging ZIP. ","") &amp; IF($S89="","Missing cat zone. ","") &amp; IF($V89="","Missing valuation basis. ","") &amp; IF($W89="","Missing PD deductible. ","") &amp; IF($X89="","Missing liability limit. ","") &amp; IF($AB89="","Missing technical premium. ","") &amp; IF($AF89="","Missing surplus lines tax %. ",""))="","PASS","FAIL: "&amp;TRIM(IF($A89="","Missing certificate ref. ","") &amp; IF($C89="","Missing effective date. ","") &amp; IF($D89="","Missing binding status. ","") &amp; IF($E89="","Missing movement type. ","") &amp; IF($I89="","Missing make. ","") &amp; IF($L89="","Missing vehicle class. ","") &amp; IF($M89="","Missing agreed value. ","") &amp; IF($N89="","Missing policy type. ","") &amp; IF($Q89="","Missing garaging state. ","") &amp; IF($R89="","Missing garaging ZIP. ","") &amp; IF($S89="","Missing cat zone. ","") &amp; IF($V89="","Missing valuation basis. ","") &amp; IF($W89="","Missing PD deductible. ","") &amp; IF($X89="","Missing liability limit. ","") &amp; IF($AB89="","Missing technical premium. ","") &amp; IF($AF89="","Missing surplus lines tax %. ",""))))</f>
      </c>
      <c r="AY89" s="44">
        <f>IF($M89="","",IF(ISNUMBER($M89),IF($M89&gt;=Header!$C$18,"YES — refer","No"),""))</f>
      </c>
      <c r="AZ89" s="44">
        <f>IF($AD89="","",IF(ISNUMBER($AD89),IF($AD89&lt;Header!$C$20,"BELOW MIN PREMIUM","OK"),""))</f>
      </c>
      <c r="BA89" s="32" t="inlineStr">
        <is>
          <t xml:space="preserve">Yes</t>
        </is>
      </c>
      <c r="BB89" s="32" t="inlineStr">
        <is>
          <t xml:space="preserve">Yes</t>
        </is>
      </c>
      <c r="BC89" s="30" t="inlineStr">
        <is>
          <t xml:space="preserve">Synthetic demo data</t>
        </is>
      </c>
      <c r="BE89" s="45">
        <f>IF(OR($A89="",$L89="",$H89=""),"",IF(AND(LEFT($L89,2)="06",$H89&gt;1945),"FAIL - pre-war class, year "&amp;$H89,IF(AND(LEFT($L89,2)="07",OR($H89&lt;1946,$H89&gt;1972)),"FAIL - 1946-72 class, year "&amp;$H89,IF(AND(LEFT($L89,2)="08",OR($H89&lt;1973,$H89&gt;1999)),"FAIL - 1973-99 class, year "&amp;$H89,IF(AND(LEFT($L89,2)="09",OR($H89&lt;2000,$H89&gt;2010)),"FAIL - 2000-10 class, year "&amp;$H89,"OK")))))</f>
      </c>
      <c r="BF89" s="45">
        <f>IF($AD89="","",IF(ROUND($AO89+$AP89+$AQ89-$AD89,2)=0,"OK","FAIL - out by "&amp;TEXT($AO89+$AP89+$AQ89-$AD89,"$0.00")))</f>
      </c>
    </row>
    <row r="90" spans="1:58" ht="18.75" customHeight="1" x14ac:dyDescent="0.25">
      <c r="A90" s="46" t="inlineStr">
        <is>
          <t xml:space="preserve">CANON-202511-002279</t>
        </is>
      </c>
      <c r="B90" s="46" t="inlineStr">
        <is>
          <t xml:space="preserve">Fenwick Underwood</t>
        </is>
      </c>
      <c r="C90" s="47">
        <v>45991</v>
      </c>
      <c r="D90" s="48" t="inlineStr">
        <is>
          <t xml:space="preserve">Bound - within authority</t>
        </is>
      </c>
      <c r="E90" s="48" t="inlineStr">
        <is>
          <t xml:space="preserve">New business</t>
        </is>
      </c>
      <c r="F90" s="46" t="inlineStr">
        <is>
          <t xml:space="preserve">B1234EXOTIC26</t>
        </is>
      </c>
      <c r="G90" s="33">
        <f>IF($A90="","",IF($C90="","",YEAR($C90)))</f>
      </c>
      <c r="H90" s="49">
        <v>1961</v>
      </c>
      <c r="I90" s="46" t="inlineStr">
        <is>
          <t xml:space="preserve">Aston Martin</t>
        </is>
      </c>
      <c r="J90" s="46" t="inlineStr">
        <is>
          <t xml:space="preserve">DB5</t>
        </is>
      </c>
      <c r="K90" s="46" t="inlineStr">
        <is>
          <t xml:space="preserve">T7KXMM9GPXNE8LTB0</t>
        </is>
      </c>
      <c r="L90" s="48" t="inlineStr">
        <is>
          <t xml:space="preserve">07 - Post-War Classic (1946-1972)</t>
        </is>
      </c>
      <c r="M90" s="50">
        <v>665000</v>
      </c>
      <c r="N90" s="48" t="inlineStr">
        <is>
          <t xml:space="preserve">Personal</t>
        </is>
      </c>
      <c r="O90" s="46" t="inlineStr">
        <is>
          <t xml:space="preserve">Personal - regular use</t>
        </is>
      </c>
      <c r="P90" s="46" t="inlineStr">
        <is>
          <t xml:space="preserve">Under 1,000</t>
        </is>
      </c>
      <c r="Q90" s="46" t="inlineStr">
        <is>
          <t xml:space="preserve">New Jersey</t>
        </is>
      </c>
      <c r="R90" s="46" t="inlineStr">
        <is>
          <t xml:space="preserve">07102</t>
        </is>
      </c>
      <c r="S90" s="48" t="inlineStr">
        <is>
          <t xml:space="preserve">Tier 3 - Coastal wind (25-100 miles)</t>
        </is>
      </c>
      <c r="T90" s="36">
        <f>IF($A90="","",IF($S90="","",IFERROR(INDEX('[1]natural catastrophe'!$D$6:$D$17,MATCH($S90,'[1]natural catastrophe'!$B$6:$B$17,0)),"?")))</f>
      </c>
      <c r="U90" s="46" t="inlineStr">
        <is>
          <t xml:space="preserve">2% of agreed value, minimum $10,000</t>
        </is>
      </c>
      <c r="V90" s="48" t="inlineStr">
        <is>
          <t xml:space="preserve">Agreed Value</t>
        </is>
      </c>
      <c r="W90" s="46" t="inlineStr">
        <is>
          <t xml:space="preserve">$1,000</t>
        </is>
      </c>
      <c r="X90" s="48" t="inlineStr">
        <is>
          <t xml:space="preserve">$1,000,000 CSL</t>
        </is>
      </c>
      <c r="Y90" s="46"/>
      <c r="Z90" s="46"/>
      <c r="AA90" s="48" t="inlineStr">
        <is>
          <t xml:space="preserve">Surplus Lines</t>
        </is>
      </c>
      <c r="AB90" s="50">
        <v>4513.99</v>
      </c>
      <c r="AC90" s="51">
        <v>0</v>
      </c>
      <c r="AD90" s="38">
        <f>IF(ISNUMBER($AB90),$AB90*(1+N($AC90)),"")</f>
      </c>
      <c r="AE90" s="50">
        <v>350</v>
      </c>
      <c r="AF90" s="50">
        <v>0</v>
      </c>
      <c r="AG90" s="51"/>
      <c r="AH90" s="39">
        <f>IF(ISNUMBER($AD90),($AD90+$AE90+$AF90)*$AG90,"")</f>
      </c>
      <c r="AI90" s="50"/>
      <c r="AJ90" s="38">
        <f>IF(ISNUMBER($AD90),SUM($AD90:$AH90),"")</f>
      </c>
      <c r="AK90" s="40">
        <f>IF(AND(ISNUMBER($AB90),ISNUMBER($AD90)),IF($AB90&gt;0,$AD90/$AB90,""),"")</f>
      </c>
      <c r="AL90" s="48" t="inlineStr">
        <is>
          <t xml:space="preserve">At technical</t>
        </is>
      </c>
      <c r="AM90" s="41">
        <f>IF(ISNUMBER($AD90),Header!$I$3,"")</f>
      </c>
      <c r="AN90" s="39">
        <f>IF(ISNUMBER($AD90),$AO90+$AP90,"")</f>
      </c>
      <c r="AO90" s="39">
        <f>IF(ISNUMBER($AD90),ROUND($AD90*Header!$K$3,2),"")</f>
      </c>
      <c r="AP90" s="39">
        <f>IF(ISNUMBER($AD90),ROUND($AD90*Header!$M$3,2),"")</f>
      </c>
      <c r="AQ90" s="38">
        <f>IF(ISNUMBER($AD90),ROUND($AD90,2)-$AO90-$AP90,"")</f>
      </c>
      <c r="AR90" s="39">
        <f>IF(ISNUMBER($AD90),IF(Header!$D$34="","?",$AD90*Header!$D$34),"")</f>
      </c>
      <c r="AS90" s="39">
        <f>IF(ISNUMBER($AB90),IF(Header!$D$34="","?",$AB90*Header!$D$34),"")</f>
      </c>
      <c r="AT90" s="42">
        <f>IF(AND(ISNUMBER($AB90),$M90&gt;0),$AB90/$M90*100,"")</f>
      </c>
      <c r="AU90" s="42">
        <f>IF(AND(ISNUMBER($AD90),$M90&gt;0),$AD90/$M90*100,"")</f>
      </c>
      <c r="AV90" s="40">
        <f>IF(AND(ISNUMBER($AB90),ISNUMBER($AD90),ABS($AB90)&gt;0),$AD90/$AB90,"")</f>
      </c>
      <c r="AW90" s="39">
        <f>IF(ISNUMBER($AD90),MAX(0,(1-0.55-Header!$O$3)*Header!$Q$3*$AQ90),"")</f>
      </c>
      <c r="AX90" s="43">
        <f>IF($A90="","",IF(TRIM(IF($A90="","Missing certificate ref. ","") &amp; IF($C90="","Missing effective date. ","") &amp; IF($D90="","Missing binding status. ","") &amp; IF($E90="","Missing movement type. ","") &amp; IF($I90="","Missing make. ","") &amp; IF($L90="","Missing vehicle class. ","") &amp; IF($M90="","Missing agreed value. ","") &amp; IF($N90="","Missing policy type. ","") &amp; IF($Q90="","Missing garaging state. ","") &amp; IF($R90="","Missing garaging ZIP. ","") &amp; IF($S90="","Missing cat zone. ","") &amp; IF($V90="","Missing valuation basis. ","") &amp; IF($W90="","Missing PD deductible. ","") &amp; IF($X90="","Missing liability limit. ","") &amp; IF($AB90="","Missing technical premium. ","") &amp; IF($AF90="","Missing surplus lines tax %. ",""))="","PASS","FAIL: "&amp;TRIM(IF($A90="","Missing certificate ref. ","") &amp; IF($C90="","Missing effective date. ","") &amp; IF($D90="","Missing binding status. ","") &amp; IF($E90="","Missing movement type. ","") &amp; IF($I90="","Missing make. ","") &amp; IF($L90="","Missing vehicle class. ","") &amp; IF($M90="","Missing agreed value. ","") &amp; IF($N90="","Missing policy type. ","") &amp; IF($Q90="","Missing garaging state. ","") &amp; IF($R90="","Missing garaging ZIP. ","") &amp; IF($S90="","Missing cat zone. ","") &amp; IF($V90="","Missing valuation basis. ","") &amp; IF($W90="","Missing PD deductible. ","") &amp; IF($X90="","Missing liability limit. ","") &amp; IF($AB90="","Missing technical premium. ","") &amp; IF($AF90="","Missing surplus lines tax %. ",""))))</f>
      </c>
      <c r="AY90" s="44">
        <f>IF($M90="","",IF(ISNUMBER($M90),IF($M90&gt;=Header!$C$18,"YES — refer","No"),""))</f>
      </c>
      <c r="AZ90" s="44">
        <f>IF($AD90="","",IF(ISNUMBER($AD90),IF($AD90&lt;Header!$C$20,"BELOW MIN PREMIUM","OK"),""))</f>
      </c>
      <c r="BA90" s="48" t="inlineStr">
        <is>
          <t xml:space="preserve">Yes</t>
        </is>
      </c>
      <c r="BB90" s="48" t="inlineStr">
        <is>
          <t xml:space="preserve">Yes</t>
        </is>
      </c>
      <c r="BC90" s="46" t="inlineStr">
        <is>
          <t xml:space="preserve">Synthetic demo data</t>
        </is>
      </c>
      <c r="BE90" s="45">
        <f>IF(OR($A90="",$L90="",$H90=""),"",IF(AND(LEFT($L90,2)="06",$H90&gt;1945),"FAIL - pre-war class, year "&amp;$H90,IF(AND(LEFT($L90,2)="07",OR($H90&lt;1946,$H90&gt;1972)),"FAIL - 1946-72 class, year "&amp;$H90,IF(AND(LEFT($L90,2)="08",OR($H90&lt;1973,$H90&gt;1999)),"FAIL - 1973-99 class, year "&amp;$H90,IF(AND(LEFT($L90,2)="09",OR($H90&lt;2000,$H90&gt;2010)),"FAIL - 2000-10 class, year "&amp;$H90,"OK")))))</f>
      </c>
      <c r="BF90" s="45">
        <f>IF($AD90="","",IF(ROUND($AO90+$AP90+$AQ90-$AD90,2)=0,"OK","FAIL - out by "&amp;TEXT($AO90+$AP90+$AQ90-$AD90,"$0.00")))</f>
      </c>
    </row>
    <row r="91" spans="1:58" ht="18.75" customHeight="1" x14ac:dyDescent="0.25">
      <c r="A91" s="30" t="inlineStr">
        <is>
          <t xml:space="preserve">CANON-202511-002280</t>
        </is>
      </c>
      <c r="B91" s="30" t="inlineStr">
        <is>
          <t xml:space="preserve">Ottilie Fairweather</t>
        </is>
      </c>
      <c r="C91" s="31">
        <v>45962</v>
      </c>
      <c r="D91" s="32" t="inlineStr">
        <is>
          <t xml:space="preserve">Bound - within authority</t>
        </is>
      </c>
      <c r="E91" s="32" t="inlineStr">
        <is>
          <t xml:space="preserve">New business</t>
        </is>
      </c>
      <c r="F91" s="30" t="inlineStr">
        <is>
          <t xml:space="preserve">B1234EXOTIC26</t>
        </is>
      </c>
      <c r="G91" s="33">
        <f>IF($A91="","",IF($C91="","",YEAR($C91)))</f>
      </c>
      <c r="H91" s="34">
        <v>2012</v>
      </c>
      <c r="I91" s="30" t="inlineStr">
        <is>
          <t xml:space="preserve">Bentley</t>
        </is>
      </c>
      <c r="J91" s="30" t="inlineStr">
        <is>
          <t xml:space="preserve">Continental GT</t>
        </is>
      </c>
      <c r="K91" s="30" t="inlineStr">
        <is>
          <t xml:space="preserve">1L3TWU6NJ8Y13HD52</t>
        </is>
      </c>
      <c r="L91" s="32" t="inlineStr">
        <is>
          <t xml:space="preserve">02 - Sports / GT</t>
        </is>
      </c>
      <c r="M91" s="35">
        <v>300000</v>
      </c>
      <c r="N91" s="32" t="inlineStr">
        <is>
          <t xml:space="preserve">Personal</t>
        </is>
      </c>
      <c r="O91" s="30" t="inlineStr">
        <is>
          <t xml:space="preserve">Personal - regular use</t>
        </is>
      </c>
      <c r="P91" s="30" t="inlineStr">
        <is>
          <t xml:space="preserve">1,000 - 2,500</t>
        </is>
      </c>
      <c r="Q91" s="30" t="inlineStr">
        <is>
          <t xml:space="preserve">Alabama</t>
        </is>
      </c>
      <c r="R91" s="30" t="inlineStr">
        <is>
          <t xml:space="preserve">35203</t>
        </is>
      </c>
      <c r="S91" s="32" t="inlineStr">
        <is>
          <t xml:space="preserve">Tier 2 - Coastal wind (1-25 miles)</t>
        </is>
      </c>
      <c r="T91" s="36">
        <f>IF($A91="","",IF($S91="","",IFERROR(INDEX('[1]natural catastrophe'!$D$6:$D$17,MATCH($S91,'[1]natural catastrophe'!$B$6:$B$17,0)),"?")))</f>
      </c>
      <c r="U91" s="30" t="inlineStr">
        <is>
          <t xml:space="preserve">2% of agreed value, minimum $10,000</t>
        </is>
      </c>
      <c r="V91" s="32" t="inlineStr">
        <is>
          <t xml:space="preserve">Agreed Value</t>
        </is>
      </c>
      <c r="W91" s="30" t="inlineStr">
        <is>
          <t xml:space="preserve">$1,000</t>
        </is>
      </c>
      <c r="X91" s="32" t="inlineStr">
        <is>
          <t xml:space="preserve">$1,000,000 CSL</t>
        </is>
      </c>
      <c r="Y91" s="30"/>
      <c r="Z91" s="30"/>
      <c r="AA91" s="32" t="inlineStr">
        <is>
          <t xml:space="preserve">Surplus Lines</t>
        </is>
      </c>
      <c r="AB91" s="35">
        <v>4956.95</v>
      </c>
      <c r="AC91" s="37">
        <v>0</v>
      </c>
      <c r="AD91" s="38">
        <f>IF(ISNUMBER($AB91),$AB91*(1+N($AC91)),"")</f>
      </c>
      <c r="AE91" s="35">
        <v>350</v>
      </c>
      <c r="AF91" s="35">
        <v>0</v>
      </c>
      <c r="AG91" s="37"/>
      <c r="AH91" s="39">
        <f>IF(ISNUMBER($AD91),($AD91+$AE91+$AF91)*$AG91,"")</f>
      </c>
      <c r="AI91" s="35"/>
      <c r="AJ91" s="38">
        <f>IF(ISNUMBER($AD91),SUM($AD91:$AH91),"")</f>
      </c>
      <c r="AK91" s="40">
        <f>IF(AND(ISNUMBER($AB91),ISNUMBER($AD91)),IF($AB91&gt;0,$AD91/$AB91,""),"")</f>
      </c>
      <c r="AL91" s="32" t="inlineStr">
        <is>
          <t xml:space="preserve">At technical</t>
        </is>
      </c>
      <c r="AM91" s="41">
        <f>IF(ISNUMBER($AD91),Header!$I$3,"")</f>
      </c>
      <c r="AN91" s="39">
        <f>IF(ISNUMBER($AD91),$AO91+$AP91,"")</f>
      </c>
      <c r="AO91" s="39">
        <f>IF(ISNUMBER($AD91),ROUND($AD91*Header!$K$3,2),"")</f>
      </c>
      <c r="AP91" s="39">
        <f>IF(ISNUMBER($AD91),ROUND($AD91*Header!$M$3,2),"")</f>
      </c>
      <c r="AQ91" s="38">
        <f>IF(ISNUMBER($AD91),ROUND($AD91,2)-$AO91-$AP91,"")</f>
      </c>
      <c r="AR91" s="39">
        <f>IF(ISNUMBER($AD91),IF(Header!$D$34="","?",$AD91*Header!$D$34),"")</f>
      </c>
      <c r="AS91" s="39">
        <f>IF(ISNUMBER($AB91),IF(Header!$D$34="","?",$AB91*Header!$D$34),"")</f>
      </c>
      <c r="AT91" s="42">
        <f>IF(AND(ISNUMBER($AB91),$M91&gt;0),$AB91/$M91*100,"")</f>
      </c>
      <c r="AU91" s="42">
        <f>IF(AND(ISNUMBER($AD91),$M91&gt;0),$AD91/$M91*100,"")</f>
      </c>
      <c r="AV91" s="40">
        <f>IF(AND(ISNUMBER($AB91),ISNUMBER($AD91),ABS($AB91)&gt;0),$AD91/$AB91,"")</f>
      </c>
      <c r="AW91" s="39">
        <f>IF(ISNUMBER($AD91),MAX(0,(1-0.55-Header!$O$3)*Header!$Q$3*$AQ91),"")</f>
      </c>
      <c r="AX91" s="43">
        <f>IF($A91="","",IF(TRIM(IF($A91="","Missing certificate ref. ","") &amp; IF($C91="","Missing effective date. ","") &amp; IF($D91="","Missing binding status. ","") &amp; IF($E91="","Missing movement type. ","") &amp; IF($I91="","Missing make. ","") &amp; IF($L91="","Missing vehicle class. ","") &amp; IF($M91="","Missing agreed value. ","") &amp; IF($N91="","Missing policy type. ","") &amp; IF($Q91="","Missing garaging state. ","") &amp; IF($R91="","Missing garaging ZIP. ","") &amp; IF($S91="","Missing cat zone. ","") &amp; IF($V91="","Missing valuation basis. ","") &amp; IF($W91="","Missing PD deductible. ","") &amp; IF($X91="","Missing liability limit. ","") &amp; IF($AB91="","Missing technical premium. ","") &amp; IF($AF91="","Missing surplus lines tax %. ",""))="","PASS","FAIL: "&amp;TRIM(IF($A91="","Missing certificate ref. ","") &amp; IF($C91="","Missing effective date. ","") &amp; IF($D91="","Missing binding status. ","") &amp; IF($E91="","Missing movement type. ","") &amp; IF($I91="","Missing make. ","") &amp; IF($L91="","Missing vehicle class. ","") &amp; IF($M91="","Missing agreed value. ","") &amp; IF($N91="","Missing policy type. ","") &amp; IF($Q91="","Missing garaging state. ","") &amp; IF($R91="","Missing garaging ZIP. ","") &amp; IF($S91="","Missing cat zone. ","") &amp; IF($V91="","Missing valuation basis. ","") &amp; IF($W91="","Missing PD deductible. ","") &amp; IF($X91="","Missing liability limit. ","") &amp; IF($AB91="","Missing technical premium. ","") &amp; IF($AF91="","Missing surplus lines tax %. ",""))))</f>
      </c>
      <c r="AY91" s="44">
        <f>IF($M91="","",IF(ISNUMBER($M91),IF($M91&gt;=Header!$C$18,"YES — refer","No"),""))</f>
      </c>
      <c r="AZ91" s="44">
        <f>IF($AD91="","",IF(ISNUMBER($AD91),IF($AD91&lt;Header!$C$20,"BELOW MIN PREMIUM","OK"),""))</f>
      </c>
      <c r="BA91" s="32" t="inlineStr">
        <is>
          <t xml:space="preserve">Yes</t>
        </is>
      </c>
      <c r="BB91" s="32" t="inlineStr">
        <is>
          <t xml:space="preserve">Yes</t>
        </is>
      </c>
      <c r="BC91" s="30" t="inlineStr">
        <is>
          <t xml:space="preserve">Synthetic demo data</t>
        </is>
      </c>
      <c r="BE91" s="45">
        <f>IF(OR($A91="",$L91="",$H91=""),"",IF(AND(LEFT($L91,2)="06",$H91&gt;1945),"FAIL - pre-war class, year "&amp;$H91,IF(AND(LEFT($L91,2)="07",OR($H91&lt;1946,$H91&gt;1972)),"FAIL - 1946-72 class, year "&amp;$H91,IF(AND(LEFT($L91,2)="08",OR($H91&lt;1973,$H91&gt;1999)),"FAIL - 1973-99 class, year "&amp;$H91,IF(AND(LEFT($L91,2)="09",OR($H91&lt;2000,$H91&gt;2010)),"FAIL - 2000-10 class, year "&amp;$H91,"OK")))))</f>
      </c>
      <c r="BF91" s="45">
        <f>IF($AD91="","",IF(ROUND($AO91+$AP91+$AQ91-$AD91,2)=0,"OK","FAIL - out by "&amp;TEXT($AO91+$AP91+$AQ91-$AD91,"$0.00")))</f>
      </c>
    </row>
    <row r="92" spans="1:58" ht="18.75" customHeight="1" x14ac:dyDescent="0.25">
      <c r="A92" s="46" t="inlineStr">
        <is>
          <t xml:space="preserve">CANON-202511-002281</t>
        </is>
      </c>
      <c r="B92" s="46" t="inlineStr">
        <is>
          <t xml:space="preserve">Marisol Merriweather</t>
        </is>
      </c>
      <c r="C92" s="47">
        <v>45969</v>
      </c>
      <c r="D92" s="48" t="inlineStr">
        <is>
          <t xml:space="preserve">Bound - within authority</t>
        </is>
      </c>
      <c r="E92" s="48" t="inlineStr">
        <is>
          <t xml:space="preserve">New business</t>
        </is>
      </c>
      <c r="F92" s="46" t="inlineStr">
        <is>
          <t xml:space="preserve">B1234EXOTIC26</t>
        </is>
      </c>
      <c r="G92" s="33">
        <f>IF($A92="","",IF($C92="","",YEAR($C92)))</f>
      </c>
      <c r="H92" s="49">
        <v>1958</v>
      </c>
      <c r="I92" s="46" t="inlineStr">
        <is>
          <t xml:space="preserve">Mercedes-Benz</t>
        </is>
      </c>
      <c r="J92" s="46" t="inlineStr">
        <is>
          <t xml:space="preserve">AMG GT</t>
        </is>
      </c>
      <c r="K92" s="46" t="inlineStr">
        <is>
          <t xml:space="preserve">A8SKBF8BB9TPVG01F</t>
        </is>
      </c>
      <c r="L92" s="48" t="inlineStr">
        <is>
          <t xml:space="preserve">02 - Sports / GT</t>
        </is>
      </c>
      <c r="M92" s="50">
        <v>385000</v>
      </c>
      <c r="N92" s="48" t="inlineStr">
        <is>
          <t xml:space="preserve">Personal</t>
        </is>
      </c>
      <c r="O92" s="46" t="inlineStr">
        <is>
          <t xml:space="preserve">Personal - regular use</t>
        </is>
      </c>
      <c r="P92" s="46" t="inlineStr">
        <is>
          <t xml:space="preserve">1,000 - 2,500</t>
        </is>
      </c>
      <c r="Q92" s="46" t="inlineStr">
        <is>
          <t xml:space="preserve">Massachusetts</t>
        </is>
      </c>
      <c r="R92" s="46" t="inlineStr">
        <is>
          <t xml:space="preserve">02108</t>
        </is>
      </c>
      <c r="S92" s="48" t="inlineStr">
        <is>
          <t xml:space="preserve">Tier 3 - Coastal wind (25-100 miles)</t>
        </is>
      </c>
      <c r="T92" s="36">
        <f>IF($A92="","",IF($S92="","",IFERROR(INDEX('[1]natural catastrophe'!$D$6:$D$17,MATCH($S92,'[1]natural catastrophe'!$B$6:$B$17,0)),"?")))</f>
      </c>
      <c r="U92" s="46" t="inlineStr">
        <is>
          <t xml:space="preserve">2% of agreed value, minimum $10,000</t>
        </is>
      </c>
      <c r="V92" s="48" t="inlineStr">
        <is>
          <t xml:space="preserve">Agreed Value</t>
        </is>
      </c>
      <c r="W92" s="46" t="inlineStr">
        <is>
          <t xml:space="preserve">$1,000</t>
        </is>
      </c>
      <c r="X92" s="48" t="inlineStr">
        <is>
          <t xml:space="preserve">$1,000,000 CSL</t>
        </is>
      </c>
      <c r="Y92" s="46"/>
      <c r="Z92" s="46"/>
      <c r="AA92" s="48" t="inlineStr">
        <is>
          <t xml:space="preserve">Surplus Lines</t>
        </is>
      </c>
      <c r="AB92" s="50">
        <v>6261.24</v>
      </c>
      <c r="AC92" s="51">
        <v>0</v>
      </c>
      <c r="AD92" s="38">
        <f>IF(ISNUMBER($AB92),$AB92*(1+N($AC92)),"")</f>
      </c>
      <c r="AE92" s="50">
        <v>350</v>
      </c>
      <c r="AF92" s="50">
        <v>0</v>
      </c>
      <c r="AG92" s="51"/>
      <c r="AH92" s="39">
        <f>IF(ISNUMBER($AD92),($AD92+$AE92+$AF92)*$AG92,"")</f>
      </c>
      <c r="AI92" s="50"/>
      <c r="AJ92" s="38">
        <f>IF(ISNUMBER($AD92),SUM($AD92:$AH92),"")</f>
      </c>
      <c r="AK92" s="40">
        <f>IF(AND(ISNUMBER($AB92),ISNUMBER($AD92)),IF($AB92&gt;0,$AD92/$AB92,""),"")</f>
      </c>
      <c r="AL92" s="48" t="inlineStr">
        <is>
          <t xml:space="preserve">At technical</t>
        </is>
      </c>
      <c r="AM92" s="41">
        <f>IF(ISNUMBER($AD92),Header!$I$3,"")</f>
      </c>
      <c r="AN92" s="39">
        <f>IF(ISNUMBER($AD92),$AO92+$AP92,"")</f>
      </c>
      <c r="AO92" s="39">
        <f>IF(ISNUMBER($AD92),ROUND($AD92*Header!$K$3,2),"")</f>
      </c>
      <c r="AP92" s="39">
        <f>IF(ISNUMBER($AD92),ROUND($AD92*Header!$M$3,2),"")</f>
      </c>
      <c r="AQ92" s="38">
        <f>IF(ISNUMBER($AD92),ROUND($AD92,2)-$AO92-$AP92,"")</f>
      </c>
      <c r="AR92" s="39">
        <f>IF(ISNUMBER($AD92),IF(Header!$D$34="","?",$AD92*Header!$D$34),"")</f>
      </c>
      <c r="AS92" s="39">
        <f>IF(ISNUMBER($AB92),IF(Header!$D$34="","?",$AB92*Header!$D$34),"")</f>
      </c>
      <c r="AT92" s="42">
        <f>IF(AND(ISNUMBER($AB92),$M92&gt;0),$AB92/$M92*100,"")</f>
      </c>
      <c r="AU92" s="42">
        <f>IF(AND(ISNUMBER($AD92),$M92&gt;0),$AD92/$M92*100,"")</f>
      </c>
      <c r="AV92" s="40">
        <f>IF(AND(ISNUMBER($AB92),ISNUMBER($AD92),ABS($AB92)&gt;0),$AD92/$AB92,"")</f>
      </c>
      <c r="AW92" s="39">
        <f>IF(ISNUMBER($AD92),MAX(0,(1-0.55-Header!$O$3)*Header!$Q$3*$AQ92),"")</f>
      </c>
      <c r="AX92" s="43">
        <f>IF($A92="","",IF(TRIM(IF($A92="","Missing certificate ref. ","") &amp; IF($C92="","Missing effective date. ","") &amp; IF($D92="","Missing binding status. ","") &amp; IF($E92="","Missing movement type. ","") &amp; IF($I92="","Missing make. ","") &amp; IF($L92="","Missing vehicle class. ","") &amp; IF($M92="","Missing agreed value. ","") &amp; IF($N92="","Missing policy type. ","") &amp; IF($Q92="","Missing garaging state. ","") &amp; IF($R92="","Missing garaging ZIP. ","") &amp; IF($S92="","Missing cat zone. ","") &amp; IF($V92="","Missing valuation basis. ","") &amp; IF($W92="","Missing PD deductible. ","") &amp; IF($X92="","Missing liability limit. ","") &amp; IF($AB92="","Missing technical premium. ","") &amp; IF($AF92="","Missing surplus lines tax %. ",""))="","PASS","FAIL: "&amp;TRIM(IF($A92="","Missing certificate ref. ","") &amp; IF($C92="","Missing effective date. ","") &amp; IF($D92="","Missing binding status. ","") &amp; IF($E92="","Missing movement type. ","") &amp; IF($I92="","Missing make. ","") &amp; IF($L92="","Missing vehicle class. ","") &amp; IF($M92="","Missing agreed value. ","") &amp; IF($N92="","Missing policy type. ","") &amp; IF($Q92="","Missing garaging state. ","") &amp; IF($R92="","Missing garaging ZIP. ","") &amp; IF($S92="","Missing cat zone. ","") &amp; IF($V92="","Missing valuation basis. ","") &amp; IF($W92="","Missing PD deductible. ","") &amp; IF($X92="","Missing liability limit. ","") &amp; IF($AB92="","Missing technical premium. ","") &amp; IF($AF92="","Missing surplus lines tax %. ",""))))</f>
      </c>
      <c r="AY92" s="44">
        <f>IF($M92="","",IF(ISNUMBER($M92),IF($M92&gt;=Header!$C$18,"YES — refer","No"),""))</f>
      </c>
      <c r="AZ92" s="44">
        <f>IF($AD92="","",IF(ISNUMBER($AD92),IF($AD92&lt;Header!$C$20,"BELOW MIN PREMIUM","OK"),""))</f>
      </c>
      <c r="BA92" s="48" t="inlineStr">
        <is>
          <t xml:space="preserve">Yes</t>
        </is>
      </c>
      <c r="BB92" s="48" t="inlineStr">
        <is>
          <t xml:space="preserve">Yes</t>
        </is>
      </c>
      <c r="BC92" s="46" t="inlineStr">
        <is>
          <t xml:space="preserve">Synthetic demo data</t>
        </is>
      </c>
      <c r="BE92" s="45">
        <f>IF(OR($A92="",$L92="",$H92=""),"",IF(AND(LEFT($L92,2)="06",$H92&gt;1945),"FAIL - pre-war class, year "&amp;$H92,IF(AND(LEFT($L92,2)="07",OR($H92&lt;1946,$H92&gt;1972)),"FAIL - 1946-72 class, year "&amp;$H92,IF(AND(LEFT($L92,2)="08",OR($H92&lt;1973,$H92&gt;1999)),"FAIL - 1973-99 class, year "&amp;$H92,IF(AND(LEFT($L92,2)="09",OR($H92&lt;2000,$H92&gt;2010)),"FAIL - 2000-10 class, year "&amp;$H92,"OK")))))</f>
      </c>
      <c r="BF92" s="45">
        <f>IF($AD92="","",IF(ROUND($AO92+$AP92+$AQ92-$AD92,2)=0,"OK","FAIL - out by "&amp;TEXT($AO92+$AP92+$AQ92-$AD92,"$0.00")))</f>
      </c>
    </row>
    <row r="93" spans="1:58" ht="18.75" customHeight="1" x14ac:dyDescent="0.25">
      <c r="A93" s="30" t="inlineStr">
        <is>
          <t xml:space="preserve">CANON-202511-002282</t>
        </is>
      </c>
      <c r="B93" s="30" t="inlineStr">
        <is>
          <t xml:space="preserve">Ramona Vandermeer</t>
        </is>
      </c>
      <c r="C93" s="31">
        <v>45982</v>
      </c>
      <c r="D93" s="32" t="inlineStr">
        <is>
          <t xml:space="preserve">Bound - within authority</t>
        </is>
      </c>
      <c r="E93" s="32" t="inlineStr">
        <is>
          <t xml:space="preserve">New business</t>
        </is>
      </c>
      <c r="F93" s="30" t="inlineStr">
        <is>
          <t xml:space="preserve">B1234EXOTIC26</t>
        </is>
      </c>
      <c r="G93" s="33">
        <f>IF($A93="","",IF($C93="","",YEAR($C93)))</f>
      </c>
      <c r="H93" s="34">
        <v>2004</v>
      </c>
      <c r="I93" s="30" t="inlineStr">
        <is>
          <t xml:space="preserve">Maserati</t>
        </is>
      </c>
      <c r="J93" s="30" t="inlineStr">
        <is>
          <t xml:space="preserve">GranTurismo</t>
        </is>
      </c>
      <c r="K93" s="30" t="inlineStr">
        <is>
          <t xml:space="preserve">4DJN3CYBF09NFC74B</t>
        </is>
      </c>
      <c r="L93" s="32" t="inlineStr">
        <is>
          <t xml:space="preserve">02 - Sports / GT</t>
        </is>
      </c>
      <c r="M93" s="35">
        <v>205000</v>
      </c>
      <c r="N93" s="32" t="inlineStr">
        <is>
          <t xml:space="preserve">Personal</t>
        </is>
      </c>
      <c r="O93" s="30" t="inlineStr">
        <is>
          <t xml:space="preserve">Personal - regular use</t>
        </is>
      </c>
      <c r="P93" s="30" t="inlineStr">
        <is>
          <t xml:space="preserve">2,500 - 5,000</t>
        </is>
      </c>
      <c r="Q93" s="30" t="inlineStr">
        <is>
          <t xml:space="preserve">Ohio</t>
        </is>
      </c>
      <c r="R93" s="30" t="inlineStr">
        <is>
          <t xml:space="preserve">43215</t>
        </is>
      </c>
      <c r="S93" s="32" t="inlineStr">
        <is>
          <t xml:space="preserve">Severe convective - hail / tornado (moderate)</t>
        </is>
      </c>
      <c r="T93" s="36">
        <f>IF($A93="","",IF($S93="","",IFERROR(INDEX('[1]natural catastrophe'!$D$6:$D$17,MATCH($S93,'[1]natural catastrophe'!$B$6:$B$17,0)),"?")))</f>
      </c>
      <c r="U93" s="30" t="inlineStr">
        <is>
          <t xml:space="preserve">$5,000</t>
        </is>
      </c>
      <c r="V93" s="32" t="inlineStr">
        <is>
          <t xml:space="preserve">Agreed Value</t>
        </is>
      </c>
      <c r="W93" s="30" t="inlineStr">
        <is>
          <t xml:space="preserve">$1,000</t>
        </is>
      </c>
      <c r="X93" s="32" t="inlineStr">
        <is>
          <t xml:space="preserve">$1,000,000 CSL</t>
        </is>
      </c>
      <c r="Y93" s="30"/>
      <c r="Z93" s="30"/>
      <c r="AA93" s="32" t="inlineStr">
        <is>
          <t xml:space="preserve">Surplus Lines</t>
        </is>
      </c>
      <c r="AB93" s="35">
        <v>4547.63</v>
      </c>
      <c r="AC93" s="37">
        <v>0</v>
      </c>
      <c r="AD93" s="38">
        <f>IF(ISNUMBER($AB93),$AB93*(1+N($AC93)),"")</f>
      </c>
      <c r="AE93" s="35">
        <v>350</v>
      </c>
      <c r="AF93" s="35">
        <v>0</v>
      </c>
      <c r="AG93" s="37"/>
      <c r="AH93" s="39">
        <f>IF(ISNUMBER($AD93),($AD93+$AE93+$AF93)*$AG93,"")</f>
      </c>
      <c r="AI93" s="35"/>
      <c r="AJ93" s="38">
        <f>IF(ISNUMBER($AD93),SUM($AD93:$AH93),"")</f>
      </c>
      <c r="AK93" s="40">
        <f>IF(AND(ISNUMBER($AB93),ISNUMBER($AD93)),IF($AB93&gt;0,$AD93/$AB93,""),"")</f>
      </c>
      <c r="AL93" s="32" t="inlineStr">
        <is>
          <t xml:space="preserve">At technical</t>
        </is>
      </c>
      <c r="AM93" s="41">
        <f>IF(ISNUMBER($AD93),Header!$I$3,"")</f>
      </c>
      <c r="AN93" s="39">
        <f>IF(ISNUMBER($AD93),$AO93+$AP93,"")</f>
      </c>
      <c r="AO93" s="39">
        <f>IF(ISNUMBER($AD93),ROUND($AD93*Header!$K$3,2),"")</f>
      </c>
      <c r="AP93" s="39">
        <f>IF(ISNUMBER($AD93),ROUND($AD93*Header!$M$3,2),"")</f>
      </c>
      <c r="AQ93" s="38">
        <f>IF(ISNUMBER($AD93),ROUND($AD93,2)-$AO93-$AP93,"")</f>
      </c>
      <c r="AR93" s="39">
        <f>IF(ISNUMBER($AD93),IF(Header!$D$34="","?",$AD93*Header!$D$34),"")</f>
      </c>
      <c r="AS93" s="39">
        <f>IF(ISNUMBER($AB93),IF(Header!$D$34="","?",$AB93*Header!$D$34),"")</f>
      </c>
      <c r="AT93" s="42">
        <f>IF(AND(ISNUMBER($AB93),$M93&gt;0),$AB93/$M93*100,"")</f>
      </c>
      <c r="AU93" s="42">
        <f>IF(AND(ISNUMBER($AD93),$M93&gt;0),$AD93/$M93*100,"")</f>
      </c>
      <c r="AV93" s="40">
        <f>IF(AND(ISNUMBER($AB93),ISNUMBER($AD93),ABS($AB93)&gt;0),$AD93/$AB93,"")</f>
      </c>
      <c r="AW93" s="39">
        <f>IF(ISNUMBER($AD93),MAX(0,(1-0.55-Header!$O$3)*Header!$Q$3*$AQ93),"")</f>
      </c>
      <c r="AX93" s="43">
        <f>IF($A93="","",IF(TRIM(IF($A93="","Missing certificate ref. ","") &amp; IF($C93="","Missing effective date. ","") &amp; IF($D93="","Missing binding status. ","") &amp; IF($E93="","Missing movement type. ","") &amp; IF($I93="","Missing make. ","") &amp; IF($L93="","Missing vehicle class. ","") &amp; IF($M93="","Missing agreed value. ","") &amp; IF($N93="","Missing policy type. ","") &amp; IF($Q93="","Missing garaging state. ","") &amp; IF($R93="","Missing garaging ZIP. ","") &amp; IF($S93="","Missing cat zone. ","") &amp; IF($V93="","Missing valuation basis. ","") &amp; IF($W93="","Missing PD deductible. ","") &amp; IF($X93="","Missing liability limit. ","") &amp; IF($AB93="","Missing technical premium. ","") &amp; IF($AF93="","Missing surplus lines tax %. ",""))="","PASS","FAIL: "&amp;TRIM(IF($A93="","Missing certificate ref. ","") &amp; IF($C93="","Missing effective date. ","") &amp; IF($D93="","Missing binding status. ","") &amp; IF($E93="","Missing movement type. ","") &amp; IF($I93="","Missing make. ","") &amp; IF($L93="","Missing vehicle class. ","") &amp; IF($M93="","Missing agreed value. ","") &amp; IF($N93="","Missing policy type. ","") &amp; IF($Q93="","Missing garaging state. ","") &amp; IF($R93="","Missing garaging ZIP. ","") &amp; IF($S93="","Missing cat zone. ","") &amp; IF($V93="","Missing valuation basis. ","") &amp; IF($W93="","Missing PD deductible. ","") &amp; IF($X93="","Missing liability limit. ","") &amp; IF($AB93="","Missing technical premium. ","") &amp; IF($AF93="","Missing surplus lines tax %. ",""))))</f>
      </c>
      <c r="AY93" s="44">
        <f>IF($M93="","",IF(ISNUMBER($M93),IF($M93&gt;=Header!$C$18,"YES — refer","No"),""))</f>
      </c>
      <c r="AZ93" s="44">
        <f>IF($AD93="","",IF(ISNUMBER($AD93),IF($AD93&lt;Header!$C$20,"BELOW MIN PREMIUM","OK"),""))</f>
      </c>
      <c r="BA93" s="32" t="inlineStr">
        <is>
          <t xml:space="preserve">Yes</t>
        </is>
      </c>
      <c r="BB93" s="32" t="inlineStr">
        <is>
          <t xml:space="preserve">Yes</t>
        </is>
      </c>
      <c r="BC93" s="30" t="inlineStr">
        <is>
          <t xml:space="preserve">Synthetic demo data</t>
        </is>
      </c>
      <c r="BE93" s="45">
        <f>IF(OR($A93="",$L93="",$H93=""),"",IF(AND(LEFT($L93,2)="06",$H93&gt;1945),"FAIL - pre-war class, year "&amp;$H93,IF(AND(LEFT($L93,2)="07",OR($H93&lt;1946,$H93&gt;1972)),"FAIL - 1946-72 class, year "&amp;$H93,IF(AND(LEFT($L93,2)="08",OR($H93&lt;1973,$H93&gt;1999)),"FAIL - 1973-99 class, year "&amp;$H93,IF(AND(LEFT($L93,2)="09",OR($H93&lt;2000,$H93&gt;2010)),"FAIL - 2000-10 class, year "&amp;$H93,"OK")))))</f>
      </c>
      <c r="BF93" s="45">
        <f>IF($AD93="","",IF(ROUND($AO93+$AP93+$AQ93-$AD93,2)=0,"OK","FAIL - out by "&amp;TEXT($AO93+$AP93+$AQ93-$AD93,"$0.00")))</f>
      </c>
    </row>
    <row r="94" spans="1:58" ht="18.75" customHeight="1" x14ac:dyDescent="0.25">
      <c r="A94" s="46" t="inlineStr">
        <is>
          <t xml:space="preserve">CANON-202511-002283</t>
        </is>
      </c>
      <c r="B94" s="46" t="inlineStr">
        <is>
          <t xml:space="preserve">Mireille Castellanos</t>
        </is>
      </c>
      <c r="C94" s="47">
        <v>45981</v>
      </c>
      <c r="D94" s="48" t="inlineStr">
        <is>
          <t xml:space="preserve">Bound - within authority</t>
        </is>
      </c>
      <c r="E94" s="48" t="inlineStr">
        <is>
          <t xml:space="preserve">New business</t>
        </is>
      </c>
      <c r="F94" s="46" t="inlineStr">
        <is>
          <t xml:space="preserve">B1234EXOTIC26</t>
        </is>
      </c>
      <c r="G94" s="33">
        <f>IF($A94="","",IF($C94="","",YEAR($C94)))</f>
      </c>
      <c r="H94" s="49">
        <v>1958</v>
      </c>
      <c r="I94" s="46" t="inlineStr">
        <is>
          <t xml:space="preserve">Ferrari</t>
        </is>
      </c>
      <c r="J94" s="46" t="inlineStr">
        <is>
          <t xml:space="preserve">SF90 Stradale</t>
        </is>
      </c>
      <c r="K94" s="46" t="inlineStr">
        <is>
          <t xml:space="preserve">XMFHXH015VXEJ7HZR</t>
        </is>
      </c>
      <c r="L94" s="48" t="inlineStr">
        <is>
          <t xml:space="preserve">03 - Supercar</t>
        </is>
      </c>
      <c r="M94" s="50">
        <v>640000</v>
      </c>
      <c r="N94" s="48" t="inlineStr">
        <is>
          <t xml:space="preserve">Personal</t>
        </is>
      </c>
      <c r="O94" s="46" t="inlineStr">
        <is>
          <t xml:space="preserve">Personal - regular use</t>
        </is>
      </c>
      <c r="P94" s="46" t="inlineStr">
        <is>
          <t xml:space="preserve">2,500 - 5,000</t>
        </is>
      </c>
      <c r="Q94" s="46" t="inlineStr">
        <is>
          <t xml:space="preserve">Michigan</t>
        </is>
      </c>
      <c r="R94" s="46" t="inlineStr">
        <is>
          <t xml:space="preserve">48226</t>
        </is>
      </c>
      <c r="S94" s="48" t="inlineStr">
        <is>
          <t xml:space="preserve">Severe convective - hail / tornado (moderate)</t>
        </is>
      </c>
      <c r="T94" s="36">
        <f>IF($A94="","",IF($S94="","",IFERROR(INDEX('[1]natural catastrophe'!$D$6:$D$17,MATCH($S94,'[1]natural catastrophe'!$B$6:$B$17,0)),"?")))</f>
      </c>
      <c r="U94" s="46" t="inlineStr">
        <is>
          <t xml:space="preserve">$5,000</t>
        </is>
      </c>
      <c r="V94" s="48" t="inlineStr">
        <is>
          <t xml:space="preserve">Agreed Value</t>
        </is>
      </c>
      <c r="W94" s="46" t="inlineStr">
        <is>
          <t xml:space="preserve">$1,000</t>
        </is>
      </c>
      <c r="X94" s="48" t="inlineStr">
        <is>
          <t xml:space="preserve">$1,000,000 CSL</t>
        </is>
      </c>
      <c r="Y94" s="46"/>
      <c r="Z94" s="46"/>
      <c r="AA94" s="48" t="inlineStr">
        <is>
          <t xml:space="preserve">Surplus Lines</t>
        </is>
      </c>
      <c r="AB94" s="50">
        <v>16347.97</v>
      </c>
      <c r="AC94" s="51">
        <v>0</v>
      </c>
      <c r="AD94" s="38">
        <f>IF(ISNUMBER($AB94),$AB94*(1+N($AC94)),"")</f>
      </c>
      <c r="AE94" s="50">
        <v>350</v>
      </c>
      <c r="AF94" s="50">
        <v>0</v>
      </c>
      <c r="AG94" s="51"/>
      <c r="AH94" s="39">
        <f>IF(ISNUMBER($AD94),($AD94+$AE94+$AF94)*$AG94,"")</f>
      </c>
      <c r="AI94" s="50"/>
      <c r="AJ94" s="38">
        <f>IF(ISNUMBER($AD94),SUM($AD94:$AH94),"")</f>
      </c>
      <c r="AK94" s="40">
        <f>IF(AND(ISNUMBER($AB94),ISNUMBER($AD94)),IF($AB94&gt;0,$AD94/$AB94,""),"")</f>
      </c>
      <c r="AL94" s="48" t="inlineStr">
        <is>
          <t xml:space="preserve">At technical</t>
        </is>
      </c>
      <c r="AM94" s="41">
        <f>IF(ISNUMBER($AD94),Header!$I$3,"")</f>
      </c>
      <c r="AN94" s="39">
        <f>IF(ISNUMBER($AD94),$AO94+$AP94,"")</f>
      </c>
      <c r="AO94" s="39">
        <f>IF(ISNUMBER($AD94),ROUND($AD94*Header!$K$3,2),"")</f>
      </c>
      <c r="AP94" s="39">
        <f>IF(ISNUMBER($AD94),ROUND($AD94*Header!$M$3,2),"")</f>
      </c>
      <c r="AQ94" s="38">
        <f>IF(ISNUMBER($AD94),ROUND($AD94,2)-$AO94-$AP94,"")</f>
      </c>
      <c r="AR94" s="39">
        <f>IF(ISNUMBER($AD94),IF(Header!$D$34="","?",$AD94*Header!$D$34),"")</f>
      </c>
      <c r="AS94" s="39">
        <f>IF(ISNUMBER($AB94),IF(Header!$D$34="","?",$AB94*Header!$D$34),"")</f>
      </c>
      <c r="AT94" s="42">
        <f>IF(AND(ISNUMBER($AB94),$M94&gt;0),$AB94/$M94*100,"")</f>
      </c>
      <c r="AU94" s="42">
        <f>IF(AND(ISNUMBER($AD94),$M94&gt;0),$AD94/$M94*100,"")</f>
      </c>
      <c r="AV94" s="40">
        <f>IF(AND(ISNUMBER($AB94),ISNUMBER($AD94),ABS($AB94)&gt;0),$AD94/$AB94,"")</f>
      </c>
      <c r="AW94" s="39">
        <f>IF(ISNUMBER($AD94),MAX(0,(1-0.55-Header!$O$3)*Header!$Q$3*$AQ94),"")</f>
      </c>
      <c r="AX94" s="43">
        <f>IF($A94="","",IF(TRIM(IF($A94="","Missing certificate ref. ","") &amp; IF($C94="","Missing effective date. ","") &amp; IF($D94="","Missing binding status. ","") &amp; IF($E94="","Missing movement type. ","") &amp; IF($I94="","Missing make. ","") &amp; IF($L94="","Missing vehicle class. ","") &amp; IF($M94="","Missing agreed value. ","") &amp; IF($N94="","Missing policy type. ","") &amp; IF($Q94="","Missing garaging state. ","") &amp; IF($R94="","Missing garaging ZIP. ","") &amp; IF($S94="","Missing cat zone. ","") &amp; IF($V94="","Missing valuation basis. ","") &amp; IF($W94="","Missing PD deductible. ","") &amp; IF($X94="","Missing liability limit. ","") &amp; IF($AB94="","Missing technical premium. ","") &amp; IF($AF94="","Missing surplus lines tax %. ",""))="","PASS","FAIL: "&amp;TRIM(IF($A94="","Missing certificate ref. ","") &amp; IF($C94="","Missing effective date. ","") &amp; IF($D94="","Missing binding status. ","") &amp; IF($E94="","Missing movement type. ","") &amp; IF($I94="","Missing make. ","") &amp; IF($L94="","Missing vehicle class. ","") &amp; IF($M94="","Missing agreed value. ","") &amp; IF($N94="","Missing policy type. ","") &amp; IF($Q94="","Missing garaging state. ","") &amp; IF($R94="","Missing garaging ZIP. ","") &amp; IF($S94="","Missing cat zone. ","") &amp; IF($V94="","Missing valuation basis. ","") &amp; IF($W94="","Missing PD deductible. ","") &amp; IF($X94="","Missing liability limit. ","") &amp; IF($AB94="","Missing technical premium. ","") &amp; IF($AF94="","Missing surplus lines tax %. ",""))))</f>
      </c>
      <c r="AY94" s="44">
        <f>IF($M94="","",IF(ISNUMBER($M94),IF($M94&gt;=Header!$C$18,"YES — refer","No"),""))</f>
      </c>
      <c r="AZ94" s="44">
        <f>IF($AD94="","",IF(ISNUMBER($AD94),IF($AD94&lt;Header!$C$20,"BELOW MIN PREMIUM","OK"),""))</f>
      </c>
      <c r="BA94" s="48" t="inlineStr">
        <is>
          <t xml:space="preserve">Yes</t>
        </is>
      </c>
      <c r="BB94" s="48" t="inlineStr">
        <is>
          <t xml:space="preserve">Yes</t>
        </is>
      </c>
      <c r="BC94" s="46" t="inlineStr">
        <is>
          <t xml:space="preserve">Synthetic demo data</t>
        </is>
      </c>
      <c r="BE94" s="45">
        <f>IF(OR($A94="",$L94="",$H94=""),"",IF(AND(LEFT($L94,2)="06",$H94&gt;1945),"FAIL - pre-war class, year "&amp;$H94,IF(AND(LEFT($L94,2)="07",OR($H94&lt;1946,$H94&gt;1972)),"FAIL - 1946-72 class, year "&amp;$H94,IF(AND(LEFT($L94,2)="08",OR($H94&lt;1973,$H94&gt;1999)),"FAIL - 1973-99 class, year "&amp;$H94,IF(AND(LEFT($L94,2)="09",OR($H94&lt;2000,$H94&gt;2010)),"FAIL - 2000-10 class, year "&amp;$H94,"OK")))))</f>
      </c>
      <c r="BF94" s="45">
        <f>IF($AD94="","",IF(ROUND($AO94+$AP94+$AQ94-$AD94,2)=0,"OK","FAIL - out by "&amp;TEXT($AO94+$AP94+$AQ94-$AD94,"$0.00")))</f>
      </c>
    </row>
    <row r="95" spans="1:58" ht="18.75" customHeight="1" x14ac:dyDescent="0.25">
      <c r="A95" s="30" t="inlineStr">
        <is>
          <t xml:space="preserve">CANON-202511-002284</t>
        </is>
      </c>
      <c r="B95" s="30" t="inlineStr">
        <is>
          <t xml:space="preserve">Marisol Castellanos</t>
        </is>
      </c>
      <c r="C95" s="31">
        <v>45989</v>
      </c>
      <c r="D95" s="32" t="inlineStr">
        <is>
          <t xml:space="preserve">Bound - within authority</t>
        </is>
      </c>
      <c r="E95" s="32" t="inlineStr">
        <is>
          <t xml:space="preserve">New business</t>
        </is>
      </c>
      <c r="F95" s="30" t="inlineStr">
        <is>
          <t xml:space="preserve">B1234EXOTIC26</t>
        </is>
      </c>
      <c r="G95" s="33">
        <f>IF($A95="","",IF($C95="","",YEAR($C95)))</f>
      </c>
      <c r="H95" s="34">
        <v>1985</v>
      </c>
      <c r="I95" s="30" t="inlineStr">
        <is>
          <t xml:space="preserve">Aston Martin</t>
        </is>
      </c>
      <c r="J95" s="30" t="inlineStr">
        <is>
          <t xml:space="preserve">DB5</t>
        </is>
      </c>
      <c r="K95" s="30" t="inlineStr">
        <is>
          <t xml:space="preserve">GXPNBBX7CWY9B7845</t>
        </is>
      </c>
      <c r="L95" s="32" t="inlineStr">
        <is>
          <t xml:space="preserve">08 - Modern Classic (1973-1999)</t>
        </is>
      </c>
      <c r="M95" s="35">
        <v>215000</v>
      </c>
      <c r="N95" s="32" t="inlineStr">
        <is>
          <t xml:space="preserve">Personal</t>
        </is>
      </c>
      <c r="O95" s="30" t="inlineStr">
        <is>
          <t xml:space="preserve">Personal - regular use</t>
        </is>
      </c>
      <c r="P95" s="30" t="inlineStr">
        <is>
          <t xml:space="preserve">Under 1,000</t>
        </is>
      </c>
      <c r="Q95" s="30" t="inlineStr">
        <is>
          <t xml:space="preserve">Florida</t>
        </is>
      </c>
      <c r="R95" s="30" t="inlineStr">
        <is>
          <t xml:space="preserve">33139</t>
        </is>
      </c>
      <c r="S95" s="32" t="inlineStr">
        <is>
          <t xml:space="preserve">Tier 2 - Coastal wind (1-25 miles)</t>
        </is>
      </c>
      <c r="T95" s="36">
        <f>IF($A95="","",IF($S95="","",IFERROR(INDEX('[1]natural catastrophe'!$D$6:$D$17,MATCH($S95,'[1]natural catastrophe'!$B$6:$B$17,0)),"?")))</f>
      </c>
      <c r="U95" s="30" t="inlineStr">
        <is>
          <t xml:space="preserve">2% of agreed value, minimum $10,000</t>
        </is>
      </c>
      <c r="V95" s="32" t="inlineStr">
        <is>
          <t xml:space="preserve">Agreed Value</t>
        </is>
      </c>
      <c r="W95" s="30" t="inlineStr">
        <is>
          <t xml:space="preserve">$1,000</t>
        </is>
      </c>
      <c r="X95" s="32" t="inlineStr">
        <is>
          <t xml:space="preserve">$1,000,000 CSL</t>
        </is>
      </c>
      <c r="Y95" s="30"/>
      <c r="Z95" s="30"/>
      <c r="AA95" s="32" t="inlineStr">
        <is>
          <t xml:space="preserve">Surplus Lines</t>
        </is>
      </c>
      <c r="AB95" s="35">
        <v>3018.78</v>
      </c>
      <c r="AC95" s="37">
        <v>0</v>
      </c>
      <c r="AD95" s="38">
        <f>IF(ISNUMBER($AB95),$AB95*(1+N($AC95)),"")</f>
      </c>
      <c r="AE95" s="35">
        <v>350</v>
      </c>
      <c r="AF95" s="35">
        <v>0</v>
      </c>
      <c r="AG95" s="37"/>
      <c r="AH95" s="39">
        <f>IF(ISNUMBER($AD95),($AD95+$AE95+$AF95)*$AG95,"")</f>
      </c>
      <c r="AI95" s="35"/>
      <c r="AJ95" s="38">
        <f>IF(ISNUMBER($AD95),SUM($AD95:$AH95),"")</f>
      </c>
      <c r="AK95" s="40">
        <f>IF(AND(ISNUMBER($AB95),ISNUMBER($AD95)),IF($AB95&gt;0,$AD95/$AB95,""),"")</f>
      </c>
      <c r="AL95" s="32" t="inlineStr">
        <is>
          <t xml:space="preserve">At technical</t>
        </is>
      </c>
      <c r="AM95" s="41">
        <f>IF(ISNUMBER($AD95),Header!$I$3,"")</f>
      </c>
      <c r="AN95" s="39">
        <f>IF(ISNUMBER($AD95),$AO95+$AP95,"")</f>
      </c>
      <c r="AO95" s="39">
        <f>IF(ISNUMBER($AD95),ROUND($AD95*Header!$K$3,2),"")</f>
      </c>
      <c r="AP95" s="39">
        <f>IF(ISNUMBER($AD95),ROUND($AD95*Header!$M$3,2),"")</f>
      </c>
      <c r="AQ95" s="38">
        <f>IF(ISNUMBER($AD95),ROUND($AD95,2)-$AO95-$AP95,"")</f>
      </c>
      <c r="AR95" s="39">
        <f>IF(ISNUMBER($AD95),IF(Header!$D$34="","?",$AD95*Header!$D$34),"")</f>
      </c>
      <c r="AS95" s="39">
        <f>IF(ISNUMBER($AB95),IF(Header!$D$34="","?",$AB95*Header!$D$34),"")</f>
      </c>
      <c r="AT95" s="42">
        <f>IF(AND(ISNUMBER($AB95),$M95&gt;0),$AB95/$M95*100,"")</f>
      </c>
      <c r="AU95" s="42">
        <f>IF(AND(ISNUMBER($AD95),$M95&gt;0),$AD95/$M95*100,"")</f>
      </c>
      <c r="AV95" s="40">
        <f>IF(AND(ISNUMBER($AB95),ISNUMBER($AD95),ABS($AB95)&gt;0),$AD95/$AB95,"")</f>
      </c>
      <c r="AW95" s="39">
        <f>IF(ISNUMBER($AD95),MAX(0,(1-0.55-Header!$O$3)*Header!$Q$3*$AQ95),"")</f>
      </c>
      <c r="AX95" s="43">
        <f>IF($A95="","",IF(TRIM(IF($A95="","Missing certificate ref. ","") &amp; IF($C95="","Missing effective date. ","") &amp; IF($D95="","Missing binding status. ","") &amp; IF($E95="","Missing movement type. ","") &amp; IF($I95="","Missing make. ","") &amp; IF($L95="","Missing vehicle class. ","") &amp; IF($M95="","Missing agreed value. ","") &amp; IF($N95="","Missing policy type. ","") &amp; IF($Q95="","Missing garaging state. ","") &amp; IF($R95="","Missing garaging ZIP. ","") &amp; IF($S95="","Missing cat zone. ","") &amp; IF($V95="","Missing valuation basis. ","") &amp; IF($W95="","Missing PD deductible. ","") &amp; IF($X95="","Missing liability limit. ","") &amp; IF($AB95="","Missing technical premium. ","") &amp; IF($AF95="","Missing surplus lines tax %. ",""))="","PASS","FAIL: "&amp;TRIM(IF($A95="","Missing certificate ref. ","") &amp; IF($C95="","Missing effective date. ","") &amp; IF($D95="","Missing binding status. ","") &amp; IF($E95="","Missing movement type. ","") &amp; IF($I95="","Missing make. ","") &amp; IF($L95="","Missing vehicle class. ","") &amp; IF($M95="","Missing agreed value. ","") &amp; IF($N95="","Missing policy type. ","") &amp; IF($Q95="","Missing garaging state. ","") &amp; IF($R95="","Missing garaging ZIP. ","") &amp; IF($S95="","Missing cat zone. ","") &amp; IF($V95="","Missing valuation basis. ","") &amp; IF($W95="","Missing PD deductible. ","") &amp; IF($X95="","Missing liability limit. ","") &amp; IF($AB95="","Missing technical premium. ","") &amp; IF($AF95="","Missing surplus lines tax %. ",""))))</f>
      </c>
      <c r="AY95" s="44">
        <f>IF($M95="","",IF(ISNUMBER($M95),IF($M95&gt;=Header!$C$18,"YES — refer","No"),""))</f>
      </c>
      <c r="AZ95" s="44">
        <f>IF($AD95="","",IF(ISNUMBER($AD95),IF($AD95&lt;Header!$C$20,"BELOW MIN PREMIUM","OK"),""))</f>
      </c>
      <c r="BA95" s="32" t="inlineStr">
        <is>
          <t xml:space="preserve">Yes</t>
        </is>
      </c>
      <c r="BB95" s="32" t="inlineStr">
        <is>
          <t xml:space="preserve">Yes</t>
        </is>
      </c>
      <c r="BC95" s="30" t="inlineStr">
        <is>
          <t xml:space="preserve">Synthetic demo data</t>
        </is>
      </c>
      <c r="BE95" s="45">
        <f>IF(OR($A95="",$L95="",$H95=""),"",IF(AND(LEFT($L95,2)="06",$H95&gt;1945),"FAIL - pre-war class, year "&amp;$H95,IF(AND(LEFT($L95,2)="07",OR($H95&lt;1946,$H95&gt;1972)),"FAIL - 1946-72 class, year "&amp;$H95,IF(AND(LEFT($L95,2)="08",OR($H95&lt;1973,$H95&gt;1999)),"FAIL - 1973-99 class, year "&amp;$H95,IF(AND(LEFT($L95,2)="09",OR($H95&lt;2000,$H95&gt;2010)),"FAIL - 2000-10 class, year "&amp;$H95,"OK")))))</f>
      </c>
      <c r="BF95" s="45">
        <f>IF($AD95="","",IF(ROUND($AO95+$AP95+$AQ95-$AD95,2)=0,"OK","FAIL - out by "&amp;TEXT($AO95+$AP95+$AQ95-$AD95,"$0.00")))</f>
      </c>
    </row>
    <row r="96" spans="1:58" ht="18.75" customHeight="1" x14ac:dyDescent="0.25">
      <c r="A96" s="46" t="inlineStr">
        <is>
          <t xml:space="preserve">CANON-202511-002285</t>
        </is>
      </c>
      <c r="B96" s="46" t="inlineStr">
        <is>
          <t xml:space="preserve">Lorenzo Blackwood</t>
        </is>
      </c>
      <c r="C96" s="47">
        <v>45985</v>
      </c>
      <c r="D96" s="48" t="inlineStr">
        <is>
          <t xml:space="preserve">Bound - within authority</t>
        </is>
      </c>
      <c r="E96" s="48" t="inlineStr">
        <is>
          <t xml:space="preserve">New business</t>
        </is>
      </c>
      <c r="F96" s="46" t="inlineStr">
        <is>
          <t xml:space="preserve">B1234EXOTIC26</t>
        </is>
      </c>
      <c r="G96" s="33">
        <f>IF($A96="","",IF($C96="","",YEAR($C96)))</f>
      </c>
      <c r="H96" s="49">
        <v>2004</v>
      </c>
      <c r="I96" s="46" t="inlineStr">
        <is>
          <t xml:space="preserve">Alfa Romeo</t>
        </is>
      </c>
      <c r="J96" s="46" t="inlineStr">
        <is>
          <t xml:space="preserve">8C 2900</t>
        </is>
      </c>
      <c r="K96" s="46" t="inlineStr">
        <is>
          <t xml:space="preserve">T6HLLKECFG1NKV3FD</t>
        </is>
      </c>
      <c r="L96" s="48" t="inlineStr">
        <is>
          <t xml:space="preserve">09 - Youngtimer / Collectible (2000-2010)</t>
        </is>
      </c>
      <c r="M96" s="50">
        <v>1010000</v>
      </c>
      <c r="N96" s="48" t="inlineStr">
        <is>
          <t xml:space="preserve">Personal</t>
        </is>
      </c>
      <c r="O96" s="46" t="inlineStr">
        <is>
          <t xml:space="preserve">Personal - regular use</t>
        </is>
      </c>
      <c r="P96" s="46" t="inlineStr">
        <is>
          <t xml:space="preserve">Under 1,000</t>
        </is>
      </c>
      <c r="Q96" s="46" t="inlineStr">
        <is>
          <t xml:space="preserve">New Jersey</t>
        </is>
      </c>
      <c r="R96" s="46" t="inlineStr">
        <is>
          <t xml:space="preserve">07102</t>
        </is>
      </c>
      <c r="S96" s="48" t="inlineStr">
        <is>
          <t xml:space="preserve">Tier 3 - Coastal wind (25-100 miles)</t>
        </is>
      </c>
      <c r="T96" s="36">
        <f>IF($A96="","",IF($S96="","",IFERROR(INDEX('[1]natural catastrophe'!$D$6:$D$17,MATCH($S96,'[1]natural catastrophe'!$B$6:$B$17,0)),"?")))</f>
      </c>
      <c r="U96" s="46" t="inlineStr">
        <is>
          <t xml:space="preserve">2% of agreed value, minimum $10,000</t>
        </is>
      </c>
      <c r="V96" s="48" t="inlineStr">
        <is>
          <t xml:space="preserve">Agreed Value</t>
        </is>
      </c>
      <c r="W96" s="46" t="inlineStr">
        <is>
          <t xml:space="preserve">$1,000</t>
        </is>
      </c>
      <c r="X96" s="48" t="inlineStr">
        <is>
          <t xml:space="preserve">$1,000,000 CSL</t>
        </is>
      </c>
      <c r="Y96" s="46"/>
      <c r="Z96" s="46"/>
      <c r="AA96" s="48" t="inlineStr">
        <is>
          <t xml:space="preserve">Surplus Lines</t>
        </is>
      </c>
      <c r="AB96" s="50">
        <v>5420.88</v>
      </c>
      <c r="AC96" s="51">
        <v>0</v>
      </c>
      <c r="AD96" s="38">
        <f>IF(ISNUMBER($AB96),$AB96*(1+N($AC96)),"")</f>
      </c>
      <c r="AE96" s="50">
        <v>350</v>
      </c>
      <c r="AF96" s="50">
        <v>250</v>
      </c>
      <c r="AG96" s="51"/>
      <c r="AH96" s="39">
        <f>IF(ISNUMBER($AD96),($AD96+$AE96+$AF96)*$AG96,"")</f>
      </c>
      <c r="AI96" s="50"/>
      <c r="AJ96" s="38">
        <f>IF(ISNUMBER($AD96),SUM($AD96:$AH96),"")</f>
      </c>
      <c r="AK96" s="40">
        <f>IF(AND(ISNUMBER($AB96),ISNUMBER($AD96)),IF($AB96&gt;0,$AD96/$AB96,""),"")</f>
      </c>
      <c r="AL96" s="48" t="inlineStr">
        <is>
          <t xml:space="preserve">At technical</t>
        </is>
      </c>
      <c r="AM96" s="41">
        <f>IF(ISNUMBER($AD96),Header!$I$3,"")</f>
      </c>
      <c r="AN96" s="39">
        <f>IF(ISNUMBER($AD96),$AO96+$AP96,"")</f>
      </c>
      <c r="AO96" s="39">
        <f>IF(ISNUMBER($AD96),ROUND($AD96*Header!$K$3,2),"")</f>
      </c>
      <c r="AP96" s="39">
        <f>IF(ISNUMBER($AD96),ROUND($AD96*Header!$M$3,2),"")</f>
      </c>
      <c r="AQ96" s="38">
        <f>IF(ISNUMBER($AD96),ROUND($AD96,2)-$AO96-$AP96,"")</f>
      </c>
      <c r="AR96" s="39">
        <f>IF(ISNUMBER($AD96),IF(Header!$D$34="","?",$AD96*Header!$D$34),"")</f>
      </c>
      <c r="AS96" s="39">
        <f>IF(ISNUMBER($AB96),IF(Header!$D$34="","?",$AB96*Header!$D$34),"")</f>
      </c>
      <c r="AT96" s="42">
        <f>IF(AND(ISNUMBER($AB96),$M96&gt;0),$AB96/$M96*100,"")</f>
      </c>
      <c r="AU96" s="42">
        <f>IF(AND(ISNUMBER($AD96),$M96&gt;0),$AD96/$M96*100,"")</f>
      </c>
      <c r="AV96" s="40">
        <f>IF(AND(ISNUMBER($AB96),ISNUMBER($AD96),ABS($AB96)&gt;0),$AD96/$AB96,"")</f>
      </c>
      <c r="AW96" s="39">
        <f>IF(ISNUMBER($AD96),MAX(0,(1-0.55-Header!$O$3)*Header!$Q$3*$AQ96),"")</f>
      </c>
      <c r="AX96" s="43">
        <f>IF($A96="","",IF(TRIM(IF($A96="","Missing certificate ref. ","") &amp; IF($C96="","Missing effective date. ","") &amp; IF($D96="","Missing binding status. ","") &amp; IF($E96="","Missing movement type. ","") &amp; IF($I96="","Missing make. ","") &amp; IF($L96="","Missing vehicle class. ","") &amp; IF($M96="","Missing agreed value. ","") &amp; IF($N96="","Missing policy type. ","") &amp; IF($Q96="","Missing garaging state. ","") &amp; IF($R96="","Missing garaging ZIP. ","") &amp; IF($S96="","Missing cat zone. ","") &amp; IF($V96="","Missing valuation basis. ","") &amp; IF($W96="","Missing PD deductible. ","") &amp; IF($X96="","Missing liability limit. ","") &amp; IF($AB96="","Missing technical premium. ","") &amp; IF($AF96="","Missing surplus lines tax %. ",""))="","PASS","FAIL: "&amp;TRIM(IF($A96="","Missing certificate ref. ","") &amp; IF($C96="","Missing effective date. ","") &amp; IF($D96="","Missing binding status. ","") &amp; IF($E96="","Missing movement type. ","") &amp; IF($I96="","Missing make. ","") &amp; IF($L96="","Missing vehicle class. ","") &amp; IF($M96="","Missing agreed value. ","") &amp; IF($N96="","Missing policy type. ","") &amp; IF($Q96="","Missing garaging state. ","") &amp; IF($R96="","Missing garaging ZIP. ","") &amp; IF($S96="","Missing cat zone. ","") &amp; IF($V96="","Missing valuation basis. ","") &amp; IF($W96="","Missing PD deductible. ","") &amp; IF($X96="","Missing liability limit. ","") &amp; IF($AB96="","Missing technical premium. ","") &amp; IF($AF96="","Missing surplus lines tax %. ",""))))</f>
      </c>
      <c r="AY96" s="44">
        <f>IF($M96="","",IF(ISNUMBER($M96),IF($M96&gt;=Header!$C$18,"YES — refer","No"),""))</f>
      </c>
      <c r="AZ96" s="44">
        <f>IF($AD96="","",IF(ISNUMBER($AD96),IF($AD96&lt;Header!$C$20,"BELOW MIN PREMIUM","OK"),""))</f>
      </c>
      <c r="BA96" s="48" t="inlineStr">
        <is>
          <t xml:space="preserve">Yes</t>
        </is>
      </c>
      <c r="BB96" s="48" t="inlineStr">
        <is>
          <t xml:space="preserve">Yes</t>
        </is>
      </c>
      <c r="BC96" s="46" t="inlineStr">
        <is>
          <t xml:space="preserve">Synthetic demo data</t>
        </is>
      </c>
      <c r="BE96" s="45">
        <f>IF(OR($A96="",$L96="",$H96=""),"",IF(AND(LEFT($L96,2)="06",$H96&gt;1945),"FAIL - pre-war class, year "&amp;$H96,IF(AND(LEFT($L96,2)="07",OR($H96&lt;1946,$H96&gt;1972)),"FAIL - 1946-72 class, year "&amp;$H96,IF(AND(LEFT($L96,2)="08",OR($H96&lt;1973,$H96&gt;1999)),"FAIL - 1973-99 class, year "&amp;$H96,IF(AND(LEFT($L96,2)="09",OR($H96&lt;2000,$H96&gt;2010)),"FAIL - 2000-10 class, year "&amp;$H96,"OK")))))</f>
      </c>
      <c r="BF96" s="45">
        <f>IF($AD96="","",IF(ROUND($AO96+$AP96+$AQ96-$AD96,2)=0,"OK","FAIL - out by "&amp;TEXT($AO96+$AP96+$AQ96-$AD96,"$0.00")))</f>
      </c>
    </row>
    <row r="97" spans="1:58" ht="18.75" customHeight="1" x14ac:dyDescent="0.25">
      <c r="A97" s="30" t="inlineStr">
        <is>
          <t xml:space="preserve">CANON-202511-002287</t>
        </is>
      </c>
      <c r="B97" s="30" t="inlineStr">
        <is>
          <t xml:space="preserve">Fitzgerald Harrington</t>
        </is>
      </c>
      <c r="C97" s="31">
        <v>45981</v>
      </c>
      <c r="D97" s="32" t="inlineStr">
        <is>
          <t xml:space="preserve">Bound - within authority</t>
        </is>
      </c>
      <c r="E97" s="32" t="inlineStr">
        <is>
          <t xml:space="preserve">New business</t>
        </is>
      </c>
      <c r="F97" s="30" t="inlineStr">
        <is>
          <t xml:space="preserve">B1234EXOTIC26</t>
        </is>
      </c>
      <c r="G97" s="33">
        <f>IF($A97="","",IF($C97="","",YEAR($C97)))</f>
      </c>
      <c r="H97" s="34">
        <v>1962</v>
      </c>
      <c r="I97" s="30" t="inlineStr">
        <is>
          <t xml:space="preserve">Icon</t>
        </is>
      </c>
      <c r="J97" s="30" t="inlineStr">
        <is>
          <t xml:space="preserve">Derelict</t>
        </is>
      </c>
      <c r="K97" s="30" t="inlineStr">
        <is>
          <t xml:space="preserve">H7FWHPEFB5APEFCSH</t>
        </is>
      </c>
      <c r="L97" s="32" t="inlineStr">
        <is>
          <t xml:space="preserve">11 - Restomod / Coachbuilt / Bespoke</t>
        </is>
      </c>
      <c r="M97" s="35">
        <v>1045000</v>
      </c>
      <c r="N97" s="32" t="inlineStr">
        <is>
          <t xml:space="preserve">Personal</t>
        </is>
      </c>
      <c r="O97" s="30" t="inlineStr">
        <is>
          <t xml:space="preserve">Personal - regular use</t>
        </is>
      </c>
      <c r="P97" s="30" t="inlineStr">
        <is>
          <t xml:space="preserve">1,000 - 2,500</t>
        </is>
      </c>
      <c r="Q97" s="30" t="inlineStr">
        <is>
          <t xml:space="preserve">West Virginia</t>
        </is>
      </c>
      <c r="R97" s="30" t="inlineStr">
        <is>
          <t xml:space="preserve">25301</t>
        </is>
      </c>
      <c r="S97" s="32" t="inlineStr">
        <is>
          <t xml:space="preserve">Low hazard - inland benign</t>
        </is>
      </c>
      <c r="T97" s="36">
        <f>IF($A97="","",IF($S97="","",IFERROR(INDEX('[1]natural catastrophe'!$D$6:$D$17,MATCH($S97,'[1]natural catastrophe'!$B$6:$B$17,0)),"?")))</f>
      </c>
      <c r="U97" s="30" t="inlineStr">
        <is>
          <t xml:space="preserve">$5,000</t>
        </is>
      </c>
      <c r="V97" s="32" t="inlineStr">
        <is>
          <t xml:space="preserve">Agreed Value</t>
        </is>
      </c>
      <c r="W97" s="30" t="inlineStr">
        <is>
          <t xml:space="preserve">$1,000</t>
        </is>
      </c>
      <c r="X97" s="32" t="inlineStr">
        <is>
          <t xml:space="preserve">$1,000,000 CSL</t>
        </is>
      </c>
      <c r="Y97" s="30"/>
      <c r="Z97" s="30"/>
      <c r="AA97" s="32" t="inlineStr">
        <is>
          <t xml:space="preserve">Surplus Lines</t>
        </is>
      </c>
      <c r="AB97" s="35">
        <v>16394.78</v>
      </c>
      <c r="AC97" s="37">
        <v>0</v>
      </c>
      <c r="AD97" s="38">
        <f>IF(ISNUMBER($AB97),$AB97*(1+N($AC97)),"")</f>
      </c>
      <c r="AE97" s="35">
        <v>350</v>
      </c>
      <c r="AF97" s="35">
        <v>250</v>
      </c>
      <c r="AG97" s="37"/>
      <c r="AH97" s="39">
        <f>IF(ISNUMBER($AD97),($AD97+$AE97+$AF97)*$AG97,"")</f>
      </c>
      <c r="AI97" s="35"/>
      <c r="AJ97" s="38">
        <f>IF(ISNUMBER($AD97),SUM($AD97:$AH97),"")</f>
      </c>
      <c r="AK97" s="40">
        <f>IF(AND(ISNUMBER($AB97),ISNUMBER($AD97)),IF($AB97&gt;0,$AD97/$AB97,""),"")</f>
      </c>
      <c r="AL97" s="32" t="inlineStr">
        <is>
          <t xml:space="preserve">At technical</t>
        </is>
      </c>
      <c r="AM97" s="41">
        <f>IF(ISNUMBER($AD97),Header!$I$3,"")</f>
      </c>
      <c r="AN97" s="39">
        <f>IF(ISNUMBER($AD97),$AO97+$AP97,"")</f>
      </c>
      <c r="AO97" s="39">
        <f>IF(ISNUMBER($AD97),ROUND($AD97*Header!$K$3,2),"")</f>
      </c>
      <c r="AP97" s="39">
        <f>IF(ISNUMBER($AD97),ROUND($AD97*Header!$M$3,2),"")</f>
      </c>
      <c r="AQ97" s="38">
        <f>IF(ISNUMBER($AD97),ROUND($AD97,2)-$AO97-$AP97,"")</f>
      </c>
      <c r="AR97" s="39">
        <f>IF(ISNUMBER($AD97),IF(Header!$D$34="","?",$AD97*Header!$D$34),"")</f>
      </c>
      <c r="AS97" s="39">
        <f>IF(ISNUMBER($AB97),IF(Header!$D$34="","?",$AB97*Header!$D$34),"")</f>
      </c>
      <c r="AT97" s="42">
        <f>IF(AND(ISNUMBER($AB97),$M97&gt;0),$AB97/$M97*100,"")</f>
      </c>
      <c r="AU97" s="42">
        <f>IF(AND(ISNUMBER($AD97),$M97&gt;0),$AD97/$M97*100,"")</f>
      </c>
      <c r="AV97" s="40">
        <f>IF(AND(ISNUMBER($AB97),ISNUMBER($AD97),ABS($AB97)&gt;0),$AD97/$AB97,"")</f>
      </c>
      <c r="AW97" s="39">
        <f>IF(ISNUMBER($AD97),MAX(0,(1-0.55-Header!$O$3)*Header!$Q$3*$AQ97),"")</f>
      </c>
      <c r="AX97" s="43">
        <f>IF($A97="","",IF(TRIM(IF($A97="","Missing certificate ref. ","") &amp; IF($C97="","Missing effective date. ","") &amp; IF($D97="","Missing binding status. ","") &amp; IF($E97="","Missing movement type. ","") &amp; IF($I97="","Missing make. ","") &amp; IF($L97="","Missing vehicle class. ","") &amp; IF($M97="","Missing agreed value. ","") &amp; IF($N97="","Missing policy type. ","") &amp; IF($Q97="","Missing garaging state. ","") &amp; IF($R97="","Missing garaging ZIP. ","") &amp; IF($S97="","Missing cat zone. ","") &amp; IF($V97="","Missing valuation basis. ","") &amp; IF($W97="","Missing PD deductible. ","") &amp; IF($X97="","Missing liability limit. ","") &amp; IF($AB97="","Missing technical premium. ","") &amp; IF($AF97="","Missing surplus lines tax %. ",""))="","PASS","FAIL: "&amp;TRIM(IF($A97="","Missing certificate ref. ","") &amp; IF($C97="","Missing effective date. ","") &amp; IF($D97="","Missing binding status. ","") &amp; IF($E97="","Missing movement type. ","") &amp; IF($I97="","Missing make. ","") &amp; IF($L97="","Missing vehicle class. ","") &amp; IF($M97="","Missing agreed value. ","") &amp; IF($N97="","Missing policy type. ","") &amp; IF($Q97="","Missing garaging state. ","") &amp; IF($R97="","Missing garaging ZIP. ","") &amp; IF($S97="","Missing cat zone. ","") &amp; IF($V97="","Missing valuation basis. ","") &amp; IF($W97="","Missing PD deductible. ","") &amp; IF($X97="","Missing liability limit. ","") &amp; IF($AB97="","Missing technical premium. ","") &amp; IF($AF97="","Missing surplus lines tax %. ",""))))</f>
      </c>
      <c r="AY97" s="44">
        <f>IF($M97="","",IF(ISNUMBER($M97),IF($M97&gt;=Header!$C$18,"YES — refer","No"),""))</f>
      </c>
      <c r="AZ97" s="44">
        <f>IF($AD97="","",IF(ISNUMBER($AD97),IF($AD97&lt;Header!$C$20,"BELOW MIN PREMIUM","OK"),""))</f>
      </c>
      <c r="BA97" s="32" t="inlineStr">
        <is>
          <t xml:space="preserve">Yes</t>
        </is>
      </c>
      <c r="BB97" s="32" t="inlineStr">
        <is>
          <t xml:space="preserve">Yes</t>
        </is>
      </c>
      <c r="BC97" s="30" t="inlineStr">
        <is>
          <t xml:space="preserve">Synthetic demo data</t>
        </is>
      </c>
      <c r="BE97" s="45">
        <f>IF(OR($A97="",$L97="",$H97=""),"",IF(AND(LEFT($L97,2)="06",$H97&gt;1945),"FAIL - pre-war class, year "&amp;$H97,IF(AND(LEFT($L97,2)="07",OR($H97&lt;1946,$H97&gt;1972)),"FAIL - 1946-72 class, year "&amp;$H97,IF(AND(LEFT($L97,2)="08",OR($H97&lt;1973,$H97&gt;1999)),"FAIL - 1973-99 class, year "&amp;$H97,IF(AND(LEFT($L97,2)="09",OR($H97&lt;2000,$H97&gt;2010)),"FAIL - 2000-10 class, year "&amp;$H97,"OK")))))</f>
      </c>
      <c r="BF97" s="45">
        <f>IF($AD97="","",IF(ROUND($AO97+$AP97+$AQ97-$AD97,2)=0,"OK","FAIL - out by "&amp;TEXT($AO97+$AP97+$AQ97-$AD97,"$0.00")))</f>
      </c>
    </row>
    <row r="98" spans="1:58" ht="18.75" customHeight="1" x14ac:dyDescent="0.25">
      <c r="A98" s="46" t="inlineStr">
        <is>
          <t xml:space="preserve">CANON-202511-002288</t>
        </is>
      </c>
      <c r="B98" s="46" t="inlineStr">
        <is>
          <t xml:space="preserve">Beatrix Nakashima</t>
        </is>
      </c>
      <c r="C98" s="47">
        <v>45987</v>
      </c>
      <c r="D98" s="48" t="inlineStr">
        <is>
          <t xml:space="preserve">Bound - within authority</t>
        </is>
      </c>
      <c r="E98" s="48" t="inlineStr">
        <is>
          <t xml:space="preserve">New business</t>
        </is>
      </c>
      <c r="F98" s="46" t="inlineStr">
        <is>
          <t xml:space="preserve">B1234EXOTIC26</t>
        </is>
      </c>
      <c r="G98" s="33">
        <f>IF($A98="","",IF($C98="","",YEAR($C98)))</f>
      </c>
      <c r="H98" s="49">
        <v>2006</v>
      </c>
      <c r="I98" s="46" t="inlineStr">
        <is>
          <t xml:space="preserve">Porsche</t>
        </is>
      </c>
      <c r="J98" s="46" t="inlineStr">
        <is>
          <t xml:space="preserve">911 Turbo S</t>
        </is>
      </c>
      <c r="K98" s="46" t="inlineStr">
        <is>
          <t xml:space="preserve">TE1PU4WTM49TKMNE1</t>
        </is>
      </c>
      <c r="L98" s="48" t="inlineStr">
        <is>
          <t xml:space="preserve">02 - Sports / GT</t>
        </is>
      </c>
      <c r="M98" s="50">
        <v>860000</v>
      </c>
      <c r="N98" s="48" t="inlineStr">
        <is>
          <t xml:space="preserve">Personal</t>
        </is>
      </c>
      <c r="O98" s="46" t="inlineStr">
        <is>
          <t xml:space="preserve">Personal - regular use</t>
        </is>
      </c>
      <c r="P98" s="46" t="inlineStr">
        <is>
          <t xml:space="preserve">1,000 - 2,500</t>
        </is>
      </c>
      <c r="Q98" s="46" t="inlineStr">
        <is>
          <t xml:space="preserve">South Dakota</t>
        </is>
      </c>
      <c r="R98" s="46" t="inlineStr">
        <is>
          <t xml:space="preserve">57501</t>
        </is>
      </c>
      <c r="S98" s="48" t="inlineStr">
        <is>
          <t xml:space="preserve">Severe convective - hail alley (high)</t>
        </is>
      </c>
      <c r="T98" s="36">
        <f>IF($A98="","",IF($S98="","",IFERROR(INDEX('[1]natural catastrophe'!$D$6:$D$17,MATCH($S98,'[1]natural catastrophe'!$B$6:$B$17,0)),"?")))</f>
      </c>
      <c r="U98" s="46" t="inlineStr">
        <is>
          <t xml:space="preserve">$5,000</t>
        </is>
      </c>
      <c r="V98" s="48" t="inlineStr">
        <is>
          <t xml:space="preserve">Agreed Value</t>
        </is>
      </c>
      <c r="W98" s="46" t="inlineStr">
        <is>
          <t xml:space="preserve">$1,000</t>
        </is>
      </c>
      <c r="X98" s="48" t="inlineStr">
        <is>
          <t xml:space="preserve">$1,000,000 CSL</t>
        </is>
      </c>
      <c r="Y98" s="46"/>
      <c r="Z98" s="46"/>
      <c r="AA98" s="48" t="inlineStr">
        <is>
          <t xml:space="preserve">Surplus Lines</t>
        </is>
      </c>
      <c r="AB98" s="50">
        <v>10763.75</v>
      </c>
      <c r="AC98" s="51">
        <v>0</v>
      </c>
      <c r="AD98" s="38">
        <f>IF(ISNUMBER($AB98),$AB98*(1+N($AC98)),"")</f>
      </c>
      <c r="AE98" s="50">
        <v>350</v>
      </c>
      <c r="AF98" s="50">
        <v>0</v>
      </c>
      <c r="AG98" s="51"/>
      <c r="AH98" s="39">
        <f>IF(ISNUMBER($AD98),($AD98+$AE98+$AF98)*$AG98,"")</f>
      </c>
      <c r="AI98" s="50"/>
      <c r="AJ98" s="38">
        <f>IF(ISNUMBER($AD98),SUM($AD98:$AH98),"")</f>
      </c>
      <c r="AK98" s="40">
        <f>IF(AND(ISNUMBER($AB98),ISNUMBER($AD98)),IF($AB98&gt;0,$AD98/$AB98,""),"")</f>
      </c>
      <c r="AL98" s="48" t="inlineStr">
        <is>
          <t xml:space="preserve">At technical</t>
        </is>
      </c>
      <c r="AM98" s="41">
        <f>IF(ISNUMBER($AD98),Header!$I$3,"")</f>
      </c>
      <c r="AN98" s="39">
        <f>IF(ISNUMBER($AD98),$AO98+$AP98,"")</f>
      </c>
      <c r="AO98" s="39">
        <f>IF(ISNUMBER($AD98),ROUND($AD98*Header!$K$3,2),"")</f>
      </c>
      <c r="AP98" s="39">
        <f>IF(ISNUMBER($AD98),ROUND($AD98*Header!$M$3,2),"")</f>
      </c>
      <c r="AQ98" s="38">
        <f>IF(ISNUMBER($AD98),ROUND($AD98,2)-$AO98-$AP98,"")</f>
      </c>
      <c r="AR98" s="39">
        <f>IF(ISNUMBER($AD98),IF(Header!$D$34="","?",$AD98*Header!$D$34),"")</f>
      </c>
      <c r="AS98" s="39">
        <f>IF(ISNUMBER($AB98),IF(Header!$D$34="","?",$AB98*Header!$D$34),"")</f>
      </c>
      <c r="AT98" s="42">
        <f>IF(AND(ISNUMBER($AB98),$M98&gt;0),$AB98/$M98*100,"")</f>
      </c>
      <c r="AU98" s="42">
        <f>IF(AND(ISNUMBER($AD98),$M98&gt;0),$AD98/$M98*100,"")</f>
      </c>
      <c r="AV98" s="40">
        <f>IF(AND(ISNUMBER($AB98),ISNUMBER($AD98),ABS($AB98)&gt;0),$AD98/$AB98,"")</f>
      </c>
      <c r="AW98" s="39">
        <f>IF(ISNUMBER($AD98),MAX(0,(1-0.55-Header!$O$3)*Header!$Q$3*$AQ98),"")</f>
      </c>
      <c r="AX98" s="43">
        <f>IF($A98="","",IF(TRIM(IF($A98="","Missing certificate ref. ","") &amp; IF($C98="","Missing effective date. ","") &amp; IF($D98="","Missing binding status. ","") &amp; IF($E98="","Missing movement type. ","") &amp; IF($I98="","Missing make. ","") &amp; IF($L98="","Missing vehicle class. ","") &amp; IF($M98="","Missing agreed value. ","") &amp; IF($N98="","Missing policy type. ","") &amp; IF($Q98="","Missing garaging state. ","") &amp; IF($R98="","Missing garaging ZIP. ","") &amp; IF($S98="","Missing cat zone. ","") &amp; IF($V98="","Missing valuation basis. ","") &amp; IF($W98="","Missing PD deductible. ","") &amp; IF($X98="","Missing liability limit. ","") &amp; IF($AB98="","Missing technical premium. ","") &amp; IF($AF98="","Missing surplus lines tax %. ",""))="","PASS","FAIL: "&amp;TRIM(IF($A98="","Missing certificate ref. ","") &amp; IF($C98="","Missing effective date. ","") &amp; IF($D98="","Missing binding status. ","") &amp; IF($E98="","Missing movement type. ","") &amp; IF($I98="","Missing make. ","") &amp; IF($L98="","Missing vehicle class. ","") &amp; IF($M98="","Missing agreed value. ","") &amp; IF($N98="","Missing policy type. ","") &amp; IF($Q98="","Missing garaging state. ","") &amp; IF($R98="","Missing garaging ZIP. ","") &amp; IF($S98="","Missing cat zone. ","") &amp; IF($V98="","Missing valuation basis. ","") &amp; IF($W98="","Missing PD deductible. ","") &amp; IF($X98="","Missing liability limit. ","") &amp; IF($AB98="","Missing technical premium. ","") &amp; IF($AF98="","Missing surplus lines tax %. ",""))))</f>
      </c>
      <c r="AY98" s="44">
        <f>IF($M98="","",IF(ISNUMBER($M98),IF($M98&gt;=Header!$C$18,"YES — refer","No"),""))</f>
      </c>
      <c r="AZ98" s="44">
        <f>IF($AD98="","",IF(ISNUMBER($AD98),IF($AD98&lt;Header!$C$20,"BELOW MIN PREMIUM","OK"),""))</f>
      </c>
      <c r="BA98" s="48" t="inlineStr">
        <is>
          <t xml:space="preserve">Yes</t>
        </is>
      </c>
      <c r="BB98" s="48" t="inlineStr">
        <is>
          <t xml:space="preserve">Yes</t>
        </is>
      </c>
      <c r="BC98" s="46" t="inlineStr">
        <is>
          <t xml:space="preserve">Synthetic demo data</t>
        </is>
      </c>
      <c r="BE98" s="45">
        <f>IF(OR($A98="",$L98="",$H98=""),"",IF(AND(LEFT($L98,2)="06",$H98&gt;1945),"FAIL - pre-war class, year "&amp;$H98,IF(AND(LEFT($L98,2)="07",OR($H98&lt;1946,$H98&gt;1972)),"FAIL - 1946-72 class, year "&amp;$H98,IF(AND(LEFT($L98,2)="08",OR($H98&lt;1973,$H98&gt;1999)),"FAIL - 1973-99 class, year "&amp;$H98,IF(AND(LEFT($L98,2)="09",OR($H98&lt;2000,$H98&gt;2010)),"FAIL - 2000-10 class, year "&amp;$H98,"OK")))))</f>
      </c>
      <c r="BF98" s="45">
        <f>IF($AD98="","",IF(ROUND($AO98+$AP98+$AQ98-$AD98,2)=0,"OK","FAIL - out by "&amp;TEXT($AO98+$AP98+$AQ98-$AD98,"$0.00")))</f>
      </c>
    </row>
    <row r="99" spans="1:58" ht="18.75" customHeight="1" x14ac:dyDescent="0.25">
      <c r="A99" s="30" t="inlineStr">
        <is>
          <t xml:space="preserve">CANON-202511-002289</t>
        </is>
      </c>
      <c r="B99" s="30" t="inlineStr">
        <is>
          <t xml:space="preserve">Fenwick Ashcombe</t>
        </is>
      </c>
      <c r="C99" s="31">
        <v>45988</v>
      </c>
      <c r="D99" s="32" t="inlineStr">
        <is>
          <t xml:space="preserve">Bound - within authority</t>
        </is>
      </c>
      <c r="E99" s="32" t="inlineStr">
        <is>
          <t xml:space="preserve">New business</t>
        </is>
      </c>
      <c r="F99" s="30" t="inlineStr">
        <is>
          <t xml:space="preserve">B1234EXOTIC26</t>
        </is>
      </c>
      <c r="G99" s="33">
        <f>IF($A99="","",IF($C99="","",YEAR($C99)))</f>
      </c>
      <c r="H99" s="34">
        <v>2006</v>
      </c>
      <c r="I99" s="30" t="inlineStr">
        <is>
          <t xml:space="preserve">Lamborghini</t>
        </is>
      </c>
      <c r="J99" s="30" t="inlineStr">
        <is>
          <t xml:space="preserve">Huracan EVO</t>
        </is>
      </c>
      <c r="K99" s="30" t="inlineStr">
        <is>
          <t xml:space="preserve">CPVKGTBPFTB2FTK5G</t>
        </is>
      </c>
      <c r="L99" s="32" t="inlineStr">
        <is>
          <t xml:space="preserve">03 - Supercar</t>
        </is>
      </c>
      <c r="M99" s="35">
        <v>1440000</v>
      </c>
      <c r="N99" s="32" t="inlineStr">
        <is>
          <t xml:space="preserve">Personal</t>
        </is>
      </c>
      <c r="O99" s="30" t="inlineStr">
        <is>
          <t xml:space="preserve">Personal - regular use</t>
        </is>
      </c>
      <c r="P99" s="30" t="inlineStr">
        <is>
          <t xml:space="preserve">Under 1,000</t>
        </is>
      </c>
      <c r="Q99" s="30" t="inlineStr">
        <is>
          <t xml:space="preserve">South Dakota</t>
        </is>
      </c>
      <c r="R99" s="30" t="inlineStr">
        <is>
          <t xml:space="preserve">57501</t>
        </is>
      </c>
      <c r="S99" s="32" t="inlineStr">
        <is>
          <t xml:space="preserve">Severe convective - hail alley (high)</t>
        </is>
      </c>
      <c r="T99" s="36">
        <f>IF($A99="","",IF($S99="","",IFERROR(INDEX('[1]natural catastrophe'!$D$6:$D$17,MATCH($S99,'[1]natural catastrophe'!$B$6:$B$17,0)),"?")))</f>
      </c>
      <c r="U99" s="30" t="inlineStr">
        <is>
          <t xml:space="preserve">$5,000</t>
        </is>
      </c>
      <c r="V99" s="32" t="inlineStr">
        <is>
          <t xml:space="preserve">Agreed Value</t>
        </is>
      </c>
      <c r="W99" s="30" t="inlineStr">
        <is>
          <t xml:space="preserve">$1,000</t>
        </is>
      </c>
      <c r="X99" s="32" t="inlineStr">
        <is>
          <t xml:space="preserve">$1,000,000 CSL</t>
        </is>
      </c>
      <c r="Y99" s="30"/>
      <c r="Z99" s="30"/>
      <c r="AA99" s="32" t="inlineStr">
        <is>
          <t xml:space="preserve">Surplus Lines</t>
        </is>
      </c>
      <c r="AB99" s="35">
        <v>22182.17</v>
      </c>
      <c r="AC99" s="37">
        <v>0</v>
      </c>
      <c r="AD99" s="38">
        <f>IF(ISNUMBER($AB99),$AB99*(1+N($AC99)),"")</f>
      </c>
      <c r="AE99" s="35">
        <v>350</v>
      </c>
      <c r="AF99" s="35">
        <v>250</v>
      </c>
      <c r="AG99" s="37"/>
      <c r="AH99" s="39">
        <f>IF(ISNUMBER($AD99),($AD99+$AE99+$AF99)*$AG99,"")</f>
      </c>
      <c r="AI99" s="35"/>
      <c r="AJ99" s="38">
        <f>IF(ISNUMBER($AD99),SUM($AD99:$AH99),"")</f>
      </c>
      <c r="AK99" s="40">
        <f>IF(AND(ISNUMBER($AB99),ISNUMBER($AD99)),IF($AB99&gt;0,$AD99/$AB99,""),"")</f>
      </c>
      <c r="AL99" s="32" t="inlineStr">
        <is>
          <t xml:space="preserve">At technical</t>
        </is>
      </c>
      <c r="AM99" s="41">
        <f>IF(ISNUMBER($AD99),Header!$I$3,"")</f>
      </c>
      <c r="AN99" s="39">
        <f>IF(ISNUMBER($AD99),$AO99+$AP99,"")</f>
      </c>
      <c r="AO99" s="39">
        <f>IF(ISNUMBER($AD99),ROUND($AD99*Header!$K$3,2),"")</f>
      </c>
      <c r="AP99" s="39">
        <f>IF(ISNUMBER($AD99),ROUND($AD99*Header!$M$3,2),"")</f>
      </c>
      <c r="AQ99" s="38">
        <f>IF(ISNUMBER($AD99),ROUND($AD99,2)-$AO99-$AP99,"")</f>
      </c>
      <c r="AR99" s="39">
        <f>IF(ISNUMBER($AD99),IF(Header!$D$34="","?",$AD99*Header!$D$34),"")</f>
      </c>
      <c r="AS99" s="39">
        <f>IF(ISNUMBER($AB99),IF(Header!$D$34="","?",$AB99*Header!$D$34),"")</f>
      </c>
      <c r="AT99" s="42">
        <f>IF(AND(ISNUMBER($AB99),$M99&gt;0),$AB99/$M99*100,"")</f>
      </c>
      <c r="AU99" s="42">
        <f>IF(AND(ISNUMBER($AD99),$M99&gt;0),$AD99/$M99*100,"")</f>
      </c>
      <c r="AV99" s="40">
        <f>IF(AND(ISNUMBER($AB99),ISNUMBER($AD99),ABS($AB99)&gt;0),$AD99/$AB99,"")</f>
      </c>
      <c r="AW99" s="39">
        <f>IF(ISNUMBER($AD99),MAX(0,(1-0.55-Header!$O$3)*Header!$Q$3*$AQ99),"")</f>
      </c>
      <c r="AX99" s="43">
        <f>IF($A99="","",IF(TRIM(IF($A99="","Missing certificate ref. ","") &amp; IF($C99="","Missing effective date. ","") &amp; IF($D99="","Missing binding status. ","") &amp; IF($E99="","Missing movement type. ","") &amp; IF($I99="","Missing make. ","") &amp; IF($L99="","Missing vehicle class. ","") &amp; IF($M99="","Missing agreed value. ","") &amp; IF($N99="","Missing policy type. ","") &amp; IF($Q99="","Missing garaging state. ","") &amp; IF($R99="","Missing garaging ZIP. ","") &amp; IF($S99="","Missing cat zone. ","") &amp; IF($V99="","Missing valuation basis. ","") &amp; IF($W99="","Missing PD deductible. ","") &amp; IF($X99="","Missing liability limit. ","") &amp; IF($AB99="","Missing technical premium. ","") &amp; IF($AF99="","Missing surplus lines tax %. ",""))="","PASS","FAIL: "&amp;TRIM(IF($A99="","Missing certificate ref. ","") &amp; IF($C99="","Missing effective date. ","") &amp; IF($D99="","Missing binding status. ","") &amp; IF($E99="","Missing movement type. ","") &amp; IF($I99="","Missing make. ","") &amp; IF($L99="","Missing vehicle class. ","") &amp; IF($M99="","Missing agreed value. ","") &amp; IF($N99="","Missing policy type. ","") &amp; IF($Q99="","Missing garaging state. ","") &amp; IF($R99="","Missing garaging ZIP. ","") &amp; IF($S99="","Missing cat zone. ","") &amp; IF($V99="","Missing valuation basis. ","") &amp; IF($W99="","Missing PD deductible. ","") &amp; IF($X99="","Missing liability limit. ","") &amp; IF($AB99="","Missing technical premium. ","") &amp; IF($AF99="","Missing surplus lines tax %. ",""))))</f>
      </c>
      <c r="AY99" s="44">
        <f>IF($M99="","",IF(ISNUMBER($M99),IF($M99&gt;=Header!$C$18,"YES — refer","No"),""))</f>
      </c>
      <c r="AZ99" s="44">
        <f>IF($AD99="","",IF(ISNUMBER($AD99),IF($AD99&lt;Header!$C$20,"BELOW MIN PREMIUM","OK"),""))</f>
      </c>
      <c r="BA99" s="32" t="inlineStr">
        <is>
          <t xml:space="preserve">Yes</t>
        </is>
      </c>
      <c r="BB99" s="32" t="inlineStr">
        <is>
          <t xml:space="preserve">Yes</t>
        </is>
      </c>
      <c r="BC99" s="30" t="inlineStr">
        <is>
          <t xml:space="preserve">Synthetic demo data</t>
        </is>
      </c>
      <c r="BE99" s="45">
        <f>IF(OR($A99="",$L99="",$H99=""),"",IF(AND(LEFT($L99,2)="06",$H99&gt;1945),"FAIL - pre-war class, year "&amp;$H99,IF(AND(LEFT($L99,2)="07",OR($H99&lt;1946,$H99&gt;1972)),"FAIL - 1946-72 class, year "&amp;$H99,IF(AND(LEFT($L99,2)="08",OR($H99&lt;1973,$H99&gt;1999)),"FAIL - 1973-99 class, year "&amp;$H99,IF(AND(LEFT($L99,2)="09",OR($H99&lt;2000,$H99&gt;2010)),"FAIL - 2000-10 class, year "&amp;$H99,"OK")))))</f>
      </c>
      <c r="BF99" s="45">
        <f>IF($AD99="","",IF(ROUND($AO99+$AP99+$AQ99-$AD99,2)=0,"OK","FAIL - out by "&amp;TEXT($AO99+$AP99+$AQ99-$AD99,"$0.00")))</f>
      </c>
    </row>
    <row r="100" spans="1:58" ht="18.75" customHeight="1" x14ac:dyDescent="0.25">
      <c r="A100" s="46" t="inlineStr">
        <is>
          <t xml:space="preserve">CANON-202511-002290</t>
        </is>
      </c>
      <c r="B100" s="46" t="inlineStr">
        <is>
          <t xml:space="preserve">Marisol Underwood</t>
        </is>
      </c>
      <c r="C100" s="47">
        <v>45969</v>
      </c>
      <c r="D100" s="48" t="inlineStr">
        <is>
          <t xml:space="preserve">Bound - within authority</t>
        </is>
      </c>
      <c r="E100" s="48" t="inlineStr">
        <is>
          <t xml:space="preserve">New business</t>
        </is>
      </c>
      <c r="F100" s="46" t="inlineStr">
        <is>
          <t xml:space="preserve">B1234EXOTIC26</t>
        </is>
      </c>
      <c r="G100" s="33">
        <f>IF($A100="","",IF($C100="","",YEAR($C100)))</f>
      </c>
      <c r="H100" s="49">
        <v>2020</v>
      </c>
      <c r="I100" s="46" t="inlineStr">
        <is>
          <t xml:space="preserve">Ferrari</t>
        </is>
      </c>
      <c r="J100" s="46" t="inlineStr">
        <is>
          <t xml:space="preserve">296 GTB</t>
        </is>
      </c>
      <c r="K100" s="46" t="inlineStr">
        <is>
          <t xml:space="preserve">DNKTWADH408X8Y40N</t>
        </is>
      </c>
      <c r="L100" s="48" t="inlineStr">
        <is>
          <t xml:space="preserve">03 - Supercar</t>
        </is>
      </c>
      <c r="M100" s="50">
        <v>375000</v>
      </c>
      <c r="N100" s="48" t="inlineStr">
        <is>
          <t xml:space="preserve">Personal</t>
        </is>
      </c>
      <c r="O100" s="46" t="inlineStr">
        <is>
          <t xml:space="preserve">Personal - regular use</t>
        </is>
      </c>
      <c r="P100" s="46" t="inlineStr">
        <is>
          <t xml:space="preserve">1,000 - 2,500</t>
        </is>
      </c>
      <c r="Q100" s="46" t="inlineStr">
        <is>
          <t xml:space="preserve">North Carolina</t>
        </is>
      </c>
      <c r="R100" s="46" t="inlineStr">
        <is>
          <t xml:space="preserve">28202</t>
        </is>
      </c>
      <c r="S100" s="48" t="inlineStr">
        <is>
          <t xml:space="preserve">Tier 2 - Coastal wind (1-25 miles)</t>
        </is>
      </c>
      <c r="T100" s="36">
        <f>IF($A100="","",IF($S100="","",IFERROR(INDEX('[1]natural catastrophe'!$D$6:$D$17,MATCH($S100,'[1]natural catastrophe'!$B$6:$B$17,0)),"?")))</f>
      </c>
      <c r="U100" s="46" t="inlineStr">
        <is>
          <t xml:space="preserve">2% of agreed value, minimum $10,000</t>
        </is>
      </c>
      <c r="V100" s="48" t="inlineStr">
        <is>
          <t xml:space="preserve">Agreed Value</t>
        </is>
      </c>
      <c r="W100" s="46" t="inlineStr">
        <is>
          <t xml:space="preserve">$1,000</t>
        </is>
      </c>
      <c r="X100" s="48" t="inlineStr">
        <is>
          <t xml:space="preserve">$1,000,000 CSL</t>
        </is>
      </c>
      <c r="Y100" s="46"/>
      <c r="Z100" s="46"/>
      <c r="AA100" s="48" t="inlineStr">
        <is>
          <t xml:space="preserve">Surplus Lines</t>
        </is>
      </c>
      <c r="AB100" s="50">
        <v>8603.11</v>
      </c>
      <c r="AC100" s="51">
        <v>0</v>
      </c>
      <c r="AD100" s="38">
        <f>IF(ISNUMBER($AB100),$AB100*(1+N($AC100)),"")</f>
      </c>
      <c r="AE100" s="50">
        <v>350</v>
      </c>
      <c r="AF100" s="50">
        <v>0</v>
      </c>
      <c r="AG100" s="51"/>
      <c r="AH100" s="39">
        <f>IF(ISNUMBER($AD100),($AD100+$AE100+$AF100)*$AG100,"")</f>
      </c>
      <c r="AI100" s="50"/>
      <c r="AJ100" s="38">
        <f>IF(ISNUMBER($AD100),SUM($AD100:$AH100),"")</f>
      </c>
      <c r="AK100" s="40">
        <f>IF(AND(ISNUMBER($AB100),ISNUMBER($AD100)),IF($AB100&gt;0,$AD100/$AB100,""),"")</f>
      </c>
      <c r="AL100" s="48" t="inlineStr">
        <is>
          <t xml:space="preserve">At technical</t>
        </is>
      </c>
      <c r="AM100" s="41">
        <f>IF(ISNUMBER($AD100),Header!$I$3,"")</f>
      </c>
      <c r="AN100" s="39">
        <f>IF(ISNUMBER($AD100),$AO100+$AP100,"")</f>
      </c>
      <c r="AO100" s="39">
        <f>IF(ISNUMBER($AD100),ROUND($AD100*Header!$K$3,2),"")</f>
      </c>
      <c r="AP100" s="39">
        <f>IF(ISNUMBER($AD100),ROUND($AD100*Header!$M$3,2),"")</f>
      </c>
      <c r="AQ100" s="38">
        <f>IF(ISNUMBER($AD100),ROUND($AD100,2)-$AO100-$AP100,"")</f>
      </c>
      <c r="AR100" s="39">
        <f>IF(ISNUMBER($AD100),IF(Header!$D$34="","?",$AD100*Header!$D$34),"")</f>
      </c>
      <c r="AS100" s="39">
        <f>IF(ISNUMBER($AB100),IF(Header!$D$34="","?",$AB100*Header!$D$34),"")</f>
      </c>
      <c r="AT100" s="42">
        <f>IF(AND(ISNUMBER($AB100),$M100&gt;0),$AB100/$M100*100,"")</f>
      </c>
      <c r="AU100" s="42">
        <f>IF(AND(ISNUMBER($AD100),$M100&gt;0),$AD100/$M100*100,"")</f>
      </c>
      <c r="AV100" s="40">
        <f>IF(AND(ISNUMBER($AB100),ISNUMBER($AD100),ABS($AB100)&gt;0),$AD100/$AB100,"")</f>
      </c>
      <c r="AW100" s="39">
        <f>IF(ISNUMBER($AD100),MAX(0,(1-0.55-Header!$O$3)*Header!$Q$3*$AQ100),"")</f>
      </c>
      <c r="AX100" s="43">
        <f>IF($A100="","",IF(TRIM(IF($A100="","Missing certificate ref. ","") &amp; IF($C100="","Missing effective date. ","") &amp; IF($D100="","Missing binding status. ","") &amp; IF($E100="","Missing movement type. ","") &amp; IF($I100="","Missing make. ","") &amp; IF($L100="","Missing vehicle class. ","") &amp; IF($M100="","Missing agreed value. ","") &amp; IF($N100="","Missing policy type. ","") &amp; IF($Q100="","Missing garaging state. ","") &amp; IF($R100="","Missing garaging ZIP. ","") &amp; IF($S100="","Missing cat zone. ","") &amp; IF($V100="","Missing valuation basis. ","") &amp; IF($W100="","Missing PD deductible. ","") &amp; IF($X100="","Missing liability limit. ","") &amp; IF($AB100="","Missing technical premium. ","") &amp; IF($AF100="","Missing surplus lines tax %. ",""))="","PASS","FAIL: "&amp;TRIM(IF($A100="","Missing certificate ref. ","") &amp; IF($C100="","Missing effective date. ","") &amp; IF($D100="","Missing binding status. ","") &amp; IF($E100="","Missing movement type. ","") &amp; IF($I100="","Missing make. ","") &amp; IF($L100="","Missing vehicle class. ","") &amp; IF($M100="","Missing agreed value. ","") &amp; IF($N100="","Missing policy type. ","") &amp; IF($Q100="","Missing garaging state. ","") &amp; IF($R100="","Missing garaging ZIP. ","") &amp; IF($S100="","Missing cat zone. ","") &amp; IF($V100="","Missing valuation basis. ","") &amp; IF($W100="","Missing PD deductible. ","") &amp; IF($X100="","Missing liability limit. ","") &amp; IF($AB100="","Missing technical premium. ","") &amp; IF($AF100="","Missing surplus lines tax %. ",""))))</f>
      </c>
      <c r="AY100" s="44">
        <f>IF($M100="","",IF(ISNUMBER($M100),IF($M100&gt;=Header!$C$18,"YES — refer","No"),""))</f>
      </c>
      <c r="AZ100" s="44">
        <f>IF($AD100="","",IF(ISNUMBER($AD100),IF($AD100&lt;Header!$C$20,"BELOW MIN PREMIUM","OK"),""))</f>
      </c>
      <c r="BA100" s="48" t="inlineStr">
        <is>
          <t xml:space="preserve">Yes</t>
        </is>
      </c>
      <c r="BB100" s="48" t="inlineStr">
        <is>
          <t xml:space="preserve">Yes</t>
        </is>
      </c>
      <c r="BC100" s="46" t="inlineStr">
        <is>
          <t xml:space="preserve">Synthetic demo data</t>
        </is>
      </c>
      <c r="BE100" s="45">
        <f>IF(OR($A100="",$L100="",$H100=""),"",IF(AND(LEFT($L100,2)="06",$H100&gt;1945),"FAIL - pre-war class, year "&amp;$H100,IF(AND(LEFT($L100,2)="07",OR($H100&lt;1946,$H100&gt;1972)),"FAIL - 1946-72 class, year "&amp;$H100,IF(AND(LEFT($L100,2)="08",OR($H100&lt;1973,$H100&gt;1999)),"FAIL - 1973-99 class, year "&amp;$H100,IF(AND(LEFT($L100,2)="09",OR($H100&lt;2000,$H100&gt;2010)),"FAIL - 2000-10 class, year "&amp;$H100,"OK")))))</f>
      </c>
      <c r="BF100" s="45">
        <f>IF($AD100="","",IF(ROUND($AO100+$AP100+$AQ100-$AD100,2)=0,"OK","FAIL - out by "&amp;TEXT($AO100+$AP100+$AQ100-$AD100,"$0.00")))</f>
      </c>
    </row>
    <row r="101" spans="1:58" ht="18.75" customHeight="1" x14ac:dyDescent="0.25">
      <c r="A101" s="30" t="inlineStr">
        <is>
          <t xml:space="preserve">CANON-202511-002291</t>
        </is>
      </c>
      <c r="B101" s="30" t="inlineStr">
        <is>
          <t xml:space="preserve">Beatrix Larsson</t>
        </is>
      </c>
      <c r="C101" s="31">
        <v>45966</v>
      </c>
      <c r="D101" s="32" t="inlineStr">
        <is>
          <t xml:space="preserve">Bound - within authority</t>
        </is>
      </c>
      <c r="E101" s="32" t="inlineStr">
        <is>
          <t xml:space="preserve">New business</t>
        </is>
      </c>
      <c r="F101" s="30" t="inlineStr">
        <is>
          <t xml:space="preserve">B1234EXOTIC26</t>
        </is>
      </c>
      <c r="G101" s="33">
        <f>IF($A101="","",IF($C101="","",YEAR($C101)))</f>
      </c>
      <c r="H101" s="34">
        <v>1971</v>
      </c>
      <c r="I101" s="30" t="inlineStr">
        <is>
          <t xml:space="preserve">Bentley</t>
        </is>
      </c>
      <c r="J101" s="30" t="inlineStr">
        <is>
          <t xml:space="preserve">Continental GT</t>
        </is>
      </c>
      <c r="K101" s="30" t="inlineStr">
        <is>
          <t xml:space="preserve">R42PES5S9Z1WN94FS</t>
        </is>
      </c>
      <c r="L101" s="32" t="inlineStr">
        <is>
          <t xml:space="preserve">02 - Sports / GT</t>
        </is>
      </c>
      <c r="M101" s="35">
        <v>505000</v>
      </c>
      <c r="N101" s="32" t="inlineStr">
        <is>
          <t xml:space="preserve">Personal</t>
        </is>
      </c>
      <c r="O101" s="30" t="inlineStr">
        <is>
          <t xml:space="preserve">Personal - regular use</t>
        </is>
      </c>
      <c r="P101" s="30" t="inlineStr">
        <is>
          <t xml:space="preserve">Under 1,000</t>
        </is>
      </c>
      <c r="Q101" s="30" t="inlineStr">
        <is>
          <t xml:space="preserve">Illinois</t>
        </is>
      </c>
      <c r="R101" s="30" t="inlineStr">
        <is>
          <t xml:space="preserve">60601</t>
        </is>
      </c>
      <c r="S101" s="32" t="inlineStr">
        <is>
          <t xml:space="preserve">Severe convective - hail / tornado (moderate)</t>
        </is>
      </c>
      <c r="T101" s="36">
        <f>IF($A101="","",IF($S101="","",IFERROR(INDEX('[1]natural catastrophe'!$D$6:$D$17,MATCH($S101,'[1]natural catastrophe'!$B$6:$B$17,0)),"?")))</f>
      </c>
      <c r="U101" s="30" t="inlineStr">
        <is>
          <t xml:space="preserve">$5,000</t>
        </is>
      </c>
      <c r="V101" s="32" t="inlineStr">
        <is>
          <t xml:space="preserve">Agreed Value</t>
        </is>
      </c>
      <c r="W101" s="30" t="inlineStr">
        <is>
          <t xml:space="preserve">$1,000</t>
        </is>
      </c>
      <c r="X101" s="32" t="inlineStr">
        <is>
          <t xml:space="preserve">$1,000,000 CSL</t>
        </is>
      </c>
      <c r="Y101" s="30"/>
      <c r="Z101" s="30"/>
      <c r="AA101" s="32" t="inlineStr">
        <is>
          <t xml:space="preserve">Surplus Lines</t>
        </is>
      </c>
      <c r="AB101" s="35">
        <v>7744.12</v>
      </c>
      <c r="AC101" s="37">
        <v>0</v>
      </c>
      <c r="AD101" s="38">
        <f>IF(ISNUMBER($AB101),$AB101*(1+N($AC101)),"")</f>
      </c>
      <c r="AE101" s="35">
        <v>350</v>
      </c>
      <c r="AF101" s="35">
        <v>0</v>
      </c>
      <c r="AG101" s="37"/>
      <c r="AH101" s="39">
        <f>IF(ISNUMBER($AD101),($AD101+$AE101+$AF101)*$AG101,"")</f>
      </c>
      <c r="AI101" s="35"/>
      <c r="AJ101" s="38">
        <f>IF(ISNUMBER($AD101),SUM($AD101:$AH101),"")</f>
      </c>
      <c r="AK101" s="40">
        <f>IF(AND(ISNUMBER($AB101),ISNUMBER($AD101)),IF($AB101&gt;0,$AD101/$AB101,""),"")</f>
      </c>
      <c r="AL101" s="32" t="inlineStr">
        <is>
          <t xml:space="preserve">At technical</t>
        </is>
      </c>
      <c r="AM101" s="41">
        <f>IF(ISNUMBER($AD101),Header!$I$3,"")</f>
      </c>
      <c r="AN101" s="39">
        <f>IF(ISNUMBER($AD101),$AO101+$AP101,"")</f>
      </c>
      <c r="AO101" s="39">
        <f>IF(ISNUMBER($AD101),ROUND($AD101*Header!$K$3,2),"")</f>
      </c>
      <c r="AP101" s="39">
        <f>IF(ISNUMBER($AD101),ROUND($AD101*Header!$M$3,2),"")</f>
      </c>
      <c r="AQ101" s="38">
        <f>IF(ISNUMBER($AD101),ROUND($AD101,2)-$AO101-$AP101,"")</f>
      </c>
      <c r="AR101" s="39">
        <f>IF(ISNUMBER($AD101),IF(Header!$D$34="","?",$AD101*Header!$D$34),"")</f>
      </c>
      <c r="AS101" s="39">
        <f>IF(ISNUMBER($AB101),IF(Header!$D$34="","?",$AB101*Header!$D$34),"")</f>
      </c>
      <c r="AT101" s="42">
        <f>IF(AND(ISNUMBER($AB101),$M101&gt;0),$AB101/$M101*100,"")</f>
      </c>
      <c r="AU101" s="42">
        <f>IF(AND(ISNUMBER($AD101),$M101&gt;0),$AD101/$M101*100,"")</f>
      </c>
      <c r="AV101" s="40">
        <f>IF(AND(ISNUMBER($AB101),ISNUMBER($AD101),ABS($AB101)&gt;0),$AD101/$AB101,"")</f>
      </c>
      <c r="AW101" s="39">
        <f>IF(ISNUMBER($AD101),MAX(0,(1-0.55-Header!$O$3)*Header!$Q$3*$AQ101),"")</f>
      </c>
      <c r="AX101" s="43">
        <f>IF($A101="","",IF(TRIM(IF($A101="","Missing certificate ref. ","") &amp; IF($C101="","Missing effective date. ","") &amp; IF($D101="","Missing binding status. ","") &amp; IF($E101="","Missing movement type. ","") &amp; IF($I101="","Missing make. ","") &amp; IF($L101="","Missing vehicle class. ","") &amp; IF($M101="","Missing agreed value. ","") &amp; IF($N101="","Missing policy type. ","") &amp; IF($Q101="","Missing garaging state. ","") &amp; IF($R101="","Missing garaging ZIP. ","") &amp; IF($S101="","Missing cat zone. ","") &amp; IF($V101="","Missing valuation basis. ","") &amp; IF($W101="","Missing PD deductible. ","") &amp; IF($X101="","Missing liability limit. ","") &amp; IF($AB101="","Missing technical premium. ","") &amp; IF($AF101="","Missing surplus lines tax %. ",""))="","PASS","FAIL: "&amp;TRIM(IF($A101="","Missing certificate ref. ","") &amp; IF($C101="","Missing effective date. ","") &amp; IF($D101="","Missing binding status. ","") &amp; IF($E101="","Missing movement type. ","") &amp; IF($I101="","Missing make. ","") &amp; IF($L101="","Missing vehicle class. ","") &amp; IF($M101="","Missing agreed value. ","") &amp; IF($N101="","Missing policy type. ","") &amp; IF($Q101="","Missing garaging state. ","") &amp; IF($R101="","Missing garaging ZIP. ","") &amp; IF($S101="","Missing cat zone. ","") &amp; IF($V101="","Missing valuation basis. ","") &amp; IF($W101="","Missing PD deductible. ","") &amp; IF($X101="","Missing liability limit. ","") &amp; IF($AB101="","Missing technical premium. ","") &amp; IF($AF101="","Missing surplus lines tax %. ",""))))</f>
      </c>
      <c r="AY101" s="44">
        <f>IF($M101="","",IF(ISNUMBER($M101),IF($M101&gt;=Header!$C$18,"YES — refer","No"),""))</f>
      </c>
      <c r="AZ101" s="44">
        <f>IF($AD101="","",IF(ISNUMBER($AD101),IF($AD101&lt;Header!$C$20,"BELOW MIN PREMIUM","OK"),""))</f>
      </c>
      <c r="BA101" s="32" t="inlineStr">
        <is>
          <t xml:space="preserve">Yes</t>
        </is>
      </c>
      <c r="BB101" s="32" t="inlineStr">
        <is>
          <t xml:space="preserve">Yes</t>
        </is>
      </c>
      <c r="BC101" s="30" t="inlineStr">
        <is>
          <t xml:space="preserve">Synthetic demo data</t>
        </is>
      </c>
      <c r="BE101" s="45">
        <f>IF(OR($A101="",$L101="",$H101=""),"",IF(AND(LEFT($L101,2)="06",$H101&gt;1945),"FAIL - pre-war class, year "&amp;$H101,IF(AND(LEFT($L101,2)="07",OR($H101&lt;1946,$H101&gt;1972)),"FAIL - 1946-72 class, year "&amp;$H101,IF(AND(LEFT($L101,2)="08",OR($H101&lt;1973,$H101&gt;1999)),"FAIL - 1973-99 class, year "&amp;$H101,IF(AND(LEFT($L101,2)="09",OR($H101&lt;2000,$H101&gt;2010)),"FAIL - 2000-10 class, year "&amp;$H101,"OK")))))</f>
      </c>
      <c r="BF101" s="45">
        <f>IF($AD101="","",IF(ROUND($AO101+$AP101+$AQ101-$AD101,2)=0,"OK","FAIL - out by "&amp;TEXT($AO101+$AP101+$AQ101-$AD101,"$0.00")))</f>
      </c>
    </row>
    <row r="102" spans="1:58" ht="18.75" customHeight="1" x14ac:dyDescent="0.25">
      <c r="A102" s="46" t="inlineStr">
        <is>
          <t xml:space="preserve">CANON-202511-002292</t>
        </is>
      </c>
      <c r="B102" s="46" t="inlineStr">
        <is>
          <t xml:space="preserve">Marisol Farkas</t>
        </is>
      </c>
      <c r="C102" s="47">
        <v>45973</v>
      </c>
      <c r="D102" s="48" t="inlineStr">
        <is>
          <t xml:space="preserve">Bound - within authority</t>
        </is>
      </c>
      <c r="E102" s="48" t="inlineStr">
        <is>
          <t xml:space="preserve">New business</t>
        </is>
      </c>
      <c r="F102" s="46" t="inlineStr">
        <is>
          <t xml:space="preserve">B1234EXOTIC26</t>
        </is>
      </c>
      <c r="G102" s="33">
        <f>IF($A102="","",IF($C102="","",YEAR($C102)))</f>
      </c>
      <c r="H102" s="49">
        <v>2024</v>
      </c>
      <c r="I102" s="46" t="inlineStr">
        <is>
          <t xml:space="preserve">Aston Martin</t>
        </is>
      </c>
      <c r="J102" s="46" t="inlineStr">
        <is>
          <t xml:space="preserve">DB12</t>
        </is>
      </c>
      <c r="K102" s="46" t="inlineStr">
        <is>
          <t xml:space="preserve">RW1KB1S5C3S02XWHP</t>
        </is>
      </c>
      <c r="L102" s="48" t="inlineStr">
        <is>
          <t xml:space="preserve">02 - Sports / GT</t>
        </is>
      </c>
      <c r="M102" s="50">
        <v>445000</v>
      </c>
      <c r="N102" s="48" t="inlineStr">
        <is>
          <t xml:space="preserve">Personal</t>
        </is>
      </c>
      <c r="O102" s="46" t="inlineStr">
        <is>
          <t xml:space="preserve">Personal - regular use</t>
        </is>
      </c>
      <c r="P102" s="46" t="inlineStr">
        <is>
          <t xml:space="preserve">Under 1,000</t>
        </is>
      </c>
      <c r="Q102" s="46" t="inlineStr">
        <is>
          <t xml:space="preserve">Wyoming</t>
        </is>
      </c>
      <c r="R102" s="46" t="inlineStr">
        <is>
          <t xml:space="preserve">82001</t>
        </is>
      </c>
      <c r="S102" s="48" t="inlineStr">
        <is>
          <t xml:space="preserve">Severe convective - hail alley (high)</t>
        </is>
      </c>
      <c r="T102" s="36">
        <f>IF($A102="","",IF($S102="","",IFERROR(INDEX('[1]natural catastrophe'!$D$6:$D$17,MATCH($S102,'[1]natural catastrophe'!$B$6:$B$17,0)),"?")))</f>
      </c>
      <c r="U102" s="46" t="inlineStr">
        <is>
          <t xml:space="preserve">$5,000</t>
        </is>
      </c>
      <c r="V102" s="48" t="inlineStr">
        <is>
          <t xml:space="preserve">Agreed Value</t>
        </is>
      </c>
      <c r="W102" s="46" t="inlineStr">
        <is>
          <t xml:space="preserve">$1,000</t>
        </is>
      </c>
      <c r="X102" s="48" t="inlineStr">
        <is>
          <t xml:space="preserve">$1,000,000 CSL</t>
        </is>
      </c>
      <c r="Y102" s="46"/>
      <c r="Z102" s="46"/>
      <c r="AA102" s="48" t="inlineStr">
        <is>
          <t xml:space="preserve">Surplus Lines</t>
        </is>
      </c>
      <c r="AB102" s="50">
        <v>6194.89</v>
      </c>
      <c r="AC102" s="51">
        <v>0</v>
      </c>
      <c r="AD102" s="38">
        <f>IF(ISNUMBER($AB102),$AB102*(1+N($AC102)),"")</f>
      </c>
      <c r="AE102" s="50">
        <v>350</v>
      </c>
      <c r="AF102" s="50">
        <v>0</v>
      </c>
      <c r="AG102" s="51"/>
      <c r="AH102" s="39">
        <f>IF(ISNUMBER($AD102),($AD102+$AE102+$AF102)*$AG102,"")</f>
      </c>
      <c r="AI102" s="50"/>
      <c r="AJ102" s="38">
        <f>IF(ISNUMBER($AD102),SUM($AD102:$AH102),"")</f>
      </c>
      <c r="AK102" s="40">
        <f>IF(AND(ISNUMBER($AB102),ISNUMBER($AD102)),IF($AB102&gt;0,$AD102/$AB102,""),"")</f>
      </c>
      <c r="AL102" s="48" t="inlineStr">
        <is>
          <t xml:space="preserve">At technical</t>
        </is>
      </c>
      <c r="AM102" s="41">
        <f>IF(ISNUMBER($AD102),Header!$I$3,"")</f>
      </c>
      <c r="AN102" s="39">
        <f>IF(ISNUMBER($AD102),$AO102+$AP102,"")</f>
      </c>
      <c r="AO102" s="39">
        <f>IF(ISNUMBER($AD102),ROUND($AD102*Header!$K$3,2),"")</f>
      </c>
      <c r="AP102" s="39">
        <f>IF(ISNUMBER($AD102),ROUND($AD102*Header!$M$3,2),"")</f>
      </c>
      <c r="AQ102" s="38">
        <f>IF(ISNUMBER($AD102),ROUND($AD102,2)-$AO102-$AP102,"")</f>
      </c>
      <c r="AR102" s="39">
        <f>IF(ISNUMBER($AD102),IF(Header!$D$34="","?",$AD102*Header!$D$34),"")</f>
      </c>
      <c r="AS102" s="39">
        <f>IF(ISNUMBER($AB102),IF(Header!$D$34="","?",$AB102*Header!$D$34),"")</f>
      </c>
      <c r="AT102" s="42">
        <f>IF(AND(ISNUMBER($AB102),$M102&gt;0),$AB102/$M102*100,"")</f>
      </c>
      <c r="AU102" s="42">
        <f>IF(AND(ISNUMBER($AD102),$M102&gt;0),$AD102/$M102*100,"")</f>
      </c>
      <c r="AV102" s="40">
        <f>IF(AND(ISNUMBER($AB102),ISNUMBER($AD102),ABS($AB102)&gt;0),$AD102/$AB102,"")</f>
      </c>
      <c r="AW102" s="39">
        <f>IF(ISNUMBER($AD102),MAX(0,(1-0.55-Header!$O$3)*Header!$Q$3*$AQ102),"")</f>
      </c>
      <c r="AX102" s="43">
        <f>IF($A102="","",IF(TRIM(IF($A102="","Missing certificate ref. ","") &amp; IF($C102="","Missing effective date. ","") &amp; IF($D102="","Missing binding status. ","") &amp; IF($E102="","Missing movement type. ","") &amp; IF($I102="","Missing make. ","") &amp; IF($L102="","Missing vehicle class. ","") &amp; IF($M102="","Missing agreed value. ","") &amp; IF($N102="","Missing policy type. ","") &amp; IF($Q102="","Missing garaging state. ","") &amp; IF($R102="","Missing garaging ZIP. ","") &amp; IF($S102="","Missing cat zone. ","") &amp; IF($V102="","Missing valuation basis. ","") &amp; IF($W102="","Missing PD deductible. ","") &amp; IF($X102="","Missing liability limit. ","") &amp; IF($AB102="","Missing technical premium. ","") &amp; IF($AF102="","Missing surplus lines tax %. ",""))="","PASS","FAIL: "&amp;TRIM(IF($A102="","Missing certificate ref. ","") &amp; IF($C102="","Missing effective date. ","") &amp; IF($D102="","Missing binding status. ","") &amp; IF($E102="","Missing movement type. ","") &amp; IF($I102="","Missing make. ","") &amp; IF($L102="","Missing vehicle class. ","") &amp; IF($M102="","Missing agreed value. ","") &amp; IF($N102="","Missing policy type. ","") &amp; IF($Q102="","Missing garaging state. ","") &amp; IF($R102="","Missing garaging ZIP. ","") &amp; IF($S102="","Missing cat zone. ","") &amp; IF($V102="","Missing valuation basis. ","") &amp; IF($W102="","Missing PD deductible. ","") &amp; IF($X102="","Missing liability limit. ","") &amp; IF($AB102="","Missing technical premium. ","") &amp; IF($AF102="","Missing surplus lines tax %. ",""))))</f>
      </c>
      <c r="AY102" s="44">
        <f>IF($M102="","",IF(ISNUMBER($M102),IF($M102&gt;=Header!$C$18,"YES — refer","No"),""))</f>
      </c>
      <c r="AZ102" s="44">
        <f>IF($AD102="","",IF(ISNUMBER($AD102),IF($AD102&lt;Header!$C$20,"BELOW MIN PREMIUM","OK"),""))</f>
      </c>
      <c r="BA102" s="48" t="inlineStr">
        <is>
          <t xml:space="preserve">Yes</t>
        </is>
      </c>
      <c r="BB102" s="48" t="inlineStr">
        <is>
          <t xml:space="preserve">Yes</t>
        </is>
      </c>
      <c r="BC102" s="46" t="inlineStr">
        <is>
          <t xml:space="preserve">Synthetic demo data</t>
        </is>
      </c>
      <c r="BE102" s="45">
        <f>IF(OR($A102="",$L102="",$H102=""),"",IF(AND(LEFT($L102,2)="06",$H102&gt;1945),"FAIL - pre-war class, year "&amp;$H102,IF(AND(LEFT($L102,2)="07",OR($H102&lt;1946,$H102&gt;1972)),"FAIL - 1946-72 class, year "&amp;$H102,IF(AND(LEFT($L102,2)="08",OR($H102&lt;1973,$H102&gt;1999)),"FAIL - 1973-99 class, year "&amp;$H102,IF(AND(LEFT($L102,2)="09",OR($H102&lt;2000,$H102&gt;2010)),"FAIL - 2000-10 class, year "&amp;$H102,"OK")))))</f>
      </c>
      <c r="BF102" s="45">
        <f>IF($AD102="","",IF(ROUND($AO102+$AP102+$AQ102-$AD102,2)=0,"OK","FAIL - out by "&amp;TEXT($AO102+$AP102+$AQ102-$AD102,"$0.00")))</f>
      </c>
    </row>
    <row r="103" spans="1:58" ht="18.75" customHeight="1" x14ac:dyDescent="0.25">
      <c r="A103" s="30" t="inlineStr">
        <is>
          <t xml:space="preserve">CANON-202511-002293</t>
        </is>
      </c>
      <c r="B103" s="30" t="inlineStr">
        <is>
          <t xml:space="preserve">Lorenzo Thistlewood</t>
        </is>
      </c>
      <c r="C103" s="31">
        <v>45968</v>
      </c>
      <c r="D103" s="32" t="inlineStr">
        <is>
          <t xml:space="preserve">Bound - within authority</t>
        </is>
      </c>
      <c r="E103" s="32" t="inlineStr">
        <is>
          <t xml:space="preserve">New business</t>
        </is>
      </c>
      <c r="F103" s="30" t="inlineStr">
        <is>
          <t xml:space="preserve">B1234EXOTIC26</t>
        </is>
      </c>
      <c r="G103" s="33">
        <f>IF($A103="","",IF($C103="","",YEAR($C103)))</f>
      </c>
      <c r="H103" s="34">
        <v>2015</v>
      </c>
      <c r="I103" s="30" t="inlineStr">
        <is>
          <t xml:space="preserve">Aston Martin</t>
        </is>
      </c>
      <c r="J103" s="30" t="inlineStr">
        <is>
          <t xml:space="preserve">DB12</t>
        </is>
      </c>
      <c r="K103" s="30" t="inlineStr">
        <is>
          <t xml:space="preserve">CR6SEC5625XS07P38</t>
        </is>
      </c>
      <c r="L103" s="32" t="inlineStr">
        <is>
          <t xml:space="preserve">02 - Sports / GT</t>
        </is>
      </c>
      <c r="M103" s="35">
        <v>625000</v>
      </c>
      <c r="N103" s="32" t="inlineStr">
        <is>
          <t xml:space="preserve">Personal</t>
        </is>
      </c>
      <c r="O103" s="30" t="inlineStr">
        <is>
          <t xml:space="preserve">Personal - regular use</t>
        </is>
      </c>
      <c r="P103" s="30" t="inlineStr">
        <is>
          <t xml:space="preserve">Under 1,000</t>
        </is>
      </c>
      <c r="Q103" s="30" t="inlineStr">
        <is>
          <t xml:space="preserve">Massachusetts</t>
        </is>
      </c>
      <c r="R103" s="30" t="inlineStr">
        <is>
          <t xml:space="preserve">02108</t>
        </is>
      </c>
      <c r="S103" s="32" t="inlineStr">
        <is>
          <t xml:space="preserve">Tier 3 - Coastal wind (25-100 miles)</t>
        </is>
      </c>
      <c r="T103" s="36">
        <f>IF($A103="","",IF($S103="","",IFERROR(INDEX('[1]natural catastrophe'!$D$6:$D$17,MATCH($S103,'[1]natural catastrophe'!$B$6:$B$17,0)),"?")))</f>
      </c>
      <c r="U103" s="30" t="inlineStr">
        <is>
          <t xml:space="preserve">2% of agreed value, minimum $10,000</t>
        </is>
      </c>
      <c r="V103" s="32" t="inlineStr">
        <is>
          <t xml:space="preserve">Agreed Value</t>
        </is>
      </c>
      <c r="W103" s="30" t="inlineStr">
        <is>
          <t xml:space="preserve">$1,000</t>
        </is>
      </c>
      <c r="X103" s="32" t="inlineStr">
        <is>
          <t xml:space="preserve">$1,000,000 CSL</t>
        </is>
      </c>
      <c r="Y103" s="30"/>
      <c r="Z103" s="30"/>
      <c r="AA103" s="32" t="inlineStr">
        <is>
          <t xml:space="preserve">Surplus Lines</t>
        </is>
      </c>
      <c r="AB103" s="35">
        <v>8809.11</v>
      </c>
      <c r="AC103" s="37">
        <v>0</v>
      </c>
      <c r="AD103" s="38">
        <f>IF(ISNUMBER($AB103),$AB103*(1+N($AC103)),"")</f>
      </c>
      <c r="AE103" s="35">
        <v>350</v>
      </c>
      <c r="AF103" s="35">
        <v>0</v>
      </c>
      <c r="AG103" s="37"/>
      <c r="AH103" s="39">
        <f>IF(ISNUMBER($AD103),($AD103+$AE103+$AF103)*$AG103,"")</f>
      </c>
      <c r="AI103" s="35"/>
      <c r="AJ103" s="38">
        <f>IF(ISNUMBER($AD103),SUM($AD103:$AH103),"")</f>
      </c>
      <c r="AK103" s="40">
        <f>IF(AND(ISNUMBER($AB103),ISNUMBER($AD103)),IF($AB103&gt;0,$AD103/$AB103,""),"")</f>
      </c>
      <c r="AL103" s="32" t="inlineStr">
        <is>
          <t xml:space="preserve">At technical</t>
        </is>
      </c>
      <c r="AM103" s="41">
        <f>IF(ISNUMBER($AD103),Header!$I$3,"")</f>
      </c>
      <c r="AN103" s="39">
        <f>IF(ISNUMBER($AD103),$AO103+$AP103,"")</f>
      </c>
      <c r="AO103" s="39">
        <f>IF(ISNUMBER($AD103),ROUND($AD103*Header!$K$3,2),"")</f>
      </c>
      <c r="AP103" s="39">
        <f>IF(ISNUMBER($AD103),ROUND($AD103*Header!$M$3,2),"")</f>
      </c>
      <c r="AQ103" s="38">
        <f>IF(ISNUMBER($AD103),ROUND($AD103,2)-$AO103-$AP103,"")</f>
      </c>
      <c r="AR103" s="39">
        <f>IF(ISNUMBER($AD103),IF(Header!$D$34="","?",$AD103*Header!$D$34),"")</f>
      </c>
      <c r="AS103" s="39">
        <f>IF(ISNUMBER($AB103),IF(Header!$D$34="","?",$AB103*Header!$D$34),"")</f>
      </c>
      <c r="AT103" s="42">
        <f>IF(AND(ISNUMBER($AB103),$M103&gt;0),$AB103/$M103*100,"")</f>
      </c>
      <c r="AU103" s="42">
        <f>IF(AND(ISNUMBER($AD103),$M103&gt;0),$AD103/$M103*100,"")</f>
      </c>
      <c r="AV103" s="40">
        <f>IF(AND(ISNUMBER($AB103),ISNUMBER($AD103),ABS($AB103)&gt;0),$AD103/$AB103,"")</f>
      </c>
      <c r="AW103" s="39">
        <f>IF(ISNUMBER($AD103),MAX(0,(1-0.55-Header!$O$3)*Header!$Q$3*$AQ103),"")</f>
      </c>
      <c r="AX103" s="43">
        <f>IF($A103="","",IF(TRIM(IF($A103="","Missing certificate ref. ","") &amp; IF($C103="","Missing effective date. ","") &amp; IF($D103="","Missing binding status. ","") &amp; IF($E103="","Missing movement type. ","") &amp; IF($I103="","Missing make. ","") &amp; IF($L103="","Missing vehicle class. ","") &amp; IF($M103="","Missing agreed value. ","") &amp; IF($N103="","Missing policy type. ","") &amp; IF($Q103="","Missing garaging state. ","") &amp; IF($R103="","Missing garaging ZIP. ","") &amp; IF($S103="","Missing cat zone. ","") &amp; IF($V103="","Missing valuation basis. ","") &amp; IF($W103="","Missing PD deductible. ","") &amp; IF($X103="","Missing liability limit. ","") &amp; IF($AB103="","Missing technical premium. ","") &amp; IF($AF103="","Missing surplus lines tax %. ",""))="","PASS","FAIL: "&amp;TRIM(IF($A103="","Missing certificate ref. ","") &amp; IF($C103="","Missing effective date. ","") &amp; IF($D103="","Missing binding status. ","") &amp; IF($E103="","Missing movement type. ","") &amp; IF($I103="","Missing make. ","") &amp; IF($L103="","Missing vehicle class. ","") &amp; IF($M103="","Missing agreed value. ","") &amp; IF($N103="","Missing policy type. ","") &amp; IF($Q103="","Missing garaging state. ","") &amp; IF($R103="","Missing garaging ZIP. ","") &amp; IF($S103="","Missing cat zone. ","") &amp; IF($V103="","Missing valuation basis. ","") &amp; IF($W103="","Missing PD deductible. ","") &amp; IF($X103="","Missing liability limit. ","") &amp; IF($AB103="","Missing technical premium. ","") &amp; IF($AF103="","Missing surplus lines tax %. ",""))))</f>
      </c>
      <c r="AY103" s="44">
        <f>IF($M103="","",IF(ISNUMBER($M103),IF($M103&gt;=Header!$C$18,"YES — refer","No"),""))</f>
      </c>
      <c r="AZ103" s="44">
        <f>IF($AD103="","",IF(ISNUMBER($AD103),IF($AD103&lt;Header!$C$20,"BELOW MIN PREMIUM","OK"),""))</f>
      </c>
      <c r="BA103" s="32" t="inlineStr">
        <is>
          <t xml:space="preserve">Yes</t>
        </is>
      </c>
      <c r="BB103" s="32" t="inlineStr">
        <is>
          <t xml:space="preserve">Yes</t>
        </is>
      </c>
      <c r="BC103" s="30" t="inlineStr">
        <is>
          <t xml:space="preserve">Synthetic demo data</t>
        </is>
      </c>
      <c r="BE103" s="45">
        <f>IF(OR($A103="",$L103="",$H103=""),"",IF(AND(LEFT($L103,2)="06",$H103&gt;1945),"FAIL - pre-war class, year "&amp;$H103,IF(AND(LEFT($L103,2)="07",OR($H103&lt;1946,$H103&gt;1972)),"FAIL - 1946-72 class, year "&amp;$H103,IF(AND(LEFT($L103,2)="08",OR($H103&lt;1973,$H103&gt;1999)),"FAIL - 1973-99 class, year "&amp;$H103,IF(AND(LEFT($L103,2)="09",OR($H103&lt;2000,$H103&gt;2010)),"FAIL - 2000-10 class, year "&amp;$H103,"OK")))))</f>
      </c>
      <c r="BF103" s="45">
        <f>IF($AD103="","",IF(ROUND($AO103+$AP103+$AQ103-$AD103,2)=0,"OK","FAIL - out by "&amp;TEXT($AO103+$AP103+$AQ103-$AD103,"$0.00")))</f>
      </c>
    </row>
    <row r="104" spans="1:58" ht="18.75" customHeight="1" x14ac:dyDescent="0.25">
      <c r="A104" s="46" t="inlineStr">
        <is>
          <t xml:space="preserve">CANON-202511-002294</t>
        </is>
      </c>
      <c r="B104" s="46" t="inlineStr">
        <is>
          <t xml:space="preserve">Marisol Kingsford</t>
        </is>
      </c>
      <c r="C104" s="47">
        <v>45981</v>
      </c>
      <c r="D104" s="48" t="inlineStr">
        <is>
          <t xml:space="preserve">Bound - within authority</t>
        </is>
      </c>
      <c r="E104" s="48" t="inlineStr">
        <is>
          <t xml:space="preserve">New business</t>
        </is>
      </c>
      <c r="F104" s="46" t="inlineStr">
        <is>
          <t xml:space="preserve">B1234EXOTIC26</t>
        </is>
      </c>
      <c r="G104" s="33">
        <f>IF($A104="","",IF($C104="","",YEAR($C104)))</f>
      </c>
      <c r="H104" s="49">
        <v>1961</v>
      </c>
      <c r="I104" s="46" t="inlineStr">
        <is>
          <t xml:space="preserve">Ringbrothers</t>
        </is>
      </c>
      <c r="J104" s="46" t="inlineStr">
        <is>
          <t xml:space="preserve">Mustang</t>
        </is>
      </c>
      <c r="K104" s="46" t="inlineStr">
        <is>
          <t xml:space="preserve">F5SBE24CNLZ0YAEU9</t>
        </is>
      </c>
      <c r="L104" s="48" t="inlineStr">
        <is>
          <t xml:space="preserve">11 - Restomod / Coachbuilt / Bespoke</t>
        </is>
      </c>
      <c r="M104" s="50">
        <v>1200000</v>
      </c>
      <c r="N104" s="48" t="inlineStr">
        <is>
          <t xml:space="preserve">Personal</t>
        </is>
      </c>
      <c r="O104" s="46" t="inlineStr">
        <is>
          <t xml:space="preserve">Personal - regular use</t>
        </is>
      </c>
      <c r="P104" s="46" t="inlineStr">
        <is>
          <t xml:space="preserve">Under 1,000</t>
        </is>
      </c>
      <c r="Q104" s="46" t="inlineStr">
        <is>
          <t xml:space="preserve">New York</t>
        </is>
      </c>
      <c r="R104" s="46" t="inlineStr">
        <is>
          <t xml:space="preserve">10022</t>
        </is>
      </c>
      <c r="S104" s="48" t="inlineStr">
        <is>
          <t xml:space="preserve">Tier 3 - Coastal wind (25-100 miles)</t>
        </is>
      </c>
      <c r="T104" s="36">
        <f>IF($A104="","",IF($S104="","",IFERROR(INDEX('[1]natural catastrophe'!$D$6:$D$17,MATCH($S104,'[1]natural catastrophe'!$B$6:$B$17,0)),"?")))</f>
      </c>
      <c r="U104" s="46" t="inlineStr">
        <is>
          <t xml:space="preserve">2% of agreed value, minimum $10,000</t>
        </is>
      </c>
      <c r="V104" s="48" t="inlineStr">
        <is>
          <t xml:space="preserve">Agreed Value</t>
        </is>
      </c>
      <c r="W104" s="46" t="inlineStr">
        <is>
          <t xml:space="preserve">$1,000</t>
        </is>
      </c>
      <c r="X104" s="48" t="inlineStr">
        <is>
          <t xml:space="preserve">$1,000,000 CSL</t>
        </is>
      </c>
      <c r="Y104" s="46"/>
      <c r="Z104" s="46"/>
      <c r="AA104" s="48" t="inlineStr">
        <is>
          <t xml:space="preserve">Surplus Lines</t>
        </is>
      </c>
      <c r="AB104" s="50">
        <v>18118.77</v>
      </c>
      <c r="AC104" s="51">
        <v>0</v>
      </c>
      <c r="AD104" s="38">
        <f>IF(ISNUMBER($AB104),$AB104*(1+N($AC104)),"")</f>
      </c>
      <c r="AE104" s="50">
        <v>350</v>
      </c>
      <c r="AF104" s="50">
        <v>250</v>
      </c>
      <c r="AG104" s="51"/>
      <c r="AH104" s="39">
        <f>IF(ISNUMBER($AD104),($AD104+$AE104+$AF104)*$AG104,"")</f>
      </c>
      <c r="AI104" s="50"/>
      <c r="AJ104" s="38">
        <f>IF(ISNUMBER($AD104),SUM($AD104:$AH104),"")</f>
      </c>
      <c r="AK104" s="40">
        <f>IF(AND(ISNUMBER($AB104),ISNUMBER($AD104)),IF($AB104&gt;0,$AD104/$AB104,""),"")</f>
      </c>
      <c r="AL104" s="48" t="inlineStr">
        <is>
          <t xml:space="preserve">At technical</t>
        </is>
      </c>
      <c r="AM104" s="41">
        <f>IF(ISNUMBER($AD104),Header!$I$3,"")</f>
      </c>
      <c r="AN104" s="39">
        <f>IF(ISNUMBER($AD104),$AO104+$AP104,"")</f>
      </c>
      <c r="AO104" s="39">
        <f>IF(ISNUMBER($AD104),ROUND($AD104*Header!$K$3,2),"")</f>
      </c>
      <c r="AP104" s="39">
        <f>IF(ISNUMBER($AD104),ROUND($AD104*Header!$M$3,2),"")</f>
      </c>
      <c r="AQ104" s="38">
        <f>IF(ISNUMBER($AD104),ROUND($AD104,2)-$AO104-$AP104,"")</f>
      </c>
      <c r="AR104" s="39">
        <f>IF(ISNUMBER($AD104),IF(Header!$D$34="","?",$AD104*Header!$D$34),"")</f>
      </c>
      <c r="AS104" s="39">
        <f>IF(ISNUMBER($AB104),IF(Header!$D$34="","?",$AB104*Header!$D$34),"")</f>
      </c>
      <c r="AT104" s="42">
        <f>IF(AND(ISNUMBER($AB104),$M104&gt;0),$AB104/$M104*100,"")</f>
      </c>
      <c r="AU104" s="42">
        <f>IF(AND(ISNUMBER($AD104),$M104&gt;0),$AD104/$M104*100,"")</f>
      </c>
      <c r="AV104" s="40">
        <f>IF(AND(ISNUMBER($AB104),ISNUMBER($AD104),ABS($AB104)&gt;0),$AD104/$AB104,"")</f>
      </c>
      <c r="AW104" s="39">
        <f>IF(ISNUMBER($AD104),MAX(0,(1-0.55-Header!$O$3)*Header!$Q$3*$AQ104),"")</f>
      </c>
      <c r="AX104" s="43">
        <f>IF($A104="","",IF(TRIM(IF($A104="","Missing certificate ref. ","") &amp; IF($C104="","Missing effective date. ","") &amp; IF($D104="","Missing binding status. ","") &amp; IF($E104="","Missing movement type. ","") &amp; IF($I104="","Missing make. ","") &amp; IF($L104="","Missing vehicle class. ","") &amp; IF($M104="","Missing agreed value. ","") &amp; IF($N104="","Missing policy type. ","") &amp; IF($Q104="","Missing garaging state. ","") &amp; IF($R104="","Missing garaging ZIP. ","") &amp; IF($S104="","Missing cat zone. ","") &amp; IF($V104="","Missing valuation basis. ","") &amp; IF($W104="","Missing PD deductible. ","") &amp; IF($X104="","Missing liability limit. ","") &amp; IF($AB104="","Missing technical premium. ","") &amp; IF($AF104="","Missing surplus lines tax %. ",""))="","PASS","FAIL: "&amp;TRIM(IF($A104="","Missing certificate ref. ","") &amp; IF($C104="","Missing effective date. ","") &amp; IF($D104="","Missing binding status. ","") &amp; IF($E104="","Missing movement type. ","") &amp; IF($I104="","Missing make. ","") &amp; IF($L104="","Missing vehicle class. ","") &amp; IF($M104="","Missing agreed value. ","") &amp; IF($N104="","Missing policy type. ","") &amp; IF($Q104="","Missing garaging state. ","") &amp; IF($R104="","Missing garaging ZIP. ","") &amp; IF($S104="","Missing cat zone. ","") &amp; IF($V104="","Missing valuation basis. ","") &amp; IF($W104="","Missing PD deductible. ","") &amp; IF($X104="","Missing liability limit. ","") &amp; IF($AB104="","Missing technical premium. ","") &amp; IF($AF104="","Missing surplus lines tax %. ",""))))</f>
      </c>
      <c r="AY104" s="44">
        <f>IF($M104="","",IF(ISNUMBER($M104),IF($M104&gt;=Header!$C$18,"YES — refer","No"),""))</f>
      </c>
      <c r="AZ104" s="44">
        <f>IF($AD104="","",IF(ISNUMBER($AD104),IF($AD104&lt;Header!$C$20,"BELOW MIN PREMIUM","OK"),""))</f>
      </c>
      <c r="BA104" s="48" t="inlineStr">
        <is>
          <t xml:space="preserve">Yes</t>
        </is>
      </c>
      <c r="BB104" s="48" t="inlineStr">
        <is>
          <t xml:space="preserve">Yes</t>
        </is>
      </c>
      <c r="BC104" s="46" t="inlineStr">
        <is>
          <t xml:space="preserve">Synthetic demo data</t>
        </is>
      </c>
      <c r="BE104" s="45">
        <f>IF(OR($A104="",$L104="",$H104=""),"",IF(AND(LEFT($L104,2)="06",$H104&gt;1945),"FAIL - pre-war class, year "&amp;$H104,IF(AND(LEFT($L104,2)="07",OR($H104&lt;1946,$H104&gt;1972)),"FAIL - 1946-72 class, year "&amp;$H104,IF(AND(LEFT($L104,2)="08",OR($H104&lt;1973,$H104&gt;1999)),"FAIL - 1973-99 class, year "&amp;$H104,IF(AND(LEFT($L104,2)="09",OR($H104&lt;2000,$H104&gt;2010)),"FAIL - 2000-10 class, year "&amp;$H104,"OK")))))</f>
      </c>
      <c r="BF104" s="45">
        <f>IF($AD104="","",IF(ROUND($AO104+$AP104+$AQ104-$AD104,2)=0,"OK","FAIL - out by "&amp;TEXT($AO104+$AP104+$AQ104-$AD104,"$0.00")))</f>
      </c>
    </row>
    <row r="105" spans="1:58" ht="18.75" customHeight="1" x14ac:dyDescent="0.25">
      <c r="A105" s="30" t="inlineStr">
        <is>
          <t xml:space="preserve">CANON-202511-002295</t>
        </is>
      </c>
      <c r="B105" s="30" t="inlineStr">
        <is>
          <t xml:space="preserve">Leopold Blackwood</t>
        </is>
      </c>
      <c r="C105" s="31">
        <v>45981</v>
      </c>
      <c r="D105" s="32" t="inlineStr">
        <is>
          <t xml:space="preserve">Bound - within authority</t>
        </is>
      </c>
      <c r="E105" s="32" t="inlineStr">
        <is>
          <t xml:space="preserve">New business</t>
        </is>
      </c>
      <c r="F105" s="30" t="inlineStr">
        <is>
          <t xml:space="preserve">B1234EXOTIC26</t>
        </is>
      </c>
      <c r="G105" s="33">
        <f>IF($A105="","",IF($C105="","",YEAR($C105)))</f>
      </c>
      <c r="H105" s="34">
        <v>2009</v>
      </c>
      <c r="I105" s="30" t="inlineStr">
        <is>
          <t xml:space="preserve">Singer</t>
        </is>
      </c>
      <c r="J105" s="30" t="inlineStr">
        <is>
          <t xml:space="preserve">911 Reimagined</t>
        </is>
      </c>
      <c r="K105" s="30" t="inlineStr">
        <is>
          <t xml:space="preserve">HUZ3KSV0ZM9YJV1NR</t>
        </is>
      </c>
      <c r="L105" s="32" t="inlineStr">
        <is>
          <t xml:space="preserve">11 - Restomod / Coachbuilt / Bespoke</t>
        </is>
      </c>
      <c r="M105" s="35">
        <v>465000</v>
      </c>
      <c r="N105" s="32" t="inlineStr">
        <is>
          <t xml:space="preserve">Personal</t>
        </is>
      </c>
      <c r="O105" s="30" t="inlineStr">
        <is>
          <t xml:space="preserve">Personal - regular use</t>
        </is>
      </c>
      <c r="P105" s="30" t="inlineStr">
        <is>
          <t xml:space="preserve">1,000 - 2,500</t>
        </is>
      </c>
      <c r="Q105" s="30" t="inlineStr">
        <is>
          <t xml:space="preserve">Missouri</t>
        </is>
      </c>
      <c r="R105" s="30" t="inlineStr">
        <is>
          <t xml:space="preserve">63101</t>
        </is>
      </c>
      <c r="S105" s="32" t="inlineStr">
        <is>
          <t xml:space="preserve">Severe convective - hail / tornado (moderate)</t>
        </is>
      </c>
      <c r="T105" s="36">
        <f>IF($A105="","",IF($S105="","",IFERROR(INDEX('[1]natural catastrophe'!$D$6:$D$17,MATCH($S105,'[1]natural catastrophe'!$B$6:$B$17,0)),"?")))</f>
      </c>
      <c r="U105" s="30" t="inlineStr">
        <is>
          <t xml:space="preserve">$5,000</t>
        </is>
      </c>
      <c r="V105" s="32" t="inlineStr">
        <is>
          <t xml:space="preserve">Agreed Value</t>
        </is>
      </c>
      <c r="W105" s="30" t="inlineStr">
        <is>
          <t xml:space="preserve">$1,000</t>
        </is>
      </c>
      <c r="X105" s="32" t="inlineStr">
        <is>
          <t xml:space="preserve">$1,000,000 CSL</t>
        </is>
      </c>
      <c r="Y105" s="30"/>
      <c r="Z105" s="30"/>
      <c r="AA105" s="32" t="inlineStr">
        <is>
          <t xml:space="preserve">Surplus Lines</t>
        </is>
      </c>
      <c r="AB105" s="35">
        <v>7524.37</v>
      </c>
      <c r="AC105" s="37">
        <v>0</v>
      </c>
      <c r="AD105" s="38">
        <f>IF(ISNUMBER($AB105),$AB105*(1+N($AC105)),"")</f>
      </c>
      <c r="AE105" s="35">
        <v>350</v>
      </c>
      <c r="AF105" s="35">
        <v>0</v>
      </c>
      <c r="AG105" s="37"/>
      <c r="AH105" s="39">
        <f>IF(ISNUMBER($AD105),($AD105+$AE105+$AF105)*$AG105,"")</f>
      </c>
      <c r="AI105" s="35"/>
      <c r="AJ105" s="38">
        <f>IF(ISNUMBER($AD105),SUM($AD105:$AH105),"")</f>
      </c>
      <c r="AK105" s="40">
        <f>IF(AND(ISNUMBER($AB105),ISNUMBER($AD105)),IF($AB105&gt;0,$AD105/$AB105,""),"")</f>
      </c>
      <c r="AL105" s="32" t="inlineStr">
        <is>
          <t xml:space="preserve">At technical</t>
        </is>
      </c>
      <c r="AM105" s="41">
        <f>IF(ISNUMBER($AD105),Header!$I$3,"")</f>
      </c>
      <c r="AN105" s="39">
        <f>IF(ISNUMBER($AD105),$AO105+$AP105,"")</f>
      </c>
      <c r="AO105" s="39">
        <f>IF(ISNUMBER($AD105),ROUND($AD105*Header!$K$3,2),"")</f>
      </c>
      <c r="AP105" s="39">
        <f>IF(ISNUMBER($AD105),ROUND($AD105*Header!$M$3,2),"")</f>
      </c>
      <c r="AQ105" s="38">
        <f>IF(ISNUMBER($AD105),ROUND($AD105,2)-$AO105-$AP105,"")</f>
      </c>
      <c r="AR105" s="39">
        <f>IF(ISNUMBER($AD105),IF(Header!$D$34="","?",$AD105*Header!$D$34),"")</f>
      </c>
      <c r="AS105" s="39">
        <f>IF(ISNUMBER($AB105),IF(Header!$D$34="","?",$AB105*Header!$D$34),"")</f>
      </c>
      <c r="AT105" s="42">
        <f>IF(AND(ISNUMBER($AB105),$M105&gt;0),$AB105/$M105*100,"")</f>
      </c>
      <c r="AU105" s="42">
        <f>IF(AND(ISNUMBER($AD105),$M105&gt;0),$AD105/$M105*100,"")</f>
      </c>
      <c r="AV105" s="40">
        <f>IF(AND(ISNUMBER($AB105),ISNUMBER($AD105),ABS($AB105)&gt;0),$AD105/$AB105,"")</f>
      </c>
      <c r="AW105" s="39">
        <f>IF(ISNUMBER($AD105),MAX(0,(1-0.55-Header!$O$3)*Header!$Q$3*$AQ105),"")</f>
      </c>
      <c r="AX105" s="43">
        <f>IF($A105="","",IF(TRIM(IF($A105="","Missing certificate ref. ","") &amp; IF($C105="","Missing effective date. ","") &amp; IF($D105="","Missing binding status. ","") &amp; IF($E105="","Missing movement type. ","") &amp; IF($I105="","Missing make. ","") &amp; IF($L105="","Missing vehicle class. ","") &amp; IF($M105="","Missing agreed value. ","") &amp; IF($N105="","Missing policy type. ","") &amp; IF($Q105="","Missing garaging state. ","") &amp; IF($R105="","Missing garaging ZIP. ","") &amp; IF($S105="","Missing cat zone. ","") &amp; IF($V105="","Missing valuation basis. ","") &amp; IF($W105="","Missing PD deductible. ","") &amp; IF($X105="","Missing liability limit. ","") &amp; IF($AB105="","Missing technical premium. ","") &amp; IF($AF105="","Missing surplus lines tax %. ",""))="","PASS","FAIL: "&amp;TRIM(IF($A105="","Missing certificate ref. ","") &amp; IF($C105="","Missing effective date. ","") &amp; IF($D105="","Missing binding status. ","") &amp; IF($E105="","Missing movement type. ","") &amp; IF($I105="","Missing make. ","") &amp; IF($L105="","Missing vehicle class. ","") &amp; IF($M105="","Missing agreed value. ","") &amp; IF($N105="","Missing policy type. ","") &amp; IF($Q105="","Missing garaging state. ","") &amp; IF($R105="","Missing garaging ZIP. ","") &amp; IF($S105="","Missing cat zone. ","") &amp; IF($V105="","Missing valuation basis. ","") &amp; IF($W105="","Missing PD deductible. ","") &amp; IF($X105="","Missing liability limit. ","") &amp; IF($AB105="","Missing technical premium. ","") &amp; IF($AF105="","Missing surplus lines tax %. ",""))))</f>
      </c>
      <c r="AY105" s="44">
        <f>IF($M105="","",IF(ISNUMBER($M105),IF($M105&gt;=Header!$C$18,"YES — refer","No"),""))</f>
      </c>
      <c r="AZ105" s="44">
        <f>IF($AD105="","",IF(ISNUMBER($AD105),IF($AD105&lt;Header!$C$20,"BELOW MIN PREMIUM","OK"),""))</f>
      </c>
      <c r="BA105" s="32" t="inlineStr">
        <is>
          <t xml:space="preserve">Yes</t>
        </is>
      </c>
      <c r="BB105" s="32" t="inlineStr">
        <is>
          <t xml:space="preserve">Yes</t>
        </is>
      </c>
      <c r="BC105" s="30" t="inlineStr">
        <is>
          <t xml:space="preserve">Synthetic demo data</t>
        </is>
      </c>
      <c r="BE105" s="45">
        <f>IF(OR($A105="",$L105="",$H105=""),"",IF(AND(LEFT($L105,2)="06",$H105&gt;1945),"FAIL - pre-war class, year "&amp;$H105,IF(AND(LEFT($L105,2)="07",OR($H105&lt;1946,$H105&gt;1972)),"FAIL - 1946-72 class, year "&amp;$H105,IF(AND(LEFT($L105,2)="08",OR($H105&lt;1973,$H105&gt;1999)),"FAIL - 1973-99 class, year "&amp;$H105,IF(AND(LEFT($L105,2)="09",OR($H105&lt;2000,$H105&gt;2010)),"FAIL - 2000-10 class, year "&amp;$H105,"OK")))))</f>
      </c>
      <c r="BF105" s="45">
        <f>IF($AD105="","",IF(ROUND($AO105+$AP105+$AQ105-$AD105,2)=0,"OK","FAIL - out by "&amp;TEXT($AO105+$AP105+$AQ105-$AD105,"$0.00")))</f>
      </c>
    </row>
    <row r="106" spans="1:58" ht="18.75" customHeight="1" x14ac:dyDescent="0.25">
      <c r="A106" s="46" t="inlineStr">
        <is>
          <t xml:space="preserve">CANON-202511-002299</t>
        </is>
      </c>
      <c r="B106" s="46" t="inlineStr">
        <is>
          <t xml:space="preserve">Aurelio Castellanos</t>
        </is>
      </c>
      <c r="C106" s="47">
        <v>45969</v>
      </c>
      <c r="D106" s="48" t="inlineStr">
        <is>
          <t xml:space="preserve">Bound - within authority</t>
        </is>
      </c>
      <c r="E106" s="48" t="inlineStr">
        <is>
          <t xml:space="preserve">New business</t>
        </is>
      </c>
      <c r="F106" s="46" t="inlineStr">
        <is>
          <t xml:space="preserve">B1234EXOTIC26</t>
        </is>
      </c>
      <c r="G106" s="33">
        <f>IF($A106="","",IF($C106="","",YEAR($C106)))</f>
      </c>
      <c r="H106" s="49">
        <v>1960</v>
      </c>
      <c r="I106" s="46" t="inlineStr">
        <is>
          <t xml:space="preserve">Ferrari</t>
        </is>
      </c>
      <c r="J106" s="46" t="inlineStr">
        <is>
          <t xml:space="preserve">SF90 Stradale</t>
        </is>
      </c>
      <c r="K106" s="46" t="inlineStr">
        <is>
          <t xml:space="preserve">6222ZFNKM6W7M9YBJ</t>
        </is>
      </c>
      <c r="L106" s="48" t="inlineStr">
        <is>
          <t xml:space="preserve">03 - Supercar</t>
        </is>
      </c>
      <c r="M106" s="50">
        <v>1445000</v>
      </c>
      <c r="N106" s="48" t="inlineStr">
        <is>
          <t xml:space="preserve">Personal</t>
        </is>
      </c>
      <c r="O106" s="46" t="inlineStr">
        <is>
          <t xml:space="preserve">Personal - regular use</t>
        </is>
      </c>
      <c r="P106" s="46" t="inlineStr">
        <is>
          <t xml:space="preserve">1,000 - 2,500</t>
        </is>
      </c>
      <c r="Q106" s="46" t="inlineStr">
        <is>
          <t xml:space="preserve">Louisiana</t>
        </is>
      </c>
      <c r="R106" s="46" t="inlineStr">
        <is>
          <t xml:space="preserve">70112</t>
        </is>
      </c>
      <c r="S106" s="48" t="inlineStr">
        <is>
          <t xml:space="preserve">Tier 2 - Coastal wind (1-25 miles)</t>
        </is>
      </c>
      <c r="T106" s="36">
        <f>IF($A106="","",IF($S106="","",IFERROR(INDEX('[1]natural catastrophe'!$D$6:$D$17,MATCH($S106,'[1]natural catastrophe'!$B$6:$B$17,0)),"?")))</f>
      </c>
      <c r="U106" s="46" t="inlineStr">
        <is>
          <t xml:space="preserve">2% of agreed value, minimum $10,000</t>
        </is>
      </c>
      <c r="V106" s="48" t="inlineStr">
        <is>
          <t xml:space="preserve">Agreed Value</t>
        </is>
      </c>
      <c r="W106" s="46" t="inlineStr">
        <is>
          <t xml:space="preserve">$1,000</t>
        </is>
      </c>
      <c r="X106" s="48" t="inlineStr">
        <is>
          <t xml:space="preserve">$1,000,000 CSL</t>
        </is>
      </c>
      <c r="Y106" s="46"/>
      <c r="Z106" s="46"/>
      <c r="AA106" s="48" t="inlineStr">
        <is>
          <t xml:space="preserve">Surplus Lines</t>
        </is>
      </c>
      <c r="AB106" s="50">
        <v>24264.53</v>
      </c>
      <c r="AC106" s="51">
        <v>0</v>
      </c>
      <c r="AD106" s="38">
        <f>IF(ISNUMBER($AB106),$AB106*(1+N($AC106)),"")</f>
      </c>
      <c r="AE106" s="50">
        <v>350</v>
      </c>
      <c r="AF106" s="50">
        <v>250</v>
      </c>
      <c r="AG106" s="51"/>
      <c r="AH106" s="39">
        <f>IF(ISNUMBER($AD106),($AD106+$AE106+$AF106)*$AG106,"")</f>
      </c>
      <c r="AI106" s="50"/>
      <c r="AJ106" s="38">
        <f>IF(ISNUMBER($AD106),SUM($AD106:$AH106),"")</f>
      </c>
      <c r="AK106" s="40">
        <f>IF(AND(ISNUMBER($AB106),ISNUMBER($AD106)),IF($AB106&gt;0,$AD106/$AB106,""),"")</f>
      </c>
      <c r="AL106" s="48" t="inlineStr">
        <is>
          <t xml:space="preserve">At technical</t>
        </is>
      </c>
      <c r="AM106" s="41">
        <f>IF(ISNUMBER($AD106),Header!$I$3,"")</f>
      </c>
      <c r="AN106" s="39">
        <f>IF(ISNUMBER($AD106),$AO106+$AP106,"")</f>
      </c>
      <c r="AO106" s="39">
        <f>IF(ISNUMBER($AD106),ROUND($AD106*Header!$K$3,2),"")</f>
      </c>
      <c r="AP106" s="39">
        <f>IF(ISNUMBER($AD106),ROUND($AD106*Header!$M$3,2),"")</f>
      </c>
      <c r="AQ106" s="38">
        <f>IF(ISNUMBER($AD106),ROUND($AD106,2)-$AO106-$AP106,"")</f>
      </c>
      <c r="AR106" s="39">
        <f>IF(ISNUMBER($AD106),IF(Header!$D$34="","?",$AD106*Header!$D$34),"")</f>
      </c>
      <c r="AS106" s="39">
        <f>IF(ISNUMBER($AB106),IF(Header!$D$34="","?",$AB106*Header!$D$34),"")</f>
      </c>
      <c r="AT106" s="42">
        <f>IF(AND(ISNUMBER($AB106),$M106&gt;0),$AB106/$M106*100,"")</f>
      </c>
      <c r="AU106" s="42">
        <f>IF(AND(ISNUMBER($AD106),$M106&gt;0),$AD106/$M106*100,"")</f>
      </c>
      <c r="AV106" s="40">
        <f>IF(AND(ISNUMBER($AB106),ISNUMBER($AD106),ABS($AB106)&gt;0),$AD106/$AB106,"")</f>
      </c>
      <c r="AW106" s="39">
        <f>IF(ISNUMBER($AD106),MAX(0,(1-0.55-Header!$O$3)*Header!$Q$3*$AQ106),"")</f>
      </c>
      <c r="AX106" s="43">
        <f>IF($A106="","",IF(TRIM(IF($A106="","Missing certificate ref. ","") &amp; IF($C106="","Missing effective date. ","") &amp; IF($D106="","Missing binding status. ","") &amp; IF($E106="","Missing movement type. ","") &amp; IF($I106="","Missing make. ","") &amp; IF($L106="","Missing vehicle class. ","") &amp; IF($M106="","Missing agreed value. ","") &amp; IF($N106="","Missing policy type. ","") &amp; IF($Q106="","Missing garaging state. ","") &amp; IF($R106="","Missing garaging ZIP. ","") &amp; IF($S106="","Missing cat zone. ","") &amp; IF($V106="","Missing valuation basis. ","") &amp; IF($W106="","Missing PD deductible. ","") &amp; IF($X106="","Missing liability limit. ","") &amp; IF($AB106="","Missing technical premium. ","") &amp; IF($AF106="","Missing surplus lines tax %. ",""))="","PASS","FAIL: "&amp;TRIM(IF($A106="","Missing certificate ref. ","") &amp; IF($C106="","Missing effective date. ","") &amp; IF($D106="","Missing binding status. ","") &amp; IF($E106="","Missing movement type. ","") &amp; IF($I106="","Missing make. ","") &amp; IF($L106="","Missing vehicle class. ","") &amp; IF($M106="","Missing agreed value. ","") &amp; IF($N106="","Missing policy type. ","") &amp; IF($Q106="","Missing garaging state. ","") &amp; IF($R106="","Missing garaging ZIP. ","") &amp; IF($S106="","Missing cat zone. ","") &amp; IF($V106="","Missing valuation basis. ","") &amp; IF($W106="","Missing PD deductible. ","") &amp; IF($X106="","Missing liability limit. ","") &amp; IF($AB106="","Missing technical premium. ","") &amp; IF($AF106="","Missing surplus lines tax %. ",""))))</f>
      </c>
      <c r="AY106" s="44">
        <f>IF($M106="","",IF(ISNUMBER($M106),IF($M106&gt;=Header!$C$18,"YES — refer","No"),""))</f>
      </c>
      <c r="AZ106" s="44">
        <f>IF($AD106="","",IF(ISNUMBER($AD106),IF($AD106&lt;Header!$C$20,"BELOW MIN PREMIUM","OK"),""))</f>
      </c>
      <c r="BA106" s="48" t="inlineStr">
        <is>
          <t xml:space="preserve">Yes</t>
        </is>
      </c>
      <c r="BB106" s="48" t="inlineStr">
        <is>
          <t xml:space="preserve">Yes</t>
        </is>
      </c>
      <c r="BC106" s="46" t="inlineStr">
        <is>
          <t xml:space="preserve">Synthetic demo data</t>
        </is>
      </c>
      <c r="BE106" s="45">
        <f>IF(OR($A106="",$L106="",$H106=""),"",IF(AND(LEFT($L106,2)="06",$H106&gt;1945),"FAIL - pre-war class, year "&amp;$H106,IF(AND(LEFT($L106,2)="07",OR($H106&lt;1946,$H106&gt;1972)),"FAIL - 1946-72 class, year "&amp;$H106,IF(AND(LEFT($L106,2)="08",OR($H106&lt;1973,$H106&gt;1999)),"FAIL - 1973-99 class, year "&amp;$H106,IF(AND(LEFT($L106,2)="09",OR($H106&lt;2000,$H106&gt;2010)),"FAIL - 2000-10 class, year "&amp;$H106,"OK")))))</f>
      </c>
      <c r="BF106" s="45">
        <f>IF($AD106="","",IF(ROUND($AO106+$AP106+$AQ106-$AD106,2)=0,"OK","FAIL - out by "&amp;TEXT($AO106+$AP106+$AQ106-$AD106,"$0.00")))</f>
      </c>
    </row>
    <row r="107" spans="1:58" ht="18.75" customHeight="1" x14ac:dyDescent="0.25">
      <c r="A107" s="30" t="inlineStr">
        <is>
          <t xml:space="preserve">CANON-202511-002300</t>
        </is>
      </c>
      <c r="B107" s="30" t="inlineStr">
        <is>
          <t xml:space="preserve">Horace Fairweather</t>
        </is>
      </c>
      <c r="C107" s="31">
        <v>45976</v>
      </c>
      <c r="D107" s="32" t="inlineStr">
        <is>
          <t xml:space="preserve">Bound - within authority</t>
        </is>
      </c>
      <c r="E107" s="32" t="inlineStr">
        <is>
          <t xml:space="preserve">New business</t>
        </is>
      </c>
      <c r="F107" s="30" t="inlineStr">
        <is>
          <t xml:space="preserve">B1234EXOTIC26</t>
        </is>
      </c>
      <c r="G107" s="33">
        <f>IF($A107="","",IF($C107="","",YEAR($C107)))</f>
      </c>
      <c r="H107" s="34">
        <v>1991</v>
      </c>
      <c r="I107" s="30" t="inlineStr">
        <is>
          <t xml:space="preserve">BMW</t>
        </is>
      </c>
      <c r="J107" s="30" t="inlineStr">
        <is>
          <t xml:space="preserve">M8 Competition</t>
        </is>
      </c>
      <c r="K107" s="30" t="inlineStr">
        <is>
          <t xml:space="preserve">KLCJ9VDJG6262T5CM</t>
        </is>
      </c>
      <c r="L107" s="32" t="inlineStr">
        <is>
          <t xml:space="preserve">02 - Sports / GT</t>
        </is>
      </c>
      <c r="M107" s="35">
        <v>645000</v>
      </c>
      <c r="N107" s="32" t="inlineStr">
        <is>
          <t xml:space="preserve">Personal</t>
        </is>
      </c>
      <c r="O107" s="30" t="inlineStr">
        <is>
          <t xml:space="preserve">Personal - regular use</t>
        </is>
      </c>
      <c r="P107" s="30" t="inlineStr">
        <is>
          <t xml:space="preserve">1,000 - 2,500</t>
        </is>
      </c>
      <c r="Q107" s="30" t="inlineStr">
        <is>
          <t xml:space="preserve">Hawaii</t>
        </is>
      </c>
      <c r="R107" s="30" t="inlineStr">
        <is>
          <t xml:space="preserve">96813</t>
        </is>
      </c>
      <c r="S107" s="32" t="inlineStr">
        <is>
          <t xml:space="preserve">Earthquake - high (CA, Cascadia, New Madrid)</t>
        </is>
      </c>
      <c r="T107" s="36">
        <f>IF($A107="","",IF($S107="","",IFERROR(INDEX('[1]natural catastrophe'!$D$6:$D$17,MATCH($S107,'[1]natural catastrophe'!$B$6:$B$17,0)),"?")))</f>
      </c>
      <c r="U107" s="30" t="inlineStr">
        <is>
          <t xml:space="preserve">$5,000</t>
        </is>
      </c>
      <c r="V107" s="32" t="inlineStr">
        <is>
          <t xml:space="preserve">Agreed Value</t>
        </is>
      </c>
      <c r="W107" s="30" t="inlineStr">
        <is>
          <t xml:space="preserve">$1,000</t>
        </is>
      </c>
      <c r="X107" s="32" t="inlineStr">
        <is>
          <t xml:space="preserve">$1,000,000 CSL</t>
        </is>
      </c>
      <c r="Y107" s="30"/>
      <c r="Z107" s="30"/>
      <c r="AA107" s="32" t="inlineStr">
        <is>
          <t xml:space="preserve">Surplus Lines</t>
        </is>
      </c>
      <c r="AB107" s="35">
        <v>9454.64</v>
      </c>
      <c r="AC107" s="37">
        <v>0</v>
      </c>
      <c r="AD107" s="38">
        <f>IF(ISNUMBER($AB107),$AB107*(1+N($AC107)),"")</f>
      </c>
      <c r="AE107" s="35">
        <v>350</v>
      </c>
      <c r="AF107" s="35">
        <v>0</v>
      </c>
      <c r="AG107" s="37"/>
      <c r="AH107" s="39">
        <f>IF(ISNUMBER($AD107),($AD107+$AE107+$AF107)*$AG107,"")</f>
      </c>
      <c r="AI107" s="35"/>
      <c r="AJ107" s="38">
        <f>IF(ISNUMBER($AD107),SUM($AD107:$AH107),"")</f>
      </c>
      <c r="AK107" s="40">
        <f>IF(AND(ISNUMBER($AB107),ISNUMBER($AD107)),IF($AB107&gt;0,$AD107/$AB107,""),"")</f>
      </c>
      <c r="AL107" s="32" t="inlineStr">
        <is>
          <t xml:space="preserve">At technical</t>
        </is>
      </c>
      <c r="AM107" s="41">
        <f>IF(ISNUMBER($AD107),Header!$I$3,"")</f>
      </c>
      <c r="AN107" s="39">
        <f>IF(ISNUMBER($AD107),$AO107+$AP107,"")</f>
      </c>
      <c r="AO107" s="39">
        <f>IF(ISNUMBER($AD107),ROUND($AD107*Header!$K$3,2),"")</f>
      </c>
      <c r="AP107" s="39">
        <f>IF(ISNUMBER($AD107),ROUND($AD107*Header!$M$3,2),"")</f>
      </c>
      <c r="AQ107" s="38">
        <f>IF(ISNUMBER($AD107),ROUND($AD107,2)-$AO107-$AP107,"")</f>
      </c>
      <c r="AR107" s="39">
        <f>IF(ISNUMBER($AD107),IF(Header!$D$34="","?",$AD107*Header!$D$34),"")</f>
      </c>
      <c r="AS107" s="39">
        <f>IF(ISNUMBER($AB107),IF(Header!$D$34="","?",$AB107*Header!$D$34),"")</f>
      </c>
      <c r="AT107" s="42">
        <f>IF(AND(ISNUMBER($AB107),$M107&gt;0),$AB107/$M107*100,"")</f>
      </c>
      <c r="AU107" s="42">
        <f>IF(AND(ISNUMBER($AD107),$M107&gt;0),$AD107/$M107*100,"")</f>
      </c>
      <c r="AV107" s="40">
        <f>IF(AND(ISNUMBER($AB107),ISNUMBER($AD107),ABS($AB107)&gt;0),$AD107/$AB107,"")</f>
      </c>
      <c r="AW107" s="39">
        <f>IF(ISNUMBER($AD107),MAX(0,(1-0.55-Header!$O$3)*Header!$Q$3*$AQ107),"")</f>
      </c>
      <c r="AX107" s="43">
        <f>IF($A107="","",IF(TRIM(IF($A107="","Missing certificate ref. ","") &amp; IF($C107="","Missing effective date. ","") &amp; IF($D107="","Missing binding status. ","") &amp; IF($E107="","Missing movement type. ","") &amp; IF($I107="","Missing make. ","") &amp; IF($L107="","Missing vehicle class. ","") &amp; IF($M107="","Missing agreed value. ","") &amp; IF($N107="","Missing policy type. ","") &amp; IF($Q107="","Missing garaging state. ","") &amp; IF($R107="","Missing garaging ZIP. ","") &amp; IF($S107="","Missing cat zone. ","") &amp; IF($V107="","Missing valuation basis. ","") &amp; IF($W107="","Missing PD deductible. ","") &amp; IF($X107="","Missing liability limit. ","") &amp; IF($AB107="","Missing technical premium. ","") &amp; IF($AF107="","Missing surplus lines tax %. ",""))="","PASS","FAIL: "&amp;TRIM(IF($A107="","Missing certificate ref. ","") &amp; IF($C107="","Missing effective date. ","") &amp; IF($D107="","Missing binding status. ","") &amp; IF($E107="","Missing movement type. ","") &amp; IF($I107="","Missing make. ","") &amp; IF($L107="","Missing vehicle class. ","") &amp; IF($M107="","Missing agreed value. ","") &amp; IF($N107="","Missing policy type. ","") &amp; IF($Q107="","Missing garaging state. ","") &amp; IF($R107="","Missing garaging ZIP. ","") &amp; IF($S107="","Missing cat zone. ","") &amp; IF($V107="","Missing valuation basis. ","") &amp; IF($W107="","Missing PD deductible. ","") &amp; IF($X107="","Missing liability limit. ","") &amp; IF($AB107="","Missing technical premium. ","") &amp; IF($AF107="","Missing surplus lines tax %. ",""))))</f>
      </c>
      <c r="AY107" s="44">
        <f>IF($M107="","",IF(ISNUMBER($M107),IF($M107&gt;=Header!$C$18,"YES — refer","No"),""))</f>
      </c>
      <c r="AZ107" s="44">
        <f>IF($AD107="","",IF(ISNUMBER($AD107),IF($AD107&lt;Header!$C$20,"BELOW MIN PREMIUM","OK"),""))</f>
      </c>
      <c r="BA107" s="32" t="inlineStr">
        <is>
          <t xml:space="preserve">Yes</t>
        </is>
      </c>
      <c r="BB107" s="32" t="inlineStr">
        <is>
          <t xml:space="preserve">Yes</t>
        </is>
      </c>
      <c r="BC107" s="30" t="inlineStr">
        <is>
          <t xml:space="preserve">Synthetic demo data</t>
        </is>
      </c>
      <c r="BE107" s="45">
        <f>IF(OR($A107="",$L107="",$H107=""),"",IF(AND(LEFT($L107,2)="06",$H107&gt;1945),"FAIL - pre-war class, year "&amp;$H107,IF(AND(LEFT($L107,2)="07",OR($H107&lt;1946,$H107&gt;1972)),"FAIL - 1946-72 class, year "&amp;$H107,IF(AND(LEFT($L107,2)="08",OR($H107&lt;1973,$H107&gt;1999)),"FAIL - 1973-99 class, year "&amp;$H107,IF(AND(LEFT($L107,2)="09",OR($H107&lt;2000,$H107&gt;2010)),"FAIL - 2000-10 class, year "&amp;$H107,"OK")))))</f>
      </c>
      <c r="BF107" s="45">
        <f>IF($AD107="","",IF(ROUND($AO107+$AP107+$AQ107-$AD107,2)=0,"OK","FAIL - out by "&amp;TEXT($AO107+$AP107+$AQ107-$AD107,"$0.00")))</f>
      </c>
    </row>
    <row r="108" spans="1:58" ht="18.75" customHeight="1" x14ac:dyDescent="0.25">
      <c r="A108" s="46" t="inlineStr">
        <is>
          <t xml:space="preserve">CANON-202511-002302</t>
        </is>
      </c>
      <c r="B108" s="46" t="inlineStr">
        <is>
          <t xml:space="preserve">Marisol Underwood</t>
        </is>
      </c>
      <c r="C108" s="47">
        <v>45962</v>
      </c>
      <c r="D108" s="48" t="inlineStr">
        <is>
          <t xml:space="preserve">Bound - within authority</t>
        </is>
      </c>
      <c r="E108" s="48" t="inlineStr">
        <is>
          <t xml:space="preserve">New business</t>
        </is>
      </c>
      <c r="F108" s="46" t="inlineStr">
        <is>
          <t xml:space="preserve">B1234EXOTIC26</t>
        </is>
      </c>
      <c r="G108" s="33">
        <f>IF($A108="","",IF($C108="","",YEAR($C108)))</f>
      </c>
      <c r="H108" s="49">
        <v>2008</v>
      </c>
      <c r="I108" s="46" t="inlineStr">
        <is>
          <t xml:space="preserve">Aston Martin</t>
        </is>
      </c>
      <c r="J108" s="46" t="inlineStr">
        <is>
          <t xml:space="preserve">DB12</t>
        </is>
      </c>
      <c r="K108" s="46" t="inlineStr">
        <is>
          <t xml:space="preserve">RSN6K7A3V53JW7ZZ4</t>
        </is>
      </c>
      <c r="L108" s="48" t="inlineStr">
        <is>
          <t xml:space="preserve">02 - Sports / GT</t>
        </is>
      </c>
      <c r="M108" s="50">
        <v>410000</v>
      </c>
      <c r="N108" s="48" t="inlineStr">
        <is>
          <t xml:space="preserve">Personal</t>
        </is>
      </c>
      <c r="O108" s="46" t="inlineStr">
        <is>
          <t xml:space="preserve">Personal - regular use</t>
        </is>
      </c>
      <c r="P108" s="46" t="inlineStr">
        <is>
          <t xml:space="preserve">Under 1,000</t>
        </is>
      </c>
      <c r="Q108" s="46" t="inlineStr">
        <is>
          <t xml:space="preserve">Arkansas</t>
        </is>
      </c>
      <c r="R108" s="46" t="inlineStr">
        <is>
          <t xml:space="preserve">72201</t>
        </is>
      </c>
      <c r="S108" s="48" t="inlineStr">
        <is>
          <t xml:space="preserve">Severe convective - hail / tornado (moderate)</t>
        </is>
      </c>
      <c r="T108" s="36">
        <f>IF($A108="","",IF($S108="","",IFERROR(INDEX('[1]natural catastrophe'!$D$6:$D$17,MATCH($S108,'[1]natural catastrophe'!$B$6:$B$17,0)),"?")))</f>
      </c>
      <c r="U108" s="46" t="inlineStr">
        <is>
          <t xml:space="preserve">$5,000</t>
        </is>
      </c>
      <c r="V108" s="48" t="inlineStr">
        <is>
          <t xml:space="preserve">Agreed Value</t>
        </is>
      </c>
      <c r="W108" s="46" t="inlineStr">
        <is>
          <t xml:space="preserve">$1,000</t>
        </is>
      </c>
      <c r="X108" s="48" t="inlineStr">
        <is>
          <t xml:space="preserve">$1,000,000 CSL</t>
        </is>
      </c>
      <c r="Y108" s="46"/>
      <c r="Z108" s="46"/>
      <c r="AA108" s="48" t="inlineStr">
        <is>
          <t xml:space="preserve">Surplus Lines</t>
        </is>
      </c>
      <c r="AB108" s="50">
        <v>7361.27</v>
      </c>
      <c r="AC108" s="51">
        <v>0</v>
      </c>
      <c r="AD108" s="38">
        <f>IF(ISNUMBER($AB108),$AB108*(1+N($AC108)),"")</f>
      </c>
      <c r="AE108" s="50">
        <v>350</v>
      </c>
      <c r="AF108" s="50">
        <v>0</v>
      </c>
      <c r="AG108" s="51"/>
      <c r="AH108" s="39">
        <f>IF(ISNUMBER($AD108),($AD108+$AE108+$AF108)*$AG108,"")</f>
      </c>
      <c r="AI108" s="50"/>
      <c r="AJ108" s="38">
        <f>IF(ISNUMBER($AD108),SUM($AD108:$AH108),"")</f>
      </c>
      <c r="AK108" s="40">
        <f>IF(AND(ISNUMBER($AB108),ISNUMBER($AD108)),IF($AB108&gt;0,$AD108/$AB108,""),"")</f>
      </c>
      <c r="AL108" s="48" t="inlineStr">
        <is>
          <t xml:space="preserve">At technical</t>
        </is>
      </c>
      <c r="AM108" s="41">
        <f>IF(ISNUMBER($AD108),Header!$I$3,"")</f>
      </c>
      <c r="AN108" s="39">
        <f>IF(ISNUMBER($AD108),$AO108+$AP108,"")</f>
      </c>
      <c r="AO108" s="39">
        <f>IF(ISNUMBER($AD108),ROUND($AD108*Header!$K$3,2),"")</f>
      </c>
      <c r="AP108" s="39">
        <f>IF(ISNUMBER($AD108),ROUND($AD108*Header!$M$3,2),"")</f>
      </c>
      <c r="AQ108" s="38">
        <f>IF(ISNUMBER($AD108),ROUND($AD108,2)-$AO108-$AP108,"")</f>
      </c>
      <c r="AR108" s="39">
        <f>IF(ISNUMBER($AD108),IF(Header!$D$34="","?",$AD108*Header!$D$34),"")</f>
      </c>
      <c r="AS108" s="39">
        <f>IF(ISNUMBER($AB108),IF(Header!$D$34="","?",$AB108*Header!$D$34),"")</f>
      </c>
      <c r="AT108" s="42">
        <f>IF(AND(ISNUMBER($AB108),$M108&gt;0),$AB108/$M108*100,"")</f>
      </c>
      <c r="AU108" s="42">
        <f>IF(AND(ISNUMBER($AD108),$M108&gt;0),$AD108/$M108*100,"")</f>
      </c>
      <c r="AV108" s="40">
        <f>IF(AND(ISNUMBER($AB108),ISNUMBER($AD108),ABS($AB108)&gt;0),$AD108/$AB108,"")</f>
      </c>
      <c r="AW108" s="39">
        <f>IF(ISNUMBER($AD108),MAX(0,(1-0.55-Header!$O$3)*Header!$Q$3*$AQ108),"")</f>
      </c>
      <c r="AX108" s="43">
        <f>IF($A108="","",IF(TRIM(IF($A108="","Missing certificate ref. ","") &amp; IF($C108="","Missing effective date. ","") &amp; IF($D108="","Missing binding status. ","") &amp; IF($E108="","Missing movement type. ","") &amp; IF($I108="","Missing make. ","") &amp; IF($L108="","Missing vehicle class. ","") &amp; IF($M108="","Missing agreed value. ","") &amp; IF($N108="","Missing policy type. ","") &amp; IF($Q108="","Missing garaging state. ","") &amp; IF($R108="","Missing garaging ZIP. ","") &amp; IF($S108="","Missing cat zone. ","") &amp; IF($V108="","Missing valuation basis. ","") &amp; IF($W108="","Missing PD deductible. ","") &amp; IF($X108="","Missing liability limit. ","") &amp; IF($AB108="","Missing technical premium. ","") &amp; IF($AF108="","Missing surplus lines tax %. ",""))="","PASS","FAIL: "&amp;TRIM(IF($A108="","Missing certificate ref. ","") &amp; IF($C108="","Missing effective date. ","") &amp; IF($D108="","Missing binding status. ","") &amp; IF($E108="","Missing movement type. ","") &amp; IF($I108="","Missing make. ","") &amp; IF($L108="","Missing vehicle class. ","") &amp; IF($M108="","Missing agreed value. ","") &amp; IF($N108="","Missing policy type. ","") &amp; IF($Q108="","Missing garaging state. ","") &amp; IF($R108="","Missing garaging ZIP. ","") &amp; IF($S108="","Missing cat zone. ","") &amp; IF($V108="","Missing valuation basis. ","") &amp; IF($W108="","Missing PD deductible. ","") &amp; IF($X108="","Missing liability limit. ","") &amp; IF($AB108="","Missing technical premium. ","") &amp; IF($AF108="","Missing surplus lines tax %. ",""))))</f>
      </c>
      <c r="AY108" s="44">
        <f>IF($M108="","",IF(ISNUMBER($M108),IF($M108&gt;=Header!$C$18,"YES — refer","No"),""))</f>
      </c>
      <c r="AZ108" s="44">
        <f>IF($AD108="","",IF(ISNUMBER($AD108),IF($AD108&lt;Header!$C$20,"BELOW MIN PREMIUM","OK"),""))</f>
      </c>
      <c r="BA108" s="48" t="inlineStr">
        <is>
          <t xml:space="preserve">Yes</t>
        </is>
      </c>
      <c r="BB108" s="48" t="inlineStr">
        <is>
          <t xml:space="preserve">Yes</t>
        </is>
      </c>
      <c r="BC108" s="46" t="inlineStr">
        <is>
          <t xml:space="preserve">Synthetic demo data</t>
        </is>
      </c>
      <c r="BE108" s="45">
        <f>IF(OR($A108="",$L108="",$H108=""),"",IF(AND(LEFT($L108,2)="06",$H108&gt;1945),"FAIL - pre-war class, year "&amp;$H108,IF(AND(LEFT($L108,2)="07",OR($H108&lt;1946,$H108&gt;1972)),"FAIL - 1946-72 class, year "&amp;$H108,IF(AND(LEFT($L108,2)="08",OR($H108&lt;1973,$H108&gt;1999)),"FAIL - 1973-99 class, year "&amp;$H108,IF(AND(LEFT($L108,2)="09",OR($H108&lt;2000,$H108&gt;2010)),"FAIL - 2000-10 class, year "&amp;$H108,"OK")))))</f>
      </c>
      <c r="BF108" s="45">
        <f>IF($AD108="","",IF(ROUND($AO108+$AP108+$AQ108-$AD108,2)=0,"OK","FAIL - out by "&amp;TEXT($AO108+$AP108+$AQ108-$AD108,"$0.00")))</f>
      </c>
    </row>
    <row r="109" spans="1:58" ht="18.75" customHeight="1" x14ac:dyDescent="0.25">
      <c r="A109" s="30" t="inlineStr">
        <is>
          <t xml:space="preserve">CANON-202511-002303</t>
        </is>
      </c>
      <c r="B109" s="30" t="inlineStr">
        <is>
          <t xml:space="preserve">Beatrix Delacroix</t>
        </is>
      </c>
      <c r="C109" s="31">
        <v>45963</v>
      </c>
      <c r="D109" s="32" t="inlineStr">
        <is>
          <t xml:space="preserve">Bound - within authority</t>
        </is>
      </c>
      <c r="E109" s="32" t="inlineStr">
        <is>
          <t xml:space="preserve">New business</t>
        </is>
      </c>
      <c r="F109" s="30" t="inlineStr">
        <is>
          <t xml:space="preserve">B1234EXOTIC26</t>
        </is>
      </c>
      <c r="G109" s="33">
        <f>IF($A109="","",IF($C109="","",YEAR($C109)))</f>
      </c>
      <c r="H109" s="34">
        <v>1969</v>
      </c>
      <c r="I109" s="30" t="inlineStr">
        <is>
          <t xml:space="preserve">Maserati</t>
        </is>
      </c>
      <c r="J109" s="30" t="inlineStr">
        <is>
          <t xml:space="preserve">GranTurismo</t>
        </is>
      </c>
      <c r="K109" s="30" t="inlineStr">
        <is>
          <t xml:space="preserve">THSW5BUTA3299SHCY</t>
        </is>
      </c>
      <c r="L109" s="32" t="inlineStr">
        <is>
          <t xml:space="preserve">02 - Sports / GT</t>
        </is>
      </c>
      <c r="M109" s="35">
        <v>810000</v>
      </c>
      <c r="N109" s="32" t="inlineStr">
        <is>
          <t xml:space="preserve">Personal</t>
        </is>
      </c>
      <c r="O109" s="30" t="inlineStr">
        <is>
          <t xml:space="preserve">Personal - regular use</t>
        </is>
      </c>
      <c r="P109" s="30" t="inlineStr">
        <is>
          <t xml:space="preserve">1,000 - 2,500</t>
        </is>
      </c>
      <c r="Q109" s="30" t="inlineStr">
        <is>
          <t xml:space="preserve">Montana</t>
        </is>
      </c>
      <c r="R109" s="30" t="inlineStr">
        <is>
          <t xml:space="preserve">59601</t>
        </is>
      </c>
      <c r="S109" s="32" t="inlineStr">
        <is>
          <t xml:space="preserve">Wildfire - WUI high hazard</t>
        </is>
      </c>
      <c r="T109" s="36">
        <f>IF($A109="","",IF($S109="","",IFERROR(INDEX('[1]natural catastrophe'!$D$6:$D$17,MATCH($S109,'[1]natural catastrophe'!$B$6:$B$17,0)),"?")))</f>
      </c>
      <c r="U109" s="30" t="inlineStr">
        <is>
          <t xml:space="preserve">$5,000</t>
        </is>
      </c>
      <c r="V109" s="32" t="inlineStr">
        <is>
          <t xml:space="preserve">Agreed Value</t>
        </is>
      </c>
      <c r="W109" s="30" t="inlineStr">
        <is>
          <t xml:space="preserve">$1,000</t>
        </is>
      </c>
      <c r="X109" s="32" t="inlineStr">
        <is>
          <t xml:space="preserve">$1,000,000 CSL</t>
        </is>
      </c>
      <c r="Y109" s="30"/>
      <c r="Z109" s="30"/>
      <c r="AA109" s="32" t="inlineStr">
        <is>
          <t xml:space="preserve">Surplus Lines</t>
        </is>
      </c>
      <c r="AB109" s="35">
        <v>8493.95</v>
      </c>
      <c r="AC109" s="37">
        <v>0</v>
      </c>
      <c r="AD109" s="38">
        <f>IF(ISNUMBER($AB109),$AB109*(1+N($AC109)),"")</f>
      </c>
      <c r="AE109" s="35">
        <v>350</v>
      </c>
      <c r="AF109" s="35">
        <v>0</v>
      </c>
      <c r="AG109" s="37"/>
      <c r="AH109" s="39">
        <f>IF(ISNUMBER($AD109),($AD109+$AE109+$AF109)*$AG109,"")</f>
      </c>
      <c r="AI109" s="35"/>
      <c r="AJ109" s="38">
        <f>IF(ISNUMBER($AD109),SUM($AD109:$AH109),"")</f>
      </c>
      <c r="AK109" s="40">
        <f>IF(AND(ISNUMBER($AB109),ISNUMBER($AD109)),IF($AB109&gt;0,$AD109/$AB109,""),"")</f>
      </c>
      <c r="AL109" s="32" t="inlineStr">
        <is>
          <t xml:space="preserve">At technical</t>
        </is>
      </c>
      <c r="AM109" s="41">
        <f>IF(ISNUMBER($AD109),Header!$I$3,"")</f>
      </c>
      <c r="AN109" s="39">
        <f>IF(ISNUMBER($AD109),$AO109+$AP109,"")</f>
      </c>
      <c r="AO109" s="39">
        <f>IF(ISNUMBER($AD109),ROUND($AD109*Header!$K$3,2),"")</f>
      </c>
      <c r="AP109" s="39">
        <f>IF(ISNUMBER($AD109),ROUND($AD109*Header!$M$3,2),"")</f>
      </c>
      <c r="AQ109" s="38">
        <f>IF(ISNUMBER($AD109),ROUND($AD109,2)-$AO109-$AP109,"")</f>
      </c>
      <c r="AR109" s="39">
        <f>IF(ISNUMBER($AD109),IF(Header!$D$34="","?",$AD109*Header!$D$34),"")</f>
      </c>
      <c r="AS109" s="39">
        <f>IF(ISNUMBER($AB109),IF(Header!$D$34="","?",$AB109*Header!$D$34),"")</f>
      </c>
      <c r="AT109" s="42">
        <f>IF(AND(ISNUMBER($AB109),$M109&gt;0),$AB109/$M109*100,"")</f>
      </c>
      <c r="AU109" s="42">
        <f>IF(AND(ISNUMBER($AD109),$M109&gt;0),$AD109/$M109*100,"")</f>
      </c>
      <c r="AV109" s="40">
        <f>IF(AND(ISNUMBER($AB109),ISNUMBER($AD109),ABS($AB109)&gt;0),$AD109/$AB109,"")</f>
      </c>
      <c r="AW109" s="39">
        <f>IF(ISNUMBER($AD109),MAX(0,(1-0.55-Header!$O$3)*Header!$Q$3*$AQ109),"")</f>
      </c>
      <c r="AX109" s="43">
        <f>IF($A109="","",IF(TRIM(IF($A109="","Missing certificate ref. ","") &amp; IF($C109="","Missing effective date. ","") &amp; IF($D109="","Missing binding status. ","") &amp; IF($E109="","Missing movement type. ","") &amp; IF($I109="","Missing make. ","") &amp; IF($L109="","Missing vehicle class. ","") &amp; IF($M109="","Missing agreed value. ","") &amp; IF($N109="","Missing policy type. ","") &amp; IF($Q109="","Missing garaging state. ","") &amp; IF($R109="","Missing garaging ZIP. ","") &amp; IF($S109="","Missing cat zone. ","") &amp; IF($V109="","Missing valuation basis. ","") &amp; IF($W109="","Missing PD deductible. ","") &amp; IF($X109="","Missing liability limit. ","") &amp; IF($AB109="","Missing technical premium. ","") &amp; IF($AF109="","Missing surplus lines tax %. ",""))="","PASS","FAIL: "&amp;TRIM(IF($A109="","Missing certificate ref. ","") &amp; IF($C109="","Missing effective date. ","") &amp; IF($D109="","Missing binding status. ","") &amp; IF($E109="","Missing movement type. ","") &amp; IF($I109="","Missing make. ","") &amp; IF($L109="","Missing vehicle class. ","") &amp; IF($M109="","Missing agreed value. ","") &amp; IF($N109="","Missing policy type. ","") &amp; IF($Q109="","Missing garaging state. ","") &amp; IF($R109="","Missing garaging ZIP. ","") &amp; IF($S109="","Missing cat zone. ","") &amp; IF($V109="","Missing valuation basis. ","") &amp; IF($W109="","Missing PD deductible. ","") &amp; IF($X109="","Missing liability limit. ","") &amp; IF($AB109="","Missing technical premium. ","") &amp; IF($AF109="","Missing surplus lines tax %. ",""))))</f>
      </c>
      <c r="AY109" s="44">
        <f>IF($M109="","",IF(ISNUMBER($M109),IF($M109&gt;=Header!$C$18,"YES — refer","No"),""))</f>
      </c>
      <c r="AZ109" s="44">
        <f>IF($AD109="","",IF(ISNUMBER($AD109),IF($AD109&lt;Header!$C$20,"BELOW MIN PREMIUM","OK"),""))</f>
      </c>
      <c r="BA109" s="32" t="inlineStr">
        <is>
          <t xml:space="preserve">Yes</t>
        </is>
      </c>
      <c r="BB109" s="32" t="inlineStr">
        <is>
          <t xml:space="preserve">Yes</t>
        </is>
      </c>
      <c r="BC109" s="30" t="inlineStr">
        <is>
          <t xml:space="preserve">Synthetic demo data</t>
        </is>
      </c>
      <c r="BE109" s="45">
        <f>IF(OR($A109="",$L109="",$H109=""),"",IF(AND(LEFT($L109,2)="06",$H109&gt;1945),"FAIL - pre-war class, year "&amp;$H109,IF(AND(LEFT($L109,2)="07",OR($H109&lt;1946,$H109&gt;1972)),"FAIL - 1946-72 class, year "&amp;$H109,IF(AND(LEFT($L109,2)="08",OR($H109&lt;1973,$H109&gt;1999)),"FAIL - 1973-99 class, year "&amp;$H109,IF(AND(LEFT($L109,2)="09",OR($H109&lt;2000,$H109&gt;2010)),"FAIL - 2000-10 class, year "&amp;$H109,"OK")))))</f>
      </c>
      <c r="BF109" s="45">
        <f>IF($AD109="","",IF(ROUND($AO109+$AP109+$AQ109-$AD109,2)=0,"OK","FAIL - out by "&amp;TEXT($AO109+$AP109+$AQ109-$AD109,"$0.00")))</f>
      </c>
    </row>
    <row r="110" spans="1:58" ht="18.75" customHeight="1" x14ac:dyDescent="0.25">
      <c r="A110" s="46" t="inlineStr">
        <is>
          <t xml:space="preserve">CANON-202511-002305</t>
        </is>
      </c>
      <c r="B110" s="46" t="inlineStr">
        <is>
          <t xml:space="preserve">Sunniva Whitlock</t>
        </is>
      </c>
      <c r="C110" s="47">
        <v>45975</v>
      </c>
      <c r="D110" s="48" t="inlineStr">
        <is>
          <t xml:space="preserve">Bound - within authority</t>
        </is>
      </c>
      <c r="E110" s="48" t="inlineStr">
        <is>
          <t xml:space="preserve">New business</t>
        </is>
      </c>
      <c r="F110" s="46" t="inlineStr">
        <is>
          <t xml:space="preserve">B1234EXOTIC26</t>
        </is>
      </c>
      <c r="G110" s="33">
        <f>IF($A110="","",IF($C110="","",YEAR($C110)))</f>
      </c>
      <c r="H110" s="49">
        <v>1961</v>
      </c>
      <c r="I110" s="46" t="inlineStr">
        <is>
          <t xml:space="preserve">Ferrari</t>
        </is>
      </c>
      <c r="J110" s="46" t="inlineStr">
        <is>
          <t xml:space="preserve">296 GTB</t>
        </is>
      </c>
      <c r="K110" s="46" t="inlineStr">
        <is>
          <t xml:space="preserve">KATZ4N9UCA7B81PY5</t>
        </is>
      </c>
      <c r="L110" s="48" t="inlineStr">
        <is>
          <t xml:space="preserve">03 - Supercar</t>
        </is>
      </c>
      <c r="M110" s="50">
        <v>1950000</v>
      </c>
      <c r="N110" s="48" t="inlineStr">
        <is>
          <t xml:space="preserve">Personal</t>
        </is>
      </c>
      <c r="O110" s="46" t="inlineStr">
        <is>
          <t xml:space="preserve">Personal - regular use</t>
        </is>
      </c>
      <c r="P110" s="46" t="inlineStr">
        <is>
          <t xml:space="preserve">Under 1,000</t>
        </is>
      </c>
      <c r="Q110" s="46" t="inlineStr">
        <is>
          <t xml:space="preserve">New Jersey</t>
        </is>
      </c>
      <c r="R110" s="46" t="inlineStr">
        <is>
          <t xml:space="preserve">07102</t>
        </is>
      </c>
      <c r="S110" s="48" t="inlineStr">
        <is>
          <t xml:space="preserve">Tier 3 - Coastal wind (25-100 miles)</t>
        </is>
      </c>
      <c r="T110" s="36">
        <f>IF($A110="","",IF($S110="","",IFERROR(INDEX('[1]natural catastrophe'!$D$6:$D$17,MATCH($S110,'[1]natural catastrophe'!$B$6:$B$17,0)),"?")))</f>
      </c>
      <c r="U110" s="46" t="inlineStr">
        <is>
          <t xml:space="preserve">2% of agreed value, minimum $10,000</t>
        </is>
      </c>
      <c r="V110" s="48" t="inlineStr">
        <is>
          <t xml:space="preserve">Agreed Value</t>
        </is>
      </c>
      <c r="W110" s="46" t="inlineStr">
        <is>
          <t xml:space="preserve">$1,000</t>
        </is>
      </c>
      <c r="X110" s="48" t="inlineStr">
        <is>
          <t xml:space="preserve">$1,000,000 CSL</t>
        </is>
      </c>
      <c r="Y110" s="46"/>
      <c r="Z110" s="46"/>
      <c r="AA110" s="48" t="inlineStr">
        <is>
          <t xml:space="preserve">Surplus Lines</t>
        </is>
      </c>
      <c r="AB110" s="50">
        <v>24626.05</v>
      </c>
      <c r="AC110" s="51">
        <v>0</v>
      </c>
      <c r="AD110" s="38">
        <f>IF(ISNUMBER($AB110),$AB110*(1+N($AC110)),"")</f>
      </c>
      <c r="AE110" s="50">
        <v>350</v>
      </c>
      <c r="AF110" s="50">
        <v>250</v>
      </c>
      <c r="AG110" s="51"/>
      <c r="AH110" s="39">
        <f>IF(ISNUMBER($AD110),($AD110+$AE110+$AF110)*$AG110,"")</f>
      </c>
      <c r="AI110" s="50"/>
      <c r="AJ110" s="38">
        <f>IF(ISNUMBER($AD110),SUM($AD110:$AH110),"")</f>
      </c>
      <c r="AK110" s="40">
        <f>IF(AND(ISNUMBER($AB110),ISNUMBER($AD110)),IF($AB110&gt;0,$AD110/$AB110,""),"")</f>
      </c>
      <c r="AL110" s="48" t="inlineStr">
        <is>
          <t xml:space="preserve">At technical</t>
        </is>
      </c>
      <c r="AM110" s="41">
        <f>IF(ISNUMBER($AD110),Header!$I$3,"")</f>
      </c>
      <c r="AN110" s="39">
        <f>IF(ISNUMBER($AD110),$AO110+$AP110,"")</f>
      </c>
      <c r="AO110" s="39">
        <f>IF(ISNUMBER($AD110),ROUND($AD110*Header!$K$3,2),"")</f>
      </c>
      <c r="AP110" s="39">
        <f>IF(ISNUMBER($AD110),ROUND($AD110*Header!$M$3,2),"")</f>
      </c>
      <c r="AQ110" s="38">
        <f>IF(ISNUMBER($AD110),ROUND($AD110,2)-$AO110-$AP110,"")</f>
      </c>
      <c r="AR110" s="39">
        <f>IF(ISNUMBER($AD110),IF(Header!$D$34="","?",$AD110*Header!$D$34),"")</f>
      </c>
      <c r="AS110" s="39">
        <f>IF(ISNUMBER($AB110),IF(Header!$D$34="","?",$AB110*Header!$D$34),"")</f>
      </c>
      <c r="AT110" s="42">
        <f>IF(AND(ISNUMBER($AB110),$M110&gt;0),$AB110/$M110*100,"")</f>
      </c>
      <c r="AU110" s="42">
        <f>IF(AND(ISNUMBER($AD110),$M110&gt;0),$AD110/$M110*100,"")</f>
      </c>
      <c r="AV110" s="40">
        <f>IF(AND(ISNUMBER($AB110),ISNUMBER($AD110),ABS($AB110)&gt;0),$AD110/$AB110,"")</f>
      </c>
      <c r="AW110" s="39">
        <f>IF(ISNUMBER($AD110),MAX(0,(1-0.55-Header!$O$3)*Header!$Q$3*$AQ110),"")</f>
      </c>
      <c r="AX110" s="43">
        <f>IF($A110="","",IF(TRIM(IF($A110="","Missing certificate ref. ","") &amp; IF($C110="","Missing effective date. ","") &amp; IF($D110="","Missing binding status. ","") &amp; IF($E110="","Missing movement type. ","") &amp; IF($I110="","Missing make. ","") &amp; IF($L110="","Missing vehicle class. ","") &amp; IF($M110="","Missing agreed value. ","") &amp; IF($N110="","Missing policy type. ","") &amp; IF($Q110="","Missing garaging state. ","") &amp; IF($R110="","Missing garaging ZIP. ","") &amp; IF($S110="","Missing cat zone. ","") &amp; IF($V110="","Missing valuation basis. ","") &amp; IF($W110="","Missing PD deductible. ","") &amp; IF($X110="","Missing liability limit. ","") &amp; IF($AB110="","Missing technical premium. ","") &amp; IF($AF110="","Missing surplus lines tax %. ",""))="","PASS","FAIL: "&amp;TRIM(IF($A110="","Missing certificate ref. ","") &amp; IF($C110="","Missing effective date. ","") &amp; IF($D110="","Missing binding status. ","") &amp; IF($E110="","Missing movement type. ","") &amp; IF($I110="","Missing make. ","") &amp; IF($L110="","Missing vehicle class. ","") &amp; IF($M110="","Missing agreed value. ","") &amp; IF($N110="","Missing policy type. ","") &amp; IF($Q110="","Missing garaging state. ","") &amp; IF($R110="","Missing garaging ZIP. ","") &amp; IF($S110="","Missing cat zone. ","") &amp; IF($V110="","Missing valuation basis. ","") &amp; IF($W110="","Missing PD deductible. ","") &amp; IF($X110="","Missing liability limit. ","") &amp; IF($AB110="","Missing technical premium. ","") &amp; IF($AF110="","Missing surplus lines tax %. ",""))))</f>
      </c>
      <c r="AY110" s="44">
        <f>IF($M110="","",IF(ISNUMBER($M110),IF($M110&gt;=Header!$C$18,"YES — refer","No"),""))</f>
      </c>
      <c r="AZ110" s="44">
        <f>IF($AD110="","",IF(ISNUMBER($AD110),IF($AD110&lt;Header!$C$20,"BELOW MIN PREMIUM","OK"),""))</f>
      </c>
      <c r="BA110" s="48" t="inlineStr">
        <is>
          <t xml:space="preserve">Yes</t>
        </is>
      </c>
      <c r="BB110" s="48" t="inlineStr">
        <is>
          <t xml:space="preserve">Yes</t>
        </is>
      </c>
      <c r="BC110" s="46" t="inlineStr">
        <is>
          <t xml:space="preserve">Synthetic demo data</t>
        </is>
      </c>
      <c r="BE110" s="45">
        <f>IF(OR($A110="",$L110="",$H110=""),"",IF(AND(LEFT($L110,2)="06",$H110&gt;1945),"FAIL - pre-war class, year "&amp;$H110,IF(AND(LEFT($L110,2)="07",OR($H110&lt;1946,$H110&gt;1972)),"FAIL - 1946-72 class, year "&amp;$H110,IF(AND(LEFT($L110,2)="08",OR($H110&lt;1973,$H110&gt;1999)),"FAIL - 1973-99 class, year "&amp;$H110,IF(AND(LEFT($L110,2)="09",OR($H110&lt;2000,$H110&gt;2010)),"FAIL - 2000-10 class, year "&amp;$H110,"OK")))))</f>
      </c>
      <c r="BF110" s="45">
        <f>IF($AD110="","",IF(ROUND($AO110+$AP110+$AQ110-$AD110,2)=0,"OK","FAIL - out by "&amp;TEXT($AO110+$AP110+$AQ110-$AD110,"$0.00")))</f>
      </c>
    </row>
    <row r="111" spans="1:58" ht="18.75" customHeight="1" x14ac:dyDescent="0.25">
      <c r="A111" s="30" t="inlineStr">
        <is>
          <t xml:space="preserve">CANON-202511-002306</t>
        </is>
      </c>
      <c r="B111" s="30" t="inlineStr">
        <is>
          <t xml:space="preserve">Anouk Montoya</t>
        </is>
      </c>
      <c r="C111" s="31">
        <v>45987</v>
      </c>
      <c r="D111" s="32" t="inlineStr">
        <is>
          <t xml:space="preserve">Bound - within authority</t>
        </is>
      </c>
      <c r="E111" s="32" t="inlineStr">
        <is>
          <t xml:space="preserve">New business</t>
        </is>
      </c>
      <c r="F111" s="30" t="inlineStr">
        <is>
          <t xml:space="preserve">B1234EXOTIC26</t>
        </is>
      </c>
      <c r="G111" s="33">
        <f>IF($A111="","",IF($C111="","",YEAR($C111)))</f>
      </c>
      <c r="H111" s="34">
        <v>2008</v>
      </c>
      <c r="I111" s="30" t="inlineStr">
        <is>
          <t xml:space="preserve">Jaguar</t>
        </is>
      </c>
      <c r="J111" s="30" t="inlineStr">
        <is>
          <t xml:space="preserve">E-Type Series 1</t>
        </is>
      </c>
      <c r="K111" s="30" t="inlineStr">
        <is>
          <t xml:space="preserve">GGEZ5520HTNAL2KJ0</t>
        </is>
      </c>
      <c r="L111" s="32" t="inlineStr">
        <is>
          <t xml:space="preserve">09 - Youngtimer / Collectible (2000-2010)</t>
        </is>
      </c>
      <c r="M111" s="35">
        <v>885000</v>
      </c>
      <c r="N111" s="32" t="inlineStr">
        <is>
          <t xml:space="preserve">Personal</t>
        </is>
      </c>
      <c r="O111" s="30" t="inlineStr">
        <is>
          <t xml:space="preserve">Personal - regular use</t>
        </is>
      </c>
      <c r="P111" s="30" t="inlineStr">
        <is>
          <t xml:space="preserve">2,500 - 5,000</t>
        </is>
      </c>
      <c r="Q111" s="30" t="inlineStr">
        <is>
          <t xml:space="preserve">Pennsylvania</t>
        </is>
      </c>
      <c r="R111" s="30" t="inlineStr">
        <is>
          <t xml:space="preserve">19103</t>
        </is>
      </c>
      <c r="S111" s="32" t="inlineStr">
        <is>
          <t xml:space="preserve">Low hazard - inland benign</t>
        </is>
      </c>
      <c r="T111" s="36">
        <f>IF($A111="","",IF($S111="","",IFERROR(INDEX('[1]natural catastrophe'!$D$6:$D$17,MATCH($S111,'[1]natural catastrophe'!$B$6:$B$17,0)),"?")))</f>
      </c>
      <c r="U111" s="30" t="inlineStr">
        <is>
          <t xml:space="preserve">$5,000</t>
        </is>
      </c>
      <c r="V111" s="32" t="inlineStr">
        <is>
          <t xml:space="preserve">Agreed Value</t>
        </is>
      </c>
      <c r="W111" s="30" t="inlineStr">
        <is>
          <t xml:space="preserve">$1,000</t>
        </is>
      </c>
      <c r="X111" s="32" t="inlineStr">
        <is>
          <t xml:space="preserve">$1,000,000 CSL</t>
        </is>
      </c>
      <c r="Y111" s="30"/>
      <c r="Z111" s="30"/>
      <c r="AA111" s="32" t="inlineStr">
        <is>
          <t xml:space="preserve">Surplus Lines</t>
        </is>
      </c>
      <c r="AB111" s="35">
        <v>6601.47</v>
      </c>
      <c r="AC111" s="37">
        <v>0</v>
      </c>
      <c r="AD111" s="38">
        <f>IF(ISNUMBER($AB111),$AB111*(1+N($AC111)),"")</f>
      </c>
      <c r="AE111" s="35">
        <v>350</v>
      </c>
      <c r="AF111" s="35">
        <v>0</v>
      </c>
      <c r="AG111" s="37"/>
      <c r="AH111" s="39">
        <f>IF(ISNUMBER($AD111),($AD111+$AE111+$AF111)*$AG111,"")</f>
      </c>
      <c r="AI111" s="35"/>
      <c r="AJ111" s="38">
        <f>IF(ISNUMBER($AD111),SUM($AD111:$AH111),"")</f>
      </c>
      <c r="AK111" s="40">
        <f>IF(AND(ISNUMBER($AB111),ISNUMBER($AD111)),IF($AB111&gt;0,$AD111/$AB111,""),"")</f>
      </c>
      <c r="AL111" s="32" t="inlineStr">
        <is>
          <t xml:space="preserve">At technical</t>
        </is>
      </c>
      <c r="AM111" s="41">
        <f>IF(ISNUMBER($AD111),Header!$I$3,"")</f>
      </c>
      <c r="AN111" s="39">
        <f>IF(ISNUMBER($AD111),$AO111+$AP111,"")</f>
      </c>
      <c r="AO111" s="39">
        <f>IF(ISNUMBER($AD111),ROUND($AD111*Header!$K$3,2),"")</f>
      </c>
      <c r="AP111" s="39">
        <f>IF(ISNUMBER($AD111),ROUND($AD111*Header!$M$3,2),"")</f>
      </c>
      <c r="AQ111" s="38">
        <f>IF(ISNUMBER($AD111),ROUND($AD111,2)-$AO111-$AP111,"")</f>
      </c>
      <c r="AR111" s="39">
        <f>IF(ISNUMBER($AD111),IF(Header!$D$34="","?",$AD111*Header!$D$34),"")</f>
      </c>
      <c r="AS111" s="39">
        <f>IF(ISNUMBER($AB111),IF(Header!$D$34="","?",$AB111*Header!$D$34),"")</f>
      </c>
      <c r="AT111" s="42">
        <f>IF(AND(ISNUMBER($AB111),$M111&gt;0),$AB111/$M111*100,"")</f>
      </c>
      <c r="AU111" s="42">
        <f>IF(AND(ISNUMBER($AD111),$M111&gt;0),$AD111/$M111*100,"")</f>
      </c>
      <c r="AV111" s="40">
        <f>IF(AND(ISNUMBER($AB111),ISNUMBER($AD111),ABS($AB111)&gt;0),$AD111/$AB111,"")</f>
      </c>
      <c r="AW111" s="39">
        <f>IF(ISNUMBER($AD111),MAX(0,(1-0.55-Header!$O$3)*Header!$Q$3*$AQ111),"")</f>
      </c>
      <c r="AX111" s="43">
        <f>IF($A111="","",IF(TRIM(IF($A111="","Missing certificate ref. ","") &amp; IF($C111="","Missing effective date. ","") &amp; IF($D111="","Missing binding status. ","") &amp; IF($E111="","Missing movement type. ","") &amp; IF($I111="","Missing make. ","") &amp; IF($L111="","Missing vehicle class. ","") &amp; IF($M111="","Missing agreed value. ","") &amp; IF($N111="","Missing policy type. ","") &amp; IF($Q111="","Missing garaging state. ","") &amp; IF($R111="","Missing garaging ZIP. ","") &amp; IF($S111="","Missing cat zone. ","") &amp; IF($V111="","Missing valuation basis. ","") &amp; IF($W111="","Missing PD deductible. ","") &amp; IF($X111="","Missing liability limit. ","") &amp; IF($AB111="","Missing technical premium. ","") &amp; IF($AF111="","Missing surplus lines tax %. ",""))="","PASS","FAIL: "&amp;TRIM(IF($A111="","Missing certificate ref. ","") &amp; IF($C111="","Missing effective date. ","") &amp; IF($D111="","Missing binding status. ","") &amp; IF($E111="","Missing movement type. ","") &amp; IF($I111="","Missing make. ","") &amp; IF($L111="","Missing vehicle class. ","") &amp; IF($M111="","Missing agreed value. ","") &amp; IF($N111="","Missing policy type. ","") &amp; IF($Q111="","Missing garaging state. ","") &amp; IF($R111="","Missing garaging ZIP. ","") &amp; IF($S111="","Missing cat zone. ","") &amp; IF($V111="","Missing valuation basis. ","") &amp; IF($W111="","Missing PD deductible. ","") &amp; IF($X111="","Missing liability limit. ","") &amp; IF($AB111="","Missing technical premium. ","") &amp; IF($AF111="","Missing surplus lines tax %. ",""))))</f>
      </c>
      <c r="AY111" s="44">
        <f>IF($M111="","",IF(ISNUMBER($M111),IF($M111&gt;=Header!$C$18,"YES — refer","No"),""))</f>
      </c>
      <c r="AZ111" s="44">
        <f>IF($AD111="","",IF(ISNUMBER($AD111),IF($AD111&lt;Header!$C$20,"BELOW MIN PREMIUM","OK"),""))</f>
      </c>
      <c r="BA111" s="32" t="inlineStr">
        <is>
          <t xml:space="preserve">Yes</t>
        </is>
      </c>
      <c r="BB111" s="32" t="inlineStr">
        <is>
          <t xml:space="preserve">Yes</t>
        </is>
      </c>
      <c r="BC111" s="30" t="inlineStr">
        <is>
          <t xml:space="preserve">Synthetic demo data</t>
        </is>
      </c>
      <c r="BE111" s="45">
        <f>IF(OR($A111="",$L111="",$H111=""),"",IF(AND(LEFT($L111,2)="06",$H111&gt;1945),"FAIL - pre-war class, year "&amp;$H111,IF(AND(LEFT($L111,2)="07",OR($H111&lt;1946,$H111&gt;1972)),"FAIL - 1946-72 class, year "&amp;$H111,IF(AND(LEFT($L111,2)="08",OR($H111&lt;1973,$H111&gt;1999)),"FAIL - 1973-99 class, year "&amp;$H111,IF(AND(LEFT($L111,2)="09",OR($H111&lt;2000,$H111&gt;2010)),"FAIL - 2000-10 class, year "&amp;$H111,"OK")))))</f>
      </c>
      <c r="BF111" s="45">
        <f>IF($AD111="","",IF(ROUND($AO111+$AP111+$AQ111-$AD111,2)=0,"OK","FAIL - out by "&amp;TEXT($AO111+$AP111+$AQ111-$AD111,"$0.00")))</f>
      </c>
    </row>
    <row r="112" spans="1:58" ht="18.75" customHeight="1" x14ac:dyDescent="0.25">
      <c r="A112" s="46" t="inlineStr">
        <is>
          <t xml:space="preserve">CANON-202511-002307</t>
        </is>
      </c>
      <c r="B112" s="46" t="inlineStr">
        <is>
          <t xml:space="preserve">Aurelio Vandermeer</t>
        </is>
      </c>
      <c r="C112" s="47">
        <v>45964</v>
      </c>
      <c r="D112" s="48" t="inlineStr">
        <is>
          <t xml:space="preserve">Bound - within authority</t>
        </is>
      </c>
      <c r="E112" s="48" t="inlineStr">
        <is>
          <t xml:space="preserve">New business</t>
        </is>
      </c>
      <c r="F112" s="46" t="inlineStr">
        <is>
          <t xml:space="preserve">B1234EXOTIC26</t>
        </is>
      </c>
      <c r="G112" s="33">
        <f>IF($A112="","",IF($C112="","",YEAR($C112)))</f>
      </c>
      <c r="H112" s="49">
        <v>2019</v>
      </c>
      <c r="I112" s="46" t="inlineStr">
        <is>
          <t xml:space="preserve">BMW</t>
        </is>
      </c>
      <c r="J112" s="46" t="inlineStr">
        <is>
          <t xml:space="preserve">M8 Competition</t>
        </is>
      </c>
      <c r="K112" s="46" t="inlineStr">
        <is>
          <t xml:space="preserve">TLP6VYHXGV0A3HCZ0</t>
        </is>
      </c>
      <c r="L112" s="48" t="inlineStr">
        <is>
          <t xml:space="preserve">02 - Sports / GT</t>
        </is>
      </c>
      <c r="M112" s="50">
        <v>1195000</v>
      </c>
      <c r="N112" s="48" t="inlineStr">
        <is>
          <t xml:space="preserve">Personal</t>
        </is>
      </c>
      <c r="O112" s="46" t="inlineStr">
        <is>
          <t xml:space="preserve">Personal - regular use</t>
        </is>
      </c>
      <c r="P112" s="46" t="inlineStr">
        <is>
          <t xml:space="preserve">1,000 - 2,500</t>
        </is>
      </c>
      <c r="Q112" s="46" t="inlineStr">
        <is>
          <t xml:space="preserve">South Dakota</t>
        </is>
      </c>
      <c r="R112" s="46" t="inlineStr">
        <is>
          <t xml:space="preserve">57501</t>
        </is>
      </c>
      <c r="S112" s="48" t="inlineStr">
        <is>
          <t xml:space="preserve">Severe convective - hail alley (high)</t>
        </is>
      </c>
      <c r="T112" s="36">
        <f>IF($A112="","",IF($S112="","",IFERROR(INDEX('[1]natural catastrophe'!$D$6:$D$17,MATCH($S112,'[1]natural catastrophe'!$B$6:$B$17,0)),"?")))</f>
      </c>
      <c r="U112" s="46" t="inlineStr">
        <is>
          <t xml:space="preserve">$5,000</t>
        </is>
      </c>
      <c r="V112" s="48" t="inlineStr">
        <is>
          <t xml:space="preserve">Agreed Value</t>
        </is>
      </c>
      <c r="W112" s="46" t="inlineStr">
        <is>
          <t xml:space="preserve">$1,000</t>
        </is>
      </c>
      <c r="X112" s="48" t="inlineStr">
        <is>
          <t xml:space="preserve">$1,000,000 CSL</t>
        </is>
      </c>
      <c r="Y112" s="46"/>
      <c r="Z112" s="46"/>
      <c r="AA112" s="48" t="inlineStr">
        <is>
          <t xml:space="preserve">Surplus Lines</t>
        </is>
      </c>
      <c r="AB112" s="50">
        <v>12655.59</v>
      </c>
      <c r="AC112" s="51">
        <v>0</v>
      </c>
      <c r="AD112" s="38">
        <f>IF(ISNUMBER($AB112),$AB112*(1+N($AC112)),"")</f>
      </c>
      <c r="AE112" s="50">
        <v>350</v>
      </c>
      <c r="AF112" s="50">
        <v>250</v>
      </c>
      <c r="AG112" s="51"/>
      <c r="AH112" s="39">
        <f>IF(ISNUMBER($AD112),($AD112+$AE112+$AF112)*$AG112,"")</f>
      </c>
      <c r="AI112" s="50"/>
      <c r="AJ112" s="38">
        <f>IF(ISNUMBER($AD112),SUM($AD112:$AH112),"")</f>
      </c>
      <c r="AK112" s="40">
        <f>IF(AND(ISNUMBER($AB112),ISNUMBER($AD112)),IF($AB112&gt;0,$AD112/$AB112,""),"")</f>
      </c>
      <c r="AL112" s="48" t="inlineStr">
        <is>
          <t xml:space="preserve">At technical</t>
        </is>
      </c>
      <c r="AM112" s="41">
        <f>IF(ISNUMBER($AD112),Header!$I$3,"")</f>
      </c>
      <c r="AN112" s="39">
        <f>IF(ISNUMBER($AD112),$AO112+$AP112,"")</f>
      </c>
      <c r="AO112" s="39">
        <f>IF(ISNUMBER($AD112),ROUND($AD112*Header!$K$3,2),"")</f>
      </c>
      <c r="AP112" s="39">
        <f>IF(ISNUMBER($AD112),ROUND($AD112*Header!$M$3,2),"")</f>
      </c>
      <c r="AQ112" s="38">
        <f>IF(ISNUMBER($AD112),ROUND($AD112,2)-$AO112-$AP112,"")</f>
      </c>
      <c r="AR112" s="39">
        <f>IF(ISNUMBER($AD112),IF(Header!$D$34="","?",$AD112*Header!$D$34),"")</f>
      </c>
      <c r="AS112" s="39">
        <f>IF(ISNUMBER($AB112),IF(Header!$D$34="","?",$AB112*Header!$D$34),"")</f>
      </c>
      <c r="AT112" s="42">
        <f>IF(AND(ISNUMBER($AB112),$M112&gt;0),$AB112/$M112*100,"")</f>
      </c>
      <c r="AU112" s="42">
        <f>IF(AND(ISNUMBER($AD112),$M112&gt;0),$AD112/$M112*100,"")</f>
      </c>
      <c r="AV112" s="40">
        <f>IF(AND(ISNUMBER($AB112),ISNUMBER($AD112),ABS($AB112)&gt;0),$AD112/$AB112,"")</f>
      </c>
      <c r="AW112" s="39">
        <f>IF(ISNUMBER($AD112),MAX(0,(1-0.55-Header!$O$3)*Header!$Q$3*$AQ112),"")</f>
      </c>
      <c r="AX112" s="43">
        <f>IF($A112="","",IF(TRIM(IF($A112="","Missing certificate ref. ","") &amp; IF($C112="","Missing effective date. ","") &amp; IF($D112="","Missing binding status. ","") &amp; IF($E112="","Missing movement type. ","") &amp; IF($I112="","Missing make. ","") &amp; IF($L112="","Missing vehicle class. ","") &amp; IF($M112="","Missing agreed value. ","") &amp; IF($N112="","Missing policy type. ","") &amp; IF($Q112="","Missing garaging state. ","") &amp; IF($R112="","Missing garaging ZIP. ","") &amp; IF($S112="","Missing cat zone. ","") &amp; IF($V112="","Missing valuation basis. ","") &amp; IF($W112="","Missing PD deductible. ","") &amp; IF($X112="","Missing liability limit. ","") &amp; IF($AB112="","Missing technical premium. ","") &amp; IF($AF112="","Missing surplus lines tax %. ",""))="","PASS","FAIL: "&amp;TRIM(IF($A112="","Missing certificate ref. ","") &amp; IF($C112="","Missing effective date. ","") &amp; IF($D112="","Missing binding status. ","") &amp; IF($E112="","Missing movement type. ","") &amp; IF($I112="","Missing make. ","") &amp; IF($L112="","Missing vehicle class. ","") &amp; IF($M112="","Missing agreed value. ","") &amp; IF($N112="","Missing policy type. ","") &amp; IF($Q112="","Missing garaging state. ","") &amp; IF($R112="","Missing garaging ZIP. ","") &amp; IF($S112="","Missing cat zone. ","") &amp; IF($V112="","Missing valuation basis. ","") &amp; IF($W112="","Missing PD deductible. ","") &amp; IF($X112="","Missing liability limit. ","") &amp; IF($AB112="","Missing technical premium. ","") &amp; IF($AF112="","Missing surplus lines tax %. ",""))))</f>
      </c>
      <c r="AY112" s="44">
        <f>IF($M112="","",IF(ISNUMBER($M112),IF($M112&gt;=Header!$C$18,"YES — refer","No"),""))</f>
      </c>
      <c r="AZ112" s="44">
        <f>IF($AD112="","",IF(ISNUMBER($AD112),IF($AD112&lt;Header!$C$20,"BELOW MIN PREMIUM","OK"),""))</f>
      </c>
      <c r="BA112" s="48" t="inlineStr">
        <is>
          <t xml:space="preserve">Yes</t>
        </is>
      </c>
      <c r="BB112" s="48" t="inlineStr">
        <is>
          <t xml:space="preserve">Yes</t>
        </is>
      </c>
      <c r="BC112" s="46" t="inlineStr">
        <is>
          <t xml:space="preserve">Synthetic demo data</t>
        </is>
      </c>
      <c r="BE112" s="45">
        <f>IF(OR($A112="",$L112="",$H112=""),"",IF(AND(LEFT($L112,2)="06",$H112&gt;1945),"FAIL - pre-war class, year "&amp;$H112,IF(AND(LEFT($L112,2)="07",OR($H112&lt;1946,$H112&gt;1972)),"FAIL - 1946-72 class, year "&amp;$H112,IF(AND(LEFT($L112,2)="08",OR($H112&lt;1973,$H112&gt;1999)),"FAIL - 1973-99 class, year "&amp;$H112,IF(AND(LEFT($L112,2)="09",OR($H112&lt;2000,$H112&gt;2010)),"FAIL - 2000-10 class, year "&amp;$H112,"OK")))))</f>
      </c>
      <c r="BF112" s="45">
        <f>IF($AD112="","",IF(ROUND($AO112+$AP112+$AQ112-$AD112,2)=0,"OK","FAIL - out by "&amp;TEXT($AO112+$AP112+$AQ112-$AD112,"$0.00")))</f>
      </c>
    </row>
    <row r="113" spans="1:58" ht="18.75" customHeight="1" x14ac:dyDescent="0.25">
      <c r="A113" s="30" t="inlineStr">
        <is>
          <t xml:space="preserve">CANON-202511-002308</t>
        </is>
      </c>
      <c r="B113" s="30" t="inlineStr">
        <is>
          <t xml:space="preserve">Lorenzo Bellandi</t>
        </is>
      </c>
      <c r="C113" s="31">
        <v>45972</v>
      </c>
      <c r="D113" s="32" t="inlineStr">
        <is>
          <t xml:space="preserve">Bound - within authority</t>
        </is>
      </c>
      <c r="E113" s="32" t="inlineStr">
        <is>
          <t xml:space="preserve">New business</t>
        </is>
      </c>
      <c r="F113" s="30" t="inlineStr">
        <is>
          <t xml:space="preserve">B1234EXOTIC26</t>
        </is>
      </c>
      <c r="G113" s="33">
        <f>IF($A113="","",IF($C113="","",YEAR($C113)))</f>
      </c>
      <c r="H113" s="34">
        <v>1992</v>
      </c>
      <c r="I113" s="30" t="inlineStr">
        <is>
          <t xml:space="preserve">McLaren</t>
        </is>
      </c>
      <c r="J113" s="30" t="inlineStr">
        <is>
          <t xml:space="preserve">750S</t>
        </is>
      </c>
      <c r="K113" s="30" t="inlineStr">
        <is>
          <t xml:space="preserve">CNB4SUZV0V77L60F5</t>
        </is>
      </c>
      <c r="L113" s="32" t="inlineStr">
        <is>
          <t xml:space="preserve">03 - Supercar</t>
        </is>
      </c>
      <c r="M113" s="35">
        <v>1025000</v>
      </c>
      <c r="N113" s="32" t="inlineStr">
        <is>
          <t xml:space="preserve">Personal</t>
        </is>
      </c>
      <c r="O113" s="30" t="inlineStr">
        <is>
          <t xml:space="preserve">Personal - regular use</t>
        </is>
      </c>
      <c r="P113" s="30" t="inlineStr">
        <is>
          <t xml:space="preserve">Under 1,000</t>
        </is>
      </c>
      <c r="Q113" s="30" t="inlineStr">
        <is>
          <t xml:space="preserve">Illinois</t>
        </is>
      </c>
      <c r="R113" s="30" t="inlineStr">
        <is>
          <t xml:space="preserve">60601</t>
        </is>
      </c>
      <c r="S113" s="32" t="inlineStr">
        <is>
          <t xml:space="preserve">Severe convective - hail / tornado (moderate)</t>
        </is>
      </c>
      <c r="T113" s="36">
        <f>IF($A113="","",IF($S113="","",IFERROR(INDEX('[1]natural catastrophe'!$D$6:$D$17,MATCH($S113,'[1]natural catastrophe'!$B$6:$B$17,0)),"?")))</f>
      </c>
      <c r="U113" s="30" t="inlineStr">
        <is>
          <t xml:space="preserve">$5,000</t>
        </is>
      </c>
      <c r="V113" s="32" t="inlineStr">
        <is>
          <t xml:space="preserve">Agreed Value</t>
        </is>
      </c>
      <c r="W113" s="30" t="inlineStr">
        <is>
          <t xml:space="preserve">$1,000</t>
        </is>
      </c>
      <c r="X113" s="32" t="inlineStr">
        <is>
          <t xml:space="preserve">$1,000,000 CSL</t>
        </is>
      </c>
      <c r="Y113" s="30"/>
      <c r="Z113" s="30"/>
      <c r="AA113" s="32" t="inlineStr">
        <is>
          <t xml:space="preserve">Surplus Lines</t>
        </is>
      </c>
      <c r="AB113" s="35">
        <v>19345.56</v>
      </c>
      <c r="AC113" s="37">
        <v>0</v>
      </c>
      <c r="AD113" s="38">
        <f>IF(ISNUMBER($AB113),$AB113*(1+N($AC113)),"")</f>
      </c>
      <c r="AE113" s="35">
        <v>350</v>
      </c>
      <c r="AF113" s="35">
        <v>250</v>
      </c>
      <c r="AG113" s="37"/>
      <c r="AH113" s="39">
        <f>IF(ISNUMBER($AD113),($AD113+$AE113+$AF113)*$AG113,"")</f>
      </c>
      <c r="AI113" s="35"/>
      <c r="AJ113" s="38">
        <f>IF(ISNUMBER($AD113),SUM($AD113:$AH113),"")</f>
      </c>
      <c r="AK113" s="40">
        <f>IF(AND(ISNUMBER($AB113),ISNUMBER($AD113)),IF($AB113&gt;0,$AD113/$AB113,""),"")</f>
      </c>
      <c r="AL113" s="32" t="inlineStr">
        <is>
          <t xml:space="preserve">At technical</t>
        </is>
      </c>
      <c r="AM113" s="41">
        <f>IF(ISNUMBER($AD113),Header!$I$3,"")</f>
      </c>
      <c r="AN113" s="39">
        <f>IF(ISNUMBER($AD113),$AO113+$AP113,"")</f>
      </c>
      <c r="AO113" s="39">
        <f>IF(ISNUMBER($AD113),ROUND($AD113*Header!$K$3,2),"")</f>
      </c>
      <c r="AP113" s="39">
        <f>IF(ISNUMBER($AD113),ROUND($AD113*Header!$M$3,2),"")</f>
      </c>
      <c r="AQ113" s="38">
        <f>IF(ISNUMBER($AD113),ROUND($AD113,2)-$AO113-$AP113,"")</f>
      </c>
      <c r="AR113" s="39">
        <f>IF(ISNUMBER($AD113),IF(Header!$D$34="","?",$AD113*Header!$D$34),"")</f>
      </c>
      <c r="AS113" s="39">
        <f>IF(ISNUMBER($AB113),IF(Header!$D$34="","?",$AB113*Header!$D$34),"")</f>
      </c>
      <c r="AT113" s="42">
        <f>IF(AND(ISNUMBER($AB113),$M113&gt;0),$AB113/$M113*100,"")</f>
      </c>
      <c r="AU113" s="42">
        <f>IF(AND(ISNUMBER($AD113),$M113&gt;0),$AD113/$M113*100,"")</f>
      </c>
      <c r="AV113" s="40">
        <f>IF(AND(ISNUMBER($AB113),ISNUMBER($AD113),ABS($AB113)&gt;0),$AD113/$AB113,"")</f>
      </c>
      <c r="AW113" s="39">
        <f>IF(ISNUMBER($AD113),MAX(0,(1-0.55-Header!$O$3)*Header!$Q$3*$AQ113),"")</f>
      </c>
      <c r="AX113" s="43">
        <f>IF($A113="","",IF(TRIM(IF($A113="","Missing certificate ref. ","") &amp; IF($C113="","Missing effective date. ","") &amp; IF($D113="","Missing binding status. ","") &amp; IF($E113="","Missing movement type. ","") &amp; IF($I113="","Missing make. ","") &amp; IF($L113="","Missing vehicle class. ","") &amp; IF($M113="","Missing agreed value. ","") &amp; IF($N113="","Missing policy type. ","") &amp; IF($Q113="","Missing garaging state. ","") &amp; IF($R113="","Missing garaging ZIP. ","") &amp; IF($S113="","Missing cat zone. ","") &amp; IF($V113="","Missing valuation basis. ","") &amp; IF($W113="","Missing PD deductible. ","") &amp; IF($X113="","Missing liability limit. ","") &amp; IF($AB113="","Missing technical premium. ","") &amp; IF($AF113="","Missing surplus lines tax %. ",""))="","PASS","FAIL: "&amp;TRIM(IF($A113="","Missing certificate ref. ","") &amp; IF($C113="","Missing effective date. ","") &amp; IF($D113="","Missing binding status. ","") &amp; IF($E113="","Missing movement type. ","") &amp; IF($I113="","Missing make. ","") &amp; IF($L113="","Missing vehicle class. ","") &amp; IF($M113="","Missing agreed value. ","") &amp; IF($N113="","Missing policy type. ","") &amp; IF($Q113="","Missing garaging state. ","") &amp; IF($R113="","Missing garaging ZIP. ","") &amp; IF($S113="","Missing cat zone. ","") &amp; IF($V113="","Missing valuation basis. ","") &amp; IF($W113="","Missing PD deductible. ","") &amp; IF($X113="","Missing liability limit. ","") &amp; IF($AB113="","Missing technical premium. ","") &amp; IF($AF113="","Missing surplus lines tax %. ",""))))</f>
      </c>
      <c r="AY113" s="44">
        <f>IF($M113="","",IF(ISNUMBER($M113),IF($M113&gt;=Header!$C$18,"YES — refer","No"),""))</f>
      </c>
      <c r="AZ113" s="44">
        <f>IF($AD113="","",IF(ISNUMBER($AD113),IF($AD113&lt;Header!$C$20,"BELOW MIN PREMIUM","OK"),""))</f>
      </c>
      <c r="BA113" s="32" t="inlineStr">
        <is>
          <t xml:space="preserve">Yes</t>
        </is>
      </c>
      <c r="BB113" s="32" t="inlineStr">
        <is>
          <t xml:space="preserve">Yes</t>
        </is>
      </c>
      <c r="BC113" s="30" t="inlineStr">
        <is>
          <t xml:space="preserve">Synthetic demo data</t>
        </is>
      </c>
      <c r="BE113" s="45">
        <f>IF(OR($A113="",$L113="",$H113=""),"",IF(AND(LEFT($L113,2)="06",$H113&gt;1945),"FAIL - pre-war class, year "&amp;$H113,IF(AND(LEFT($L113,2)="07",OR($H113&lt;1946,$H113&gt;1972)),"FAIL - 1946-72 class, year "&amp;$H113,IF(AND(LEFT($L113,2)="08",OR($H113&lt;1973,$H113&gt;1999)),"FAIL - 1973-99 class, year "&amp;$H113,IF(AND(LEFT($L113,2)="09",OR($H113&lt;2000,$H113&gt;2010)),"FAIL - 2000-10 class, year "&amp;$H113,"OK")))))</f>
      </c>
      <c r="BF113" s="45">
        <f>IF($AD113="","",IF(ROUND($AO113+$AP113+$AQ113-$AD113,2)=0,"OK","FAIL - out by "&amp;TEXT($AO113+$AP113+$AQ113-$AD113,"$0.00")))</f>
      </c>
    </row>
    <row r="114" spans="1:58" ht="18.75" customHeight="1" x14ac:dyDescent="0.25">
      <c r="A114" s="46" t="inlineStr">
        <is>
          <t xml:space="preserve">CANON-202511-002309</t>
        </is>
      </c>
      <c r="B114" s="46" t="inlineStr">
        <is>
          <t xml:space="preserve">Everett Rourke</t>
        </is>
      </c>
      <c r="C114" s="47">
        <v>45964</v>
      </c>
      <c r="D114" s="48" t="inlineStr">
        <is>
          <t xml:space="preserve">Bound - within authority</t>
        </is>
      </c>
      <c r="E114" s="48" t="inlineStr">
        <is>
          <t xml:space="preserve">New business</t>
        </is>
      </c>
      <c r="F114" s="46" t="inlineStr">
        <is>
          <t xml:space="preserve">B1234EXOTIC26</t>
        </is>
      </c>
      <c r="G114" s="33">
        <f>IF($A114="","",IF($C114="","",YEAR($C114)))</f>
      </c>
      <c r="H114" s="49">
        <v>1973</v>
      </c>
      <c r="I114" s="46" t="inlineStr">
        <is>
          <t xml:space="preserve">BMW</t>
        </is>
      </c>
      <c r="J114" s="46" t="inlineStr">
        <is>
          <t xml:space="preserve">M8 Competition</t>
        </is>
      </c>
      <c r="K114" s="46" t="inlineStr">
        <is>
          <t xml:space="preserve">VZV5Z9R1BXLSKRW5D</t>
        </is>
      </c>
      <c r="L114" s="48" t="inlineStr">
        <is>
          <t xml:space="preserve">02 - Sports / GT</t>
        </is>
      </c>
      <c r="M114" s="50">
        <v>350000</v>
      </c>
      <c r="N114" s="48" t="inlineStr">
        <is>
          <t xml:space="preserve">Personal</t>
        </is>
      </c>
      <c r="O114" s="46" t="inlineStr">
        <is>
          <t xml:space="preserve">Personal - regular use</t>
        </is>
      </c>
      <c r="P114" s="46" t="inlineStr">
        <is>
          <t xml:space="preserve">1,000 - 2,500</t>
        </is>
      </c>
      <c r="Q114" s="46" t="inlineStr">
        <is>
          <t xml:space="preserve">West Virginia</t>
        </is>
      </c>
      <c r="R114" s="46" t="inlineStr">
        <is>
          <t xml:space="preserve">25301</t>
        </is>
      </c>
      <c r="S114" s="48" t="inlineStr">
        <is>
          <t xml:space="preserve">Low hazard - inland benign</t>
        </is>
      </c>
      <c r="T114" s="36">
        <f>IF($A114="","",IF($S114="","",IFERROR(INDEX('[1]natural catastrophe'!$D$6:$D$17,MATCH($S114,'[1]natural catastrophe'!$B$6:$B$17,0)),"?")))</f>
      </c>
      <c r="U114" s="46" t="inlineStr">
        <is>
          <t xml:space="preserve">$5,000</t>
        </is>
      </c>
      <c r="V114" s="48" t="inlineStr">
        <is>
          <t xml:space="preserve">Agreed Value</t>
        </is>
      </c>
      <c r="W114" s="46" t="inlineStr">
        <is>
          <t xml:space="preserve">$1,000</t>
        </is>
      </c>
      <c r="X114" s="48" t="inlineStr">
        <is>
          <t xml:space="preserve">$1,000,000 CSL</t>
        </is>
      </c>
      <c r="Y114" s="46"/>
      <c r="Z114" s="46"/>
      <c r="AA114" s="48" t="inlineStr">
        <is>
          <t xml:space="preserve">Surplus Lines</t>
        </is>
      </c>
      <c r="AB114" s="50">
        <v>6056.33</v>
      </c>
      <c r="AC114" s="51">
        <v>0</v>
      </c>
      <c r="AD114" s="38">
        <f>IF(ISNUMBER($AB114),$AB114*(1+N($AC114)),"")</f>
      </c>
      <c r="AE114" s="50">
        <v>350</v>
      </c>
      <c r="AF114" s="50">
        <v>0</v>
      </c>
      <c r="AG114" s="51"/>
      <c r="AH114" s="39">
        <f>IF(ISNUMBER($AD114),($AD114+$AE114+$AF114)*$AG114,"")</f>
      </c>
      <c r="AI114" s="50"/>
      <c r="AJ114" s="38">
        <f>IF(ISNUMBER($AD114),SUM($AD114:$AH114),"")</f>
      </c>
      <c r="AK114" s="40">
        <f>IF(AND(ISNUMBER($AB114),ISNUMBER($AD114)),IF($AB114&gt;0,$AD114/$AB114,""),"")</f>
      </c>
      <c r="AL114" s="48" t="inlineStr">
        <is>
          <t xml:space="preserve">At technical</t>
        </is>
      </c>
      <c r="AM114" s="41">
        <f>IF(ISNUMBER($AD114),Header!$I$3,"")</f>
      </c>
      <c r="AN114" s="39">
        <f>IF(ISNUMBER($AD114),$AO114+$AP114,"")</f>
      </c>
      <c r="AO114" s="39">
        <f>IF(ISNUMBER($AD114),ROUND($AD114*Header!$K$3,2),"")</f>
      </c>
      <c r="AP114" s="39">
        <f>IF(ISNUMBER($AD114),ROUND($AD114*Header!$M$3,2),"")</f>
      </c>
      <c r="AQ114" s="38">
        <f>IF(ISNUMBER($AD114),ROUND($AD114,2)-$AO114-$AP114,"")</f>
      </c>
      <c r="AR114" s="39">
        <f>IF(ISNUMBER($AD114),IF(Header!$D$34="","?",$AD114*Header!$D$34),"")</f>
      </c>
      <c r="AS114" s="39">
        <f>IF(ISNUMBER($AB114),IF(Header!$D$34="","?",$AB114*Header!$D$34),"")</f>
      </c>
      <c r="AT114" s="42">
        <f>IF(AND(ISNUMBER($AB114),$M114&gt;0),$AB114/$M114*100,"")</f>
      </c>
      <c r="AU114" s="42">
        <f>IF(AND(ISNUMBER($AD114),$M114&gt;0),$AD114/$M114*100,"")</f>
      </c>
      <c r="AV114" s="40">
        <f>IF(AND(ISNUMBER($AB114),ISNUMBER($AD114),ABS($AB114)&gt;0),$AD114/$AB114,"")</f>
      </c>
      <c r="AW114" s="39">
        <f>IF(ISNUMBER($AD114),MAX(0,(1-0.55-Header!$O$3)*Header!$Q$3*$AQ114),"")</f>
      </c>
      <c r="AX114" s="43">
        <f>IF($A114="","",IF(TRIM(IF($A114="","Missing certificate ref. ","") &amp; IF($C114="","Missing effective date. ","") &amp; IF($D114="","Missing binding status. ","") &amp; IF($E114="","Missing movement type. ","") &amp; IF($I114="","Missing make. ","") &amp; IF($L114="","Missing vehicle class. ","") &amp; IF($M114="","Missing agreed value. ","") &amp; IF($N114="","Missing policy type. ","") &amp; IF($Q114="","Missing garaging state. ","") &amp; IF($R114="","Missing garaging ZIP. ","") &amp; IF($S114="","Missing cat zone. ","") &amp; IF($V114="","Missing valuation basis. ","") &amp; IF($W114="","Missing PD deductible. ","") &amp; IF($X114="","Missing liability limit. ","") &amp; IF($AB114="","Missing technical premium. ","") &amp; IF($AF114="","Missing surplus lines tax %. ",""))="","PASS","FAIL: "&amp;TRIM(IF($A114="","Missing certificate ref. ","") &amp; IF($C114="","Missing effective date. ","") &amp; IF($D114="","Missing binding status. ","") &amp; IF($E114="","Missing movement type. ","") &amp; IF($I114="","Missing make. ","") &amp; IF($L114="","Missing vehicle class. ","") &amp; IF($M114="","Missing agreed value. ","") &amp; IF($N114="","Missing policy type. ","") &amp; IF($Q114="","Missing garaging state. ","") &amp; IF($R114="","Missing garaging ZIP. ","") &amp; IF($S114="","Missing cat zone. ","") &amp; IF($V114="","Missing valuation basis. ","") &amp; IF($W114="","Missing PD deductible. ","") &amp; IF($X114="","Missing liability limit. ","") &amp; IF($AB114="","Missing technical premium. ","") &amp; IF($AF114="","Missing surplus lines tax %. ",""))))</f>
      </c>
      <c r="AY114" s="44">
        <f>IF($M114="","",IF(ISNUMBER($M114),IF($M114&gt;=Header!$C$18,"YES — refer","No"),""))</f>
      </c>
      <c r="AZ114" s="44">
        <f>IF($AD114="","",IF(ISNUMBER($AD114),IF($AD114&lt;Header!$C$20,"BELOW MIN PREMIUM","OK"),""))</f>
      </c>
      <c r="BA114" s="48" t="inlineStr">
        <is>
          <t xml:space="preserve">Yes</t>
        </is>
      </c>
      <c r="BB114" s="48" t="inlineStr">
        <is>
          <t xml:space="preserve">Yes</t>
        </is>
      </c>
      <c r="BC114" s="46" t="inlineStr">
        <is>
          <t xml:space="preserve">Synthetic demo data</t>
        </is>
      </c>
      <c r="BE114" s="45">
        <f>IF(OR($A114="",$L114="",$H114=""),"",IF(AND(LEFT($L114,2)="06",$H114&gt;1945),"FAIL - pre-war class, year "&amp;$H114,IF(AND(LEFT($L114,2)="07",OR($H114&lt;1946,$H114&gt;1972)),"FAIL - 1946-72 class, year "&amp;$H114,IF(AND(LEFT($L114,2)="08",OR($H114&lt;1973,$H114&gt;1999)),"FAIL - 1973-99 class, year "&amp;$H114,IF(AND(LEFT($L114,2)="09",OR($H114&lt;2000,$H114&gt;2010)),"FAIL - 2000-10 class, year "&amp;$H114,"OK")))))</f>
      </c>
      <c r="BF114" s="45">
        <f>IF($AD114="","",IF(ROUND($AO114+$AP114+$AQ114-$AD114,2)=0,"OK","FAIL - out by "&amp;TEXT($AO114+$AP114+$AQ114-$AD114,"$0.00")))</f>
      </c>
    </row>
    <row r="115" spans="1:58" ht="18.75" customHeight="1" x14ac:dyDescent="0.25">
      <c r="A115" s="30" t="inlineStr">
        <is>
          <t xml:space="preserve">CANON-202511-002310</t>
        </is>
      </c>
      <c r="B115" s="30" t="inlineStr">
        <is>
          <t xml:space="preserve">Priya Castellanos</t>
        </is>
      </c>
      <c r="C115" s="31">
        <v>45988</v>
      </c>
      <c r="D115" s="32" t="inlineStr">
        <is>
          <t xml:space="preserve">Bound - within authority</t>
        </is>
      </c>
      <c r="E115" s="32" t="inlineStr">
        <is>
          <t xml:space="preserve">New business</t>
        </is>
      </c>
      <c r="F115" s="30" t="inlineStr">
        <is>
          <t xml:space="preserve">B1234EXOTIC26</t>
        </is>
      </c>
      <c r="G115" s="33">
        <f>IF($A115="","",IF($C115="","",YEAR($C115)))</f>
      </c>
      <c r="H115" s="34">
        <v>2021</v>
      </c>
      <c r="I115" s="30" t="inlineStr">
        <is>
          <t xml:space="preserve">Porsche</t>
        </is>
      </c>
      <c r="J115" s="30" t="inlineStr">
        <is>
          <t xml:space="preserve">911 Turbo S</t>
        </is>
      </c>
      <c r="K115" s="30" t="inlineStr">
        <is>
          <t xml:space="preserve">1AMADHB2Z8EPMYBZS</t>
        </is>
      </c>
      <c r="L115" s="32" t="inlineStr">
        <is>
          <t xml:space="preserve">02 - Sports / GT</t>
        </is>
      </c>
      <c r="M115" s="35">
        <v>410000</v>
      </c>
      <c r="N115" s="32" t="inlineStr">
        <is>
          <t xml:space="preserve">Personal</t>
        </is>
      </c>
      <c r="O115" s="30" t="inlineStr">
        <is>
          <t xml:space="preserve">Personal - regular use</t>
        </is>
      </c>
      <c r="P115" s="30" t="inlineStr">
        <is>
          <t xml:space="preserve">Under 1,000</t>
        </is>
      </c>
      <c r="Q115" s="30" t="inlineStr">
        <is>
          <t xml:space="preserve">Wisconsin</t>
        </is>
      </c>
      <c r="R115" s="30" t="inlineStr">
        <is>
          <t xml:space="preserve">53202</t>
        </is>
      </c>
      <c r="S115" s="32" t="inlineStr">
        <is>
          <t xml:space="preserve">Severe convective - hail / tornado (moderate)</t>
        </is>
      </c>
      <c r="T115" s="36">
        <f>IF($A115="","",IF($S115="","",IFERROR(INDEX('[1]natural catastrophe'!$D$6:$D$17,MATCH($S115,'[1]natural catastrophe'!$B$6:$B$17,0)),"?")))</f>
      </c>
      <c r="U115" s="30" t="inlineStr">
        <is>
          <t xml:space="preserve">$5,000</t>
        </is>
      </c>
      <c r="V115" s="32" t="inlineStr">
        <is>
          <t xml:space="preserve">Agreed Value</t>
        </is>
      </c>
      <c r="W115" s="30" t="inlineStr">
        <is>
          <t xml:space="preserve">$1,000</t>
        </is>
      </c>
      <c r="X115" s="32" t="inlineStr">
        <is>
          <t xml:space="preserve">$1,000,000 CSL</t>
        </is>
      </c>
      <c r="Y115" s="30"/>
      <c r="Z115" s="30"/>
      <c r="AA115" s="32" t="inlineStr">
        <is>
          <t xml:space="preserve">Surplus Lines</t>
        </is>
      </c>
      <c r="AB115" s="35">
        <v>6401.1</v>
      </c>
      <c r="AC115" s="37">
        <v>0</v>
      </c>
      <c r="AD115" s="38">
        <f>IF(ISNUMBER($AB115),$AB115*(1+N($AC115)),"")</f>
      </c>
      <c r="AE115" s="35">
        <v>350</v>
      </c>
      <c r="AF115" s="35">
        <v>0</v>
      </c>
      <c r="AG115" s="37"/>
      <c r="AH115" s="39">
        <f>IF(ISNUMBER($AD115),($AD115+$AE115+$AF115)*$AG115,"")</f>
      </c>
      <c r="AI115" s="35"/>
      <c r="AJ115" s="38">
        <f>IF(ISNUMBER($AD115),SUM($AD115:$AH115),"")</f>
      </c>
      <c r="AK115" s="40">
        <f>IF(AND(ISNUMBER($AB115),ISNUMBER($AD115)),IF($AB115&gt;0,$AD115/$AB115,""),"")</f>
      </c>
      <c r="AL115" s="32" t="inlineStr">
        <is>
          <t xml:space="preserve">At technical</t>
        </is>
      </c>
      <c r="AM115" s="41">
        <f>IF(ISNUMBER($AD115),Header!$I$3,"")</f>
      </c>
      <c r="AN115" s="39">
        <f>IF(ISNUMBER($AD115),$AO115+$AP115,"")</f>
      </c>
      <c r="AO115" s="39">
        <f>IF(ISNUMBER($AD115),ROUND($AD115*Header!$K$3,2),"")</f>
      </c>
      <c r="AP115" s="39">
        <f>IF(ISNUMBER($AD115),ROUND($AD115*Header!$M$3,2),"")</f>
      </c>
      <c r="AQ115" s="38">
        <f>IF(ISNUMBER($AD115),ROUND($AD115,2)-$AO115-$AP115,"")</f>
      </c>
      <c r="AR115" s="39">
        <f>IF(ISNUMBER($AD115),IF(Header!$D$34="","?",$AD115*Header!$D$34),"")</f>
      </c>
      <c r="AS115" s="39">
        <f>IF(ISNUMBER($AB115),IF(Header!$D$34="","?",$AB115*Header!$D$34),"")</f>
      </c>
      <c r="AT115" s="42">
        <f>IF(AND(ISNUMBER($AB115),$M115&gt;0),$AB115/$M115*100,"")</f>
      </c>
      <c r="AU115" s="42">
        <f>IF(AND(ISNUMBER($AD115),$M115&gt;0),$AD115/$M115*100,"")</f>
      </c>
      <c r="AV115" s="40">
        <f>IF(AND(ISNUMBER($AB115),ISNUMBER($AD115),ABS($AB115)&gt;0),$AD115/$AB115,"")</f>
      </c>
      <c r="AW115" s="39">
        <f>IF(ISNUMBER($AD115),MAX(0,(1-0.55-Header!$O$3)*Header!$Q$3*$AQ115),"")</f>
      </c>
      <c r="AX115" s="43">
        <f>IF($A115="","",IF(TRIM(IF($A115="","Missing certificate ref. ","") &amp; IF($C115="","Missing effective date. ","") &amp; IF($D115="","Missing binding status. ","") &amp; IF($E115="","Missing movement type. ","") &amp; IF($I115="","Missing make. ","") &amp; IF($L115="","Missing vehicle class. ","") &amp; IF($M115="","Missing agreed value. ","") &amp; IF($N115="","Missing policy type. ","") &amp; IF($Q115="","Missing garaging state. ","") &amp; IF($R115="","Missing garaging ZIP. ","") &amp; IF($S115="","Missing cat zone. ","") &amp; IF($V115="","Missing valuation basis. ","") &amp; IF($W115="","Missing PD deductible. ","") &amp; IF($X115="","Missing liability limit. ","") &amp; IF($AB115="","Missing technical premium. ","") &amp; IF($AF115="","Missing surplus lines tax %. ",""))="","PASS","FAIL: "&amp;TRIM(IF($A115="","Missing certificate ref. ","") &amp; IF($C115="","Missing effective date. ","") &amp; IF($D115="","Missing binding status. ","") &amp; IF($E115="","Missing movement type. ","") &amp; IF($I115="","Missing make. ","") &amp; IF($L115="","Missing vehicle class. ","") &amp; IF($M115="","Missing agreed value. ","") &amp; IF($N115="","Missing policy type. ","") &amp; IF($Q115="","Missing garaging state. ","") &amp; IF($R115="","Missing garaging ZIP. ","") &amp; IF($S115="","Missing cat zone. ","") &amp; IF($V115="","Missing valuation basis. ","") &amp; IF($W115="","Missing PD deductible. ","") &amp; IF($X115="","Missing liability limit. ","") &amp; IF($AB115="","Missing technical premium. ","") &amp; IF($AF115="","Missing surplus lines tax %. ",""))))</f>
      </c>
      <c r="AY115" s="44">
        <f>IF($M115="","",IF(ISNUMBER($M115),IF($M115&gt;=Header!$C$18,"YES — refer","No"),""))</f>
      </c>
      <c r="AZ115" s="44">
        <f>IF($AD115="","",IF(ISNUMBER($AD115),IF($AD115&lt;Header!$C$20,"BELOW MIN PREMIUM","OK"),""))</f>
      </c>
      <c r="BA115" s="32" t="inlineStr">
        <is>
          <t xml:space="preserve">Yes</t>
        </is>
      </c>
      <c r="BB115" s="32" t="inlineStr">
        <is>
          <t xml:space="preserve">Yes</t>
        </is>
      </c>
      <c r="BC115" s="30" t="inlineStr">
        <is>
          <t xml:space="preserve">Synthetic demo data</t>
        </is>
      </c>
      <c r="BE115" s="45">
        <f>IF(OR($A115="",$L115="",$H115=""),"",IF(AND(LEFT($L115,2)="06",$H115&gt;1945),"FAIL - pre-war class, year "&amp;$H115,IF(AND(LEFT($L115,2)="07",OR($H115&lt;1946,$H115&gt;1972)),"FAIL - 1946-72 class, year "&amp;$H115,IF(AND(LEFT($L115,2)="08",OR($H115&lt;1973,$H115&gt;1999)),"FAIL - 1973-99 class, year "&amp;$H115,IF(AND(LEFT($L115,2)="09",OR($H115&lt;2000,$H115&gt;2010)),"FAIL - 2000-10 class, year "&amp;$H115,"OK")))))</f>
      </c>
      <c r="BF115" s="45">
        <f>IF($AD115="","",IF(ROUND($AO115+$AP115+$AQ115-$AD115,2)=0,"OK","FAIL - out by "&amp;TEXT($AO115+$AP115+$AQ115-$AD115,"$0.00")))</f>
      </c>
    </row>
    <row r="116" spans="1:58" ht="18.75" customHeight="1" x14ac:dyDescent="0.25">
      <c r="A116" s="46" t="inlineStr">
        <is>
          <t xml:space="preserve">CANON-202511-002311</t>
        </is>
      </c>
      <c r="B116" s="46" t="inlineStr">
        <is>
          <t xml:space="preserve">Ottilie Chattopadhyay</t>
        </is>
      </c>
      <c r="C116" s="47">
        <v>45974</v>
      </c>
      <c r="D116" s="48" t="inlineStr">
        <is>
          <t xml:space="preserve">Bound - within authority</t>
        </is>
      </c>
      <c r="E116" s="48" t="inlineStr">
        <is>
          <t xml:space="preserve">New business</t>
        </is>
      </c>
      <c r="F116" s="46" t="inlineStr">
        <is>
          <t xml:space="preserve">B1234EXOTIC26</t>
        </is>
      </c>
      <c r="G116" s="33">
        <f>IF($A116="","",IF($C116="","",YEAR($C116)))</f>
      </c>
      <c r="H116" s="49">
        <v>1964</v>
      </c>
      <c r="I116" s="46" t="inlineStr">
        <is>
          <t xml:space="preserve">BMW</t>
        </is>
      </c>
      <c r="J116" s="46" t="inlineStr">
        <is>
          <t xml:space="preserve">M8 Competition</t>
        </is>
      </c>
      <c r="K116" s="46" t="inlineStr">
        <is>
          <t xml:space="preserve">KER40R92AZ2HW8TSU</t>
        </is>
      </c>
      <c r="L116" s="48" t="inlineStr">
        <is>
          <t xml:space="preserve">02 - Sports / GT</t>
        </is>
      </c>
      <c r="M116" s="50">
        <v>1950000</v>
      </c>
      <c r="N116" s="48" t="inlineStr">
        <is>
          <t xml:space="preserve">Personal</t>
        </is>
      </c>
      <c r="O116" s="46" t="inlineStr">
        <is>
          <t xml:space="preserve">Personal - regular use</t>
        </is>
      </c>
      <c r="P116" s="46" t="inlineStr">
        <is>
          <t xml:space="preserve">1,000 - 2,500</t>
        </is>
      </c>
      <c r="Q116" s="46" t="inlineStr">
        <is>
          <t xml:space="preserve">Wisconsin</t>
        </is>
      </c>
      <c r="R116" s="46" t="inlineStr">
        <is>
          <t xml:space="preserve">53202</t>
        </is>
      </c>
      <c r="S116" s="48" t="inlineStr">
        <is>
          <t xml:space="preserve">Severe convective - hail / tornado (moderate)</t>
        </is>
      </c>
      <c r="T116" s="36">
        <f>IF($A116="","",IF($S116="","",IFERROR(INDEX('[1]natural catastrophe'!$D$6:$D$17,MATCH($S116,'[1]natural catastrophe'!$B$6:$B$17,0)),"?")))</f>
      </c>
      <c r="U116" s="46" t="inlineStr">
        <is>
          <t xml:space="preserve">$5,000</t>
        </is>
      </c>
      <c r="V116" s="48" t="inlineStr">
        <is>
          <t xml:space="preserve">Agreed Value</t>
        </is>
      </c>
      <c r="W116" s="46" t="inlineStr">
        <is>
          <t xml:space="preserve">$1,000</t>
        </is>
      </c>
      <c r="X116" s="48" t="inlineStr">
        <is>
          <t xml:space="preserve">$1,000,000 CSL</t>
        </is>
      </c>
      <c r="Y116" s="46"/>
      <c r="Z116" s="46"/>
      <c r="AA116" s="48" t="inlineStr">
        <is>
          <t xml:space="preserve">Surplus Lines</t>
        </is>
      </c>
      <c r="AB116" s="50">
        <v>22325.81</v>
      </c>
      <c r="AC116" s="51">
        <v>0</v>
      </c>
      <c r="AD116" s="38">
        <f>IF(ISNUMBER($AB116),$AB116*(1+N($AC116)),"")</f>
      </c>
      <c r="AE116" s="50">
        <v>350</v>
      </c>
      <c r="AF116" s="50">
        <v>250</v>
      </c>
      <c r="AG116" s="51"/>
      <c r="AH116" s="39">
        <f>IF(ISNUMBER($AD116),($AD116+$AE116+$AF116)*$AG116,"")</f>
      </c>
      <c r="AI116" s="50"/>
      <c r="AJ116" s="38">
        <f>IF(ISNUMBER($AD116),SUM($AD116:$AH116),"")</f>
      </c>
      <c r="AK116" s="40">
        <f>IF(AND(ISNUMBER($AB116),ISNUMBER($AD116)),IF($AB116&gt;0,$AD116/$AB116,""),"")</f>
      </c>
      <c r="AL116" s="48" t="inlineStr">
        <is>
          <t xml:space="preserve">At technical</t>
        </is>
      </c>
      <c r="AM116" s="41">
        <f>IF(ISNUMBER($AD116),Header!$I$3,"")</f>
      </c>
      <c r="AN116" s="39">
        <f>IF(ISNUMBER($AD116),$AO116+$AP116,"")</f>
      </c>
      <c r="AO116" s="39">
        <f>IF(ISNUMBER($AD116),ROUND($AD116*Header!$K$3,2),"")</f>
      </c>
      <c r="AP116" s="39">
        <f>IF(ISNUMBER($AD116),ROUND($AD116*Header!$M$3,2),"")</f>
      </c>
      <c r="AQ116" s="38">
        <f>IF(ISNUMBER($AD116),ROUND($AD116,2)-$AO116-$AP116,"")</f>
      </c>
      <c r="AR116" s="39">
        <f>IF(ISNUMBER($AD116),IF(Header!$D$34="","?",$AD116*Header!$D$34),"")</f>
      </c>
      <c r="AS116" s="39">
        <f>IF(ISNUMBER($AB116),IF(Header!$D$34="","?",$AB116*Header!$D$34),"")</f>
      </c>
      <c r="AT116" s="42">
        <f>IF(AND(ISNUMBER($AB116),$M116&gt;0),$AB116/$M116*100,"")</f>
      </c>
      <c r="AU116" s="42">
        <f>IF(AND(ISNUMBER($AD116),$M116&gt;0),$AD116/$M116*100,"")</f>
      </c>
      <c r="AV116" s="40">
        <f>IF(AND(ISNUMBER($AB116),ISNUMBER($AD116),ABS($AB116)&gt;0),$AD116/$AB116,"")</f>
      </c>
      <c r="AW116" s="39">
        <f>IF(ISNUMBER($AD116),MAX(0,(1-0.55-Header!$O$3)*Header!$Q$3*$AQ116),"")</f>
      </c>
      <c r="AX116" s="43">
        <f>IF($A116="","",IF(TRIM(IF($A116="","Missing certificate ref. ","") &amp; IF($C116="","Missing effective date. ","") &amp; IF($D116="","Missing binding status. ","") &amp; IF($E116="","Missing movement type. ","") &amp; IF($I116="","Missing make. ","") &amp; IF($L116="","Missing vehicle class. ","") &amp; IF($M116="","Missing agreed value. ","") &amp; IF($N116="","Missing policy type. ","") &amp; IF($Q116="","Missing garaging state. ","") &amp; IF($R116="","Missing garaging ZIP. ","") &amp; IF($S116="","Missing cat zone. ","") &amp; IF($V116="","Missing valuation basis. ","") &amp; IF($W116="","Missing PD deductible. ","") &amp; IF($X116="","Missing liability limit. ","") &amp; IF($AB116="","Missing technical premium. ","") &amp; IF($AF116="","Missing surplus lines tax %. ",""))="","PASS","FAIL: "&amp;TRIM(IF($A116="","Missing certificate ref. ","") &amp; IF($C116="","Missing effective date. ","") &amp; IF($D116="","Missing binding status. ","") &amp; IF($E116="","Missing movement type. ","") &amp; IF($I116="","Missing make. ","") &amp; IF($L116="","Missing vehicle class. ","") &amp; IF($M116="","Missing agreed value. ","") &amp; IF($N116="","Missing policy type. ","") &amp; IF($Q116="","Missing garaging state. ","") &amp; IF($R116="","Missing garaging ZIP. ","") &amp; IF($S116="","Missing cat zone. ","") &amp; IF($V116="","Missing valuation basis. ","") &amp; IF($W116="","Missing PD deductible. ","") &amp; IF($X116="","Missing liability limit. ","") &amp; IF($AB116="","Missing technical premium. ","") &amp; IF($AF116="","Missing surplus lines tax %. ",""))))</f>
      </c>
      <c r="AY116" s="44">
        <f>IF($M116="","",IF(ISNUMBER($M116),IF($M116&gt;=Header!$C$18,"YES — refer","No"),""))</f>
      </c>
      <c r="AZ116" s="44">
        <f>IF($AD116="","",IF(ISNUMBER($AD116),IF($AD116&lt;Header!$C$20,"BELOW MIN PREMIUM","OK"),""))</f>
      </c>
      <c r="BA116" s="48" t="inlineStr">
        <is>
          <t xml:space="preserve">Yes</t>
        </is>
      </c>
      <c r="BB116" s="48" t="inlineStr">
        <is>
          <t xml:space="preserve">Yes</t>
        </is>
      </c>
      <c r="BC116" s="46" t="inlineStr">
        <is>
          <t xml:space="preserve">Synthetic demo data</t>
        </is>
      </c>
      <c r="BE116" s="45">
        <f>IF(OR($A116="",$L116="",$H116=""),"",IF(AND(LEFT($L116,2)="06",$H116&gt;1945),"FAIL - pre-war class, year "&amp;$H116,IF(AND(LEFT($L116,2)="07",OR($H116&lt;1946,$H116&gt;1972)),"FAIL - 1946-72 class, year "&amp;$H116,IF(AND(LEFT($L116,2)="08",OR($H116&lt;1973,$H116&gt;1999)),"FAIL - 1973-99 class, year "&amp;$H116,IF(AND(LEFT($L116,2)="09",OR($H116&lt;2000,$H116&gt;2010)),"FAIL - 2000-10 class, year "&amp;$H116,"OK")))))</f>
      </c>
      <c r="BF116" s="45">
        <f>IF($AD116="","",IF(ROUND($AO116+$AP116+$AQ116-$AD116,2)=0,"OK","FAIL - out by "&amp;TEXT($AO116+$AP116+$AQ116-$AD116,"$0.00")))</f>
      </c>
    </row>
    <row r="117" spans="1:58" ht="18.75" customHeight="1" x14ac:dyDescent="0.25">
      <c r="A117" s="30" t="inlineStr">
        <is>
          <t xml:space="preserve">CANON-202511-002313</t>
        </is>
      </c>
      <c r="B117" s="30" t="inlineStr">
        <is>
          <t xml:space="preserve">Cassius Okonkwo</t>
        </is>
      </c>
      <c r="C117" s="31">
        <v>45963</v>
      </c>
      <c r="D117" s="32" t="inlineStr">
        <is>
          <t xml:space="preserve">Bound - within authority</t>
        </is>
      </c>
      <c r="E117" s="32" t="inlineStr">
        <is>
          <t xml:space="preserve">New business</t>
        </is>
      </c>
      <c r="F117" s="30" t="inlineStr">
        <is>
          <t xml:space="preserve">B1234EXOTIC26</t>
        </is>
      </c>
      <c r="G117" s="33">
        <f>IF($A117="","",IF($C117="","",YEAR($C117)))</f>
      </c>
      <c r="H117" s="34">
        <v>2018</v>
      </c>
      <c r="I117" s="30" t="inlineStr">
        <is>
          <t xml:space="preserve">BMW</t>
        </is>
      </c>
      <c r="J117" s="30" t="inlineStr">
        <is>
          <t xml:space="preserve">M8 Competition</t>
        </is>
      </c>
      <c r="K117" s="30" t="inlineStr">
        <is>
          <t xml:space="preserve">LGHSMAKH5YD4EF870</t>
        </is>
      </c>
      <c r="L117" s="32" t="inlineStr">
        <is>
          <t xml:space="preserve">02 - Sports / GT</t>
        </is>
      </c>
      <c r="M117" s="35">
        <v>1405000</v>
      </c>
      <c r="N117" s="32" t="inlineStr">
        <is>
          <t xml:space="preserve">Personal</t>
        </is>
      </c>
      <c r="O117" s="30" t="inlineStr">
        <is>
          <t xml:space="preserve">Personal - regular use</t>
        </is>
      </c>
      <c r="P117" s="30" t="inlineStr">
        <is>
          <t xml:space="preserve">2,500 - 5,000</t>
        </is>
      </c>
      <c r="Q117" s="30" t="inlineStr">
        <is>
          <t xml:space="preserve">Colorado</t>
        </is>
      </c>
      <c r="R117" s="30" t="inlineStr">
        <is>
          <t xml:space="preserve">80202</t>
        </is>
      </c>
      <c r="S117" s="32" t="inlineStr">
        <is>
          <t xml:space="preserve">Severe convective - hail alley (high)</t>
        </is>
      </c>
      <c r="T117" s="36">
        <f>IF($A117="","",IF($S117="","",IFERROR(INDEX('[1]natural catastrophe'!$D$6:$D$17,MATCH($S117,'[1]natural catastrophe'!$B$6:$B$17,0)),"?")))</f>
      </c>
      <c r="U117" s="30" t="inlineStr">
        <is>
          <t xml:space="preserve">$5,000</t>
        </is>
      </c>
      <c r="V117" s="32" t="inlineStr">
        <is>
          <t xml:space="preserve">Agreed Value</t>
        </is>
      </c>
      <c r="W117" s="30" t="inlineStr">
        <is>
          <t xml:space="preserve">$1,000</t>
        </is>
      </c>
      <c r="X117" s="32" t="inlineStr">
        <is>
          <t xml:space="preserve">$1,000,000 CSL</t>
        </is>
      </c>
      <c r="Y117" s="30"/>
      <c r="Z117" s="30"/>
      <c r="AA117" s="32" t="inlineStr">
        <is>
          <t xml:space="preserve">Surplus Lines</t>
        </is>
      </c>
      <c r="AB117" s="35">
        <v>14745.53</v>
      </c>
      <c r="AC117" s="37">
        <v>0</v>
      </c>
      <c r="AD117" s="38">
        <f>IF(ISNUMBER($AB117),$AB117*(1+N($AC117)),"")</f>
      </c>
      <c r="AE117" s="35">
        <v>350</v>
      </c>
      <c r="AF117" s="35">
        <v>250</v>
      </c>
      <c r="AG117" s="37"/>
      <c r="AH117" s="39">
        <f>IF(ISNUMBER($AD117),($AD117+$AE117+$AF117)*$AG117,"")</f>
      </c>
      <c r="AI117" s="35"/>
      <c r="AJ117" s="38">
        <f>IF(ISNUMBER($AD117),SUM($AD117:$AH117),"")</f>
      </c>
      <c r="AK117" s="40">
        <f>IF(AND(ISNUMBER($AB117),ISNUMBER($AD117)),IF($AB117&gt;0,$AD117/$AB117,""),"")</f>
      </c>
      <c r="AL117" s="32" t="inlineStr">
        <is>
          <t xml:space="preserve">At technical</t>
        </is>
      </c>
      <c r="AM117" s="41">
        <f>IF(ISNUMBER($AD117),Header!$I$3,"")</f>
      </c>
      <c r="AN117" s="39">
        <f>IF(ISNUMBER($AD117),$AO117+$AP117,"")</f>
      </c>
      <c r="AO117" s="39">
        <f>IF(ISNUMBER($AD117),ROUND($AD117*Header!$K$3,2),"")</f>
      </c>
      <c r="AP117" s="39">
        <f>IF(ISNUMBER($AD117),ROUND($AD117*Header!$M$3,2),"")</f>
      </c>
      <c r="AQ117" s="38">
        <f>IF(ISNUMBER($AD117),ROUND($AD117,2)-$AO117-$AP117,"")</f>
      </c>
      <c r="AR117" s="39">
        <f>IF(ISNUMBER($AD117),IF(Header!$D$34="","?",$AD117*Header!$D$34),"")</f>
      </c>
      <c r="AS117" s="39">
        <f>IF(ISNUMBER($AB117),IF(Header!$D$34="","?",$AB117*Header!$D$34),"")</f>
      </c>
      <c r="AT117" s="42">
        <f>IF(AND(ISNUMBER($AB117),$M117&gt;0),$AB117/$M117*100,"")</f>
      </c>
      <c r="AU117" s="42">
        <f>IF(AND(ISNUMBER($AD117),$M117&gt;0),$AD117/$M117*100,"")</f>
      </c>
      <c r="AV117" s="40">
        <f>IF(AND(ISNUMBER($AB117),ISNUMBER($AD117),ABS($AB117)&gt;0),$AD117/$AB117,"")</f>
      </c>
      <c r="AW117" s="39">
        <f>IF(ISNUMBER($AD117),MAX(0,(1-0.55-Header!$O$3)*Header!$Q$3*$AQ117),"")</f>
      </c>
      <c r="AX117" s="43">
        <f>IF($A117="","",IF(TRIM(IF($A117="","Missing certificate ref. ","") &amp; IF($C117="","Missing effective date. ","") &amp; IF($D117="","Missing binding status. ","") &amp; IF($E117="","Missing movement type. ","") &amp; IF($I117="","Missing make. ","") &amp; IF($L117="","Missing vehicle class. ","") &amp; IF($M117="","Missing agreed value. ","") &amp; IF($N117="","Missing policy type. ","") &amp; IF($Q117="","Missing garaging state. ","") &amp; IF($R117="","Missing garaging ZIP. ","") &amp; IF($S117="","Missing cat zone. ","") &amp; IF($V117="","Missing valuation basis. ","") &amp; IF($W117="","Missing PD deductible. ","") &amp; IF($X117="","Missing liability limit. ","") &amp; IF($AB117="","Missing technical premium. ","") &amp; IF($AF117="","Missing surplus lines tax %. ",""))="","PASS","FAIL: "&amp;TRIM(IF($A117="","Missing certificate ref. ","") &amp; IF($C117="","Missing effective date. ","") &amp; IF($D117="","Missing binding status. ","") &amp; IF($E117="","Missing movement type. ","") &amp; IF($I117="","Missing make. ","") &amp; IF($L117="","Missing vehicle class. ","") &amp; IF($M117="","Missing agreed value. ","") &amp; IF($N117="","Missing policy type. ","") &amp; IF($Q117="","Missing garaging state. ","") &amp; IF($R117="","Missing garaging ZIP. ","") &amp; IF($S117="","Missing cat zone. ","") &amp; IF($V117="","Missing valuation basis. ","") &amp; IF($W117="","Missing PD deductible. ","") &amp; IF($X117="","Missing liability limit. ","") &amp; IF($AB117="","Missing technical premium. ","") &amp; IF($AF117="","Missing surplus lines tax %. ",""))))</f>
      </c>
      <c r="AY117" s="44">
        <f>IF($M117="","",IF(ISNUMBER($M117),IF($M117&gt;=Header!$C$18,"YES — refer","No"),""))</f>
      </c>
      <c r="AZ117" s="44">
        <f>IF($AD117="","",IF(ISNUMBER($AD117),IF($AD117&lt;Header!$C$20,"BELOW MIN PREMIUM","OK"),""))</f>
      </c>
      <c r="BA117" s="32" t="inlineStr">
        <is>
          <t xml:space="preserve">Yes</t>
        </is>
      </c>
      <c r="BB117" s="32" t="inlineStr">
        <is>
          <t xml:space="preserve">Yes</t>
        </is>
      </c>
      <c r="BC117" s="30" t="inlineStr">
        <is>
          <t xml:space="preserve">Synthetic demo data</t>
        </is>
      </c>
      <c r="BE117" s="45">
        <f>IF(OR($A117="",$L117="",$H117=""),"",IF(AND(LEFT($L117,2)="06",$H117&gt;1945),"FAIL - pre-war class, year "&amp;$H117,IF(AND(LEFT($L117,2)="07",OR($H117&lt;1946,$H117&gt;1972)),"FAIL - 1946-72 class, year "&amp;$H117,IF(AND(LEFT($L117,2)="08",OR($H117&lt;1973,$H117&gt;1999)),"FAIL - 1973-99 class, year "&amp;$H117,IF(AND(LEFT($L117,2)="09",OR($H117&lt;2000,$H117&gt;2010)),"FAIL - 2000-10 class, year "&amp;$H117,"OK")))))</f>
      </c>
      <c r="BF117" s="45">
        <f>IF($AD117="","",IF(ROUND($AO117+$AP117+$AQ117-$AD117,2)=0,"OK","FAIL - out by "&amp;TEXT($AO117+$AP117+$AQ117-$AD117,"$0.00")))</f>
      </c>
    </row>
    <row r="118" spans="1:58" ht="18.75" customHeight="1" x14ac:dyDescent="0.25">
      <c r="A118" s="46" t="inlineStr">
        <is>
          <t xml:space="preserve">CANON-202511-002314</t>
        </is>
      </c>
      <c r="B118" s="46" t="inlineStr">
        <is>
          <t xml:space="preserve">Wilhelmina Rourke</t>
        </is>
      </c>
      <c r="C118" s="47">
        <v>45987</v>
      </c>
      <c r="D118" s="48" t="inlineStr">
        <is>
          <t xml:space="preserve">Bound - within authority</t>
        </is>
      </c>
      <c r="E118" s="48" t="inlineStr">
        <is>
          <t xml:space="preserve">New business</t>
        </is>
      </c>
      <c r="F118" s="46" t="inlineStr">
        <is>
          <t xml:space="preserve">B1234EXOTIC26</t>
        </is>
      </c>
      <c r="G118" s="33">
        <f>IF($A118="","",IF($C118="","",YEAR($C118)))</f>
      </c>
      <c r="H118" s="49">
        <v>2000</v>
      </c>
      <c r="I118" s="46" t="inlineStr">
        <is>
          <t xml:space="preserve">Aston Martin</t>
        </is>
      </c>
      <c r="J118" s="46" t="inlineStr">
        <is>
          <t xml:space="preserve">DB12</t>
        </is>
      </c>
      <c r="K118" s="46" t="inlineStr">
        <is>
          <t xml:space="preserve">22PZBVXPFY77EBK5X</t>
        </is>
      </c>
      <c r="L118" s="48" t="inlineStr">
        <is>
          <t xml:space="preserve">02 - Sports / GT</t>
        </is>
      </c>
      <c r="M118" s="50">
        <v>1675000</v>
      </c>
      <c r="N118" s="48" t="inlineStr">
        <is>
          <t xml:space="preserve">Personal</t>
        </is>
      </c>
      <c r="O118" s="46" t="inlineStr">
        <is>
          <t xml:space="preserve">Personal - regular use</t>
        </is>
      </c>
      <c r="P118" s="46" t="inlineStr">
        <is>
          <t xml:space="preserve">Under 1,000</t>
        </is>
      </c>
      <c r="Q118" s="46" t="inlineStr">
        <is>
          <t xml:space="preserve">Washington</t>
        </is>
      </c>
      <c r="R118" s="46" t="inlineStr">
        <is>
          <t xml:space="preserve">98101</t>
        </is>
      </c>
      <c r="S118" s="48" t="inlineStr">
        <is>
          <t xml:space="preserve">Earthquake - high (CA, Cascadia, New Madrid)</t>
        </is>
      </c>
      <c r="T118" s="36">
        <f>IF($A118="","",IF($S118="","",IFERROR(INDEX('[1]natural catastrophe'!$D$6:$D$17,MATCH($S118,'[1]natural catastrophe'!$B$6:$B$17,0)),"?")))</f>
      </c>
      <c r="U118" s="46" t="inlineStr">
        <is>
          <t xml:space="preserve">$5,000</t>
        </is>
      </c>
      <c r="V118" s="48" t="inlineStr">
        <is>
          <t xml:space="preserve">Agreed Value</t>
        </is>
      </c>
      <c r="W118" s="46" t="inlineStr">
        <is>
          <t xml:space="preserve">$1,000</t>
        </is>
      </c>
      <c r="X118" s="48" t="inlineStr">
        <is>
          <t xml:space="preserve">$1,000,000 CSL</t>
        </is>
      </c>
      <c r="Y118" s="46"/>
      <c r="Z118" s="46"/>
      <c r="AA118" s="48" t="inlineStr">
        <is>
          <t xml:space="preserve">Surplus Lines</t>
        </is>
      </c>
      <c r="AB118" s="50">
        <v>15341.83</v>
      </c>
      <c r="AC118" s="51">
        <v>0</v>
      </c>
      <c r="AD118" s="38">
        <f>IF(ISNUMBER($AB118),$AB118*(1+N($AC118)),"")</f>
      </c>
      <c r="AE118" s="50">
        <v>350</v>
      </c>
      <c r="AF118" s="50">
        <v>250</v>
      </c>
      <c r="AG118" s="51"/>
      <c r="AH118" s="39">
        <f>IF(ISNUMBER($AD118),($AD118+$AE118+$AF118)*$AG118,"")</f>
      </c>
      <c r="AI118" s="50"/>
      <c r="AJ118" s="38">
        <f>IF(ISNUMBER($AD118),SUM($AD118:$AH118),"")</f>
      </c>
      <c r="AK118" s="40">
        <f>IF(AND(ISNUMBER($AB118),ISNUMBER($AD118)),IF($AB118&gt;0,$AD118/$AB118,""),"")</f>
      </c>
      <c r="AL118" s="48" t="inlineStr">
        <is>
          <t xml:space="preserve">At technical</t>
        </is>
      </c>
      <c r="AM118" s="41">
        <f>IF(ISNUMBER($AD118),Header!$I$3,"")</f>
      </c>
      <c r="AN118" s="39">
        <f>IF(ISNUMBER($AD118),$AO118+$AP118,"")</f>
      </c>
      <c r="AO118" s="39">
        <f>IF(ISNUMBER($AD118),ROUND($AD118*Header!$K$3,2),"")</f>
      </c>
      <c r="AP118" s="39">
        <f>IF(ISNUMBER($AD118),ROUND($AD118*Header!$M$3,2),"")</f>
      </c>
      <c r="AQ118" s="38">
        <f>IF(ISNUMBER($AD118),ROUND($AD118,2)-$AO118-$AP118,"")</f>
      </c>
      <c r="AR118" s="39">
        <f>IF(ISNUMBER($AD118),IF(Header!$D$34="","?",$AD118*Header!$D$34),"")</f>
      </c>
      <c r="AS118" s="39">
        <f>IF(ISNUMBER($AB118),IF(Header!$D$34="","?",$AB118*Header!$D$34),"")</f>
      </c>
      <c r="AT118" s="42">
        <f>IF(AND(ISNUMBER($AB118),$M118&gt;0),$AB118/$M118*100,"")</f>
      </c>
      <c r="AU118" s="42">
        <f>IF(AND(ISNUMBER($AD118),$M118&gt;0),$AD118/$M118*100,"")</f>
      </c>
      <c r="AV118" s="40">
        <f>IF(AND(ISNUMBER($AB118),ISNUMBER($AD118),ABS($AB118)&gt;0),$AD118/$AB118,"")</f>
      </c>
      <c r="AW118" s="39">
        <f>IF(ISNUMBER($AD118),MAX(0,(1-0.55-Header!$O$3)*Header!$Q$3*$AQ118),"")</f>
      </c>
      <c r="AX118" s="43">
        <f>IF($A118="","",IF(TRIM(IF($A118="","Missing certificate ref. ","") &amp; IF($C118="","Missing effective date. ","") &amp; IF($D118="","Missing binding status. ","") &amp; IF($E118="","Missing movement type. ","") &amp; IF($I118="","Missing make. ","") &amp; IF($L118="","Missing vehicle class. ","") &amp; IF($M118="","Missing agreed value. ","") &amp; IF($N118="","Missing policy type. ","") &amp; IF($Q118="","Missing garaging state. ","") &amp; IF($R118="","Missing garaging ZIP. ","") &amp; IF($S118="","Missing cat zone. ","") &amp; IF($V118="","Missing valuation basis. ","") &amp; IF($W118="","Missing PD deductible. ","") &amp; IF($X118="","Missing liability limit. ","") &amp; IF($AB118="","Missing technical premium. ","") &amp; IF($AF118="","Missing surplus lines tax %. ",""))="","PASS","FAIL: "&amp;TRIM(IF($A118="","Missing certificate ref. ","") &amp; IF($C118="","Missing effective date. ","") &amp; IF($D118="","Missing binding status. ","") &amp; IF($E118="","Missing movement type. ","") &amp; IF($I118="","Missing make. ","") &amp; IF($L118="","Missing vehicle class. ","") &amp; IF($M118="","Missing agreed value. ","") &amp; IF($N118="","Missing policy type. ","") &amp; IF($Q118="","Missing garaging state. ","") &amp; IF($R118="","Missing garaging ZIP. ","") &amp; IF($S118="","Missing cat zone. ","") &amp; IF($V118="","Missing valuation basis. ","") &amp; IF($W118="","Missing PD deductible. ","") &amp; IF($X118="","Missing liability limit. ","") &amp; IF($AB118="","Missing technical premium. ","") &amp; IF($AF118="","Missing surplus lines tax %. ",""))))</f>
      </c>
      <c r="AY118" s="44">
        <f>IF($M118="","",IF(ISNUMBER($M118),IF($M118&gt;=Header!$C$18,"YES — refer","No"),""))</f>
      </c>
      <c r="AZ118" s="44">
        <f>IF($AD118="","",IF(ISNUMBER($AD118),IF($AD118&lt;Header!$C$20,"BELOW MIN PREMIUM","OK"),""))</f>
      </c>
      <c r="BA118" s="48" t="inlineStr">
        <is>
          <t xml:space="preserve">Yes</t>
        </is>
      </c>
      <c r="BB118" s="48" t="inlineStr">
        <is>
          <t xml:space="preserve">Yes</t>
        </is>
      </c>
      <c r="BC118" s="46" t="inlineStr">
        <is>
          <t xml:space="preserve">Synthetic demo data</t>
        </is>
      </c>
      <c r="BE118" s="45">
        <f>IF(OR($A118="",$L118="",$H118=""),"",IF(AND(LEFT($L118,2)="06",$H118&gt;1945),"FAIL - pre-war class, year "&amp;$H118,IF(AND(LEFT($L118,2)="07",OR($H118&lt;1946,$H118&gt;1972)),"FAIL - 1946-72 class, year "&amp;$H118,IF(AND(LEFT($L118,2)="08",OR($H118&lt;1973,$H118&gt;1999)),"FAIL - 1973-99 class, year "&amp;$H118,IF(AND(LEFT($L118,2)="09",OR($H118&lt;2000,$H118&gt;2010)),"FAIL - 2000-10 class, year "&amp;$H118,"OK")))))</f>
      </c>
      <c r="BF118" s="45">
        <f>IF($AD118="","",IF(ROUND($AO118+$AP118+$AQ118-$AD118,2)=0,"OK","FAIL - out by "&amp;TEXT($AO118+$AP118+$AQ118-$AD118,"$0.00")))</f>
      </c>
    </row>
    <row r="119" spans="1:58" ht="18.75" customHeight="1" x14ac:dyDescent="0.25">
      <c r="A119" s="30" t="inlineStr">
        <is>
          <t xml:space="preserve">CANON-202511-002315</t>
        </is>
      </c>
      <c r="B119" s="30" t="inlineStr">
        <is>
          <t xml:space="preserve">Anouk Underwood</t>
        </is>
      </c>
      <c r="C119" s="31">
        <v>45971</v>
      </c>
      <c r="D119" s="32" t="inlineStr">
        <is>
          <t xml:space="preserve">Bound - within authority</t>
        </is>
      </c>
      <c r="E119" s="32" t="inlineStr">
        <is>
          <t xml:space="preserve">New business</t>
        </is>
      </c>
      <c r="F119" s="30" t="inlineStr">
        <is>
          <t xml:space="preserve">B1234EXOTIC26</t>
        </is>
      </c>
      <c r="G119" s="33">
        <f>IF($A119="","",IF($C119="","",YEAR($C119)))</f>
      </c>
      <c r="H119" s="34">
        <v>1992</v>
      </c>
      <c r="I119" s="30" t="inlineStr">
        <is>
          <t xml:space="preserve">Maserati</t>
        </is>
      </c>
      <c r="J119" s="30" t="inlineStr">
        <is>
          <t xml:space="preserve">GranTurismo</t>
        </is>
      </c>
      <c r="K119" s="30" t="inlineStr">
        <is>
          <t xml:space="preserve">9XT1CE6F7HBBDDDZS</t>
        </is>
      </c>
      <c r="L119" s="32" t="inlineStr">
        <is>
          <t xml:space="preserve">02 - Sports / GT</t>
        </is>
      </c>
      <c r="M119" s="35">
        <v>450000</v>
      </c>
      <c r="N119" s="32" t="inlineStr">
        <is>
          <t xml:space="preserve">Personal</t>
        </is>
      </c>
      <c r="O119" s="30" t="inlineStr">
        <is>
          <t xml:space="preserve">Personal - regular use</t>
        </is>
      </c>
      <c r="P119" s="30" t="inlineStr">
        <is>
          <t xml:space="preserve">1,000 - 2,500</t>
        </is>
      </c>
      <c r="Q119" s="30" t="inlineStr">
        <is>
          <t xml:space="preserve">Illinois</t>
        </is>
      </c>
      <c r="R119" s="30" t="inlineStr">
        <is>
          <t xml:space="preserve">60601</t>
        </is>
      </c>
      <c r="S119" s="32" t="inlineStr">
        <is>
          <t xml:space="preserve">Severe convective - hail / tornado (moderate)</t>
        </is>
      </c>
      <c r="T119" s="36">
        <f>IF($A119="","",IF($S119="","",IFERROR(INDEX('[1]natural catastrophe'!$D$6:$D$17,MATCH($S119,'[1]natural catastrophe'!$B$6:$B$17,0)),"?")))</f>
      </c>
      <c r="U119" s="30" t="inlineStr">
        <is>
          <t xml:space="preserve">$5,000</t>
        </is>
      </c>
      <c r="V119" s="32" t="inlineStr">
        <is>
          <t xml:space="preserve">Agreed Value</t>
        </is>
      </c>
      <c r="W119" s="30" t="inlineStr">
        <is>
          <t xml:space="preserve">$1,000</t>
        </is>
      </c>
      <c r="X119" s="32" t="inlineStr">
        <is>
          <t xml:space="preserve">$1,000,000 CSL</t>
        </is>
      </c>
      <c r="Y119" s="30"/>
      <c r="Z119" s="30"/>
      <c r="AA119" s="32" t="inlineStr">
        <is>
          <t xml:space="preserve">Surplus Lines</t>
        </is>
      </c>
      <c r="AB119" s="35">
        <v>7962.35</v>
      </c>
      <c r="AC119" s="37">
        <v>0</v>
      </c>
      <c r="AD119" s="38">
        <f>IF(ISNUMBER($AB119),$AB119*(1+N($AC119)),"")</f>
      </c>
      <c r="AE119" s="35">
        <v>350</v>
      </c>
      <c r="AF119" s="35">
        <v>0</v>
      </c>
      <c r="AG119" s="37"/>
      <c r="AH119" s="39">
        <f>IF(ISNUMBER($AD119),($AD119+$AE119+$AF119)*$AG119,"")</f>
      </c>
      <c r="AI119" s="35"/>
      <c r="AJ119" s="38">
        <f>IF(ISNUMBER($AD119),SUM($AD119:$AH119),"")</f>
      </c>
      <c r="AK119" s="40">
        <f>IF(AND(ISNUMBER($AB119),ISNUMBER($AD119)),IF($AB119&gt;0,$AD119/$AB119,""),"")</f>
      </c>
      <c r="AL119" s="32" t="inlineStr">
        <is>
          <t xml:space="preserve">At technical</t>
        </is>
      </c>
      <c r="AM119" s="41">
        <f>IF(ISNUMBER($AD119),Header!$I$3,"")</f>
      </c>
      <c r="AN119" s="39">
        <f>IF(ISNUMBER($AD119),$AO119+$AP119,"")</f>
      </c>
      <c r="AO119" s="39">
        <f>IF(ISNUMBER($AD119),ROUND($AD119*Header!$K$3,2),"")</f>
      </c>
      <c r="AP119" s="39">
        <f>IF(ISNUMBER($AD119),ROUND($AD119*Header!$M$3,2),"")</f>
      </c>
      <c r="AQ119" s="38">
        <f>IF(ISNUMBER($AD119),ROUND($AD119,2)-$AO119-$AP119,"")</f>
      </c>
      <c r="AR119" s="39">
        <f>IF(ISNUMBER($AD119),IF(Header!$D$34="","?",$AD119*Header!$D$34),"")</f>
      </c>
      <c r="AS119" s="39">
        <f>IF(ISNUMBER($AB119),IF(Header!$D$34="","?",$AB119*Header!$D$34),"")</f>
      </c>
      <c r="AT119" s="42">
        <f>IF(AND(ISNUMBER($AB119),$M119&gt;0),$AB119/$M119*100,"")</f>
      </c>
      <c r="AU119" s="42">
        <f>IF(AND(ISNUMBER($AD119),$M119&gt;0),$AD119/$M119*100,"")</f>
      </c>
      <c r="AV119" s="40">
        <f>IF(AND(ISNUMBER($AB119),ISNUMBER($AD119),ABS($AB119)&gt;0),$AD119/$AB119,"")</f>
      </c>
      <c r="AW119" s="39">
        <f>IF(ISNUMBER($AD119),MAX(0,(1-0.55-Header!$O$3)*Header!$Q$3*$AQ119),"")</f>
      </c>
      <c r="AX119" s="43">
        <f>IF($A119="","",IF(TRIM(IF($A119="","Missing certificate ref. ","") &amp; IF($C119="","Missing effective date. ","") &amp; IF($D119="","Missing binding status. ","") &amp; IF($E119="","Missing movement type. ","") &amp; IF($I119="","Missing make. ","") &amp; IF($L119="","Missing vehicle class. ","") &amp; IF($M119="","Missing agreed value. ","") &amp; IF($N119="","Missing policy type. ","") &amp; IF($Q119="","Missing garaging state. ","") &amp; IF($R119="","Missing garaging ZIP. ","") &amp; IF($S119="","Missing cat zone. ","") &amp; IF($V119="","Missing valuation basis. ","") &amp; IF($W119="","Missing PD deductible. ","") &amp; IF($X119="","Missing liability limit. ","") &amp; IF($AB119="","Missing technical premium. ","") &amp; IF($AF119="","Missing surplus lines tax %. ",""))="","PASS","FAIL: "&amp;TRIM(IF($A119="","Missing certificate ref. ","") &amp; IF($C119="","Missing effective date. ","") &amp; IF($D119="","Missing binding status. ","") &amp; IF($E119="","Missing movement type. ","") &amp; IF($I119="","Missing make. ","") &amp; IF($L119="","Missing vehicle class. ","") &amp; IF($M119="","Missing agreed value. ","") &amp; IF($N119="","Missing policy type. ","") &amp; IF($Q119="","Missing garaging state. ","") &amp; IF($R119="","Missing garaging ZIP. ","") &amp; IF($S119="","Missing cat zone. ","") &amp; IF($V119="","Missing valuation basis. ","") &amp; IF($W119="","Missing PD deductible. ","") &amp; IF($X119="","Missing liability limit. ","") &amp; IF($AB119="","Missing technical premium. ","") &amp; IF($AF119="","Missing surplus lines tax %. ",""))))</f>
      </c>
      <c r="AY119" s="44">
        <f>IF($M119="","",IF(ISNUMBER($M119),IF($M119&gt;=Header!$C$18,"YES — refer","No"),""))</f>
      </c>
      <c r="AZ119" s="44">
        <f>IF($AD119="","",IF(ISNUMBER($AD119),IF($AD119&lt;Header!$C$20,"BELOW MIN PREMIUM","OK"),""))</f>
      </c>
      <c r="BA119" s="32" t="inlineStr">
        <is>
          <t xml:space="preserve">Yes</t>
        </is>
      </c>
      <c r="BB119" s="32" t="inlineStr">
        <is>
          <t xml:space="preserve">Yes</t>
        </is>
      </c>
      <c r="BC119" s="30" t="inlineStr">
        <is>
          <t xml:space="preserve">Synthetic demo data</t>
        </is>
      </c>
      <c r="BE119" s="45">
        <f>IF(OR($A119="",$L119="",$H119=""),"",IF(AND(LEFT($L119,2)="06",$H119&gt;1945),"FAIL - pre-war class, year "&amp;$H119,IF(AND(LEFT($L119,2)="07",OR($H119&lt;1946,$H119&gt;1972)),"FAIL - 1946-72 class, year "&amp;$H119,IF(AND(LEFT($L119,2)="08",OR($H119&lt;1973,$H119&gt;1999)),"FAIL - 1973-99 class, year "&amp;$H119,IF(AND(LEFT($L119,2)="09",OR($H119&lt;2000,$H119&gt;2010)),"FAIL - 2000-10 class, year "&amp;$H119,"OK")))))</f>
      </c>
      <c r="BF119" s="45">
        <f>IF($AD119="","",IF(ROUND($AO119+$AP119+$AQ119-$AD119,2)=0,"OK","FAIL - out by "&amp;TEXT($AO119+$AP119+$AQ119-$AD119,"$0.00")))</f>
      </c>
    </row>
    <row r="120" spans="1:58" ht="18.75" customHeight="1" x14ac:dyDescent="0.25">
      <c r="A120" s="46" t="inlineStr">
        <is>
          <t xml:space="preserve">CANON-202511-002316</t>
        </is>
      </c>
      <c r="B120" s="46" t="inlineStr">
        <is>
          <t xml:space="preserve">Beatrix Farkas</t>
        </is>
      </c>
      <c r="C120" s="47">
        <v>45987</v>
      </c>
      <c r="D120" s="48" t="inlineStr">
        <is>
          <t xml:space="preserve">Bound - within authority</t>
        </is>
      </c>
      <c r="E120" s="48" t="inlineStr">
        <is>
          <t xml:space="preserve">New business</t>
        </is>
      </c>
      <c r="F120" s="46" t="inlineStr">
        <is>
          <t xml:space="preserve">B1234EXOTIC26</t>
        </is>
      </c>
      <c r="G120" s="33">
        <f>IF($A120="","",IF($C120="","",YEAR($C120)))</f>
      </c>
      <c r="H120" s="49">
        <v>2000</v>
      </c>
      <c r="I120" s="46" t="inlineStr">
        <is>
          <t xml:space="preserve">Jaguar</t>
        </is>
      </c>
      <c r="J120" s="46" t="inlineStr">
        <is>
          <t xml:space="preserve">E-Type Series 1</t>
        </is>
      </c>
      <c r="K120" s="46" t="inlineStr">
        <is>
          <t xml:space="preserve">F8YTKPGXSUC35XWEB</t>
        </is>
      </c>
      <c r="L120" s="48" t="inlineStr">
        <is>
          <t xml:space="preserve">09 - Youngtimer / Collectible (2000-2010)</t>
        </is>
      </c>
      <c r="M120" s="50">
        <v>660000</v>
      </c>
      <c r="N120" s="48" t="inlineStr">
        <is>
          <t xml:space="preserve">Personal</t>
        </is>
      </c>
      <c r="O120" s="46" t="inlineStr">
        <is>
          <t xml:space="preserve">Personal - regular use</t>
        </is>
      </c>
      <c r="P120" s="46" t="inlineStr">
        <is>
          <t xml:space="preserve">1,000 - 2,500</t>
        </is>
      </c>
      <c r="Q120" s="46" t="inlineStr">
        <is>
          <t xml:space="preserve">Arkansas</t>
        </is>
      </c>
      <c r="R120" s="46" t="inlineStr">
        <is>
          <t xml:space="preserve">72201</t>
        </is>
      </c>
      <c r="S120" s="48" t="inlineStr">
        <is>
          <t xml:space="preserve">Severe convective - hail / tornado (moderate)</t>
        </is>
      </c>
      <c r="T120" s="36">
        <f>IF($A120="","",IF($S120="","",IFERROR(INDEX('[1]natural catastrophe'!$D$6:$D$17,MATCH($S120,'[1]natural catastrophe'!$B$6:$B$17,0)),"?")))</f>
      </c>
      <c r="U120" s="46" t="inlineStr">
        <is>
          <t xml:space="preserve">$5,000</t>
        </is>
      </c>
      <c r="V120" s="48" t="inlineStr">
        <is>
          <t xml:space="preserve">Agreed Value</t>
        </is>
      </c>
      <c r="W120" s="46" t="inlineStr">
        <is>
          <t xml:space="preserve">$1,000</t>
        </is>
      </c>
      <c r="X120" s="48" t="inlineStr">
        <is>
          <t xml:space="preserve">$1,000,000 CSL</t>
        </is>
      </c>
      <c r="Y120" s="46"/>
      <c r="Z120" s="46"/>
      <c r="AA120" s="48" t="inlineStr">
        <is>
          <t xml:space="preserve">Surplus Lines</t>
        </is>
      </c>
      <c r="AB120" s="50">
        <v>6793.92</v>
      </c>
      <c r="AC120" s="51">
        <v>0</v>
      </c>
      <c r="AD120" s="38">
        <f>IF(ISNUMBER($AB120),$AB120*(1+N($AC120)),"")</f>
      </c>
      <c r="AE120" s="50">
        <v>350</v>
      </c>
      <c r="AF120" s="50">
        <v>0</v>
      </c>
      <c r="AG120" s="51"/>
      <c r="AH120" s="39">
        <f>IF(ISNUMBER($AD120),($AD120+$AE120+$AF120)*$AG120,"")</f>
      </c>
      <c r="AI120" s="50"/>
      <c r="AJ120" s="38">
        <f>IF(ISNUMBER($AD120),SUM($AD120:$AH120),"")</f>
      </c>
      <c r="AK120" s="40">
        <f>IF(AND(ISNUMBER($AB120),ISNUMBER($AD120)),IF($AB120&gt;0,$AD120/$AB120,""),"")</f>
      </c>
      <c r="AL120" s="48" t="inlineStr">
        <is>
          <t xml:space="preserve">At technical</t>
        </is>
      </c>
      <c r="AM120" s="41">
        <f>IF(ISNUMBER($AD120),Header!$I$3,"")</f>
      </c>
      <c r="AN120" s="39">
        <f>IF(ISNUMBER($AD120),$AO120+$AP120,"")</f>
      </c>
      <c r="AO120" s="39">
        <f>IF(ISNUMBER($AD120),ROUND($AD120*Header!$K$3,2),"")</f>
      </c>
      <c r="AP120" s="39">
        <f>IF(ISNUMBER($AD120),ROUND($AD120*Header!$M$3,2),"")</f>
      </c>
      <c r="AQ120" s="38">
        <f>IF(ISNUMBER($AD120),ROUND($AD120,2)-$AO120-$AP120,"")</f>
      </c>
      <c r="AR120" s="39">
        <f>IF(ISNUMBER($AD120),IF(Header!$D$34="","?",$AD120*Header!$D$34),"")</f>
      </c>
      <c r="AS120" s="39">
        <f>IF(ISNUMBER($AB120),IF(Header!$D$34="","?",$AB120*Header!$D$34),"")</f>
      </c>
      <c r="AT120" s="42">
        <f>IF(AND(ISNUMBER($AB120),$M120&gt;0),$AB120/$M120*100,"")</f>
      </c>
      <c r="AU120" s="42">
        <f>IF(AND(ISNUMBER($AD120),$M120&gt;0),$AD120/$M120*100,"")</f>
      </c>
      <c r="AV120" s="40">
        <f>IF(AND(ISNUMBER($AB120),ISNUMBER($AD120),ABS($AB120)&gt;0),$AD120/$AB120,"")</f>
      </c>
      <c r="AW120" s="39">
        <f>IF(ISNUMBER($AD120),MAX(0,(1-0.55-Header!$O$3)*Header!$Q$3*$AQ120),"")</f>
      </c>
      <c r="AX120" s="43">
        <f>IF($A120="","",IF(TRIM(IF($A120="","Missing certificate ref. ","") &amp; IF($C120="","Missing effective date. ","") &amp; IF($D120="","Missing binding status. ","") &amp; IF($E120="","Missing movement type. ","") &amp; IF($I120="","Missing make. ","") &amp; IF($L120="","Missing vehicle class. ","") &amp; IF($M120="","Missing agreed value. ","") &amp; IF($N120="","Missing policy type. ","") &amp; IF($Q120="","Missing garaging state. ","") &amp; IF($R120="","Missing garaging ZIP. ","") &amp; IF($S120="","Missing cat zone. ","") &amp; IF($V120="","Missing valuation basis. ","") &amp; IF($W120="","Missing PD deductible. ","") &amp; IF($X120="","Missing liability limit. ","") &amp; IF($AB120="","Missing technical premium. ","") &amp; IF($AF120="","Missing surplus lines tax %. ",""))="","PASS","FAIL: "&amp;TRIM(IF($A120="","Missing certificate ref. ","") &amp; IF($C120="","Missing effective date. ","") &amp; IF($D120="","Missing binding status. ","") &amp; IF($E120="","Missing movement type. ","") &amp; IF($I120="","Missing make. ","") &amp; IF($L120="","Missing vehicle class. ","") &amp; IF($M120="","Missing agreed value. ","") &amp; IF($N120="","Missing policy type. ","") &amp; IF($Q120="","Missing garaging state. ","") &amp; IF($R120="","Missing garaging ZIP. ","") &amp; IF($S120="","Missing cat zone. ","") &amp; IF($V120="","Missing valuation basis. ","") &amp; IF($W120="","Missing PD deductible. ","") &amp; IF($X120="","Missing liability limit. ","") &amp; IF($AB120="","Missing technical premium. ","") &amp; IF($AF120="","Missing surplus lines tax %. ",""))))</f>
      </c>
      <c r="AY120" s="44">
        <f>IF($M120="","",IF(ISNUMBER($M120),IF($M120&gt;=Header!$C$18,"YES — refer","No"),""))</f>
      </c>
      <c r="AZ120" s="44">
        <f>IF($AD120="","",IF(ISNUMBER($AD120),IF($AD120&lt;Header!$C$20,"BELOW MIN PREMIUM","OK"),""))</f>
      </c>
      <c r="BA120" s="48" t="inlineStr">
        <is>
          <t xml:space="preserve">Yes</t>
        </is>
      </c>
      <c r="BB120" s="48" t="inlineStr">
        <is>
          <t xml:space="preserve">Yes</t>
        </is>
      </c>
      <c r="BC120" s="46" t="inlineStr">
        <is>
          <t xml:space="preserve">Synthetic demo data</t>
        </is>
      </c>
      <c r="BE120" s="45">
        <f>IF(OR($A120="",$L120="",$H120=""),"",IF(AND(LEFT($L120,2)="06",$H120&gt;1945),"FAIL - pre-war class, year "&amp;$H120,IF(AND(LEFT($L120,2)="07",OR($H120&lt;1946,$H120&gt;1972)),"FAIL - 1946-72 class, year "&amp;$H120,IF(AND(LEFT($L120,2)="08",OR($H120&lt;1973,$H120&gt;1999)),"FAIL - 1973-99 class, year "&amp;$H120,IF(AND(LEFT($L120,2)="09",OR($H120&lt;2000,$H120&gt;2010)),"FAIL - 2000-10 class, year "&amp;$H120,"OK")))))</f>
      </c>
      <c r="BF120" s="45">
        <f>IF($AD120="","",IF(ROUND($AO120+$AP120+$AQ120-$AD120,2)=0,"OK","FAIL - out by "&amp;TEXT($AO120+$AP120+$AQ120-$AD120,"$0.00")))</f>
      </c>
    </row>
    <row r="121" spans="1:58" ht="18.75" customHeight="1" x14ac:dyDescent="0.25">
      <c r="A121" s="30" t="inlineStr">
        <is>
          <t xml:space="preserve">CANON-202511-002318</t>
        </is>
      </c>
      <c r="B121" s="30" t="inlineStr">
        <is>
          <t xml:space="preserve">Thaddeus Delacroix</t>
        </is>
      </c>
      <c r="C121" s="31">
        <v>45962</v>
      </c>
      <c r="D121" s="32" t="inlineStr">
        <is>
          <t xml:space="preserve">Bound - within authority</t>
        </is>
      </c>
      <c r="E121" s="32" t="inlineStr">
        <is>
          <t xml:space="preserve">New business</t>
        </is>
      </c>
      <c r="F121" s="30" t="inlineStr">
        <is>
          <t xml:space="preserve">B1234EXOTIC26</t>
        </is>
      </c>
      <c r="G121" s="33">
        <f>IF($A121="","",IF($C121="","",YEAR($C121)))</f>
      </c>
      <c r="H121" s="34">
        <v>1956</v>
      </c>
      <c r="I121" s="30" t="inlineStr">
        <is>
          <t xml:space="preserve">Maserati</t>
        </is>
      </c>
      <c r="J121" s="30" t="inlineStr">
        <is>
          <t xml:space="preserve">GranTurismo</t>
        </is>
      </c>
      <c r="K121" s="30" t="inlineStr">
        <is>
          <t xml:space="preserve">RKMS6L5NE4AT94371</t>
        </is>
      </c>
      <c r="L121" s="32" t="inlineStr">
        <is>
          <t xml:space="preserve">02 - Sports / GT</t>
        </is>
      </c>
      <c r="M121" s="35">
        <v>400000</v>
      </c>
      <c r="N121" s="32" t="inlineStr">
        <is>
          <t xml:space="preserve">Personal</t>
        </is>
      </c>
      <c r="O121" s="30" t="inlineStr">
        <is>
          <t xml:space="preserve">Personal - regular use</t>
        </is>
      </c>
      <c r="P121" s="30" t="inlineStr">
        <is>
          <t xml:space="preserve">2,500 - 5,000</t>
        </is>
      </c>
      <c r="Q121" s="30" t="inlineStr">
        <is>
          <t xml:space="preserve">Wyoming</t>
        </is>
      </c>
      <c r="R121" s="30" t="inlineStr">
        <is>
          <t xml:space="preserve">82001</t>
        </is>
      </c>
      <c r="S121" s="32" t="inlineStr">
        <is>
          <t xml:space="preserve">Severe convective - hail alley (high)</t>
        </is>
      </c>
      <c r="T121" s="36">
        <f>IF($A121="","",IF($S121="","",IFERROR(INDEX('[1]natural catastrophe'!$D$6:$D$17,MATCH($S121,'[1]natural catastrophe'!$B$6:$B$17,0)),"?")))</f>
      </c>
      <c r="U121" s="30" t="inlineStr">
        <is>
          <t xml:space="preserve">$5,000</t>
        </is>
      </c>
      <c r="V121" s="32" t="inlineStr">
        <is>
          <t xml:space="preserve">Agreed Value</t>
        </is>
      </c>
      <c r="W121" s="30" t="inlineStr">
        <is>
          <t xml:space="preserve">$1,000</t>
        </is>
      </c>
      <c r="X121" s="32" t="inlineStr">
        <is>
          <t xml:space="preserve">$1,000,000 CSL</t>
        </is>
      </c>
      <c r="Y121" s="30"/>
      <c r="Z121" s="30"/>
      <c r="AA121" s="32" t="inlineStr">
        <is>
          <t xml:space="preserve">Surplus Lines</t>
        </is>
      </c>
      <c r="AB121" s="35">
        <v>5568.44</v>
      </c>
      <c r="AC121" s="37">
        <v>0</v>
      </c>
      <c r="AD121" s="38">
        <f>IF(ISNUMBER($AB121),$AB121*(1+N($AC121)),"")</f>
      </c>
      <c r="AE121" s="35">
        <v>350</v>
      </c>
      <c r="AF121" s="35">
        <v>0</v>
      </c>
      <c r="AG121" s="37"/>
      <c r="AH121" s="39">
        <f>IF(ISNUMBER($AD121),($AD121+$AE121+$AF121)*$AG121,"")</f>
      </c>
      <c r="AI121" s="35"/>
      <c r="AJ121" s="38">
        <f>IF(ISNUMBER($AD121),SUM($AD121:$AH121),"")</f>
      </c>
      <c r="AK121" s="40">
        <f>IF(AND(ISNUMBER($AB121),ISNUMBER($AD121)),IF($AB121&gt;0,$AD121/$AB121,""),"")</f>
      </c>
      <c r="AL121" s="32" t="inlineStr">
        <is>
          <t xml:space="preserve">At technical</t>
        </is>
      </c>
      <c r="AM121" s="41">
        <f>IF(ISNUMBER($AD121),Header!$I$3,"")</f>
      </c>
      <c r="AN121" s="39">
        <f>IF(ISNUMBER($AD121),$AO121+$AP121,"")</f>
      </c>
      <c r="AO121" s="39">
        <f>IF(ISNUMBER($AD121),ROUND($AD121*Header!$K$3,2),"")</f>
      </c>
      <c r="AP121" s="39">
        <f>IF(ISNUMBER($AD121),ROUND($AD121*Header!$M$3,2),"")</f>
      </c>
      <c r="AQ121" s="38">
        <f>IF(ISNUMBER($AD121),ROUND($AD121,2)-$AO121-$AP121,"")</f>
      </c>
      <c r="AR121" s="39">
        <f>IF(ISNUMBER($AD121),IF(Header!$D$34="","?",$AD121*Header!$D$34),"")</f>
      </c>
      <c r="AS121" s="39">
        <f>IF(ISNUMBER($AB121),IF(Header!$D$34="","?",$AB121*Header!$D$34),"")</f>
      </c>
      <c r="AT121" s="42">
        <f>IF(AND(ISNUMBER($AB121),$M121&gt;0),$AB121/$M121*100,"")</f>
      </c>
      <c r="AU121" s="42">
        <f>IF(AND(ISNUMBER($AD121),$M121&gt;0),$AD121/$M121*100,"")</f>
      </c>
      <c r="AV121" s="40">
        <f>IF(AND(ISNUMBER($AB121),ISNUMBER($AD121),ABS($AB121)&gt;0),$AD121/$AB121,"")</f>
      </c>
      <c r="AW121" s="39">
        <f>IF(ISNUMBER($AD121),MAX(0,(1-0.55-Header!$O$3)*Header!$Q$3*$AQ121),"")</f>
      </c>
      <c r="AX121" s="43">
        <f>IF($A121="","",IF(TRIM(IF($A121="","Missing certificate ref. ","") &amp; IF($C121="","Missing effective date. ","") &amp; IF($D121="","Missing binding status. ","") &amp; IF($E121="","Missing movement type. ","") &amp; IF($I121="","Missing make. ","") &amp; IF($L121="","Missing vehicle class. ","") &amp; IF($M121="","Missing agreed value. ","") &amp; IF($N121="","Missing policy type. ","") &amp; IF($Q121="","Missing garaging state. ","") &amp; IF($R121="","Missing garaging ZIP. ","") &amp; IF($S121="","Missing cat zone. ","") &amp; IF($V121="","Missing valuation basis. ","") &amp; IF($W121="","Missing PD deductible. ","") &amp; IF($X121="","Missing liability limit. ","") &amp; IF($AB121="","Missing technical premium. ","") &amp; IF($AF121="","Missing surplus lines tax %. ",""))="","PASS","FAIL: "&amp;TRIM(IF($A121="","Missing certificate ref. ","") &amp; IF($C121="","Missing effective date. ","") &amp; IF($D121="","Missing binding status. ","") &amp; IF($E121="","Missing movement type. ","") &amp; IF($I121="","Missing make. ","") &amp; IF($L121="","Missing vehicle class. ","") &amp; IF($M121="","Missing agreed value. ","") &amp; IF($N121="","Missing policy type. ","") &amp; IF($Q121="","Missing garaging state. ","") &amp; IF($R121="","Missing garaging ZIP. ","") &amp; IF($S121="","Missing cat zone. ","") &amp; IF($V121="","Missing valuation basis. ","") &amp; IF($W121="","Missing PD deductible. ","") &amp; IF($X121="","Missing liability limit. ","") &amp; IF($AB121="","Missing technical premium. ","") &amp; IF($AF121="","Missing surplus lines tax %. ",""))))</f>
      </c>
      <c r="AY121" s="44">
        <f>IF($M121="","",IF(ISNUMBER($M121),IF($M121&gt;=Header!$C$18,"YES — refer","No"),""))</f>
      </c>
      <c r="AZ121" s="44">
        <f>IF($AD121="","",IF(ISNUMBER($AD121),IF($AD121&lt;Header!$C$20,"BELOW MIN PREMIUM","OK"),""))</f>
      </c>
      <c r="BA121" s="32" t="inlineStr">
        <is>
          <t xml:space="preserve">Yes</t>
        </is>
      </c>
      <c r="BB121" s="32" t="inlineStr">
        <is>
          <t xml:space="preserve">Yes</t>
        </is>
      </c>
      <c r="BC121" s="30" t="inlineStr">
        <is>
          <t xml:space="preserve">Synthetic demo data</t>
        </is>
      </c>
      <c r="BE121" s="45">
        <f>IF(OR($A121="",$L121="",$H121=""),"",IF(AND(LEFT($L121,2)="06",$H121&gt;1945),"FAIL - pre-war class, year "&amp;$H121,IF(AND(LEFT($L121,2)="07",OR($H121&lt;1946,$H121&gt;1972)),"FAIL - 1946-72 class, year "&amp;$H121,IF(AND(LEFT($L121,2)="08",OR($H121&lt;1973,$H121&gt;1999)),"FAIL - 1973-99 class, year "&amp;$H121,IF(AND(LEFT($L121,2)="09",OR($H121&lt;2000,$H121&gt;2010)),"FAIL - 2000-10 class, year "&amp;$H121,"OK")))))</f>
      </c>
      <c r="BF121" s="45">
        <f>IF($AD121="","",IF(ROUND($AO121+$AP121+$AQ121-$AD121,2)=0,"OK","FAIL - out by "&amp;TEXT($AO121+$AP121+$AQ121-$AD121,"$0.00")))</f>
      </c>
    </row>
    <row r="122" spans="1:58" ht="18.75" customHeight="1" x14ac:dyDescent="0.25">
      <c r="A122" s="46" t="inlineStr">
        <is>
          <t xml:space="preserve">CANON-202511-002319</t>
        </is>
      </c>
      <c r="B122" s="46" t="inlineStr">
        <is>
          <t xml:space="preserve">Ingrid Blackwood</t>
        </is>
      </c>
      <c r="C122" s="47">
        <v>45988</v>
      </c>
      <c r="D122" s="48" t="inlineStr">
        <is>
          <t xml:space="preserve">Bound - within authority</t>
        </is>
      </c>
      <c r="E122" s="48" t="inlineStr">
        <is>
          <t xml:space="preserve">New business</t>
        </is>
      </c>
      <c r="F122" s="46" t="inlineStr">
        <is>
          <t xml:space="preserve">B1234EXOTIC26</t>
        </is>
      </c>
      <c r="G122" s="33">
        <f>IF($A122="","",IF($C122="","",YEAR($C122)))</f>
      </c>
      <c r="H122" s="49">
        <v>1965</v>
      </c>
      <c r="I122" s="46" t="inlineStr">
        <is>
          <t xml:space="preserve">Lamborghini</t>
        </is>
      </c>
      <c r="J122" s="46" t="inlineStr">
        <is>
          <t xml:space="preserve">Huracan EVO</t>
        </is>
      </c>
      <c r="K122" s="46" t="inlineStr">
        <is>
          <t xml:space="preserve">G2615W8RMW4S715PX</t>
        </is>
      </c>
      <c r="L122" s="48" t="inlineStr">
        <is>
          <t xml:space="preserve">03 - Supercar</t>
        </is>
      </c>
      <c r="M122" s="50">
        <v>780000</v>
      </c>
      <c r="N122" s="48" t="inlineStr">
        <is>
          <t xml:space="preserve">Personal</t>
        </is>
      </c>
      <c r="O122" s="46" t="inlineStr">
        <is>
          <t xml:space="preserve">Personal - regular use</t>
        </is>
      </c>
      <c r="P122" s="46" t="inlineStr">
        <is>
          <t xml:space="preserve">2,500 - 5,000</t>
        </is>
      </c>
      <c r="Q122" s="46" t="inlineStr">
        <is>
          <t xml:space="preserve">Florida</t>
        </is>
      </c>
      <c r="R122" s="46" t="inlineStr">
        <is>
          <t xml:space="preserve">33139</t>
        </is>
      </c>
      <c r="S122" s="48" t="inlineStr">
        <is>
          <t xml:space="preserve">Tier 2 - Coastal wind (1-25 miles)</t>
        </is>
      </c>
      <c r="T122" s="36">
        <f>IF($A122="","",IF($S122="","",IFERROR(INDEX('[1]natural catastrophe'!$D$6:$D$17,MATCH($S122,'[1]natural catastrophe'!$B$6:$B$17,0)),"?")))</f>
      </c>
      <c r="U122" s="46" t="inlineStr">
        <is>
          <t xml:space="preserve">2% of agreed value, minimum $10,000</t>
        </is>
      </c>
      <c r="V122" s="48" t="inlineStr">
        <is>
          <t xml:space="preserve">Agreed Value</t>
        </is>
      </c>
      <c r="W122" s="46" t="inlineStr">
        <is>
          <t xml:space="preserve">$1,000</t>
        </is>
      </c>
      <c r="X122" s="48" t="inlineStr">
        <is>
          <t xml:space="preserve">$1,000,000 CSL</t>
        </is>
      </c>
      <c r="Y122" s="46"/>
      <c r="Z122" s="46"/>
      <c r="AA122" s="48" t="inlineStr">
        <is>
          <t xml:space="preserve">Surplus Lines</t>
        </is>
      </c>
      <c r="AB122" s="50">
        <v>18253.04</v>
      </c>
      <c r="AC122" s="51">
        <v>0</v>
      </c>
      <c r="AD122" s="38">
        <f>IF(ISNUMBER($AB122),$AB122*(1+N($AC122)),"")</f>
      </c>
      <c r="AE122" s="50">
        <v>350</v>
      </c>
      <c r="AF122" s="50">
        <v>0</v>
      </c>
      <c r="AG122" s="51"/>
      <c r="AH122" s="39">
        <f>IF(ISNUMBER($AD122),($AD122+$AE122+$AF122)*$AG122,"")</f>
      </c>
      <c r="AI122" s="50"/>
      <c r="AJ122" s="38">
        <f>IF(ISNUMBER($AD122),SUM($AD122:$AH122),"")</f>
      </c>
      <c r="AK122" s="40">
        <f>IF(AND(ISNUMBER($AB122),ISNUMBER($AD122)),IF($AB122&gt;0,$AD122/$AB122,""),"")</f>
      </c>
      <c r="AL122" s="48" t="inlineStr">
        <is>
          <t xml:space="preserve">At technical</t>
        </is>
      </c>
      <c r="AM122" s="41">
        <f>IF(ISNUMBER($AD122),Header!$I$3,"")</f>
      </c>
      <c r="AN122" s="39">
        <f>IF(ISNUMBER($AD122),$AO122+$AP122,"")</f>
      </c>
      <c r="AO122" s="39">
        <f>IF(ISNUMBER($AD122),ROUND($AD122*Header!$K$3,2),"")</f>
      </c>
      <c r="AP122" s="39">
        <f>IF(ISNUMBER($AD122),ROUND($AD122*Header!$M$3,2),"")</f>
      </c>
      <c r="AQ122" s="38">
        <f>IF(ISNUMBER($AD122),ROUND($AD122,2)-$AO122-$AP122,"")</f>
      </c>
      <c r="AR122" s="39">
        <f>IF(ISNUMBER($AD122),IF(Header!$D$34="","?",$AD122*Header!$D$34),"")</f>
      </c>
      <c r="AS122" s="39">
        <f>IF(ISNUMBER($AB122),IF(Header!$D$34="","?",$AB122*Header!$D$34),"")</f>
      </c>
      <c r="AT122" s="42">
        <f>IF(AND(ISNUMBER($AB122),$M122&gt;0),$AB122/$M122*100,"")</f>
      </c>
      <c r="AU122" s="42">
        <f>IF(AND(ISNUMBER($AD122),$M122&gt;0),$AD122/$M122*100,"")</f>
      </c>
      <c r="AV122" s="40">
        <f>IF(AND(ISNUMBER($AB122),ISNUMBER($AD122),ABS($AB122)&gt;0),$AD122/$AB122,"")</f>
      </c>
      <c r="AW122" s="39">
        <f>IF(ISNUMBER($AD122),MAX(0,(1-0.55-Header!$O$3)*Header!$Q$3*$AQ122),"")</f>
      </c>
      <c r="AX122" s="43">
        <f>IF($A122="","",IF(TRIM(IF($A122="","Missing certificate ref. ","") &amp; IF($C122="","Missing effective date. ","") &amp; IF($D122="","Missing binding status. ","") &amp; IF($E122="","Missing movement type. ","") &amp; IF($I122="","Missing make. ","") &amp; IF($L122="","Missing vehicle class. ","") &amp; IF($M122="","Missing agreed value. ","") &amp; IF($N122="","Missing policy type. ","") &amp; IF($Q122="","Missing garaging state. ","") &amp; IF($R122="","Missing garaging ZIP. ","") &amp; IF($S122="","Missing cat zone. ","") &amp; IF($V122="","Missing valuation basis. ","") &amp; IF($W122="","Missing PD deductible. ","") &amp; IF($X122="","Missing liability limit. ","") &amp; IF($AB122="","Missing technical premium. ","") &amp; IF($AF122="","Missing surplus lines tax %. ",""))="","PASS","FAIL: "&amp;TRIM(IF($A122="","Missing certificate ref. ","") &amp; IF($C122="","Missing effective date. ","") &amp; IF($D122="","Missing binding status. ","") &amp; IF($E122="","Missing movement type. ","") &amp; IF($I122="","Missing make. ","") &amp; IF($L122="","Missing vehicle class. ","") &amp; IF($M122="","Missing agreed value. ","") &amp; IF($N122="","Missing policy type. ","") &amp; IF($Q122="","Missing garaging state. ","") &amp; IF($R122="","Missing garaging ZIP. ","") &amp; IF($S122="","Missing cat zone. ","") &amp; IF($V122="","Missing valuation basis. ","") &amp; IF($W122="","Missing PD deductible. ","") &amp; IF($X122="","Missing liability limit. ","") &amp; IF($AB122="","Missing technical premium. ","") &amp; IF($AF122="","Missing surplus lines tax %. ",""))))</f>
      </c>
      <c r="AY122" s="44">
        <f>IF($M122="","",IF(ISNUMBER($M122),IF($M122&gt;=Header!$C$18,"YES — refer","No"),""))</f>
      </c>
      <c r="AZ122" s="44">
        <f>IF($AD122="","",IF(ISNUMBER($AD122),IF($AD122&lt;Header!$C$20,"BELOW MIN PREMIUM","OK"),""))</f>
      </c>
      <c r="BA122" s="48" t="inlineStr">
        <is>
          <t xml:space="preserve">Yes</t>
        </is>
      </c>
      <c r="BB122" s="48" t="inlineStr">
        <is>
          <t xml:space="preserve">Yes</t>
        </is>
      </c>
      <c r="BC122" s="46" t="inlineStr">
        <is>
          <t xml:space="preserve">Synthetic demo data</t>
        </is>
      </c>
      <c r="BE122" s="45">
        <f>IF(OR($A122="",$L122="",$H122=""),"",IF(AND(LEFT($L122,2)="06",$H122&gt;1945),"FAIL - pre-war class, year "&amp;$H122,IF(AND(LEFT($L122,2)="07",OR($H122&lt;1946,$H122&gt;1972)),"FAIL - 1946-72 class, year "&amp;$H122,IF(AND(LEFT($L122,2)="08",OR($H122&lt;1973,$H122&gt;1999)),"FAIL - 1973-99 class, year "&amp;$H122,IF(AND(LEFT($L122,2)="09",OR($H122&lt;2000,$H122&gt;2010)),"FAIL - 2000-10 class, year "&amp;$H122,"OK")))))</f>
      </c>
      <c r="BF122" s="45">
        <f>IF($AD122="","",IF(ROUND($AO122+$AP122+$AQ122-$AD122,2)=0,"OK","FAIL - out by "&amp;TEXT($AO122+$AP122+$AQ122-$AD122,"$0.00")))</f>
      </c>
    </row>
    <row r="123" spans="1:58" ht="18.75" customHeight="1" x14ac:dyDescent="0.25">
      <c r="A123" s="30" t="inlineStr">
        <is>
          <t xml:space="preserve">CANON-202511-002320</t>
        </is>
      </c>
      <c r="B123" s="30" t="inlineStr">
        <is>
          <t xml:space="preserve">Ingrid Larsson</t>
        </is>
      </c>
      <c r="C123" s="31">
        <v>45972</v>
      </c>
      <c r="D123" s="32" t="inlineStr">
        <is>
          <t xml:space="preserve">Bound - within authority</t>
        </is>
      </c>
      <c r="E123" s="32" t="inlineStr">
        <is>
          <t xml:space="preserve">New business</t>
        </is>
      </c>
      <c r="F123" s="30" t="inlineStr">
        <is>
          <t xml:space="preserve">B1234EXOTIC26</t>
        </is>
      </c>
      <c r="G123" s="33">
        <f>IF($A123="","",IF($C123="","",YEAR($C123)))</f>
      </c>
      <c r="H123" s="34">
        <v>1984</v>
      </c>
      <c r="I123" s="30" t="inlineStr">
        <is>
          <t xml:space="preserve">Aston Martin</t>
        </is>
      </c>
      <c r="J123" s="30" t="inlineStr">
        <is>
          <t xml:space="preserve">DB12</t>
        </is>
      </c>
      <c r="K123" s="30" t="inlineStr">
        <is>
          <t xml:space="preserve">YM98SSRHHDK20M939</t>
        </is>
      </c>
      <c r="L123" s="32" t="inlineStr">
        <is>
          <t xml:space="preserve">02 - Sports / GT</t>
        </is>
      </c>
      <c r="M123" s="35">
        <v>370000</v>
      </c>
      <c r="N123" s="32" t="inlineStr">
        <is>
          <t xml:space="preserve">Personal</t>
        </is>
      </c>
      <c r="O123" s="30" t="inlineStr">
        <is>
          <t xml:space="preserve">Personal - regular use</t>
        </is>
      </c>
      <c r="P123" s="30" t="inlineStr">
        <is>
          <t xml:space="preserve">2,500 - 5,000</t>
        </is>
      </c>
      <c r="Q123" s="30" t="inlineStr">
        <is>
          <t xml:space="preserve">Oregon</t>
        </is>
      </c>
      <c r="R123" s="30" t="inlineStr">
        <is>
          <t xml:space="preserve">97204</t>
        </is>
      </c>
      <c r="S123" s="32" t="inlineStr">
        <is>
          <t xml:space="preserve">Earthquake - high (CA, Cascadia, New Madrid)</t>
        </is>
      </c>
      <c r="T123" s="36">
        <f>IF($A123="","",IF($S123="","",IFERROR(INDEX('[1]natural catastrophe'!$D$6:$D$17,MATCH($S123,'[1]natural catastrophe'!$B$6:$B$17,0)),"?")))</f>
      </c>
      <c r="U123" s="30" t="inlineStr">
        <is>
          <t xml:space="preserve">$5,000</t>
        </is>
      </c>
      <c r="V123" s="32" t="inlineStr">
        <is>
          <t xml:space="preserve">Agreed Value</t>
        </is>
      </c>
      <c r="W123" s="30" t="inlineStr">
        <is>
          <t xml:space="preserve">$1,000</t>
        </is>
      </c>
      <c r="X123" s="32" t="inlineStr">
        <is>
          <t xml:space="preserve">$1,000,000 CSL</t>
        </is>
      </c>
      <c r="Y123" s="30"/>
      <c r="Z123" s="30"/>
      <c r="AA123" s="32" t="inlineStr">
        <is>
          <t xml:space="preserve">Surplus Lines</t>
        </is>
      </c>
      <c r="AB123" s="35">
        <v>5439.64</v>
      </c>
      <c r="AC123" s="37">
        <v>0</v>
      </c>
      <c r="AD123" s="38">
        <f>IF(ISNUMBER($AB123),$AB123*(1+N($AC123)),"")</f>
      </c>
      <c r="AE123" s="35">
        <v>350</v>
      </c>
      <c r="AF123" s="35">
        <v>0</v>
      </c>
      <c r="AG123" s="37"/>
      <c r="AH123" s="39">
        <f>IF(ISNUMBER($AD123),($AD123+$AE123+$AF123)*$AG123,"")</f>
      </c>
      <c r="AI123" s="35"/>
      <c r="AJ123" s="38">
        <f>IF(ISNUMBER($AD123),SUM($AD123:$AH123),"")</f>
      </c>
      <c r="AK123" s="40">
        <f>IF(AND(ISNUMBER($AB123),ISNUMBER($AD123)),IF($AB123&gt;0,$AD123/$AB123,""),"")</f>
      </c>
      <c r="AL123" s="32" t="inlineStr">
        <is>
          <t xml:space="preserve">At technical</t>
        </is>
      </c>
      <c r="AM123" s="41">
        <f>IF(ISNUMBER($AD123),Header!$I$3,"")</f>
      </c>
      <c r="AN123" s="39">
        <f>IF(ISNUMBER($AD123),$AO123+$AP123,"")</f>
      </c>
      <c r="AO123" s="39">
        <f>IF(ISNUMBER($AD123),ROUND($AD123*Header!$K$3,2),"")</f>
      </c>
      <c r="AP123" s="39">
        <f>IF(ISNUMBER($AD123),ROUND($AD123*Header!$M$3,2),"")</f>
      </c>
      <c r="AQ123" s="38">
        <f>IF(ISNUMBER($AD123),ROUND($AD123,2)-$AO123-$AP123,"")</f>
      </c>
      <c r="AR123" s="39">
        <f>IF(ISNUMBER($AD123),IF(Header!$D$34="","?",$AD123*Header!$D$34),"")</f>
      </c>
      <c r="AS123" s="39">
        <f>IF(ISNUMBER($AB123),IF(Header!$D$34="","?",$AB123*Header!$D$34),"")</f>
      </c>
      <c r="AT123" s="42">
        <f>IF(AND(ISNUMBER($AB123),$M123&gt;0),$AB123/$M123*100,"")</f>
      </c>
      <c r="AU123" s="42">
        <f>IF(AND(ISNUMBER($AD123),$M123&gt;0),$AD123/$M123*100,"")</f>
      </c>
      <c r="AV123" s="40">
        <f>IF(AND(ISNUMBER($AB123),ISNUMBER($AD123),ABS($AB123)&gt;0),$AD123/$AB123,"")</f>
      </c>
      <c r="AW123" s="39">
        <f>IF(ISNUMBER($AD123),MAX(0,(1-0.55-Header!$O$3)*Header!$Q$3*$AQ123),"")</f>
      </c>
      <c r="AX123" s="43">
        <f>IF($A123="","",IF(TRIM(IF($A123="","Missing certificate ref. ","") &amp; IF($C123="","Missing effective date. ","") &amp; IF($D123="","Missing binding status. ","") &amp; IF($E123="","Missing movement type. ","") &amp; IF($I123="","Missing make. ","") &amp; IF($L123="","Missing vehicle class. ","") &amp; IF($M123="","Missing agreed value. ","") &amp; IF($N123="","Missing policy type. ","") &amp; IF($Q123="","Missing garaging state. ","") &amp; IF($R123="","Missing garaging ZIP. ","") &amp; IF($S123="","Missing cat zone. ","") &amp; IF($V123="","Missing valuation basis. ","") &amp; IF($W123="","Missing PD deductible. ","") &amp; IF($X123="","Missing liability limit. ","") &amp; IF($AB123="","Missing technical premium. ","") &amp; IF($AF123="","Missing surplus lines tax %. ",""))="","PASS","FAIL: "&amp;TRIM(IF($A123="","Missing certificate ref. ","") &amp; IF($C123="","Missing effective date. ","") &amp; IF($D123="","Missing binding status. ","") &amp; IF($E123="","Missing movement type. ","") &amp; IF($I123="","Missing make. ","") &amp; IF($L123="","Missing vehicle class. ","") &amp; IF($M123="","Missing agreed value. ","") &amp; IF($N123="","Missing policy type. ","") &amp; IF($Q123="","Missing garaging state. ","") &amp; IF($R123="","Missing garaging ZIP. ","") &amp; IF($S123="","Missing cat zone. ","") &amp; IF($V123="","Missing valuation basis. ","") &amp; IF($W123="","Missing PD deductible. ","") &amp; IF($X123="","Missing liability limit. ","") &amp; IF($AB123="","Missing technical premium. ","") &amp; IF($AF123="","Missing surplus lines tax %. ",""))))</f>
      </c>
      <c r="AY123" s="44">
        <f>IF($M123="","",IF(ISNUMBER($M123),IF($M123&gt;=Header!$C$18,"YES — refer","No"),""))</f>
      </c>
      <c r="AZ123" s="44">
        <f>IF($AD123="","",IF(ISNUMBER($AD123),IF($AD123&lt;Header!$C$20,"BELOW MIN PREMIUM","OK"),""))</f>
      </c>
      <c r="BA123" s="32" t="inlineStr">
        <is>
          <t xml:space="preserve">Yes</t>
        </is>
      </c>
      <c r="BB123" s="32" t="inlineStr">
        <is>
          <t xml:space="preserve">Yes</t>
        </is>
      </c>
      <c r="BC123" s="30" t="inlineStr">
        <is>
          <t xml:space="preserve">Synthetic demo data</t>
        </is>
      </c>
      <c r="BE123" s="45">
        <f>IF(OR($A123="",$L123="",$H123=""),"",IF(AND(LEFT($L123,2)="06",$H123&gt;1945),"FAIL - pre-war class, year "&amp;$H123,IF(AND(LEFT($L123,2)="07",OR($H123&lt;1946,$H123&gt;1972)),"FAIL - 1946-72 class, year "&amp;$H123,IF(AND(LEFT($L123,2)="08",OR($H123&lt;1973,$H123&gt;1999)),"FAIL - 1973-99 class, year "&amp;$H123,IF(AND(LEFT($L123,2)="09",OR($H123&lt;2000,$H123&gt;2010)),"FAIL - 2000-10 class, year "&amp;$H123,"OK")))))</f>
      </c>
      <c r="BF123" s="45">
        <f>IF($AD123="","",IF(ROUND($AO123+$AP123+$AQ123-$AD123,2)=0,"OK","FAIL - out by "&amp;TEXT($AO123+$AP123+$AQ123-$AD123,"$0.00")))</f>
      </c>
    </row>
    <row r="124" spans="1:58" ht="18.75" customHeight="1" x14ac:dyDescent="0.25">
      <c r="A124" s="46" t="inlineStr">
        <is>
          <t xml:space="preserve">CANON-202511-002321</t>
        </is>
      </c>
      <c r="B124" s="46" t="inlineStr">
        <is>
          <t xml:space="preserve">Anouk Pennington</t>
        </is>
      </c>
      <c r="C124" s="47">
        <v>45970</v>
      </c>
      <c r="D124" s="48" t="inlineStr">
        <is>
          <t xml:space="preserve">Bound - within authority</t>
        </is>
      </c>
      <c r="E124" s="48" t="inlineStr">
        <is>
          <t xml:space="preserve">New business</t>
        </is>
      </c>
      <c r="F124" s="46" t="inlineStr">
        <is>
          <t xml:space="preserve">B1234EXOTIC26</t>
        </is>
      </c>
      <c r="G124" s="33">
        <f>IF($A124="","",IF($C124="","",YEAR($C124)))</f>
      </c>
      <c r="H124" s="49">
        <v>1978</v>
      </c>
      <c r="I124" s="46" t="inlineStr">
        <is>
          <t xml:space="preserve">Aston Martin</t>
        </is>
      </c>
      <c r="J124" s="46" t="inlineStr">
        <is>
          <t xml:space="preserve">DB12</t>
        </is>
      </c>
      <c r="K124" s="46" t="inlineStr">
        <is>
          <t xml:space="preserve">9WXSR2SCWAXNVUUUT</t>
        </is>
      </c>
      <c r="L124" s="48" t="inlineStr">
        <is>
          <t xml:space="preserve">02 - Sports / GT</t>
        </is>
      </c>
      <c r="M124" s="50">
        <v>620000</v>
      </c>
      <c r="N124" s="48" t="inlineStr">
        <is>
          <t xml:space="preserve">Personal</t>
        </is>
      </c>
      <c r="O124" s="46" t="inlineStr">
        <is>
          <t xml:space="preserve">Personal - regular use</t>
        </is>
      </c>
      <c r="P124" s="46" t="inlineStr">
        <is>
          <t xml:space="preserve">1,000 - 2,500</t>
        </is>
      </c>
      <c r="Q124" s="46" t="inlineStr">
        <is>
          <t xml:space="preserve">North Dakota</t>
        </is>
      </c>
      <c r="R124" s="46" t="inlineStr">
        <is>
          <t xml:space="preserve">58501</t>
        </is>
      </c>
      <c r="S124" s="48" t="inlineStr">
        <is>
          <t xml:space="preserve">Severe convective - hail alley (high)</t>
        </is>
      </c>
      <c r="T124" s="36">
        <f>IF($A124="","",IF($S124="","",IFERROR(INDEX('[1]natural catastrophe'!$D$6:$D$17,MATCH($S124,'[1]natural catastrophe'!$B$6:$B$17,0)),"?")))</f>
      </c>
      <c r="U124" s="46" t="inlineStr">
        <is>
          <t xml:space="preserve">$5,000</t>
        </is>
      </c>
      <c r="V124" s="48" t="inlineStr">
        <is>
          <t xml:space="preserve">Agreed Value</t>
        </is>
      </c>
      <c r="W124" s="46" t="inlineStr">
        <is>
          <t xml:space="preserve">$1,000</t>
        </is>
      </c>
      <c r="X124" s="48" t="inlineStr">
        <is>
          <t xml:space="preserve">$1,000,000 CSL</t>
        </is>
      </c>
      <c r="Y124" s="46"/>
      <c r="Z124" s="46"/>
      <c r="AA124" s="48" t="inlineStr">
        <is>
          <t xml:space="preserve">Surplus Lines</t>
        </is>
      </c>
      <c r="AB124" s="50">
        <v>7130.73</v>
      </c>
      <c r="AC124" s="51">
        <v>0</v>
      </c>
      <c r="AD124" s="38">
        <f>IF(ISNUMBER($AB124),$AB124*(1+N($AC124)),"")</f>
      </c>
      <c r="AE124" s="50">
        <v>350</v>
      </c>
      <c r="AF124" s="50">
        <v>0</v>
      </c>
      <c r="AG124" s="51"/>
      <c r="AH124" s="39">
        <f>IF(ISNUMBER($AD124),($AD124+$AE124+$AF124)*$AG124,"")</f>
      </c>
      <c r="AI124" s="50"/>
      <c r="AJ124" s="38">
        <f>IF(ISNUMBER($AD124),SUM($AD124:$AH124),"")</f>
      </c>
      <c r="AK124" s="40">
        <f>IF(AND(ISNUMBER($AB124),ISNUMBER($AD124)),IF($AB124&gt;0,$AD124/$AB124,""),"")</f>
      </c>
      <c r="AL124" s="48" t="inlineStr">
        <is>
          <t xml:space="preserve">At technical</t>
        </is>
      </c>
      <c r="AM124" s="41">
        <f>IF(ISNUMBER($AD124),Header!$I$3,"")</f>
      </c>
      <c r="AN124" s="39">
        <f>IF(ISNUMBER($AD124),$AO124+$AP124,"")</f>
      </c>
      <c r="AO124" s="39">
        <f>IF(ISNUMBER($AD124),ROUND($AD124*Header!$K$3,2),"")</f>
      </c>
      <c r="AP124" s="39">
        <f>IF(ISNUMBER($AD124),ROUND($AD124*Header!$M$3,2),"")</f>
      </c>
      <c r="AQ124" s="38">
        <f>IF(ISNUMBER($AD124),ROUND($AD124,2)-$AO124-$AP124,"")</f>
      </c>
      <c r="AR124" s="39">
        <f>IF(ISNUMBER($AD124),IF(Header!$D$34="","?",$AD124*Header!$D$34),"")</f>
      </c>
      <c r="AS124" s="39">
        <f>IF(ISNUMBER($AB124),IF(Header!$D$34="","?",$AB124*Header!$D$34),"")</f>
      </c>
      <c r="AT124" s="42">
        <f>IF(AND(ISNUMBER($AB124),$M124&gt;0),$AB124/$M124*100,"")</f>
      </c>
      <c r="AU124" s="42">
        <f>IF(AND(ISNUMBER($AD124),$M124&gt;0),$AD124/$M124*100,"")</f>
      </c>
      <c r="AV124" s="40">
        <f>IF(AND(ISNUMBER($AB124),ISNUMBER($AD124),ABS($AB124)&gt;0),$AD124/$AB124,"")</f>
      </c>
      <c r="AW124" s="39">
        <f>IF(ISNUMBER($AD124),MAX(0,(1-0.55-Header!$O$3)*Header!$Q$3*$AQ124),"")</f>
      </c>
      <c r="AX124" s="43">
        <f>IF($A124="","",IF(TRIM(IF($A124="","Missing certificate ref. ","") &amp; IF($C124="","Missing effective date. ","") &amp; IF($D124="","Missing binding status. ","") &amp; IF($E124="","Missing movement type. ","") &amp; IF($I124="","Missing make. ","") &amp; IF($L124="","Missing vehicle class. ","") &amp; IF($M124="","Missing agreed value. ","") &amp; IF($N124="","Missing policy type. ","") &amp; IF($Q124="","Missing garaging state. ","") &amp; IF($R124="","Missing garaging ZIP. ","") &amp; IF($S124="","Missing cat zone. ","") &amp; IF($V124="","Missing valuation basis. ","") &amp; IF($W124="","Missing PD deductible. ","") &amp; IF($X124="","Missing liability limit. ","") &amp; IF($AB124="","Missing technical premium. ","") &amp; IF($AF124="","Missing surplus lines tax %. ",""))="","PASS","FAIL: "&amp;TRIM(IF($A124="","Missing certificate ref. ","") &amp; IF($C124="","Missing effective date. ","") &amp; IF($D124="","Missing binding status. ","") &amp; IF($E124="","Missing movement type. ","") &amp; IF($I124="","Missing make. ","") &amp; IF($L124="","Missing vehicle class. ","") &amp; IF($M124="","Missing agreed value. ","") &amp; IF($N124="","Missing policy type. ","") &amp; IF($Q124="","Missing garaging state. ","") &amp; IF($R124="","Missing garaging ZIP. ","") &amp; IF($S124="","Missing cat zone. ","") &amp; IF($V124="","Missing valuation basis. ","") &amp; IF($W124="","Missing PD deductible. ","") &amp; IF($X124="","Missing liability limit. ","") &amp; IF($AB124="","Missing technical premium. ","") &amp; IF($AF124="","Missing surplus lines tax %. ",""))))</f>
      </c>
      <c r="AY124" s="44">
        <f>IF($M124="","",IF(ISNUMBER($M124),IF($M124&gt;=Header!$C$18,"YES — refer","No"),""))</f>
      </c>
      <c r="AZ124" s="44">
        <f>IF($AD124="","",IF(ISNUMBER($AD124),IF($AD124&lt;Header!$C$20,"BELOW MIN PREMIUM","OK"),""))</f>
      </c>
      <c r="BA124" s="48" t="inlineStr">
        <is>
          <t xml:space="preserve">Yes</t>
        </is>
      </c>
      <c r="BB124" s="48" t="inlineStr">
        <is>
          <t xml:space="preserve">Yes</t>
        </is>
      </c>
      <c r="BC124" s="46" t="inlineStr">
        <is>
          <t xml:space="preserve">Synthetic demo data</t>
        </is>
      </c>
      <c r="BE124" s="45">
        <f>IF(OR($A124="",$L124="",$H124=""),"",IF(AND(LEFT($L124,2)="06",$H124&gt;1945),"FAIL - pre-war class, year "&amp;$H124,IF(AND(LEFT($L124,2)="07",OR($H124&lt;1946,$H124&gt;1972)),"FAIL - 1946-72 class, year "&amp;$H124,IF(AND(LEFT($L124,2)="08",OR($H124&lt;1973,$H124&gt;1999)),"FAIL - 1973-99 class, year "&amp;$H124,IF(AND(LEFT($L124,2)="09",OR($H124&lt;2000,$H124&gt;2010)),"FAIL - 2000-10 class, year "&amp;$H124,"OK")))))</f>
      </c>
      <c r="BF124" s="45">
        <f>IF($AD124="","",IF(ROUND($AO124+$AP124+$AQ124-$AD124,2)=0,"OK","FAIL - out by "&amp;TEXT($AO124+$AP124+$AQ124-$AD124,"$0.00")))</f>
      </c>
    </row>
    <row r="125" spans="1:58" ht="18.75" customHeight="1" x14ac:dyDescent="0.25">
      <c r="A125" s="30" t="inlineStr">
        <is>
          <t xml:space="preserve">CANON-202511-002322</t>
        </is>
      </c>
      <c r="B125" s="30" t="inlineStr">
        <is>
          <t xml:space="preserve">Aurelio Kingsford</t>
        </is>
      </c>
      <c r="C125" s="31">
        <v>45963</v>
      </c>
      <c r="D125" s="32" t="inlineStr">
        <is>
          <t xml:space="preserve">Bound - within authority</t>
        </is>
      </c>
      <c r="E125" s="32" t="inlineStr">
        <is>
          <t xml:space="preserve">New business</t>
        </is>
      </c>
      <c r="F125" s="30" t="inlineStr">
        <is>
          <t xml:space="preserve">B1234EXOTIC26</t>
        </is>
      </c>
      <c r="G125" s="33">
        <f>IF($A125="","",IF($C125="","",YEAR($C125)))</f>
      </c>
      <c r="H125" s="34">
        <v>2001</v>
      </c>
      <c r="I125" s="30" t="inlineStr">
        <is>
          <t xml:space="preserve">Mercedes-Benz</t>
        </is>
      </c>
      <c r="J125" s="30" t="inlineStr">
        <is>
          <t xml:space="preserve">AMG GT</t>
        </is>
      </c>
      <c r="K125" s="30" t="inlineStr">
        <is>
          <t xml:space="preserve">RWELK8LZCHM1MGSK5</t>
        </is>
      </c>
      <c r="L125" s="32" t="inlineStr">
        <is>
          <t xml:space="preserve">02 - Sports / GT</t>
        </is>
      </c>
      <c r="M125" s="35">
        <v>1200000</v>
      </c>
      <c r="N125" s="32" t="inlineStr">
        <is>
          <t xml:space="preserve">Personal</t>
        </is>
      </c>
      <c r="O125" s="30" t="inlineStr">
        <is>
          <t xml:space="preserve">Personal - regular use</t>
        </is>
      </c>
      <c r="P125" s="30" t="inlineStr">
        <is>
          <t xml:space="preserve">1,000 - 2,500</t>
        </is>
      </c>
      <c r="Q125" s="30" t="inlineStr">
        <is>
          <t xml:space="preserve">Arkansas</t>
        </is>
      </c>
      <c r="R125" s="30" t="inlineStr">
        <is>
          <t xml:space="preserve">72201</t>
        </is>
      </c>
      <c r="S125" s="32" t="inlineStr">
        <is>
          <t xml:space="preserve">Severe convective - hail / tornado (moderate)</t>
        </is>
      </c>
      <c r="T125" s="36">
        <f>IF($A125="","",IF($S125="","",IFERROR(INDEX('[1]natural catastrophe'!$D$6:$D$17,MATCH($S125,'[1]natural catastrophe'!$B$6:$B$17,0)),"?")))</f>
      </c>
      <c r="U125" s="30" t="inlineStr">
        <is>
          <t xml:space="preserve">$5,000</t>
        </is>
      </c>
      <c r="V125" s="32" t="inlineStr">
        <is>
          <t xml:space="preserve">Agreed Value</t>
        </is>
      </c>
      <c r="W125" s="30" t="inlineStr">
        <is>
          <t xml:space="preserve">$1,000</t>
        </is>
      </c>
      <c r="X125" s="32" t="inlineStr">
        <is>
          <t xml:space="preserve">$1,000,000 CSL</t>
        </is>
      </c>
      <c r="Y125" s="30"/>
      <c r="Z125" s="30"/>
      <c r="AA125" s="32" t="inlineStr">
        <is>
          <t xml:space="preserve">Surplus Lines</t>
        </is>
      </c>
      <c r="AB125" s="35">
        <v>15799.81</v>
      </c>
      <c r="AC125" s="37">
        <v>0</v>
      </c>
      <c r="AD125" s="38">
        <f>IF(ISNUMBER($AB125),$AB125*(1+N($AC125)),"")</f>
      </c>
      <c r="AE125" s="35">
        <v>350</v>
      </c>
      <c r="AF125" s="35">
        <v>250</v>
      </c>
      <c r="AG125" s="37"/>
      <c r="AH125" s="39">
        <f>IF(ISNUMBER($AD125),($AD125+$AE125+$AF125)*$AG125,"")</f>
      </c>
      <c r="AI125" s="35"/>
      <c r="AJ125" s="38">
        <f>IF(ISNUMBER($AD125),SUM($AD125:$AH125),"")</f>
      </c>
      <c r="AK125" s="40">
        <f>IF(AND(ISNUMBER($AB125),ISNUMBER($AD125)),IF($AB125&gt;0,$AD125/$AB125,""),"")</f>
      </c>
      <c r="AL125" s="32" t="inlineStr">
        <is>
          <t xml:space="preserve">At technical</t>
        </is>
      </c>
      <c r="AM125" s="41">
        <f>IF(ISNUMBER($AD125),Header!$I$3,"")</f>
      </c>
      <c r="AN125" s="39">
        <f>IF(ISNUMBER($AD125),$AO125+$AP125,"")</f>
      </c>
      <c r="AO125" s="39">
        <f>IF(ISNUMBER($AD125),ROUND($AD125*Header!$K$3,2),"")</f>
      </c>
      <c r="AP125" s="39">
        <f>IF(ISNUMBER($AD125),ROUND($AD125*Header!$M$3,2),"")</f>
      </c>
      <c r="AQ125" s="38">
        <f>IF(ISNUMBER($AD125),ROUND($AD125,2)-$AO125-$AP125,"")</f>
      </c>
      <c r="AR125" s="39">
        <f>IF(ISNUMBER($AD125),IF(Header!$D$34="","?",$AD125*Header!$D$34),"")</f>
      </c>
      <c r="AS125" s="39">
        <f>IF(ISNUMBER($AB125),IF(Header!$D$34="","?",$AB125*Header!$D$34),"")</f>
      </c>
      <c r="AT125" s="42">
        <f>IF(AND(ISNUMBER($AB125),$M125&gt;0),$AB125/$M125*100,"")</f>
      </c>
      <c r="AU125" s="42">
        <f>IF(AND(ISNUMBER($AD125),$M125&gt;0),$AD125/$M125*100,"")</f>
      </c>
      <c r="AV125" s="40">
        <f>IF(AND(ISNUMBER($AB125),ISNUMBER($AD125),ABS($AB125)&gt;0),$AD125/$AB125,"")</f>
      </c>
      <c r="AW125" s="39">
        <f>IF(ISNUMBER($AD125),MAX(0,(1-0.55-Header!$O$3)*Header!$Q$3*$AQ125),"")</f>
      </c>
      <c r="AX125" s="43">
        <f>IF($A125="","",IF(TRIM(IF($A125="","Missing certificate ref. ","") &amp; IF($C125="","Missing effective date. ","") &amp; IF($D125="","Missing binding status. ","") &amp; IF($E125="","Missing movement type. ","") &amp; IF($I125="","Missing make. ","") &amp; IF($L125="","Missing vehicle class. ","") &amp; IF($M125="","Missing agreed value. ","") &amp; IF($N125="","Missing policy type. ","") &amp; IF($Q125="","Missing garaging state. ","") &amp; IF($R125="","Missing garaging ZIP. ","") &amp; IF($S125="","Missing cat zone. ","") &amp; IF($V125="","Missing valuation basis. ","") &amp; IF($W125="","Missing PD deductible. ","") &amp; IF($X125="","Missing liability limit. ","") &amp; IF($AB125="","Missing technical premium. ","") &amp; IF($AF125="","Missing surplus lines tax %. ",""))="","PASS","FAIL: "&amp;TRIM(IF($A125="","Missing certificate ref. ","") &amp; IF($C125="","Missing effective date. ","") &amp; IF($D125="","Missing binding status. ","") &amp; IF($E125="","Missing movement type. ","") &amp; IF($I125="","Missing make. ","") &amp; IF($L125="","Missing vehicle class. ","") &amp; IF($M125="","Missing agreed value. ","") &amp; IF($N125="","Missing policy type. ","") &amp; IF($Q125="","Missing garaging state. ","") &amp; IF($R125="","Missing garaging ZIP. ","") &amp; IF($S125="","Missing cat zone. ","") &amp; IF($V125="","Missing valuation basis. ","") &amp; IF($W125="","Missing PD deductible. ","") &amp; IF($X125="","Missing liability limit. ","") &amp; IF($AB125="","Missing technical premium. ","") &amp; IF($AF125="","Missing surplus lines tax %. ",""))))</f>
      </c>
      <c r="AY125" s="44">
        <f>IF($M125="","",IF(ISNUMBER($M125),IF($M125&gt;=Header!$C$18,"YES — refer","No"),""))</f>
      </c>
      <c r="AZ125" s="44">
        <f>IF($AD125="","",IF(ISNUMBER($AD125),IF($AD125&lt;Header!$C$20,"BELOW MIN PREMIUM","OK"),""))</f>
      </c>
      <c r="BA125" s="32" t="inlineStr">
        <is>
          <t xml:space="preserve">Yes</t>
        </is>
      </c>
      <c r="BB125" s="32" t="inlineStr">
        <is>
          <t xml:space="preserve">Yes</t>
        </is>
      </c>
      <c r="BC125" s="30" t="inlineStr">
        <is>
          <t xml:space="preserve">Synthetic demo data</t>
        </is>
      </c>
      <c r="BE125" s="45">
        <f>IF(OR($A125="",$L125="",$H125=""),"",IF(AND(LEFT($L125,2)="06",$H125&gt;1945),"FAIL - pre-war class, year "&amp;$H125,IF(AND(LEFT($L125,2)="07",OR($H125&lt;1946,$H125&gt;1972)),"FAIL - 1946-72 class, year "&amp;$H125,IF(AND(LEFT($L125,2)="08",OR($H125&lt;1973,$H125&gt;1999)),"FAIL - 1973-99 class, year "&amp;$H125,IF(AND(LEFT($L125,2)="09",OR($H125&lt;2000,$H125&gt;2010)),"FAIL - 2000-10 class, year "&amp;$H125,"OK")))))</f>
      </c>
      <c r="BF125" s="45">
        <f>IF($AD125="","",IF(ROUND($AO125+$AP125+$AQ125-$AD125,2)=0,"OK","FAIL - out by "&amp;TEXT($AO125+$AP125+$AQ125-$AD125,"$0.00")))</f>
      </c>
    </row>
    <row r="126" spans="1:58" ht="18.75" customHeight="1" x14ac:dyDescent="0.25">
      <c r="A126" s="46" t="inlineStr">
        <is>
          <t xml:space="preserve">CANON-202511-002323</t>
        </is>
      </c>
      <c r="B126" s="46" t="inlineStr">
        <is>
          <t xml:space="preserve">Emiliano Whitlock</t>
        </is>
      </c>
      <c r="C126" s="47">
        <v>45988</v>
      </c>
      <c r="D126" s="48" t="inlineStr">
        <is>
          <t xml:space="preserve">Bound - within authority</t>
        </is>
      </c>
      <c r="E126" s="48" t="inlineStr">
        <is>
          <t xml:space="preserve">New business</t>
        </is>
      </c>
      <c r="F126" s="46" t="inlineStr">
        <is>
          <t xml:space="preserve">B1234EXOTIC26</t>
        </is>
      </c>
      <c r="G126" s="33">
        <f>IF($A126="","",IF($C126="","",YEAR($C126)))</f>
      </c>
      <c r="H126" s="49">
        <v>2019</v>
      </c>
      <c r="I126" s="46" t="inlineStr">
        <is>
          <t xml:space="preserve">McLaren</t>
        </is>
      </c>
      <c r="J126" s="46" t="inlineStr">
        <is>
          <t xml:space="preserve">750S</t>
        </is>
      </c>
      <c r="K126" s="46" t="inlineStr">
        <is>
          <t xml:space="preserve">RFFDCXH3XAMRV6BE4</t>
        </is>
      </c>
      <c r="L126" s="48" t="inlineStr">
        <is>
          <t xml:space="preserve">03 - Supercar</t>
        </is>
      </c>
      <c r="M126" s="50">
        <v>455000</v>
      </c>
      <c r="N126" s="48" t="inlineStr">
        <is>
          <t xml:space="preserve">Personal</t>
        </is>
      </c>
      <c r="O126" s="46" t="inlineStr">
        <is>
          <t xml:space="preserve">Personal - regular use</t>
        </is>
      </c>
      <c r="P126" s="46" t="inlineStr">
        <is>
          <t xml:space="preserve">2,500 - 5,000</t>
        </is>
      </c>
      <c r="Q126" s="46" t="inlineStr">
        <is>
          <t xml:space="preserve">Arizona</t>
        </is>
      </c>
      <c r="R126" s="46" t="inlineStr">
        <is>
          <t xml:space="preserve">85001</t>
        </is>
      </c>
      <c r="S126" s="48" t="inlineStr">
        <is>
          <t xml:space="preserve">Wildfire - WUI high hazard</t>
        </is>
      </c>
      <c r="T126" s="36">
        <f>IF($A126="","",IF($S126="","",IFERROR(INDEX('[1]natural catastrophe'!$D$6:$D$17,MATCH($S126,'[1]natural catastrophe'!$B$6:$B$17,0)),"?")))</f>
      </c>
      <c r="U126" s="46" t="inlineStr">
        <is>
          <t xml:space="preserve">$5,000</t>
        </is>
      </c>
      <c r="V126" s="48" t="inlineStr">
        <is>
          <t xml:space="preserve">Agreed Value</t>
        </is>
      </c>
      <c r="W126" s="46" t="inlineStr">
        <is>
          <t xml:space="preserve">$1,000</t>
        </is>
      </c>
      <c r="X126" s="48" t="inlineStr">
        <is>
          <t xml:space="preserve">$1,000,000 CSL</t>
        </is>
      </c>
      <c r="Y126" s="46"/>
      <c r="Z126" s="46"/>
      <c r="AA126" s="48" t="inlineStr">
        <is>
          <t xml:space="preserve">Surplus Lines</t>
        </is>
      </c>
      <c r="AB126" s="50">
        <v>9167.68</v>
      </c>
      <c r="AC126" s="51">
        <v>0</v>
      </c>
      <c r="AD126" s="38">
        <f>IF(ISNUMBER($AB126),$AB126*(1+N($AC126)),"")</f>
      </c>
      <c r="AE126" s="50">
        <v>350</v>
      </c>
      <c r="AF126" s="50">
        <v>0</v>
      </c>
      <c r="AG126" s="51"/>
      <c r="AH126" s="39">
        <f>IF(ISNUMBER($AD126),($AD126+$AE126+$AF126)*$AG126,"")</f>
      </c>
      <c r="AI126" s="50"/>
      <c r="AJ126" s="38">
        <f>IF(ISNUMBER($AD126),SUM($AD126:$AH126),"")</f>
      </c>
      <c r="AK126" s="40">
        <f>IF(AND(ISNUMBER($AB126),ISNUMBER($AD126)),IF($AB126&gt;0,$AD126/$AB126,""),"")</f>
      </c>
      <c r="AL126" s="48" t="inlineStr">
        <is>
          <t xml:space="preserve">At technical</t>
        </is>
      </c>
      <c r="AM126" s="41">
        <f>IF(ISNUMBER($AD126),Header!$I$3,"")</f>
      </c>
      <c r="AN126" s="39">
        <f>IF(ISNUMBER($AD126),$AO126+$AP126,"")</f>
      </c>
      <c r="AO126" s="39">
        <f>IF(ISNUMBER($AD126),ROUND($AD126*Header!$K$3,2),"")</f>
      </c>
      <c r="AP126" s="39">
        <f>IF(ISNUMBER($AD126),ROUND($AD126*Header!$M$3,2),"")</f>
      </c>
      <c r="AQ126" s="38">
        <f>IF(ISNUMBER($AD126),ROUND($AD126,2)-$AO126-$AP126,"")</f>
      </c>
      <c r="AR126" s="39">
        <f>IF(ISNUMBER($AD126),IF(Header!$D$34="","?",$AD126*Header!$D$34),"")</f>
      </c>
      <c r="AS126" s="39">
        <f>IF(ISNUMBER($AB126),IF(Header!$D$34="","?",$AB126*Header!$D$34),"")</f>
      </c>
      <c r="AT126" s="42">
        <f>IF(AND(ISNUMBER($AB126),$M126&gt;0),$AB126/$M126*100,"")</f>
      </c>
      <c r="AU126" s="42">
        <f>IF(AND(ISNUMBER($AD126),$M126&gt;0),$AD126/$M126*100,"")</f>
      </c>
      <c r="AV126" s="40">
        <f>IF(AND(ISNUMBER($AB126),ISNUMBER($AD126),ABS($AB126)&gt;0),$AD126/$AB126,"")</f>
      </c>
      <c r="AW126" s="39">
        <f>IF(ISNUMBER($AD126),MAX(0,(1-0.55-Header!$O$3)*Header!$Q$3*$AQ126),"")</f>
      </c>
      <c r="AX126" s="43">
        <f>IF($A126="","",IF(TRIM(IF($A126="","Missing certificate ref. ","") &amp; IF($C126="","Missing effective date. ","") &amp; IF($D126="","Missing binding status. ","") &amp; IF($E126="","Missing movement type. ","") &amp; IF($I126="","Missing make. ","") &amp; IF($L126="","Missing vehicle class. ","") &amp; IF($M126="","Missing agreed value. ","") &amp; IF($N126="","Missing policy type. ","") &amp; IF($Q126="","Missing garaging state. ","") &amp; IF($R126="","Missing garaging ZIP. ","") &amp; IF($S126="","Missing cat zone. ","") &amp; IF($V126="","Missing valuation basis. ","") &amp; IF($W126="","Missing PD deductible. ","") &amp; IF($X126="","Missing liability limit. ","") &amp; IF($AB126="","Missing technical premium. ","") &amp; IF($AF126="","Missing surplus lines tax %. ",""))="","PASS","FAIL: "&amp;TRIM(IF($A126="","Missing certificate ref. ","") &amp; IF($C126="","Missing effective date. ","") &amp; IF($D126="","Missing binding status. ","") &amp; IF($E126="","Missing movement type. ","") &amp; IF($I126="","Missing make. ","") &amp; IF($L126="","Missing vehicle class. ","") &amp; IF($M126="","Missing agreed value. ","") &amp; IF($N126="","Missing policy type. ","") &amp; IF($Q126="","Missing garaging state. ","") &amp; IF($R126="","Missing garaging ZIP. ","") &amp; IF($S126="","Missing cat zone. ","") &amp; IF($V126="","Missing valuation basis. ","") &amp; IF($W126="","Missing PD deductible. ","") &amp; IF($X126="","Missing liability limit. ","") &amp; IF($AB126="","Missing technical premium. ","") &amp; IF($AF126="","Missing surplus lines tax %. ",""))))</f>
      </c>
      <c r="AY126" s="44">
        <f>IF($M126="","",IF(ISNUMBER($M126),IF($M126&gt;=Header!$C$18,"YES — refer","No"),""))</f>
      </c>
      <c r="AZ126" s="44">
        <f>IF($AD126="","",IF(ISNUMBER($AD126),IF($AD126&lt;Header!$C$20,"BELOW MIN PREMIUM","OK"),""))</f>
      </c>
      <c r="BA126" s="48" t="inlineStr">
        <is>
          <t xml:space="preserve">Yes</t>
        </is>
      </c>
      <c r="BB126" s="48" t="inlineStr">
        <is>
          <t xml:space="preserve">Yes</t>
        </is>
      </c>
      <c r="BC126" s="46" t="inlineStr">
        <is>
          <t xml:space="preserve">Synthetic demo data</t>
        </is>
      </c>
      <c r="BE126" s="45">
        <f>IF(OR($A126="",$L126="",$H126=""),"",IF(AND(LEFT($L126,2)="06",$H126&gt;1945),"FAIL - pre-war class, year "&amp;$H126,IF(AND(LEFT($L126,2)="07",OR($H126&lt;1946,$H126&gt;1972)),"FAIL - 1946-72 class, year "&amp;$H126,IF(AND(LEFT($L126,2)="08",OR($H126&lt;1973,$H126&gt;1999)),"FAIL - 1973-99 class, year "&amp;$H126,IF(AND(LEFT($L126,2)="09",OR($H126&lt;2000,$H126&gt;2010)),"FAIL - 2000-10 class, year "&amp;$H126,"OK")))))</f>
      </c>
      <c r="BF126" s="45">
        <f>IF($AD126="","",IF(ROUND($AO126+$AP126+$AQ126-$AD126,2)=0,"OK","FAIL - out by "&amp;TEXT($AO126+$AP126+$AQ126-$AD126,"$0.00")))</f>
      </c>
    </row>
    <row r="127" spans="1:58" ht="18.75" customHeight="1" x14ac:dyDescent="0.25">
      <c r="A127" s="30" t="inlineStr">
        <is>
          <t xml:space="preserve">CANON-202511-002325</t>
        </is>
      </c>
      <c r="B127" s="30" t="inlineStr">
        <is>
          <t xml:space="preserve">Desmond Pennington</t>
        </is>
      </c>
      <c r="C127" s="31">
        <v>45989</v>
      </c>
      <c r="D127" s="32" t="inlineStr">
        <is>
          <t xml:space="preserve">Bound - within authority</t>
        </is>
      </c>
      <c r="E127" s="32" t="inlineStr">
        <is>
          <t xml:space="preserve">New business</t>
        </is>
      </c>
      <c r="F127" s="30" t="inlineStr">
        <is>
          <t xml:space="preserve">B1234EXOTIC26</t>
        </is>
      </c>
      <c r="G127" s="33">
        <f>IF($A127="","",IF($C127="","",YEAR($C127)))</f>
      </c>
      <c r="H127" s="34">
        <v>2013</v>
      </c>
      <c r="I127" s="30" t="inlineStr">
        <is>
          <t xml:space="preserve">Mercedes-Benz</t>
        </is>
      </c>
      <c r="J127" s="30" t="inlineStr">
        <is>
          <t xml:space="preserve">280SL Pagoda</t>
        </is>
      </c>
      <c r="K127" s="30" t="inlineStr">
        <is>
          <t xml:space="preserve">6PPG1V06M7JKBG8Z5</t>
        </is>
      </c>
      <c r="L127" s="32" t="inlineStr">
        <is>
          <t xml:space="preserve">02 - Sports / GT</t>
        </is>
      </c>
      <c r="M127" s="35">
        <v>1180000</v>
      </c>
      <c r="N127" s="32" t="inlineStr">
        <is>
          <t xml:space="preserve">Personal</t>
        </is>
      </c>
      <c r="O127" s="30" t="inlineStr">
        <is>
          <t xml:space="preserve">Personal - regular use</t>
        </is>
      </c>
      <c r="P127" s="30" t="inlineStr">
        <is>
          <t xml:space="preserve">1,000 - 2,500</t>
        </is>
      </c>
      <c r="Q127" s="30" t="inlineStr">
        <is>
          <t xml:space="preserve">Louisiana</t>
        </is>
      </c>
      <c r="R127" s="30" t="inlineStr">
        <is>
          <t xml:space="preserve">70112</t>
        </is>
      </c>
      <c r="S127" s="32" t="inlineStr">
        <is>
          <t xml:space="preserve">Tier 2 - Coastal wind (1-25 miles)</t>
        </is>
      </c>
      <c r="T127" s="36">
        <f>IF($A127="","",IF($S127="","",IFERROR(INDEX('[1]natural catastrophe'!$D$6:$D$17,MATCH($S127,'[1]natural catastrophe'!$B$6:$B$17,0)),"?")))</f>
      </c>
      <c r="U127" s="30" t="inlineStr">
        <is>
          <t xml:space="preserve">2% of agreed value, minimum $10,000</t>
        </is>
      </c>
      <c r="V127" s="32" t="inlineStr">
        <is>
          <t xml:space="preserve">Agreed Value</t>
        </is>
      </c>
      <c r="W127" s="30" t="inlineStr">
        <is>
          <t xml:space="preserve">$1,000</t>
        </is>
      </c>
      <c r="X127" s="32" t="inlineStr">
        <is>
          <t xml:space="preserve">$1,000,000 CSL</t>
        </is>
      </c>
      <c r="Y127" s="30"/>
      <c r="Z127" s="30"/>
      <c r="AA127" s="32" t="inlineStr">
        <is>
          <t xml:space="preserve">Surplus Lines</t>
        </is>
      </c>
      <c r="AB127" s="35">
        <v>9411.95</v>
      </c>
      <c r="AC127" s="37">
        <v>0</v>
      </c>
      <c r="AD127" s="38">
        <f>IF(ISNUMBER($AB127),$AB127*(1+N($AC127)),"")</f>
      </c>
      <c r="AE127" s="35">
        <v>350</v>
      </c>
      <c r="AF127" s="35">
        <v>250</v>
      </c>
      <c r="AG127" s="37"/>
      <c r="AH127" s="39">
        <f>IF(ISNUMBER($AD127),($AD127+$AE127+$AF127)*$AG127,"")</f>
      </c>
      <c r="AI127" s="35"/>
      <c r="AJ127" s="38">
        <f>IF(ISNUMBER($AD127),SUM($AD127:$AH127),"")</f>
      </c>
      <c r="AK127" s="40">
        <f>IF(AND(ISNUMBER($AB127),ISNUMBER($AD127)),IF($AB127&gt;0,$AD127/$AB127,""),"")</f>
      </c>
      <c r="AL127" s="32" t="inlineStr">
        <is>
          <t xml:space="preserve">At technical</t>
        </is>
      </c>
      <c r="AM127" s="41">
        <f>IF(ISNUMBER($AD127),Header!$I$3,"")</f>
      </c>
      <c r="AN127" s="39">
        <f>IF(ISNUMBER($AD127),$AO127+$AP127,"")</f>
      </c>
      <c r="AO127" s="39">
        <f>IF(ISNUMBER($AD127),ROUND($AD127*Header!$K$3,2),"")</f>
      </c>
      <c r="AP127" s="39">
        <f>IF(ISNUMBER($AD127),ROUND($AD127*Header!$M$3,2),"")</f>
      </c>
      <c r="AQ127" s="38">
        <f>IF(ISNUMBER($AD127),ROUND($AD127,2)-$AO127-$AP127,"")</f>
      </c>
      <c r="AR127" s="39">
        <f>IF(ISNUMBER($AD127),IF(Header!$D$34="","?",$AD127*Header!$D$34),"")</f>
      </c>
      <c r="AS127" s="39">
        <f>IF(ISNUMBER($AB127),IF(Header!$D$34="","?",$AB127*Header!$D$34),"")</f>
      </c>
      <c r="AT127" s="42">
        <f>IF(AND(ISNUMBER($AB127),$M127&gt;0),$AB127/$M127*100,"")</f>
      </c>
      <c r="AU127" s="42">
        <f>IF(AND(ISNUMBER($AD127),$M127&gt;0),$AD127/$M127*100,"")</f>
      </c>
      <c r="AV127" s="40">
        <f>IF(AND(ISNUMBER($AB127),ISNUMBER($AD127),ABS($AB127)&gt;0),$AD127/$AB127,"")</f>
      </c>
      <c r="AW127" s="39">
        <f>IF(ISNUMBER($AD127),MAX(0,(1-0.55-Header!$O$3)*Header!$Q$3*$AQ127),"")</f>
      </c>
      <c r="AX127" s="43">
        <f>IF($A127="","",IF(TRIM(IF($A127="","Missing certificate ref. ","") &amp; IF($C127="","Missing effective date. ","") &amp; IF($D127="","Missing binding status. ","") &amp; IF($E127="","Missing movement type. ","") &amp; IF($I127="","Missing make. ","") &amp; IF($L127="","Missing vehicle class. ","") &amp; IF($M127="","Missing agreed value. ","") &amp; IF($N127="","Missing policy type. ","") &amp; IF($Q127="","Missing garaging state. ","") &amp; IF($R127="","Missing garaging ZIP. ","") &amp; IF($S127="","Missing cat zone. ","") &amp; IF($V127="","Missing valuation basis. ","") &amp; IF($W127="","Missing PD deductible. ","") &amp; IF($X127="","Missing liability limit. ","") &amp; IF($AB127="","Missing technical premium. ","") &amp; IF($AF127="","Missing surplus lines tax %. ",""))="","PASS","FAIL: "&amp;TRIM(IF($A127="","Missing certificate ref. ","") &amp; IF($C127="","Missing effective date. ","") &amp; IF($D127="","Missing binding status. ","") &amp; IF($E127="","Missing movement type. ","") &amp; IF($I127="","Missing make. ","") &amp; IF($L127="","Missing vehicle class. ","") &amp; IF($M127="","Missing agreed value. ","") &amp; IF($N127="","Missing policy type. ","") &amp; IF($Q127="","Missing garaging state. ","") &amp; IF($R127="","Missing garaging ZIP. ","") &amp; IF($S127="","Missing cat zone. ","") &amp; IF($V127="","Missing valuation basis. ","") &amp; IF($W127="","Missing PD deductible. ","") &amp; IF($X127="","Missing liability limit. ","") &amp; IF($AB127="","Missing technical premium. ","") &amp; IF($AF127="","Missing surplus lines tax %. ",""))))</f>
      </c>
      <c r="AY127" s="44">
        <f>IF($M127="","",IF(ISNUMBER($M127),IF($M127&gt;=Header!$C$18,"YES — refer","No"),""))</f>
      </c>
      <c r="AZ127" s="44">
        <f>IF($AD127="","",IF(ISNUMBER($AD127),IF($AD127&lt;Header!$C$20,"BELOW MIN PREMIUM","OK"),""))</f>
      </c>
      <c r="BA127" s="32" t="inlineStr">
        <is>
          <t xml:space="preserve">Yes</t>
        </is>
      </c>
      <c r="BB127" s="32" t="inlineStr">
        <is>
          <t xml:space="preserve">Yes</t>
        </is>
      </c>
      <c r="BC127" s="30" t="inlineStr">
        <is>
          <t xml:space="preserve">Synthetic demo data</t>
        </is>
      </c>
      <c r="BE127" s="45">
        <f>IF(OR($A127="",$L127="",$H127=""),"",IF(AND(LEFT($L127,2)="06",$H127&gt;1945),"FAIL - pre-war class, year "&amp;$H127,IF(AND(LEFT($L127,2)="07",OR($H127&lt;1946,$H127&gt;1972)),"FAIL - 1946-72 class, year "&amp;$H127,IF(AND(LEFT($L127,2)="08",OR($H127&lt;1973,$H127&gt;1999)),"FAIL - 1973-99 class, year "&amp;$H127,IF(AND(LEFT($L127,2)="09",OR($H127&lt;2000,$H127&gt;2010)),"FAIL - 2000-10 class, year "&amp;$H127,"OK")))))</f>
      </c>
      <c r="BF127" s="45">
        <f>IF($AD127="","",IF(ROUND($AO127+$AP127+$AQ127-$AD127,2)=0,"OK","FAIL - out by "&amp;TEXT($AO127+$AP127+$AQ127-$AD127,"$0.00")))</f>
      </c>
    </row>
    <row r="128" spans="1:58" ht="18.75" customHeight="1" x14ac:dyDescent="0.25">
      <c r="A128" s="46" t="inlineStr">
        <is>
          <t xml:space="preserve">CANON-202511-002326</t>
        </is>
      </c>
      <c r="B128" s="46" t="inlineStr">
        <is>
          <t xml:space="preserve">Callum Castellanos</t>
        </is>
      </c>
      <c r="C128" s="47">
        <v>45989</v>
      </c>
      <c r="D128" s="48" t="inlineStr">
        <is>
          <t xml:space="preserve">Bound - within authority</t>
        </is>
      </c>
      <c r="E128" s="48" t="inlineStr">
        <is>
          <t xml:space="preserve">New business</t>
        </is>
      </c>
      <c r="F128" s="46" t="inlineStr">
        <is>
          <t xml:space="preserve">B1234EXOTIC26</t>
        </is>
      </c>
      <c r="G128" s="33">
        <f>IF($A128="","",IF($C128="","",YEAR($C128)))</f>
      </c>
      <c r="H128" s="49">
        <v>1993</v>
      </c>
      <c r="I128" s="46" t="inlineStr">
        <is>
          <t xml:space="preserve">BMW</t>
        </is>
      </c>
      <c r="J128" s="46" t="inlineStr">
        <is>
          <t xml:space="preserve">M8 Competition</t>
        </is>
      </c>
      <c r="K128" s="46" t="inlineStr">
        <is>
          <t xml:space="preserve">FYF9CVV8ZD9ZX1NME</t>
        </is>
      </c>
      <c r="L128" s="48" t="inlineStr">
        <is>
          <t xml:space="preserve">02 - Sports / GT</t>
        </is>
      </c>
      <c r="M128" s="50">
        <v>940000</v>
      </c>
      <c r="N128" s="48" t="inlineStr">
        <is>
          <t xml:space="preserve">Personal</t>
        </is>
      </c>
      <c r="O128" s="46" t="inlineStr">
        <is>
          <t xml:space="preserve">Personal - regular use</t>
        </is>
      </c>
      <c r="P128" s="46" t="inlineStr">
        <is>
          <t xml:space="preserve">Under 1,000</t>
        </is>
      </c>
      <c r="Q128" s="46" t="inlineStr">
        <is>
          <t xml:space="preserve">North Carolina</t>
        </is>
      </c>
      <c r="R128" s="46" t="inlineStr">
        <is>
          <t xml:space="preserve">28202</t>
        </is>
      </c>
      <c r="S128" s="48" t="inlineStr">
        <is>
          <t xml:space="preserve">Tier 2 - Coastal wind (1-25 miles)</t>
        </is>
      </c>
      <c r="T128" s="36">
        <f>IF($A128="","",IF($S128="","",IFERROR(INDEX('[1]natural catastrophe'!$D$6:$D$17,MATCH($S128,'[1]natural catastrophe'!$B$6:$B$17,0)),"?")))</f>
      </c>
      <c r="U128" s="46" t="inlineStr">
        <is>
          <t xml:space="preserve">2% of agreed value, minimum $10,000</t>
        </is>
      </c>
      <c r="V128" s="48" t="inlineStr">
        <is>
          <t xml:space="preserve">Agreed Value</t>
        </is>
      </c>
      <c r="W128" s="46" t="inlineStr">
        <is>
          <t xml:space="preserve">$1,000</t>
        </is>
      </c>
      <c r="X128" s="48" t="inlineStr">
        <is>
          <t xml:space="preserve">$1,000,000 CSL</t>
        </is>
      </c>
      <c r="Y128" s="46"/>
      <c r="Z128" s="46"/>
      <c r="AA128" s="48" t="inlineStr">
        <is>
          <t xml:space="preserve">Surplus Lines</t>
        </is>
      </c>
      <c r="AB128" s="50">
        <v>12188.99</v>
      </c>
      <c r="AC128" s="51">
        <v>0</v>
      </c>
      <c r="AD128" s="38">
        <f>IF(ISNUMBER($AB128),$AB128*(1+N($AC128)),"")</f>
      </c>
      <c r="AE128" s="50">
        <v>350</v>
      </c>
      <c r="AF128" s="50">
        <v>0</v>
      </c>
      <c r="AG128" s="51"/>
      <c r="AH128" s="39">
        <f>IF(ISNUMBER($AD128),($AD128+$AE128+$AF128)*$AG128,"")</f>
      </c>
      <c r="AI128" s="50"/>
      <c r="AJ128" s="38">
        <f>IF(ISNUMBER($AD128),SUM($AD128:$AH128),"")</f>
      </c>
      <c r="AK128" s="40">
        <f>IF(AND(ISNUMBER($AB128),ISNUMBER($AD128)),IF($AB128&gt;0,$AD128/$AB128,""),"")</f>
      </c>
      <c r="AL128" s="48" t="inlineStr">
        <is>
          <t xml:space="preserve">At technical</t>
        </is>
      </c>
      <c r="AM128" s="41">
        <f>IF(ISNUMBER($AD128),Header!$I$3,"")</f>
      </c>
      <c r="AN128" s="39">
        <f>IF(ISNUMBER($AD128),$AO128+$AP128,"")</f>
      </c>
      <c r="AO128" s="39">
        <f>IF(ISNUMBER($AD128),ROUND($AD128*Header!$K$3,2),"")</f>
      </c>
      <c r="AP128" s="39">
        <f>IF(ISNUMBER($AD128),ROUND($AD128*Header!$M$3,2),"")</f>
      </c>
      <c r="AQ128" s="38">
        <f>IF(ISNUMBER($AD128),ROUND($AD128,2)-$AO128-$AP128,"")</f>
      </c>
      <c r="AR128" s="39">
        <f>IF(ISNUMBER($AD128),IF(Header!$D$34="","?",$AD128*Header!$D$34),"")</f>
      </c>
      <c r="AS128" s="39">
        <f>IF(ISNUMBER($AB128),IF(Header!$D$34="","?",$AB128*Header!$D$34),"")</f>
      </c>
      <c r="AT128" s="42">
        <f>IF(AND(ISNUMBER($AB128),$M128&gt;0),$AB128/$M128*100,"")</f>
      </c>
      <c r="AU128" s="42">
        <f>IF(AND(ISNUMBER($AD128),$M128&gt;0),$AD128/$M128*100,"")</f>
      </c>
      <c r="AV128" s="40">
        <f>IF(AND(ISNUMBER($AB128),ISNUMBER($AD128),ABS($AB128)&gt;0),$AD128/$AB128,"")</f>
      </c>
      <c r="AW128" s="39">
        <f>IF(ISNUMBER($AD128),MAX(0,(1-0.55-Header!$O$3)*Header!$Q$3*$AQ128),"")</f>
      </c>
      <c r="AX128" s="43">
        <f>IF($A128="","",IF(TRIM(IF($A128="","Missing certificate ref. ","") &amp; IF($C128="","Missing effective date. ","") &amp; IF($D128="","Missing binding status. ","") &amp; IF($E128="","Missing movement type. ","") &amp; IF($I128="","Missing make. ","") &amp; IF($L128="","Missing vehicle class. ","") &amp; IF($M128="","Missing agreed value. ","") &amp; IF($N128="","Missing policy type. ","") &amp; IF($Q128="","Missing garaging state. ","") &amp; IF($R128="","Missing garaging ZIP. ","") &amp; IF($S128="","Missing cat zone. ","") &amp; IF($V128="","Missing valuation basis. ","") &amp; IF($W128="","Missing PD deductible. ","") &amp; IF($X128="","Missing liability limit. ","") &amp; IF($AB128="","Missing technical premium. ","") &amp; IF($AF128="","Missing surplus lines tax %. ",""))="","PASS","FAIL: "&amp;TRIM(IF($A128="","Missing certificate ref. ","") &amp; IF($C128="","Missing effective date. ","") &amp; IF($D128="","Missing binding status. ","") &amp; IF($E128="","Missing movement type. ","") &amp; IF($I128="","Missing make. ","") &amp; IF($L128="","Missing vehicle class. ","") &amp; IF($M128="","Missing agreed value. ","") &amp; IF($N128="","Missing policy type. ","") &amp; IF($Q128="","Missing garaging state. ","") &amp; IF($R128="","Missing garaging ZIP. ","") &amp; IF($S128="","Missing cat zone. ","") &amp; IF($V128="","Missing valuation basis. ","") &amp; IF($W128="","Missing PD deductible. ","") &amp; IF($X128="","Missing liability limit. ","") &amp; IF($AB128="","Missing technical premium. ","") &amp; IF($AF128="","Missing surplus lines tax %. ",""))))</f>
      </c>
      <c r="AY128" s="44">
        <f>IF($M128="","",IF(ISNUMBER($M128),IF($M128&gt;=Header!$C$18,"YES — refer","No"),""))</f>
      </c>
      <c r="AZ128" s="44">
        <f>IF($AD128="","",IF(ISNUMBER($AD128),IF($AD128&lt;Header!$C$20,"BELOW MIN PREMIUM","OK"),""))</f>
      </c>
      <c r="BA128" s="48" t="inlineStr">
        <is>
          <t xml:space="preserve">Yes</t>
        </is>
      </c>
      <c r="BB128" s="48" t="inlineStr">
        <is>
          <t xml:space="preserve">Yes</t>
        </is>
      </c>
      <c r="BC128" s="46" t="inlineStr">
        <is>
          <t xml:space="preserve">Synthetic demo data</t>
        </is>
      </c>
      <c r="BE128" s="45">
        <f>IF(OR($A128="",$L128="",$H128=""),"",IF(AND(LEFT($L128,2)="06",$H128&gt;1945),"FAIL - pre-war class, year "&amp;$H128,IF(AND(LEFT($L128,2)="07",OR($H128&lt;1946,$H128&gt;1972)),"FAIL - 1946-72 class, year "&amp;$H128,IF(AND(LEFT($L128,2)="08",OR($H128&lt;1973,$H128&gt;1999)),"FAIL - 1973-99 class, year "&amp;$H128,IF(AND(LEFT($L128,2)="09",OR($H128&lt;2000,$H128&gt;2010)),"FAIL - 2000-10 class, year "&amp;$H128,"OK")))))</f>
      </c>
      <c r="BF128" s="45">
        <f>IF($AD128="","",IF(ROUND($AO128+$AP128+$AQ128-$AD128,2)=0,"OK","FAIL - out by "&amp;TEXT($AO128+$AP128+$AQ128-$AD128,"$0.00")))</f>
      </c>
    </row>
    <row r="129" spans="1:58" ht="18.75" customHeight="1" x14ac:dyDescent="0.25">
      <c r="A129" s="30" t="inlineStr">
        <is>
          <t xml:space="preserve">CANON-202511-002327</t>
        </is>
      </c>
      <c r="B129" s="30" t="inlineStr">
        <is>
          <t xml:space="preserve">Fitzgerald Whitlock</t>
        </is>
      </c>
      <c r="C129" s="31">
        <v>45976</v>
      </c>
      <c r="D129" s="32" t="inlineStr">
        <is>
          <t xml:space="preserve">Bound - within authority</t>
        </is>
      </c>
      <c r="E129" s="32" t="inlineStr">
        <is>
          <t xml:space="preserve">New business</t>
        </is>
      </c>
      <c r="F129" s="30" t="inlineStr">
        <is>
          <t xml:space="preserve">B1234EXOTIC26</t>
        </is>
      </c>
      <c r="G129" s="33">
        <f>IF($A129="","",IF($C129="","",YEAR($C129)))</f>
      </c>
      <c r="H129" s="34">
        <v>1971</v>
      </c>
      <c r="I129" s="30" t="inlineStr">
        <is>
          <t xml:space="preserve">Ferrari</t>
        </is>
      </c>
      <c r="J129" s="30" t="inlineStr">
        <is>
          <t xml:space="preserve">275 GTB/4</t>
        </is>
      </c>
      <c r="K129" s="30" t="inlineStr">
        <is>
          <t xml:space="preserve">GKKZ518EJCCA8D5C3</t>
        </is>
      </c>
      <c r="L129" s="32" t="inlineStr">
        <is>
          <t xml:space="preserve">07 - Post-War Classic (1946-1972)</t>
        </is>
      </c>
      <c r="M129" s="35">
        <v>440000</v>
      </c>
      <c r="N129" s="32" t="inlineStr">
        <is>
          <t xml:space="preserve">Personal</t>
        </is>
      </c>
      <c r="O129" s="30" t="inlineStr">
        <is>
          <t xml:space="preserve">Personal - regular use</t>
        </is>
      </c>
      <c r="P129" s="30" t="inlineStr">
        <is>
          <t xml:space="preserve">1,000 - 2,500</t>
        </is>
      </c>
      <c r="Q129" s="30" t="inlineStr">
        <is>
          <t xml:space="preserve">Illinois</t>
        </is>
      </c>
      <c r="R129" s="30" t="inlineStr">
        <is>
          <t xml:space="preserve">60601</t>
        </is>
      </c>
      <c r="S129" s="32" t="inlineStr">
        <is>
          <t xml:space="preserve">Severe convective - hail / tornado (moderate)</t>
        </is>
      </c>
      <c r="T129" s="36">
        <f>IF($A129="","",IF($S129="","",IFERROR(INDEX('[1]natural catastrophe'!$D$6:$D$17,MATCH($S129,'[1]natural catastrophe'!$B$6:$B$17,0)),"?")))</f>
      </c>
      <c r="U129" s="30" t="inlineStr">
        <is>
          <t xml:space="preserve">$5,000</t>
        </is>
      </c>
      <c r="V129" s="32" t="inlineStr">
        <is>
          <t xml:space="preserve">Agreed Value</t>
        </is>
      </c>
      <c r="W129" s="30" t="inlineStr">
        <is>
          <t xml:space="preserve">$1,000</t>
        </is>
      </c>
      <c r="X129" s="32" t="inlineStr">
        <is>
          <t xml:space="preserve">$1,000,000 CSL</t>
        </is>
      </c>
      <c r="Y129" s="30"/>
      <c r="Z129" s="30"/>
      <c r="AA129" s="32" t="inlineStr">
        <is>
          <t xml:space="preserve">Surplus Lines</t>
        </is>
      </c>
      <c r="AB129" s="35">
        <v>4982.66</v>
      </c>
      <c r="AC129" s="37">
        <v>0</v>
      </c>
      <c r="AD129" s="38">
        <f>IF(ISNUMBER($AB129),$AB129*(1+N($AC129)),"")</f>
      </c>
      <c r="AE129" s="35">
        <v>350</v>
      </c>
      <c r="AF129" s="35">
        <v>0</v>
      </c>
      <c r="AG129" s="37"/>
      <c r="AH129" s="39">
        <f>IF(ISNUMBER($AD129),($AD129+$AE129+$AF129)*$AG129,"")</f>
      </c>
      <c r="AI129" s="35"/>
      <c r="AJ129" s="38">
        <f>IF(ISNUMBER($AD129),SUM($AD129:$AH129),"")</f>
      </c>
      <c r="AK129" s="40">
        <f>IF(AND(ISNUMBER($AB129),ISNUMBER($AD129)),IF($AB129&gt;0,$AD129/$AB129,""),"")</f>
      </c>
      <c r="AL129" s="32" t="inlineStr">
        <is>
          <t xml:space="preserve">At technical</t>
        </is>
      </c>
      <c r="AM129" s="41">
        <f>IF(ISNUMBER($AD129),Header!$I$3,"")</f>
      </c>
      <c r="AN129" s="39">
        <f>IF(ISNUMBER($AD129),$AO129+$AP129,"")</f>
      </c>
      <c r="AO129" s="39">
        <f>IF(ISNUMBER($AD129),ROUND($AD129*Header!$K$3,2),"")</f>
      </c>
      <c r="AP129" s="39">
        <f>IF(ISNUMBER($AD129),ROUND($AD129*Header!$M$3,2),"")</f>
      </c>
      <c r="AQ129" s="38">
        <f>IF(ISNUMBER($AD129),ROUND($AD129,2)-$AO129-$AP129,"")</f>
      </c>
      <c r="AR129" s="39">
        <f>IF(ISNUMBER($AD129),IF(Header!$D$34="","?",$AD129*Header!$D$34),"")</f>
      </c>
      <c r="AS129" s="39">
        <f>IF(ISNUMBER($AB129),IF(Header!$D$34="","?",$AB129*Header!$D$34),"")</f>
      </c>
      <c r="AT129" s="42">
        <f>IF(AND(ISNUMBER($AB129),$M129&gt;0),$AB129/$M129*100,"")</f>
      </c>
      <c r="AU129" s="42">
        <f>IF(AND(ISNUMBER($AD129),$M129&gt;0),$AD129/$M129*100,"")</f>
      </c>
      <c r="AV129" s="40">
        <f>IF(AND(ISNUMBER($AB129),ISNUMBER($AD129),ABS($AB129)&gt;0),$AD129/$AB129,"")</f>
      </c>
      <c r="AW129" s="39">
        <f>IF(ISNUMBER($AD129),MAX(0,(1-0.55-Header!$O$3)*Header!$Q$3*$AQ129),"")</f>
      </c>
      <c r="AX129" s="43">
        <f>IF($A129="","",IF(TRIM(IF($A129="","Missing certificate ref. ","") &amp; IF($C129="","Missing effective date. ","") &amp; IF($D129="","Missing binding status. ","") &amp; IF($E129="","Missing movement type. ","") &amp; IF($I129="","Missing make. ","") &amp; IF($L129="","Missing vehicle class. ","") &amp; IF($M129="","Missing agreed value. ","") &amp; IF($N129="","Missing policy type. ","") &amp; IF($Q129="","Missing garaging state. ","") &amp; IF($R129="","Missing garaging ZIP. ","") &amp; IF($S129="","Missing cat zone. ","") &amp; IF($V129="","Missing valuation basis. ","") &amp; IF($W129="","Missing PD deductible. ","") &amp; IF($X129="","Missing liability limit. ","") &amp; IF($AB129="","Missing technical premium. ","") &amp; IF($AF129="","Missing surplus lines tax %. ",""))="","PASS","FAIL: "&amp;TRIM(IF($A129="","Missing certificate ref. ","") &amp; IF($C129="","Missing effective date. ","") &amp; IF($D129="","Missing binding status. ","") &amp; IF($E129="","Missing movement type. ","") &amp; IF($I129="","Missing make. ","") &amp; IF($L129="","Missing vehicle class. ","") &amp; IF($M129="","Missing agreed value. ","") &amp; IF($N129="","Missing policy type. ","") &amp; IF($Q129="","Missing garaging state. ","") &amp; IF($R129="","Missing garaging ZIP. ","") &amp; IF($S129="","Missing cat zone. ","") &amp; IF($V129="","Missing valuation basis. ","") &amp; IF($W129="","Missing PD deductible. ","") &amp; IF($X129="","Missing liability limit. ","") &amp; IF($AB129="","Missing technical premium. ","") &amp; IF($AF129="","Missing surplus lines tax %. ",""))))</f>
      </c>
      <c r="AY129" s="44">
        <f>IF($M129="","",IF(ISNUMBER($M129),IF($M129&gt;=Header!$C$18,"YES — refer","No"),""))</f>
      </c>
      <c r="AZ129" s="44">
        <f>IF($AD129="","",IF(ISNUMBER($AD129),IF($AD129&lt;Header!$C$20,"BELOW MIN PREMIUM","OK"),""))</f>
      </c>
      <c r="BA129" s="32" t="inlineStr">
        <is>
          <t xml:space="preserve">Yes</t>
        </is>
      </c>
      <c r="BB129" s="32" t="inlineStr">
        <is>
          <t xml:space="preserve">Yes</t>
        </is>
      </c>
      <c r="BC129" s="30" t="inlineStr">
        <is>
          <t xml:space="preserve">Synthetic demo data</t>
        </is>
      </c>
      <c r="BE129" s="45">
        <f>IF(OR($A129="",$L129="",$H129=""),"",IF(AND(LEFT($L129,2)="06",$H129&gt;1945),"FAIL - pre-war class, year "&amp;$H129,IF(AND(LEFT($L129,2)="07",OR($H129&lt;1946,$H129&gt;1972)),"FAIL - 1946-72 class, year "&amp;$H129,IF(AND(LEFT($L129,2)="08",OR($H129&lt;1973,$H129&gt;1999)),"FAIL - 1973-99 class, year "&amp;$H129,IF(AND(LEFT($L129,2)="09",OR($H129&lt;2000,$H129&gt;2010)),"FAIL - 2000-10 class, year "&amp;$H129,"OK")))))</f>
      </c>
      <c r="BF129" s="45">
        <f>IF($AD129="","",IF(ROUND($AO129+$AP129+$AQ129-$AD129,2)=0,"OK","FAIL - out by "&amp;TEXT($AO129+$AP129+$AQ129-$AD129,"$0.00")))</f>
      </c>
    </row>
    <row r="130" spans="1:58" ht="18.75" customHeight="1" x14ac:dyDescent="0.25">
      <c r="A130" s="46" t="inlineStr">
        <is>
          <t xml:space="preserve">CANON-202511-002328</t>
        </is>
      </c>
      <c r="B130" s="46" t="inlineStr">
        <is>
          <t xml:space="preserve">Leopold Rourke</t>
        </is>
      </c>
      <c r="C130" s="47">
        <v>45966</v>
      </c>
      <c r="D130" s="48" t="inlineStr">
        <is>
          <t xml:space="preserve">Bound - within authority</t>
        </is>
      </c>
      <c r="E130" s="48" t="inlineStr">
        <is>
          <t xml:space="preserve">New business</t>
        </is>
      </c>
      <c r="F130" s="46" t="inlineStr">
        <is>
          <t xml:space="preserve">B1234EXOTIC26</t>
        </is>
      </c>
      <c r="G130" s="33">
        <f>IF($A130="","",IF($C130="","",YEAR($C130)))</f>
      </c>
      <c r="H130" s="49">
        <v>1975</v>
      </c>
      <c r="I130" s="46" t="inlineStr">
        <is>
          <t xml:space="preserve">Maserati</t>
        </is>
      </c>
      <c r="J130" s="46" t="inlineStr">
        <is>
          <t xml:space="preserve">GranTurismo</t>
        </is>
      </c>
      <c r="K130" s="46" t="inlineStr">
        <is>
          <t xml:space="preserve">ENPZMUEFZH0YG8XAH</t>
        </is>
      </c>
      <c r="L130" s="48" t="inlineStr">
        <is>
          <t xml:space="preserve">02 - Sports / GT</t>
        </is>
      </c>
      <c r="M130" s="50">
        <v>885000</v>
      </c>
      <c r="N130" s="48" t="inlineStr">
        <is>
          <t xml:space="preserve">Personal</t>
        </is>
      </c>
      <c r="O130" s="46" t="inlineStr">
        <is>
          <t xml:space="preserve">Personal - regular use</t>
        </is>
      </c>
      <c r="P130" s="46" t="inlineStr">
        <is>
          <t xml:space="preserve">2,500 - 5,000</t>
        </is>
      </c>
      <c r="Q130" s="46" t="inlineStr">
        <is>
          <t xml:space="preserve">North Dakota</t>
        </is>
      </c>
      <c r="R130" s="46" t="inlineStr">
        <is>
          <t xml:space="preserve">58501</t>
        </is>
      </c>
      <c r="S130" s="48" t="inlineStr">
        <is>
          <t xml:space="preserve">Severe convective - hail alley (high)</t>
        </is>
      </c>
      <c r="T130" s="36">
        <f>IF($A130="","",IF($S130="","",IFERROR(INDEX('[1]natural catastrophe'!$D$6:$D$17,MATCH($S130,'[1]natural catastrophe'!$B$6:$B$17,0)),"?")))</f>
      </c>
      <c r="U130" s="46" t="inlineStr">
        <is>
          <t xml:space="preserve">$5,000</t>
        </is>
      </c>
      <c r="V130" s="48" t="inlineStr">
        <is>
          <t xml:space="preserve">Agreed Value</t>
        </is>
      </c>
      <c r="W130" s="46" t="inlineStr">
        <is>
          <t xml:space="preserve">$1,000</t>
        </is>
      </c>
      <c r="X130" s="48" t="inlineStr">
        <is>
          <t xml:space="preserve">$1,000,000 CSL</t>
        </is>
      </c>
      <c r="Y130" s="46"/>
      <c r="Z130" s="46"/>
      <c r="AA130" s="48" t="inlineStr">
        <is>
          <t xml:space="preserve">Surplus Lines</t>
        </is>
      </c>
      <c r="AB130" s="50">
        <v>10178.54</v>
      </c>
      <c r="AC130" s="51">
        <v>0</v>
      </c>
      <c r="AD130" s="38">
        <f>IF(ISNUMBER($AB130),$AB130*(1+N($AC130)),"")</f>
      </c>
      <c r="AE130" s="50">
        <v>350</v>
      </c>
      <c r="AF130" s="50">
        <v>0</v>
      </c>
      <c r="AG130" s="51"/>
      <c r="AH130" s="39">
        <f>IF(ISNUMBER($AD130),($AD130+$AE130+$AF130)*$AG130,"")</f>
      </c>
      <c r="AI130" s="50"/>
      <c r="AJ130" s="38">
        <f>IF(ISNUMBER($AD130),SUM($AD130:$AH130),"")</f>
      </c>
      <c r="AK130" s="40">
        <f>IF(AND(ISNUMBER($AB130),ISNUMBER($AD130)),IF($AB130&gt;0,$AD130/$AB130,""),"")</f>
      </c>
      <c r="AL130" s="48" t="inlineStr">
        <is>
          <t xml:space="preserve">At technical</t>
        </is>
      </c>
      <c r="AM130" s="41">
        <f>IF(ISNUMBER($AD130),Header!$I$3,"")</f>
      </c>
      <c r="AN130" s="39">
        <f>IF(ISNUMBER($AD130),$AO130+$AP130,"")</f>
      </c>
      <c r="AO130" s="39">
        <f>IF(ISNUMBER($AD130),ROUND($AD130*Header!$K$3,2),"")</f>
      </c>
      <c r="AP130" s="39">
        <f>IF(ISNUMBER($AD130),ROUND($AD130*Header!$M$3,2),"")</f>
      </c>
      <c r="AQ130" s="38">
        <f>IF(ISNUMBER($AD130),ROUND($AD130,2)-$AO130-$AP130,"")</f>
      </c>
      <c r="AR130" s="39">
        <f>IF(ISNUMBER($AD130),IF(Header!$D$34="","?",$AD130*Header!$D$34),"")</f>
      </c>
      <c r="AS130" s="39">
        <f>IF(ISNUMBER($AB130),IF(Header!$D$34="","?",$AB130*Header!$D$34),"")</f>
      </c>
      <c r="AT130" s="42">
        <f>IF(AND(ISNUMBER($AB130),$M130&gt;0),$AB130/$M130*100,"")</f>
      </c>
      <c r="AU130" s="42">
        <f>IF(AND(ISNUMBER($AD130),$M130&gt;0),$AD130/$M130*100,"")</f>
      </c>
      <c r="AV130" s="40">
        <f>IF(AND(ISNUMBER($AB130),ISNUMBER($AD130),ABS($AB130)&gt;0),$AD130/$AB130,"")</f>
      </c>
      <c r="AW130" s="39">
        <f>IF(ISNUMBER($AD130),MAX(0,(1-0.55-Header!$O$3)*Header!$Q$3*$AQ130),"")</f>
      </c>
      <c r="AX130" s="43">
        <f>IF($A130="","",IF(TRIM(IF($A130="","Missing certificate ref. ","") &amp; IF($C130="","Missing effective date. ","") &amp; IF($D130="","Missing binding status. ","") &amp; IF($E130="","Missing movement type. ","") &amp; IF($I130="","Missing make. ","") &amp; IF($L130="","Missing vehicle class. ","") &amp; IF($M130="","Missing agreed value. ","") &amp; IF($N130="","Missing policy type. ","") &amp; IF($Q130="","Missing garaging state. ","") &amp; IF($R130="","Missing garaging ZIP. ","") &amp; IF($S130="","Missing cat zone. ","") &amp; IF($V130="","Missing valuation basis. ","") &amp; IF($W130="","Missing PD deductible. ","") &amp; IF($X130="","Missing liability limit. ","") &amp; IF($AB130="","Missing technical premium. ","") &amp; IF($AF130="","Missing surplus lines tax %. ",""))="","PASS","FAIL: "&amp;TRIM(IF($A130="","Missing certificate ref. ","") &amp; IF($C130="","Missing effective date. ","") &amp; IF($D130="","Missing binding status. ","") &amp; IF($E130="","Missing movement type. ","") &amp; IF($I130="","Missing make. ","") &amp; IF($L130="","Missing vehicle class. ","") &amp; IF($M130="","Missing agreed value. ","") &amp; IF($N130="","Missing policy type. ","") &amp; IF($Q130="","Missing garaging state. ","") &amp; IF($R130="","Missing garaging ZIP. ","") &amp; IF($S130="","Missing cat zone. ","") &amp; IF($V130="","Missing valuation basis. ","") &amp; IF($W130="","Missing PD deductible. ","") &amp; IF($X130="","Missing liability limit. ","") &amp; IF($AB130="","Missing technical premium. ","") &amp; IF($AF130="","Missing surplus lines tax %. ",""))))</f>
      </c>
      <c r="AY130" s="44">
        <f>IF($M130="","",IF(ISNUMBER($M130),IF($M130&gt;=Header!$C$18,"YES — refer","No"),""))</f>
      </c>
      <c r="AZ130" s="44">
        <f>IF($AD130="","",IF(ISNUMBER($AD130),IF($AD130&lt;Header!$C$20,"BELOW MIN PREMIUM","OK"),""))</f>
      </c>
      <c r="BA130" s="48" t="inlineStr">
        <is>
          <t xml:space="preserve">Yes</t>
        </is>
      </c>
      <c r="BB130" s="48" t="inlineStr">
        <is>
          <t xml:space="preserve">Yes</t>
        </is>
      </c>
      <c r="BC130" s="46" t="inlineStr">
        <is>
          <t xml:space="preserve">Synthetic demo data</t>
        </is>
      </c>
      <c r="BE130" s="45">
        <f>IF(OR($A130="",$L130="",$H130=""),"",IF(AND(LEFT($L130,2)="06",$H130&gt;1945),"FAIL - pre-war class, year "&amp;$H130,IF(AND(LEFT($L130,2)="07",OR($H130&lt;1946,$H130&gt;1972)),"FAIL - 1946-72 class, year "&amp;$H130,IF(AND(LEFT($L130,2)="08",OR($H130&lt;1973,$H130&gt;1999)),"FAIL - 1973-99 class, year "&amp;$H130,IF(AND(LEFT($L130,2)="09",OR($H130&lt;2000,$H130&gt;2010)),"FAIL - 2000-10 class, year "&amp;$H130,"OK")))))</f>
      </c>
      <c r="BF130" s="45">
        <f>IF($AD130="","",IF(ROUND($AO130+$AP130+$AQ130-$AD130,2)=0,"OK","FAIL - out by "&amp;TEXT($AO130+$AP130+$AQ130-$AD130,"$0.00")))</f>
      </c>
    </row>
    <row r="131" spans="1:58" ht="18.75" customHeight="1" x14ac:dyDescent="0.25">
      <c r="A131" s="30" t="inlineStr">
        <is>
          <t xml:space="preserve">CANON-202511-002330</t>
        </is>
      </c>
      <c r="B131" s="30" t="inlineStr">
        <is>
          <t xml:space="preserve">Delphine Nakashima</t>
        </is>
      </c>
      <c r="C131" s="31">
        <v>45962</v>
      </c>
      <c r="D131" s="32" t="inlineStr">
        <is>
          <t xml:space="preserve">Bound - within authority</t>
        </is>
      </c>
      <c r="E131" s="32" t="inlineStr">
        <is>
          <t xml:space="preserve">New business</t>
        </is>
      </c>
      <c r="F131" s="30" t="inlineStr">
        <is>
          <t xml:space="preserve">B1234EXOTIC26</t>
        </is>
      </c>
      <c r="G131" s="33">
        <f>IF($A131="","",IF($C131="","",YEAR($C131)))</f>
      </c>
      <c r="H131" s="34">
        <v>1971</v>
      </c>
      <c r="I131" s="30" t="inlineStr">
        <is>
          <t xml:space="preserve">Bentley</t>
        </is>
      </c>
      <c r="J131" s="30" t="inlineStr">
        <is>
          <t xml:space="preserve">Continental GT</t>
        </is>
      </c>
      <c r="K131" s="30" t="inlineStr">
        <is>
          <t xml:space="preserve">5FWB02TWNN8FS0MHD</t>
        </is>
      </c>
      <c r="L131" s="32" t="inlineStr">
        <is>
          <t xml:space="preserve">02 - Sports / GT</t>
        </is>
      </c>
      <c r="M131" s="35">
        <v>490000</v>
      </c>
      <c r="N131" s="32" t="inlineStr">
        <is>
          <t xml:space="preserve">Personal</t>
        </is>
      </c>
      <c r="O131" s="30" t="inlineStr">
        <is>
          <t xml:space="preserve">Personal - regular use</t>
        </is>
      </c>
      <c r="P131" s="30" t="inlineStr">
        <is>
          <t xml:space="preserve">Under 1,000</t>
        </is>
      </c>
      <c r="Q131" s="30" t="inlineStr">
        <is>
          <t xml:space="preserve">West Virginia</t>
        </is>
      </c>
      <c r="R131" s="30" t="inlineStr">
        <is>
          <t xml:space="preserve">25301</t>
        </is>
      </c>
      <c r="S131" s="32" t="inlineStr">
        <is>
          <t xml:space="preserve">Low hazard - inland benign</t>
        </is>
      </c>
      <c r="T131" s="36">
        <f>IF($A131="","",IF($S131="","",IFERROR(INDEX('[1]natural catastrophe'!$D$6:$D$17,MATCH($S131,'[1]natural catastrophe'!$B$6:$B$17,0)),"?")))</f>
      </c>
      <c r="U131" s="30" t="inlineStr">
        <is>
          <t xml:space="preserve">$5,000</t>
        </is>
      </c>
      <c r="V131" s="32" t="inlineStr">
        <is>
          <t xml:space="preserve">Agreed Value</t>
        </is>
      </c>
      <c r="W131" s="30" t="inlineStr">
        <is>
          <t xml:space="preserve">$1,000</t>
        </is>
      </c>
      <c r="X131" s="32" t="inlineStr">
        <is>
          <t xml:space="preserve">$1,000,000 CSL</t>
        </is>
      </c>
      <c r="Y131" s="30"/>
      <c r="Z131" s="30"/>
      <c r="AA131" s="32" t="inlineStr">
        <is>
          <t xml:space="preserve">Surplus Lines</t>
        </is>
      </c>
      <c r="AB131" s="35">
        <v>8478.86</v>
      </c>
      <c r="AC131" s="37">
        <v>0</v>
      </c>
      <c r="AD131" s="38">
        <f>IF(ISNUMBER($AB131),$AB131*(1+N($AC131)),"")</f>
      </c>
      <c r="AE131" s="35">
        <v>350</v>
      </c>
      <c r="AF131" s="35">
        <v>0</v>
      </c>
      <c r="AG131" s="37"/>
      <c r="AH131" s="39">
        <f>IF(ISNUMBER($AD131),($AD131+$AE131+$AF131)*$AG131,"")</f>
      </c>
      <c r="AI131" s="35"/>
      <c r="AJ131" s="38">
        <f>IF(ISNUMBER($AD131),SUM($AD131:$AH131),"")</f>
      </c>
      <c r="AK131" s="40">
        <f>IF(AND(ISNUMBER($AB131),ISNUMBER($AD131)),IF($AB131&gt;0,$AD131/$AB131,""),"")</f>
      </c>
      <c r="AL131" s="32" t="inlineStr">
        <is>
          <t xml:space="preserve">At technical</t>
        </is>
      </c>
      <c r="AM131" s="41">
        <f>IF(ISNUMBER($AD131),Header!$I$3,"")</f>
      </c>
      <c r="AN131" s="39">
        <f>IF(ISNUMBER($AD131),$AO131+$AP131,"")</f>
      </c>
      <c r="AO131" s="39">
        <f>IF(ISNUMBER($AD131),ROUND($AD131*Header!$K$3,2),"")</f>
      </c>
      <c r="AP131" s="39">
        <f>IF(ISNUMBER($AD131),ROUND($AD131*Header!$M$3,2),"")</f>
      </c>
      <c r="AQ131" s="38">
        <f>IF(ISNUMBER($AD131),ROUND($AD131,2)-$AO131-$AP131,"")</f>
      </c>
      <c r="AR131" s="39">
        <f>IF(ISNUMBER($AD131),IF(Header!$D$34="","?",$AD131*Header!$D$34),"")</f>
      </c>
      <c r="AS131" s="39">
        <f>IF(ISNUMBER($AB131),IF(Header!$D$34="","?",$AB131*Header!$D$34),"")</f>
      </c>
      <c r="AT131" s="42">
        <f>IF(AND(ISNUMBER($AB131),$M131&gt;0),$AB131/$M131*100,"")</f>
      </c>
      <c r="AU131" s="42">
        <f>IF(AND(ISNUMBER($AD131),$M131&gt;0),$AD131/$M131*100,"")</f>
      </c>
      <c r="AV131" s="40">
        <f>IF(AND(ISNUMBER($AB131),ISNUMBER($AD131),ABS($AB131)&gt;0),$AD131/$AB131,"")</f>
      </c>
      <c r="AW131" s="39">
        <f>IF(ISNUMBER($AD131),MAX(0,(1-0.55-Header!$O$3)*Header!$Q$3*$AQ131),"")</f>
      </c>
      <c r="AX131" s="43">
        <f>IF($A131="","",IF(TRIM(IF($A131="","Missing certificate ref. ","") &amp; IF($C131="","Missing effective date. ","") &amp; IF($D131="","Missing binding status. ","") &amp; IF($E131="","Missing movement type. ","") &amp; IF($I131="","Missing make. ","") &amp; IF($L131="","Missing vehicle class. ","") &amp; IF($M131="","Missing agreed value. ","") &amp; IF($N131="","Missing policy type. ","") &amp; IF($Q131="","Missing garaging state. ","") &amp; IF($R131="","Missing garaging ZIP. ","") &amp; IF($S131="","Missing cat zone. ","") &amp; IF($V131="","Missing valuation basis. ","") &amp; IF($W131="","Missing PD deductible. ","") &amp; IF($X131="","Missing liability limit. ","") &amp; IF($AB131="","Missing technical premium. ","") &amp; IF($AF131="","Missing surplus lines tax %. ",""))="","PASS","FAIL: "&amp;TRIM(IF($A131="","Missing certificate ref. ","") &amp; IF($C131="","Missing effective date. ","") &amp; IF($D131="","Missing binding status. ","") &amp; IF($E131="","Missing movement type. ","") &amp; IF($I131="","Missing make. ","") &amp; IF($L131="","Missing vehicle class. ","") &amp; IF($M131="","Missing agreed value. ","") &amp; IF($N131="","Missing policy type. ","") &amp; IF($Q131="","Missing garaging state. ","") &amp; IF($R131="","Missing garaging ZIP. ","") &amp; IF($S131="","Missing cat zone. ","") &amp; IF($V131="","Missing valuation basis. ","") &amp; IF($W131="","Missing PD deductible. ","") &amp; IF($X131="","Missing liability limit. ","") &amp; IF($AB131="","Missing technical premium. ","") &amp; IF($AF131="","Missing surplus lines tax %. ",""))))</f>
      </c>
      <c r="AY131" s="44">
        <f>IF($M131="","",IF(ISNUMBER($M131),IF($M131&gt;=Header!$C$18,"YES — refer","No"),""))</f>
      </c>
      <c r="AZ131" s="44">
        <f>IF($AD131="","",IF(ISNUMBER($AD131),IF($AD131&lt;Header!$C$20,"BELOW MIN PREMIUM","OK"),""))</f>
      </c>
      <c r="BA131" s="32" t="inlineStr">
        <is>
          <t xml:space="preserve">Yes</t>
        </is>
      </c>
      <c r="BB131" s="32" t="inlineStr">
        <is>
          <t xml:space="preserve">Yes</t>
        </is>
      </c>
      <c r="BC131" s="30" t="inlineStr">
        <is>
          <t xml:space="preserve">Synthetic demo data</t>
        </is>
      </c>
      <c r="BE131" s="45">
        <f>IF(OR($A131="",$L131="",$H131=""),"",IF(AND(LEFT($L131,2)="06",$H131&gt;1945),"FAIL - pre-war class, year "&amp;$H131,IF(AND(LEFT($L131,2)="07",OR($H131&lt;1946,$H131&gt;1972)),"FAIL - 1946-72 class, year "&amp;$H131,IF(AND(LEFT($L131,2)="08",OR($H131&lt;1973,$H131&gt;1999)),"FAIL - 1973-99 class, year "&amp;$H131,IF(AND(LEFT($L131,2)="09",OR($H131&lt;2000,$H131&gt;2010)),"FAIL - 2000-10 class, year "&amp;$H131,"OK")))))</f>
      </c>
      <c r="BF131" s="45">
        <f>IF($AD131="","",IF(ROUND($AO131+$AP131+$AQ131-$AD131,2)=0,"OK","FAIL - out by "&amp;TEXT($AO131+$AP131+$AQ131-$AD131,"$0.00")))</f>
      </c>
    </row>
    <row r="132" spans="1:58" ht="18.75" customHeight="1" x14ac:dyDescent="0.25">
      <c r="A132" s="46" t="inlineStr">
        <is>
          <t xml:space="preserve">CANON-202511-002331</t>
        </is>
      </c>
      <c r="B132" s="46" t="inlineStr">
        <is>
          <t xml:space="preserve">Mireille Castellanos</t>
        </is>
      </c>
      <c r="C132" s="47">
        <v>45963</v>
      </c>
      <c r="D132" s="48" t="inlineStr">
        <is>
          <t xml:space="preserve">Bound - within authority</t>
        </is>
      </c>
      <c r="E132" s="48" t="inlineStr">
        <is>
          <t xml:space="preserve">New business</t>
        </is>
      </c>
      <c r="F132" s="46" t="inlineStr">
        <is>
          <t xml:space="preserve">B1234EXOTIC26</t>
        </is>
      </c>
      <c r="G132" s="33">
        <f>IF($A132="","",IF($C132="","",YEAR($C132)))</f>
      </c>
      <c r="H132" s="49">
        <v>1994</v>
      </c>
      <c r="I132" s="46" t="inlineStr">
        <is>
          <t xml:space="preserve">Aston Martin</t>
        </is>
      </c>
      <c r="J132" s="46" t="inlineStr">
        <is>
          <t xml:space="preserve">DB5</t>
        </is>
      </c>
      <c r="K132" s="46" t="inlineStr">
        <is>
          <t xml:space="preserve">5CFJJH880MYYP9MHG</t>
        </is>
      </c>
      <c r="L132" s="48" t="inlineStr">
        <is>
          <t xml:space="preserve">08 - Modern Classic (1973-1999)</t>
        </is>
      </c>
      <c r="M132" s="50">
        <v>200000</v>
      </c>
      <c r="N132" s="48" t="inlineStr">
        <is>
          <t xml:space="preserve">Personal</t>
        </is>
      </c>
      <c r="O132" s="46" t="inlineStr">
        <is>
          <t xml:space="preserve">Personal - regular use</t>
        </is>
      </c>
      <c r="P132" s="46" t="inlineStr">
        <is>
          <t xml:space="preserve">2,500 - 5,000</t>
        </is>
      </c>
      <c r="Q132" s="46" t="inlineStr">
        <is>
          <t xml:space="preserve">Nebraska</t>
        </is>
      </c>
      <c r="R132" s="46" t="inlineStr">
        <is>
          <t xml:space="preserve">68102</t>
        </is>
      </c>
      <c r="S132" s="48" t="inlineStr">
        <is>
          <t xml:space="preserve">Severe convective - hail alley (high)</t>
        </is>
      </c>
      <c r="T132" s="36">
        <f>IF($A132="","",IF($S132="","",IFERROR(INDEX('[1]natural catastrophe'!$D$6:$D$17,MATCH($S132,'[1]natural catastrophe'!$B$6:$B$17,0)),"?")))</f>
      </c>
      <c r="U132" s="46" t="inlineStr">
        <is>
          <t xml:space="preserve">$5,000</t>
        </is>
      </c>
      <c r="V132" s="48" t="inlineStr">
        <is>
          <t xml:space="preserve">Agreed Value</t>
        </is>
      </c>
      <c r="W132" s="46" t="inlineStr">
        <is>
          <t xml:space="preserve">$1,000</t>
        </is>
      </c>
      <c r="X132" s="48" t="inlineStr">
        <is>
          <t xml:space="preserve">$1,000,000 CSL</t>
        </is>
      </c>
      <c r="Y132" s="46"/>
      <c r="Z132" s="46"/>
      <c r="AA132" s="48" t="inlineStr">
        <is>
          <t xml:space="preserve">Surplus Lines</t>
        </is>
      </c>
      <c r="AB132" s="50">
        <v>2570.85</v>
      </c>
      <c r="AC132" s="51">
        <v>0</v>
      </c>
      <c r="AD132" s="38">
        <f>IF(ISNUMBER($AB132),$AB132*(1+N($AC132)),"")</f>
      </c>
      <c r="AE132" s="50">
        <v>350</v>
      </c>
      <c r="AF132" s="50">
        <v>0</v>
      </c>
      <c r="AG132" s="51"/>
      <c r="AH132" s="39">
        <f>IF(ISNUMBER($AD132),($AD132+$AE132+$AF132)*$AG132,"")</f>
      </c>
      <c r="AI132" s="50"/>
      <c r="AJ132" s="38">
        <f>IF(ISNUMBER($AD132),SUM($AD132:$AH132),"")</f>
      </c>
      <c r="AK132" s="40">
        <f>IF(AND(ISNUMBER($AB132),ISNUMBER($AD132)),IF($AB132&gt;0,$AD132/$AB132,""),"")</f>
      </c>
      <c r="AL132" s="48" t="inlineStr">
        <is>
          <t xml:space="preserve">At technical</t>
        </is>
      </c>
      <c r="AM132" s="41">
        <f>IF(ISNUMBER($AD132),Header!$I$3,"")</f>
      </c>
      <c r="AN132" s="39">
        <f>IF(ISNUMBER($AD132),$AO132+$AP132,"")</f>
      </c>
      <c r="AO132" s="39">
        <f>IF(ISNUMBER($AD132),ROUND($AD132*Header!$K$3,2),"")</f>
      </c>
      <c r="AP132" s="39">
        <f>IF(ISNUMBER($AD132),ROUND($AD132*Header!$M$3,2),"")</f>
      </c>
      <c r="AQ132" s="38">
        <f>IF(ISNUMBER($AD132),ROUND($AD132,2)-$AO132-$AP132,"")</f>
      </c>
      <c r="AR132" s="39">
        <f>IF(ISNUMBER($AD132),IF(Header!$D$34="","?",$AD132*Header!$D$34),"")</f>
      </c>
      <c r="AS132" s="39">
        <f>IF(ISNUMBER($AB132),IF(Header!$D$34="","?",$AB132*Header!$D$34),"")</f>
      </c>
      <c r="AT132" s="42">
        <f>IF(AND(ISNUMBER($AB132),$M132&gt;0),$AB132/$M132*100,"")</f>
      </c>
      <c r="AU132" s="42">
        <f>IF(AND(ISNUMBER($AD132),$M132&gt;0),$AD132/$M132*100,"")</f>
      </c>
      <c r="AV132" s="40">
        <f>IF(AND(ISNUMBER($AB132),ISNUMBER($AD132),ABS($AB132)&gt;0),$AD132/$AB132,"")</f>
      </c>
      <c r="AW132" s="39">
        <f>IF(ISNUMBER($AD132),MAX(0,(1-0.55-Header!$O$3)*Header!$Q$3*$AQ132),"")</f>
      </c>
      <c r="AX132" s="43">
        <f>IF($A132="","",IF(TRIM(IF($A132="","Missing certificate ref. ","") &amp; IF($C132="","Missing effective date. ","") &amp; IF($D132="","Missing binding status. ","") &amp; IF($E132="","Missing movement type. ","") &amp; IF($I132="","Missing make. ","") &amp; IF($L132="","Missing vehicle class. ","") &amp; IF($M132="","Missing agreed value. ","") &amp; IF($N132="","Missing policy type. ","") &amp; IF($Q132="","Missing garaging state. ","") &amp; IF($R132="","Missing garaging ZIP. ","") &amp; IF($S132="","Missing cat zone. ","") &amp; IF($V132="","Missing valuation basis. ","") &amp; IF($W132="","Missing PD deductible. ","") &amp; IF($X132="","Missing liability limit. ","") &amp; IF($AB132="","Missing technical premium. ","") &amp; IF($AF132="","Missing surplus lines tax %. ",""))="","PASS","FAIL: "&amp;TRIM(IF($A132="","Missing certificate ref. ","") &amp; IF($C132="","Missing effective date. ","") &amp; IF($D132="","Missing binding status. ","") &amp; IF($E132="","Missing movement type. ","") &amp; IF($I132="","Missing make. ","") &amp; IF($L132="","Missing vehicle class. ","") &amp; IF($M132="","Missing agreed value. ","") &amp; IF($N132="","Missing policy type. ","") &amp; IF($Q132="","Missing garaging state. ","") &amp; IF($R132="","Missing garaging ZIP. ","") &amp; IF($S132="","Missing cat zone. ","") &amp; IF($V132="","Missing valuation basis. ","") &amp; IF($W132="","Missing PD deductible. ","") &amp; IF($X132="","Missing liability limit. ","") &amp; IF($AB132="","Missing technical premium. ","") &amp; IF($AF132="","Missing surplus lines tax %. ",""))))</f>
      </c>
      <c r="AY132" s="44">
        <f>IF($M132="","",IF(ISNUMBER($M132),IF($M132&gt;=Header!$C$18,"YES — refer","No"),""))</f>
      </c>
      <c r="AZ132" s="44">
        <f>IF($AD132="","",IF(ISNUMBER($AD132),IF($AD132&lt;Header!$C$20,"BELOW MIN PREMIUM","OK"),""))</f>
      </c>
      <c r="BA132" s="48" t="inlineStr">
        <is>
          <t xml:space="preserve">Yes</t>
        </is>
      </c>
      <c r="BB132" s="48" t="inlineStr">
        <is>
          <t xml:space="preserve">Yes</t>
        </is>
      </c>
      <c r="BC132" s="46" t="inlineStr">
        <is>
          <t xml:space="preserve">Synthetic demo data</t>
        </is>
      </c>
      <c r="BE132" s="45">
        <f>IF(OR($A132="",$L132="",$H132=""),"",IF(AND(LEFT($L132,2)="06",$H132&gt;1945),"FAIL - pre-war class, year "&amp;$H132,IF(AND(LEFT($L132,2)="07",OR($H132&lt;1946,$H132&gt;1972)),"FAIL - 1946-72 class, year "&amp;$H132,IF(AND(LEFT($L132,2)="08",OR($H132&lt;1973,$H132&gt;1999)),"FAIL - 1973-99 class, year "&amp;$H132,IF(AND(LEFT($L132,2)="09",OR($H132&lt;2000,$H132&gt;2010)),"FAIL - 2000-10 class, year "&amp;$H132,"OK")))))</f>
      </c>
      <c r="BF132" s="45">
        <f>IF($AD132="","",IF(ROUND($AO132+$AP132+$AQ132-$AD132,2)=0,"OK","FAIL - out by "&amp;TEXT($AO132+$AP132+$AQ132-$AD132,"$0.00")))</f>
      </c>
    </row>
    <row r="133" spans="1:58" ht="18.75" customHeight="1" x14ac:dyDescent="0.25">
      <c r="A133" s="30" t="inlineStr">
        <is>
          <t xml:space="preserve">CANON-202511-002335</t>
        </is>
      </c>
      <c r="B133" s="30" t="inlineStr">
        <is>
          <t xml:space="preserve">Cassius Ashcombe</t>
        </is>
      </c>
      <c r="C133" s="31">
        <v>45967</v>
      </c>
      <c r="D133" s="32" t="inlineStr">
        <is>
          <t xml:space="preserve">Bound - within authority</t>
        </is>
      </c>
      <c r="E133" s="32" t="inlineStr">
        <is>
          <t xml:space="preserve">New business</t>
        </is>
      </c>
      <c r="F133" s="30" t="inlineStr">
        <is>
          <t xml:space="preserve">B1234EXOTIC26</t>
        </is>
      </c>
      <c r="G133" s="33">
        <f>IF($A133="","",IF($C133="","",YEAR($C133)))</f>
      </c>
      <c r="H133" s="34">
        <v>2005</v>
      </c>
      <c r="I133" s="30" t="inlineStr">
        <is>
          <t xml:space="preserve">Ferrari</t>
        </is>
      </c>
      <c r="J133" s="30" t="inlineStr">
        <is>
          <t xml:space="preserve">296 GTB</t>
        </is>
      </c>
      <c r="K133" s="30" t="inlineStr">
        <is>
          <t xml:space="preserve">RDK4WWY93W6MP77L7</t>
        </is>
      </c>
      <c r="L133" s="32" t="inlineStr">
        <is>
          <t xml:space="preserve">03 - Supercar</t>
        </is>
      </c>
      <c r="M133" s="35">
        <v>790000</v>
      </c>
      <c r="N133" s="32" t="inlineStr">
        <is>
          <t xml:space="preserve">Personal</t>
        </is>
      </c>
      <c r="O133" s="30" t="inlineStr">
        <is>
          <t xml:space="preserve">Personal - regular use</t>
        </is>
      </c>
      <c r="P133" s="30" t="inlineStr">
        <is>
          <t xml:space="preserve">Under 1,000</t>
        </is>
      </c>
      <c r="Q133" s="30" t="inlineStr">
        <is>
          <t xml:space="preserve">Maine</t>
        </is>
      </c>
      <c r="R133" s="30" t="inlineStr">
        <is>
          <t xml:space="preserve">04101</t>
        </is>
      </c>
      <c r="S133" s="32" t="inlineStr">
        <is>
          <t xml:space="preserve">Tier 3 - Coastal wind (25-100 miles)</t>
        </is>
      </c>
      <c r="T133" s="36">
        <f>IF($A133="","",IF($S133="","",IFERROR(INDEX('[1]natural catastrophe'!$D$6:$D$17,MATCH($S133,'[1]natural catastrophe'!$B$6:$B$17,0)),"?")))</f>
      </c>
      <c r="U133" s="30" t="inlineStr">
        <is>
          <t xml:space="preserve">2% of agreed value, minimum $10,000</t>
        </is>
      </c>
      <c r="V133" s="32" t="inlineStr">
        <is>
          <t xml:space="preserve">Agreed Value</t>
        </is>
      </c>
      <c r="W133" s="30" t="inlineStr">
        <is>
          <t xml:space="preserve">$1,000</t>
        </is>
      </c>
      <c r="X133" s="32" t="inlineStr">
        <is>
          <t xml:space="preserve">$1,000,000 CSL</t>
        </is>
      </c>
      <c r="Y133" s="30"/>
      <c r="Z133" s="30"/>
      <c r="AA133" s="32" t="inlineStr">
        <is>
          <t xml:space="preserve">Surplus Lines</t>
        </is>
      </c>
      <c r="AB133" s="35">
        <v>14060.58</v>
      </c>
      <c r="AC133" s="37">
        <v>0</v>
      </c>
      <c r="AD133" s="38">
        <f>IF(ISNUMBER($AB133),$AB133*(1+N($AC133)),"")</f>
      </c>
      <c r="AE133" s="35">
        <v>350</v>
      </c>
      <c r="AF133" s="35">
        <v>0</v>
      </c>
      <c r="AG133" s="37"/>
      <c r="AH133" s="39">
        <f>IF(ISNUMBER($AD133),($AD133+$AE133+$AF133)*$AG133,"")</f>
      </c>
      <c r="AI133" s="35"/>
      <c r="AJ133" s="38">
        <f>IF(ISNUMBER($AD133),SUM($AD133:$AH133),"")</f>
      </c>
      <c r="AK133" s="40">
        <f>IF(AND(ISNUMBER($AB133),ISNUMBER($AD133)),IF($AB133&gt;0,$AD133/$AB133,""),"")</f>
      </c>
      <c r="AL133" s="32" t="inlineStr">
        <is>
          <t xml:space="preserve">At technical</t>
        </is>
      </c>
      <c r="AM133" s="41">
        <f>IF(ISNUMBER($AD133),Header!$I$3,"")</f>
      </c>
      <c r="AN133" s="39">
        <f>IF(ISNUMBER($AD133),$AO133+$AP133,"")</f>
      </c>
      <c r="AO133" s="39">
        <f>IF(ISNUMBER($AD133),ROUND($AD133*Header!$K$3,2),"")</f>
      </c>
      <c r="AP133" s="39">
        <f>IF(ISNUMBER($AD133),ROUND($AD133*Header!$M$3,2),"")</f>
      </c>
      <c r="AQ133" s="38">
        <f>IF(ISNUMBER($AD133),ROUND($AD133,2)-$AO133-$AP133,"")</f>
      </c>
      <c r="AR133" s="39">
        <f>IF(ISNUMBER($AD133),IF(Header!$D$34="","?",$AD133*Header!$D$34),"")</f>
      </c>
      <c r="AS133" s="39">
        <f>IF(ISNUMBER($AB133),IF(Header!$D$34="","?",$AB133*Header!$D$34),"")</f>
      </c>
      <c r="AT133" s="42">
        <f>IF(AND(ISNUMBER($AB133),$M133&gt;0),$AB133/$M133*100,"")</f>
      </c>
      <c r="AU133" s="42">
        <f>IF(AND(ISNUMBER($AD133),$M133&gt;0),$AD133/$M133*100,"")</f>
      </c>
      <c r="AV133" s="40">
        <f>IF(AND(ISNUMBER($AB133),ISNUMBER($AD133),ABS($AB133)&gt;0),$AD133/$AB133,"")</f>
      </c>
      <c r="AW133" s="39">
        <f>IF(ISNUMBER($AD133),MAX(0,(1-0.55-Header!$O$3)*Header!$Q$3*$AQ133),"")</f>
      </c>
      <c r="AX133" s="43">
        <f>IF($A133="","",IF(TRIM(IF($A133="","Missing certificate ref. ","") &amp; IF($C133="","Missing effective date. ","") &amp; IF($D133="","Missing binding status. ","") &amp; IF($E133="","Missing movement type. ","") &amp; IF($I133="","Missing make. ","") &amp; IF($L133="","Missing vehicle class. ","") &amp; IF($M133="","Missing agreed value. ","") &amp; IF($N133="","Missing policy type. ","") &amp; IF($Q133="","Missing garaging state. ","") &amp; IF($R133="","Missing garaging ZIP. ","") &amp; IF($S133="","Missing cat zone. ","") &amp; IF($V133="","Missing valuation basis. ","") &amp; IF($W133="","Missing PD deductible. ","") &amp; IF($X133="","Missing liability limit. ","") &amp; IF($AB133="","Missing technical premium. ","") &amp; IF($AF133="","Missing surplus lines tax %. ",""))="","PASS","FAIL: "&amp;TRIM(IF($A133="","Missing certificate ref. ","") &amp; IF($C133="","Missing effective date. ","") &amp; IF($D133="","Missing binding status. ","") &amp; IF($E133="","Missing movement type. ","") &amp; IF($I133="","Missing make. ","") &amp; IF($L133="","Missing vehicle class. ","") &amp; IF($M133="","Missing agreed value. ","") &amp; IF($N133="","Missing policy type. ","") &amp; IF($Q133="","Missing garaging state. ","") &amp; IF($R133="","Missing garaging ZIP. ","") &amp; IF($S133="","Missing cat zone. ","") &amp; IF($V133="","Missing valuation basis. ","") &amp; IF($W133="","Missing PD deductible. ","") &amp; IF($X133="","Missing liability limit. ","") &amp; IF($AB133="","Missing technical premium. ","") &amp; IF($AF133="","Missing surplus lines tax %. ",""))))</f>
      </c>
      <c r="AY133" s="44">
        <f>IF($M133="","",IF(ISNUMBER($M133),IF($M133&gt;=Header!$C$18,"YES — refer","No"),""))</f>
      </c>
      <c r="AZ133" s="44">
        <f>IF($AD133="","",IF(ISNUMBER($AD133),IF($AD133&lt;Header!$C$20,"BELOW MIN PREMIUM","OK"),""))</f>
      </c>
      <c r="BA133" s="32" t="inlineStr">
        <is>
          <t xml:space="preserve">Yes</t>
        </is>
      </c>
      <c r="BB133" s="32" t="inlineStr">
        <is>
          <t xml:space="preserve">Yes</t>
        </is>
      </c>
      <c r="BC133" s="30" t="inlineStr">
        <is>
          <t xml:space="preserve">Synthetic demo data</t>
        </is>
      </c>
      <c r="BE133" s="45">
        <f>IF(OR($A133="",$L133="",$H133=""),"",IF(AND(LEFT($L133,2)="06",$H133&gt;1945),"FAIL - pre-war class, year "&amp;$H133,IF(AND(LEFT($L133,2)="07",OR($H133&lt;1946,$H133&gt;1972)),"FAIL - 1946-72 class, year "&amp;$H133,IF(AND(LEFT($L133,2)="08",OR($H133&lt;1973,$H133&gt;1999)),"FAIL - 1973-99 class, year "&amp;$H133,IF(AND(LEFT($L133,2)="09",OR($H133&lt;2000,$H133&gt;2010)),"FAIL - 2000-10 class, year "&amp;$H133,"OK")))))</f>
      </c>
      <c r="BF133" s="45">
        <f>IF($AD133="","",IF(ROUND($AO133+$AP133+$AQ133-$AD133,2)=0,"OK","FAIL - out by "&amp;TEXT($AO133+$AP133+$AQ133-$AD133,"$0.00")))</f>
      </c>
    </row>
    <row r="134" spans="1:58" ht="18.75" customHeight="1" x14ac:dyDescent="0.25">
      <c r="A134" s="46" t="inlineStr">
        <is>
          <t xml:space="preserve">CANON-202511-002337</t>
        </is>
      </c>
      <c r="B134" s="46" t="inlineStr">
        <is>
          <t xml:space="preserve">Ottilie Nakashima</t>
        </is>
      </c>
      <c r="C134" s="47">
        <v>45983</v>
      </c>
      <c r="D134" s="48" t="inlineStr">
        <is>
          <t xml:space="preserve">Bound - within authority</t>
        </is>
      </c>
      <c r="E134" s="48" t="inlineStr">
        <is>
          <t xml:space="preserve">New business</t>
        </is>
      </c>
      <c r="F134" s="46" t="inlineStr">
        <is>
          <t xml:space="preserve">B1234EXOTIC26</t>
        </is>
      </c>
      <c r="G134" s="33">
        <f>IF($A134="","",IF($C134="","",YEAR($C134)))</f>
      </c>
      <c r="H134" s="49">
        <v>2003</v>
      </c>
      <c r="I134" s="46" t="inlineStr">
        <is>
          <t xml:space="preserve">Ringbrothers</t>
        </is>
      </c>
      <c r="J134" s="46" t="inlineStr">
        <is>
          <t xml:space="preserve">Mustang</t>
        </is>
      </c>
      <c r="K134" s="46" t="inlineStr">
        <is>
          <t xml:space="preserve">45P6FH2ZBHKMW8L58</t>
        </is>
      </c>
      <c r="L134" s="48" t="inlineStr">
        <is>
          <t xml:space="preserve">11 - Restomod / Coachbuilt / Bespoke</t>
        </is>
      </c>
      <c r="M134" s="50">
        <v>690000</v>
      </c>
      <c r="N134" s="48" t="inlineStr">
        <is>
          <t xml:space="preserve">Personal</t>
        </is>
      </c>
      <c r="O134" s="46" t="inlineStr">
        <is>
          <t xml:space="preserve">Personal - regular use</t>
        </is>
      </c>
      <c r="P134" s="46" t="inlineStr">
        <is>
          <t xml:space="preserve">Under 1,000</t>
        </is>
      </c>
      <c r="Q134" s="46" t="inlineStr">
        <is>
          <t xml:space="preserve">Hawaii</t>
        </is>
      </c>
      <c r="R134" s="46" t="inlineStr">
        <is>
          <t xml:space="preserve">96813</t>
        </is>
      </c>
      <c r="S134" s="48" t="inlineStr">
        <is>
          <t xml:space="preserve">Earthquake - high (CA, Cascadia, New Madrid)</t>
        </is>
      </c>
      <c r="T134" s="36">
        <f>IF($A134="","",IF($S134="","",IFERROR(INDEX('[1]natural catastrophe'!$D$6:$D$17,MATCH($S134,'[1]natural catastrophe'!$B$6:$B$17,0)),"?")))</f>
      </c>
      <c r="U134" s="46" t="inlineStr">
        <is>
          <t xml:space="preserve">$5,000</t>
        </is>
      </c>
      <c r="V134" s="48" t="inlineStr">
        <is>
          <t xml:space="preserve">Agreed Value</t>
        </is>
      </c>
      <c r="W134" s="46" t="inlineStr">
        <is>
          <t xml:space="preserve">$1,000</t>
        </is>
      </c>
      <c r="X134" s="48" t="inlineStr">
        <is>
          <t xml:space="preserve">$1,000,000 CSL</t>
        </is>
      </c>
      <c r="Y134" s="46"/>
      <c r="Z134" s="46"/>
      <c r="AA134" s="48" t="inlineStr">
        <is>
          <t xml:space="preserve">Surplus Lines</t>
        </is>
      </c>
      <c r="AB134" s="50">
        <v>12137.12</v>
      </c>
      <c r="AC134" s="51">
        <v>0</v>
      </c>
      <c r="AD134" s="38">
        <f>IF(ISNUMBER($AB134),$AB134*(1+N($AC134)),"")</f>
      </c>
      <c r="AE134" s="50">
        <v>350</v>
      </c>
      <c r="AF134" s="50">
        <v>0</v>
      </c>
      <c r="AG134" s="51"/>
      <c r="AH134" s="39">
        <f>IF(ISNUMBER($AD134),($AD134+$AE134+$AF134)*$AG134,"")</f>
      </c>
      <c r="AI134" s="50"/>
      <c r="AJ134" s="38">
        <f>IF(ISNUMBER($AD134),SUM($AD134:$AH134),"")</f>
      </c>
      <c r="AK134" s="40">
        <f>IF(AND(ISNUMBER($AB134),ISNUMBER($AD134)),IF($AB134&gt;0,$AD134/$AB134,""),"")</f>
      </c>
      <c r="AL134" s="48" t="inlineStr">
        <is>
          <t xml:space="preserve">At technical</t>
        </is>
      </c>
      <c r="AM134" s="41">
        <f>IF(ISNUMBER($AD134),Header!$I$3,"")</f>
      </c>
      <c r="AN134" s="39">
        <f>IF(ISNUMBER($AD134),$AO134+$AP134,"")</f>
      </c>
      <c r="AO134" s="39">
        <f>IF(ISNUMBER($AD134),ROUND($AD134*Header!$K$3,2),"")</f>
      </c>
      <c r="AP134" s="39">
        <f>IF(ISNUMBER($AD134),ROUND($AD134*Header!$M$3,2),"")</f>
      </c>
      <c r="AQ134" s="38">
        <f>IF(ISNUMBER($AD134),ROUND($AD134,2)-$AO134-$AP134,"")</f>
      </c>
      <c r="AR134" s="39">
        <f>IF(ISNUMBER($AD134),IF(Header!$D$34="","?",$AD134*Header!$D$34),"")</f>
      </c>
      <c r="AS134" s="39">
        <f>IF(ISNUMBER($AB134),IF(Header!$D$34="","?",$AB134*Header!$D$34),"")</f>
      </c>
      <c r="AT134" s="42">
        <f>IF(AND(ISNUMBER($AB134),$M134&gt;0),$AB134/$M134*100,"")</f>
      </c>
      <c r="AU134" s="42">
        <f>IF(AND(ISNUMBER($AD134),$M134&gt;0),$AD134/$M134*100,"")</f>
      </c>
      <c r="AV134" s="40">
        <f>IF(AND(ISNUMBER($AB134),ISNUMBER($AD134),ABS($AB134)&gt;0),$AD134/$AB134,"")</f>
      </c>
      <c r="AW134" s="39">
        <f>IF(ISNUMBER($AD134),MAX(0,(1-0.55-Header!$O$3)*Header!$Q$3*$AQ134),"")</f>
      </c>
      <c r="AX134" s="43">
        <f>IF($A134="","",IF(TRIM(IF($A134="","Missing certificate ref. ","") &amp; IF($C134="","Missing effective date. ","") &amp; IF($D134="","Missing binding status. ","") &amp; IF($E134="","Missing movement type. ","") &amp; IF($I134="","Missing make. ","") &amp; IF($L134="","Missing vehicle class. ","") &amp; IF($M134="","Missing agreed value. ","") &amp; IF($N134="","Missing policy type. ","") &amp; IF($Q134="","Missing garaging state. ","") &amp; IF($R134="","Missing garaging ZIP. ","") &amp; IF($S134="","Missing cat zone. ","") &amp; IF($V134="","Missing valuation basis. ","") &amp; IF($W134="","Missing PD deductible. ","") &amp; IF($X134="","Missing liability limit. ","") &amp; IF($AB134="","Missing technical premium. ","") &amp; IF($AF134="","Missing surplus lines tax %. ",""))="","PASS","FAIL: "&amp;TRIM(IF($A134="","Missing certificate ref. ","") &amp; IF($C134="","Missing effective date. ","") &amp; IF($D134="","Missing binding status. ","") &amp; IF($E134="","Missing movement type. ","") &amp; IF($I134="","Missing make. ","") &amp; IF($L134="","Missing vehicle class. ","") &amp; IF($M134="","Missing agreed value. ","") &amp; IF($N134="","Missing policy type. ","") &amp; IF($Q134="","Missing garaging state. ","") &amp; IF($R134="","Missing garaging ZIP. ","") &amp; IF($S134="","Missing cat zone. ","") &amp; IF($V134="","Missing valuation basis. ","") &amp; IF($W134="","Missing PD deductible. ","") &amp; IF($X134="","Missing liability limit. ","") &amp; IF($AB134="","Missing technical premium. ","") &amp; IF($AF134="","Missing surplus lines tax %. ",""))))</f>
      </c>
      <c r="AY134" s="44">
        <f>IF($M134="","",IF(ISNUMBER($M134),IF($M134&gt;=Header!$C$18,"YES — refer","No"),""))</f>
      </c>
      <c r="AZ134" s="44">
        <f>IF($AD134="","",IF(ISNUMBER($AD134),IF($AD134&lt;Header!$C$20,"BELOW MIN PREMIUM","OK"),""))</f>
      </c>
      <c r="BA134" s="48" t="inlineStr">
        <is>
          <t xml:space="preserve">Yes</t>
        </is>
      </c>
      <c r="BB134" s="48" t="inlineStr">
        <is>
          <t xml:space="preserve">Yes</t>
        </is>
      </c>
      <c r="BC134" s="46" t="inlineStr">
        <is>
          <t xml:space="preserve">Synthetic demo data</t>
        </is>
      </c>
      <c r="BE134" s="45">
        <f>IF(OR($A134="",$L134="",$H134=""),"",IF(AND(LEFT($L134,2)="06",$H134&gt;1945),"FAIL - pre-war class, year "&amp;$H134,IF(AND(LEFT($L134,2)="07",OR($H134&lt;1946,$H134&gt;1972)),"FAIL - 1946-72 class, year "&amp;$H134,IF(AND(LEFT($L134,2)="08",OR($H134&lt;1973,$H134&gt;1999)),"FAIL - 1973-99 class, year "&amp;$H134,IF(AND(LEFT($L134,2)="09",OR($H134&lt;2000,$H134&gt;2010)),"FAIL - 2000-10 class, year "&amp;$H134,"OK")))))</f>
      </c>
      <c r="BF134" s="45">
        <f>IF($AD134="","",IF(ROUND($AO134+$AP134+$AQ134-$AD134,2)=0,"OK","FAIL - out by "&amp;TEXT($AO134+$AP134+$AQ134-$AD134,"$0.00")))</f>
      </c>
    </row>
    <row r="135" spans="1:58" ht="18.75" customHeight="1" x14ac:dyDescent="0.25">
      <c r="A135" s="30" t="inlineStr">
        <is>
          <t xml:space="preserve">CANON-202511-002338</t>
        </is>
      </c>
      <c r="B135" s="30" t="inlineStr">
        <is>
          <t xml:space="preserve">Delphine Bellandi</t>
        </is>
      </c>
      <c r="C135" s="31">
        <v>45973</v>
      </c>
      <c r="D135" s="32" t="inlineStr">
        <is>
          <t xml:space="preserve">Bound - within authority</t>
        </is>
      </c>
      <c r="E135" s="32" t="inlineStr">
        <is>
          <t xml:space="preserve">New business</t>
        </is>
      </c>
      <c r="F135" s="30" t="inlineStr">
        <is>
          <t xml:space="preserve">B1234EXOTIC26</t>
        </is>
      </c>
      <c r="G135" s="33">
        <f>IF($A135="","",IF($C135="","",YEAR($C135)))</f>
      </c>
      <c r="H135" s="34">
        <v>2016</v>
      </c>
      <c r="I135" s="30" t="inlineStr">
        <is>
          <t xml:space="preserve">Lamborghini</t>
        </is>
      </c>
      <c r="J135" s="30" t="inlineStr">
        <is>
          <t xml:space="preserve">Huracan EVO</t>
        </is>
      </c>
      <c r="K135" s="30" t="inlineStr">
        <is>
          <t xml:space="preserve">C8MCKXKW9WAMDE3XU</t>
        </is>
      </c>
      <c r="L135" s="32" t="inlineStr">
        <is>
          <t xml:space="preserve">03 - Supercar</t>
        </is>
      </c>
      <c r="M135" s="35">
        <v>1950000</v>
      </c>
      <c r="N135" s="32" t="inlineStr">
        <is>
          <t xml:space="preserve">Personal</t>
        </is>
      </c>
      <c r="O135" s="30" t="inlineStr">
        <is>
          <t xml:space="preserve">Personal - regular use</t>
        </is>
      </c>
      <c r="P135" s="30" t="inlineStr">
        <is>
          <t xml:space="preserve">Under 1,000</t>
        </is>
      </c>
      <c r="Q135" s="30" t="inlineStr">
        <is>
          <t xml:space="preserve">Kansas</t>
        </is>
      </c>
      <c r="R135" s="30" t="inlineStr">
        <is>
          <t xml:space="preserve">66603</t>
        </is>
      </c>
      <c r="S135" s="32" t="inlineStr">
        <is>
          <t xml:space="preserve">Severe convective - hail alley (high)</t>
        </is>
      </c>
      <c r="T135" s="36">
        <f>IF($A135="","",IF($S135="","",IFERROR(INDEX('[1]natural catastrophe'!$D$6:$D$17,MATCH($S135,'[1]natural catastrophe'!$B$6:$B$17,0)),"?")))</f>
      </c>
      <c r="U135" s="30" t="inlineStr">
        <is>
          <t xml:space="preserve">$5,000</t>
        </is>
      </c>
      <c r="V135" s="32" t="inlineStr">
        <is>
          <t xml:space="preserve">Agreed Value</t>
        </is>
      </c>
      <c r="W135" s="30" t="inlineStr">
        <is>
          <t xml:space="preserve">$1,000</t>
        </is>
      </c>
      <c r="X135" s="32" t="inlineStr">
        <is>
          <t xml:space="preserve">$1,000,000 CSL</t>
        </is>
      </c>
      <c r="Y135" s="30"/>
      <c r="Z135" s="30"/>
      <c r="AA135" s="32" t="inlineStr">
        <is>
          <t xml:space="preserve">Surplus Lines</t>
        </is>
      </c>
      <c r="AB135" s="35">
        <v>26249.73</v>
      </c>
      <c r="AC135" s="37">
        <v>0</v>
      </c>
      <c r="AD135" s="38">
        <f>IF(ISNUMBER($AB135),$AB135*(1+N($AC135)),"")</f>
      </c>
      <c r="AE135" s="35">
        <v>350</v>
      </c>
      <c r="AF135" s="35">
        <v>250</v>
      </c>
      <c r="AG135" s="37"/>
      <c r="AH135" s="39">
        <f>IF(ISNUMBER($AD135),($AD135+$AE135+$AF135)*$AG135,"")</f>
      </c>
      <c r="AI135" s="35"/>
      <c r="AJ135" s="38">
        <f>IF(ISNUMBER($AD135),SUM($AD135:$AH135),"")</f>
      </c>
      <c r="AK135" s="40">
        <f>IF(AND(ISNUMBER($AB135),ISNUMBER($AD135)),IF($AB135&gt;0,$AD135/$AB135,""),"")</f>
      </c>
      <c r="AL135" s="32" t="inlineStr">
        <is>
          <t xml:space="preserve">At technical</t>
        </is>
      </c>
      <c r="AM135" s="41">
        <f>IF(ISNUMBER($AD135),Header!$I$3,"")</f>
      </c>
      <c r="AN135" s="39">
        <f>IF(ISNUMBER($AD135),$AO135+$AP135,"")</f>
      </c>
      <c r="AO135" s="39">
        <f>IF(ISNUMBER($AD135),ROUND($AD135*Header!$K$3,2),"")</f>
      </c>
      <c r="AP135" s="39">
        <f>IF(ISNUMBER($AD135),ROUND($AD135*Header!$M$3,2),"")</f>
      </c>
      <c r="AQ135" s="38">
        <f>IF(ISNUMBER($AD135),ROUND($AD135,2)-$AO135-$AP135,"")</f>
      </c>
      <c r="AR135" s="39">
        <f>IF(ISNUMBER($AD135),IF(Header!$D$34="","?",$AD135*Header!$D$34),"")</f>
      </c>
      <c r="AS135" s="39">
        <f>IF(ISNUMBER($AB135),IF(Header!$D$34="","?",$AB135*Header!$D$34),"")</f>
      </c>
      <c r="AT135" s="42">
        <f>IF(AND(ISNUMBER($AB135),$M135&gt;0),$AB135/$M135*100,"")</f>
      </c>
      <c r="AU135" s="42">
        <f>IF(AND(ISNUMBER($AD135),$M135&gt;0),$AD135/$M135*100,"")</f>
      </c>
      <c r="AV135" s="40">
        <f>IF(AND(ISNUMBER($AB135),ISNUMBER($AD135),ABS($AB135)&gt;0),$AD135/$AB135,"")</f>
      </c>
      <c r="AW135" s="39">
        <f>IF(ISNUMBER($AD135),MAX(0,(1-0.55-Header!$O$3)*Header!$Q$3*$AQ135),"")</f>
      </c>
      <c r="AX135" s="43">
        <f>IF($A135="","",IF(TRIM(IF($A135="","Missing certificate ref. ","") &amp; IF($C135="","Missing effective date. ","") &amp; IF($D135="","Missing binding status. ","") &amp; IF($E135="","Missing movement type. ","") &amp; IF($I135="","Missing make. ","") &amp; IF($L135="","Missing vehicle class. ","") &amp; IF($M135="","Missing agreed value. ","") &amp; IF($N135="","Missing policy type. ","") &amp; IF($Q135="","Missing garaging state. ","") &amp; IF($R135="","Missing garaging ZIP. ","") &amp; IF($S135="","Missing cat zone. ","") &amp; IF($V135="","Missing valuation basis. ","") &amp; IF($W135="","Missing PD deductible. ","") &amp; IF($X135="","Missing liability limit. ","") &amp; IF($AB135="","Missing technical premium. ","") &amp; IF($AF135="","Missing surplus lines tax %. ",""))="","PASS","FAIL: "&amp;TRIM(IF($A135="","Missing certificate ref. ","") &amp; IF($C135="","Missing effective date. ","") &amp; IF($D135="","Missing binding status. ","") &amp; IF($E135="","Missing movement type. ","") &amp; IF($I135="","Missing make. ","") &amp; IF($L135="","Missing vehicle class. ","") &amp; IF($M135="","Missing agreed value. ","") &amp; IF($N135="","Missing policy type. ","") &amp; IF($Q135="","Missing garaging state. ","") &amp; IF($R135="","Missing garaging ZIP. ","") &amp; IF($S135="","Missing cat zone. ","") &amp; IF($V135="","Missing valuation basis. ","") &amp; IF($W135="","Missing PD deductible. ","") &amp; IF($X135="","Missing liability limit. ","") &amp; IF($AB135="","Missing technical premium. ","") &amp; IF($AF135="","Missing surplus lines tax %. ",""))))</f>
      </c>
      <c r="AY135" s="44">
        <f>IF($M135="","",IF(ISNUMBER($M135),IF($M135&gt;=Header!$C$18,"YES — refer","No"),""))</f>
      </c>
      <c r="AZ135" s="44">
        <f>IF($AD135="","",IF(ISNUMBER($AD135),IF($AD135&lt;Header!$C$20,"BELOW MIN PREMIUM","OK"),""))</f>
      </c>
      <c r="BA135" s="32" t="inlineStr">
        <is>
          <t xml:space="preserve">Yes</t>
        </is>
      </c>
      <c r="BB135" s="32" t="inlineStr">
        <is>
          <t xml:space="preserve">Yes</t>
        </is>
      </c>
      <c r="BC135" s="30" t="inlineStr">
        <is>
          <t xml:space="preserve">Synthetic demo data</t>
        </is>
      </c>
      <c r="BE135" s="45">
        <f>IF(OR($A135="",$L135="",$H135=""),"",IF(AND(LEFT($L135,2)="06",$H135&gt;1945),"FAIL - pre-war class, year "&amp;$H135,IF(AND(LEFT($L135,2)="07",OR($H135&lt;1946,$H135&gt;1972)),"FAIL - 1946-72 class, year "&amp;$H135,IF(AND(LEFT($L135,2)="08",OR($H135&lt;1973,$H135&gt;1999)),"FAIL - 1973-99 class, year "&amp;$H135,IF(AND(LEFT($L135,2)="09",OR($H135&lt;2000,$H135&gt;2010)),"FAIL - 2000-10 class, year "&amp;$H135,"OK")))))</f>
      </c>
      <c r="BF135" s="45">
        <f>IF($AD135="","",IF(ROUND($AO135+$AP135+$AQ135-$AD135,2)=0,"OK","FAIL - out by "&amp;TEXT($AO135+$AP135+$AQ135-$AD135,"$0.00")))</f>
      </c>
    </row>
    <row r="136" spans="1:58" ht="18.75" customHeight="1" x14ac:dyDescent="0.25">
      <c r="A136" s="46" t="inlineStr">
        <is>
          <t xml:space="preserve">CANON-202511-002341</t>
        </is>
      </c>
      <c r="B136" s="46" t="inlineStr">
        <is>
          <t xml:space="preserve">Sunniva Okonkwo</t>
        </is>
      </c>
      <c r="C136" s="47">
        <v>45969</v>
      </c>
      <c r="D136" s="48" t="inlineStr">
        <is>
          <t xml:space="preserve">Bound - within authority</t>
        </is>
      </c>
      <c r="E136" s="48" t="inlineStr">
        <is>
          <t xml:space="preserve">New business</t>
        </is>
      </c>
      <c r="F136" s="46" t="inlineStr">
        <is>
          <t xml:space="preserve">B1234EXOTIC26</t>
        </is>
      </c>
      <c r="G136" s="33">
        <f>IF($A136="","",IF($C136="","",YEAR($C136)))</f>
      </c>
      <c r="H136" s="49">
        <v>2004</v>
      </c>
      <c r="I136" s="46" t="inlineStr">
        <is>
          <t xml:space="preserve">Mercedes-Benz</t>
        </is>
      </c>
      <c r="J136" s="46" t="inlineStr">
        <is>
          <t xml:space="preserve">AMG GT</t>
        </is>
      </c>
      <c r="K136" s="46" t="inlineStr">
        <is>
          <t xml:space="preserve">3PK8GGRA10A02RPEF</t>
        </is>
      </c>
      <c r="L136" s="48" t="inlineStr">
        <is>
          <t xml:space="preserve">02 - Sports / GT</t>
        </is>
      </c>
      <c r="M136" s="50">
        <v>595000</v>
      </c>
      <c r="N136" s="48" t="inlineStr">
        <is>
          <t xml:space="preserve">Personal</t>
        </is>
      </c>
      <c r="O136" s="46" t="inlineStr">
        <is>
          <t xml:space="preserve">Personal - regular use</t>
        </is>
      </c>
      <c r="P136" s="46" t="inlineStr">
        <is>
          <t xml:space="preserve">1,000 - 2,500</t>
        </is>
      </c>
      <c r="Q136" s="46" t="inlineStr">
        <is>
          <t xml:space="preserve">California</t>
        </is>
      </c>
      <c r="R136" s="46" t="inlineStr">
        <is>
          <t xml:space="preserve">90012</t>
        </is>
      </c>
      <c r="S136" s="48" t="inlineStr">
        <is>
          <t xml:space="preserve">Earthquake - high (CA, Cascadia, New Madrid)</t>
        </is>
      </c>
      <c r="T136" s="36">
        <f>IF($A136="","",IF($S136="","",IFERROR(INDEX('[1]natural catastrophe'!$D$6:$D$17,MATCH($S136,'[1]natural catastrophe'!$B$6:$B$17,0)),"?")))</f>
      </c>
      <c r="U136" s="46" t="inlineStr">
        <is>
          <t xml:space="preserve">$5,000</t>
        </is>
      </c>
      <c r="V136" s="48" t="inlineStr">
        <is>
          <t xml:space="preserve">Agreed Value</t>
        </is>
      </c>
      <c r="W136" s="46" t="inlineStr">
        <is>
          <t xml:space="preserve">$1,000</t>
        </is>
      </c>
      <c r="X136" s="48" t="inlineStr">
        <is>
          <t xml:space="preserve">$1,000,000 CSL</t>
        </is>
      </c>
      <c r="Y136" s="46"/>
      <c r="Z136" s="46"/>
      <c r="AA136" s="48" t="inlineStr">
        <is>
          <t xml:space="preserve">Surplus Lines</t>
        </is>
      </c>
      <c r="AB136" s="50">
        <v>9057.17</v>
      </c>
      <c r="AC136" s="51">
        <v>0</v>
      </c>
      <c r="AD136" s="38">
        <f>IF(ISNUMBER($AB136),$AB136*(1+N($AC136)),"")</f>
      </c>
      <c r="AE136" s="50">
        <v>350</v>
      </c>
      <c r="AF136" s="50">
        <v>0</v>
      </c>
      <c r="AG136" s="51"/>
      <c r="AH136" s="39">
        <f>IF(ISNUMBER($AD136),($AD136+$AE136+$AF136)*$AG136,"")</f>
      </c>
      <c r="AI136" s="50"/>
      <c r="AJ136" s="38">
        <f>IF(ISNUMBER($AD136),SUM($AD136:$AH136),"")</f>
      </c>
      <c r="AK136" s="40">
        <f>IF(AND(ISNUMBER($AB136),ISNUMBER($AD136)),IF($AB136&gt;0,$AD136/$AB136,""),"")</f>
      </c>
      <c r="AL136" s="48" t="inlineStr">
        <is>
          <t xml:space="preserve">At technical</t>
        </is>
      </c>
      <c r="AM136" s="41">
        <f>IF(ISNUMBER($AD136),Header!$I$3,"")</f>
      </c>
      <c r="AN136" s="39">
        <f>IF(ISNUMBER($AD136),$AO136+$AP136,"")</f>
      </c>
      <c r="AO136" s="39">
        <f>IF(ISNUMBER($AD136),ROUND($AD136*Header!$K$3,2),"")</f>
      </c>
      <c r="AP136" s="39">
        <f>IF(ISNUMBER($AD136),ROUND($AD136*Header!$M$3,2),"")</f>
      </c>
      <c r="AQ136" s="38">
        <f>IF(ISNUMBER($AD136),ROUND($AD136,2)-$AO136-$AP136,"")</f>
      </c>
      <c r="AR136" s="39">
        <f>IF(ISNUMBER($AD136),IF(Header!$D$34="","?",$AD136*Header!$D$34),"")</f>
      </c>
      <c r="AS136" s="39">
        <f>IF(ISNUMBER($AB136),IF(Header!$D$34="","?",$AB136*Header!$D$34),"")</f>
      </c>
      <c r="AT136" s="42">
        <f>IF(AND(ISNUMBER($AB136),$M136&gt;0),$AB136/$M136*100,"")</f>
      </c>
      <c r="AU136" s="42">
        <f>IF(AND(ISNUMBER($AD136),$M136&gt;0),$AD136/$M136*100,"")</f>
      </c>
      <c r="AV136" s="40">
        <f>IF(AND(ISNUMBER($AB136),ISNUMBER($AD136),ABS($AB136)&gt;0),$AD136/$AB136,"")</f>
      </c>
      <c r="AW136" s="39">
        <f>IF(ISNUMBER($AD136),MAX(0,(1-0.55-Header!$O$3)*Header!$Q$3*$AQ136),"")</f>
      </c>
      <c r="AX136" s="43">
        <f>IF($A136="","",IF(TRIM(IF($A136="","Missing certificate ref. ","") &amp; IF($C136="","Missing effective date. ","") &amp; IF($D136="","Missing binding status. ","") &amp; IF($E136="","Missing movement type. ","") &amp; IF($I136="","Missing make. ","") &amp; IF($L136="","Missing vehicle class. ","") &amp; IF($M136="","Missing agreed value. ","") &amp; IF($N136="","Missing policy type. ","") &amp; IF($Q136="","Missing garaging state. ","") &amp; IF($R136="","Missing garaging ZIP. ","") &amp; IF($S136="","Missing cat zone. ","") &amp; IF($V136="","Missing valuation basis. ","") &amp; IF($W136="","Missing PD deductible. ","") &amp; IF($X136="","Missing liability limit. ","") &amp; IF($AB136="","Missing technical premium. ","") &amp; IF($AF136="","Missing surplus lines tax %. ",""))="","PASS","FAIL: "&amp;TRIM(IF($A136="","Missing certificate ref. ","") &amp; IF($C136="","Missing effective date. ","") &amp; IF($D136="","Missing binding status. ","") &amp; IF($E136="","Missing movement type. ","") &amp; IF($I136="","Missing make. ","") &amp; IF($L136="","Missing vehicle class. ","") &amp; IF($M136="","Missing agreed value. ","") &amp; IF($N136="","Missing policy type. ","") &amp; IF($Q136="","Missing garaging state. ","") &amp; IF($R136="","Missing garaging ZIP. ","") &amp; IF($S136="","Missing cat zone. ","") &amp; IF($V136="","Missing valuation basis. ","") &amp; IF($W136="","Missing PD deductible. ","") &amp; IF($X136="","Missing liability limit. ","") &amp; IF($AB136="","Missing technical premium. ","") &amp; IF($AF136="","Missing surplus lines tax %. ",""))))</f>
      </c>
      <c r="AY136" s="44">
        <f>IF($M136="","",IF(ISNUMBER($M136),IF($M136&gt;=Header!$C$18,"YES — refer","No"),""))</f>
      </c>
      <c r="AZ136" s="44">
        <f>IF($AD136="","",IF(ISNUMBER($AD136),IF($AD136&lt;Header!$C$20,"BELOW MIN PREMIUM","OK"),""))</f>
      </c>
      <c r="BA136" s="48" t="inlineStr">
        <is>
          <t xml:space="preserve">Yes</t>
        </is>
      </c>
      <c r="BB136" s="48" t="inlineStr">
        <is>
          <t xml:space="preserve">Yes</t>
        </is>
      </c>
      <c r="BC136" s="46" t="inlineStr">
        <is>
          <t xml:space="preserve">Synthetic demo data</t>
        </is>
      </c>
      <c r="BE136" s="45">
        <f>IF(OR($A136="",$L136="",$H136=""),"",IF(AND(LEFT($L136,2)="06",$H136&gt;1945),"FAIL - pre-war class, year "&amp;$H136,IF(AND(LEFT($L136,2)="07",OR($H136&lt;1946,$H136&gt;1972)),"FAIL - 1946-72 class, year "&amp;$H136,IF(AND(LEFT($L136,2)="08",OR($H136&lt;1973,$H136&gt;1999)),"FAIL - 1973-99 class, year "&amp;$H136,IF(AND(LEFT($L136,2)="09",OR($H136&lt;2000,$H136&gt;2010)),"FAIL - 2000-10 class, year "&amp;$H136,"OK")))))</f>
      </c>
      <c r="BF136" s="45">
        <f>IF($AD136="","",IF(ROUND($AO136+$AP136+$AQ136-$AD136,2)=0,"OK","FAIL - out by "&amp;TEXT($AO136+$AP136+$AQ136-$AD136,"$0.00")))</f>
      </c>
    </row>
    <row r="137" spans="1:58" ht="18.75" customHeight="1" x14ac:dyDescent="0.25">
      <c r="A137" s="30" t="inlineStr">
        <is>
          <t xml:space="preserve">CANON-202511-002342</t>
        </is>
      </c>
      <c r="B137" s="30" t="inlineStr">
        <is>
          <t xml:space="preserve">Callum Pennington</t>
        </is>
      </c>
      <c r="C137" s="31">
        <v>45974</v>
      </c>
      <c r="D137" s="32" t="inlineStr">
        <is>
          <t xml:space="preserve">Bound - within authority</t>
        </is>
      </c>
      <c r="E137" s="32" t="inlineStr">
        <is>
          <t xml:space="preserve">New business</t>
        </is>
      </c>
      <c r="F137" s="30" t="inlineStr">
        <is>
          <t xml:space="preserve">B1234EXOTIC26</t>
        </is>
      </c>
      <c r="G137" s="33">
        <f>IF($A137="","",IF($C137="","",YEAR($C137)))</f>
      </c>
      <c r="H137" s="34">
        <v>1999</v>
      </c>
      <c r="I137" s="30" t="inlineStr">
        <is>
          <t xml:space="preserve">Aston Martin</t>
        </is>
      </c>
      <c r="J137" s="30" t="inlineStr">
        <is>
          <t xml:space="preserve">DB12</t>
        </is>
      </c>
      <c r="K137" s="30" t="inlineStr">
        <is>
          <t xml:space="preserve">J6YA6R41X2A7TRZYS</t>
        </is>
      </c>
      <c r="L137" s="32" t="inlineStr">
        <is>
          <t xml:space="preserve">02 - Sports / GT</t>
        </is>
      </c>
      <c r="M137" s="35">
        <v>465000</v>
      </c>
      <c r="N137" s="32" t="inlineStr">
        <is>
          <t xml:space="preserve">Personal</t>
        </is>
      </c>
      <c r="O137" s="30" t="inlineStr">
        <is>
          <t xml:space="preserve">Personal - regular use</t>
        </is>
      </c>
      <c r="P137" s="30" t="inlineStr">
        <is>
          <t xml:space="preserve">2,500 - 5,000</t>
        </is>
      </c>
      <c r="Q137" s="30" t="inlineStr">
        <is>
          <t xml:space="preserve">Nebraska</t>
        </is>
      </c>
      <c r="R137" s="30" t="inlineStr">
        <is>
          <t xml:space="preserve">68102</t>
        </is>
      </c>
      <c r="S137" s="32" t="inlineStr">
        <is>
          <t xml:space="preserve">Severe convective - hail alley (high)</t>
        </is>
      </c>
      <c r="T137" s="36">
        <f>IF($A137="","",IF($S137="","",IFERROR(INDEX('[1]natural catastrophe'!$D$6:$D$17,MATCH($S137,'[1]natural catastrophe'!$B$6:$B$17,0)),"?")))</f>
      </c>
      <c r="U137" s="30" t="inlineStr">
        <is>
          <t xml:space="preserve">$5,000</t>
        </is>
      </c>
      <c r="V137" s="32" t="inlineStr">
        <is>
          <t xml:space="preserve">Agreed Value</t>
        </is>
      </c>
      <c r="W137" s="30" t="inlineStr">
        <is>
          <t xml:space="preserve">$1,000</t>
        </is>
      </c>
      <c r="X137" s="32" t="inlineStr">
        <is>
          <t xml:space="preserve">$1,000,000 CSL</t>
        </is>
      </c>
      <c r="Y137" s="30"/>
      <c r="Z137" s="30"/>
      <c r="AA137" s="32" t="inlineStr">
        <is>
          <t xml:space="preserve">Surplus Lines</t>
        </is>
      </c>
      <c r="AB137" s="35">
        <v>7864.78</v>
      </c>
      <c r="AC137" s="37">
        <v>0</v>
      </c>
      <c r="AD137" s="38">
        <f>IF(ISNUMBER($AB137),$AB137*(1+N($AC137)),"")</f>
      </c>
      <c r="AE137" s="35">
        <v>350</v>
      </c>
      <c r="AF137" s="35">
        <v>0</v>
      </c>
      <c r="AG137" s="37"/>
      <c r="AH137" s="39">
        <f>IF(ISNUMBER($AD137),($AD137+$AE137+$AF137)*$AG137,"")</f>
      </c>
      <c r="AI137" s="35"/>
      <c r="AJ137" s="38">
        <f>IF(ISNUMBER($AD137),SUM($AD137:$AH137),"")</f>
      </c>
      <c r="AK137" s="40">
        <f>IF(AND(ISNUMBER($AB137),ISNUMBER($AD137)),IF($AB137&gt;0,$AD137/$AB137,""),"")</f>
      </c>
      <c r="AL137" s="32" t="inlineStr">
        <is>
          <t xml:space="preserve">At technical</t>
        </is>
      </c>
      <c r="AM137" s="41">
        <f>IF(ISNUMBER($AD137),Header!$I$3,"")</f>
      </c>
      <c r="AN137" s="39">
        <f>IF(ISNUMBER($AD137),$AO137+$AP137,"")</f>
      </c>
      <c r="AO137" s="39">
        <f>IF(ISNUMBER($AD137),ROUND($AD137*Header!$K$3,2),"")</f>
      </c>
      <c r="AP137" s="39">
        <f>IF(ISNUMBER($AD137),ROUND($AD137*Header!$M$3,2),"")</f>
      </c>
      <c r="AQ137" s="38">
        <f>IF(ISNUMBER($AD137),ROUND($AD137,2)-$AO137-$AP137,"")</f>
      </c>
      <c r="AR137" s="39">
        <f>IF(ISNUMBER($AD137),IF(Header!$D$34="","?",$AD137*Header!$D$34),"")</f>
      </c>
      <c r="AS137" s="39">
        <f>IF(ISNUMBER($AB137),IF(Header!$D$34="","?",$AB137*Header!$D$34),"")</f>
      </c>
      <c r="AT137" s="42">
        <f>IF(AND(ISNUMBER($AB137),$M137&gt;0),$AB137/$M137*100,"")</f>
      </c>
      <c r="AU137" s="42">
        <f>IF(AND(ISNUMBER($AD137),$M137&gt;0),$AD137/$M137*100,"")</f>
      </c>
      <c r="AV137" s="40">
        <f>IF(AND(ISNUMBER($AB137),ISNUMBER($AD137),ABS($AB137)&gt;0),$AD137/$AB137,"")</f>
      </c>
      <c r="AW137" s="39">
        <f>IF(ISNUMBER($AD137),MAX(0,(1-0.55-Header!$O$3)*Header!$Q$3*$AQ137),"")</f>
      </c>
      <c r="AX137" s="43">
        <f>IF($A137="","",IF(TRIM(IF($A137="","Missing certificate ref. ","") &amp; IF($C137="","Missing effective date. ","") &amp; IF($D137="","Missing binding status. ","") &amp; IF($E137="","Missing movement type. ","") &amp; IF($I137="","Missing make. ","") &amp; IF($L137="","Missing vehicle class. ","") &amp; IF($M137="","Missing agreed value. ","") &amp; IF($N137="","Missing policy type. ","") &amp; IF($Q137="","Missing garaging state. ","") &amp; IF($R137="","Missing garaging ZIP. ","") &amp; IF($S137="","Missing cat zone. ","") &amp; IF($V137="","Missing valuation basis. ","") &amp; IF($W137="","Missing PD deductible. ","") &amp; IF($X137="","Missing liability limit. ","") &amp; IF($AB137="","Missing technical premium. ","") &amp; IF($AF137="","Missing surplus lines tax %. ",""))="","PASS","FAIL: "&amp;TRIM(IF($A137="","Missing certificate ref. ","") &amp; IF($C137="","Missing effective date. ","") &amp; IF($D137="","Missing binding status. ","") &amp; IF($E137="","Missing movement type. ","") &amp; IF($I137="","Missing make. ","") &amp; IF($L137="","Missing vehicle class. ","") &amp; IF($M137="","Missing agreed value. ","") &amp; IF($N137="","Missing policy type. ","") &amp; IF($Q137="","Missing garaging state. ","") &amp; IF($R137="","Missing garaging ZIP. ","") &amp; IF($S137="","Missing cat zone. ","") &amp; IF($V137="","Missing valuation basis. ","") &amp; IF($W137="","Missing PD deductible. ","") &amp; IF($X137="","Missing liability limit. ","") &amp; IF($AB137="","Missing technical premium. ","") &amp; IF($AF137="","Missing surplus lines tax %. ",""))))</f>
      </c>
      <c r="AY137" s="44">
        <f>IF($M137="","",IF(ISNUMBER($M137),IF($M137&gt;=Header!$C$18,"YES — refer","No"),""))</f>
      </c>
      <c r="AZ137" s="44">
        <f>IF($AD137="","",IF(ISNUMBER($AD137),IF($AD137&lt;Header!$C$20,"BELOW MIN PREMIUM","OK"),""))</f>
      </c>
      <c r="BA137" s="32" t="inlineStr">
        <is>
          <t xml:space="preserve">Yes</t>
        </is>
      </c>
      <c r="BB137" s="32" t="inlineStr">
        <is>
          <t xml:space="preserve">Yes</t>
        </is>
      </c>
      <c r="BC137" s="30" t="inlineStr">
        <is>
          <t xml:space="preserve">Synthetic demo data</t>
        </is>
      </c>
      <c r="BE137" s="45">
        <f>IF(OR($A137="",$L137="",$H137=""),"",IF(AND(LEFT($L137,2)="06",$H137&gt;1945),"FAIL - pre-war class, year "&amp;$H137,IF(AND(LEFT($L137,2)="07",OR($H137&lt;1946,$H137&gt;1972)),"FAIL - 1946-72 class, year "&amp;$H137,IF(AND(LEFT($L137,2)="08",OR($H137&lt;1973,$H137&gt;1999)),"FAIL - 1973-99 class, year "&amp;$H137,IF(AND(LEFT($L137,2)="09",OR($H137&lt;2000,$H137&gt;2010)),"FAIL - 2000-10 class, year "&amp;$H137,"OK")))))</f>
      </c>
      <c r="BF137" s="45">
        <f>IF($AD137="","",IF(ROUND($AO137+$AP137+$AQ137-$AD137,2)=0,"OK","FAIL - out by "&amp;TEXT($AO137+$AP137+$AQ137-$AD137,"$0.00")))</f>
      </c>
    </row>
    <row r="138" spans="1:58" ht="18.75" customHeight="1" x14ac:dyDescent="0.25">
      <c r="A138" s="46" t="inlineStr">
        <is>
          <t xml:space="preserve">CANON-202511-002343</t>
        </is>
      </c>
      <c r="B138" s="46" t="inlineStr">
        <is>
          <t xml:space="preserve">Anouk Thistlewood</t>
        </is>
      </c>
      <c r="C138" s="47">
        <v>45973</v>
      </c>
      <c r="D138" s="48" t="inlineStr">
        <is>
          <t xml:space="preserve">Bound - within authority</t>
        </is>
      </c>
      <c r="E138" s="48" t="inlineStr">
        <is>
          <t xml:space="preserve">New business</t>
        </is>
      </c>
      <c r="F138" s="46" t="inlineStr">
        <is>
          <t xml:space="preserve">B1234EXOTIC26</t>
        </is>
      </c>
      <c r="G138" s="33">
        <f>IF($A138="","",IF($C138="","",YEAR($C138)))</f>
      </c>
      <c r="H138" s="49">
        <v>1962</v>
      </c>
      <c r="I138" s="46" t="inlineStr">
        <is>
          <t xml:space="preserve">Bentley</t>
        </is>
      </c>
      <c r="J138" s="46" t="inlineStr">
        <is>
          <t xml:space="preserve">4.5 Litre</t>
        </is>
      </c>
      <c r="K138" s="46" t="inlineStr">
        <is>
          <t xml:space="preserve">MC0SHMWP6LNXFPTR4</t>
        </is>
      </c>
      <c r="L138" s="48" t="inlineStr">
        <is>
          <t xml:space="preserve">07 - Post-War Classic (1946-1972)</t>
        </is>
      </c>
      <c r="M138" s="50">
        <v>1050000</v>
      </c>
      <c r="N138" s="48" t="inlineStr">
        <is>
          <t xml:space="preserve">Personal</t>
        </is>
      </c>
      <c r="O138" s="46" t="inlineStr">
        <is>
          <t xml:space="preserve">Personal - regular use</t>
        </is>
      </c>
      <c r="P138" s="46" t="inlineStr">
        <is>
          <t xml:space="preserve">2,500 - 5,000</t>
        </is>
      </c>
      <c r="Q138" s="46" t="inlineStr">
        <is>
          <t xml:space="preserve">Washington</t>
        </is>
      </c>
      <c r="R138" s="46" t="inlineStr">
        <is>
          <t xml:space="preserve">98101</t>
        </is>
      </c>
      <c r="S138" s="48" t="inlineStr">
        <is>
          <t xml:space="preserve">Earthquake - high (CA, Cascadia, New Madrid)</t>
        </is>
      </c>
      <c r="T138" s="36">
        <f>IF($A138="","",IF($S138="","",IFERROR(INDEX('[1]natural catastrophe'!$D$6:$D$17,MATCH($S138,'[1]natural catastrophe'!$B$6:$B$17,0)),"?")))</f>
      </c>
      <c r="U138" s="46" t="inlineStr">
        <is>
          <t xml:space="preserve">$5,000</t>
        </is>
      </c>
      <c r="V138" s="48" t="inlineStr">
        <is>
          <t xml:space="preserve">Agreed Value</t>
        </is>
      </c>
      <c r="W138" s="46" t="inlineStr">
        <is>
          <t xml:space="preserve">$1,000</t>
        </is>
      </c>
      <c r="X138" s="48" t="inlineStr">
        <is>
          <t xml:space="preserve">$1,000,000 CSL</t>
        </is>
      </c>
      <c r="Y138" s="46"/>
      <c r="Z138" s="46"/>
      <c r="AA138" s="48" t="inlineStr">
        <is>
          <t xml:space="preserve">Surplus Lines</t>
        </is>
      </c>
      <c r="AB138" s="50">
        <v>5945.23</v>
      </c>
      <c r="AC138" s="51">
        <v>0</v>
      </c>
      <c r="AD138" s="38">
        <f>IF(ISNUMBER($AB138),$AB138*(1+N($AC138)),"")</f>
      </c>
      <c r="AE138" s="50">
        <v>350</v>
      </c>
      <c r="AF138" s="50">
        <v>250</v>
      </c>
      <c r="AG138" s="51"/>
      <c r="AH138" s="39">
        <f>IF(ISNUMBER($AD138),($AD138+$AE138+$AF138)*$AG138,"")</f>
      </c>
      <c r="AI138" s="50"/>
      <c r="AJ138" s="38">
        <f>IF(ISNUMBER($AD138),SUM($AD138:$AH138),"")</f>
      </c>
      <c r="AK138" s="40">
        <f>IF(AND(ISNUMBER($AB138),ISNUMBER($AD138)),IF($AB138&gt;0,$AD138/$AB138,""),"")</f>
      </c>
      <c r="AL138" s="48" t="inlineStr">
        <is>
          <t xml:space="preserve">At technical</t>
        </is>
      </c>
      <c r="AM138" s="41">
        <f>IF(ISNUMBER($AD138),Header!$I$3,"")</f>
      </c>
      <c r="AN138" s="39">
        <f>IF(ISNUMBER($AD138),$AO138+$AP138,"")</f>
      </c>
      <c r="AO138" s="39">
        <f>IF(ISNUMBER($AD138),ROUND($AD138*Header!$K$3,2),"")</f>
      </c>
      <c r="AP138" s="39">
        <f>IF(ISNUMBER($AD138),ROUND($AD138*Header!$M$3,2),"")</f>
      </c>
      <c r="AQ138" s="38">
        <f>IF(ISNUMBER($AD138),ROUND($AD138,2)-$AO138-$AP138,"")</f>
      </c>
      <c r="AR138" s="39">
        <f>IF(ISNUMBER($AD138),IF(Header!$D$34="","?",$AD138*Header!$D$34),"")</f>
      </c>
      <c r="AS138" s="39">
        <f>IF(ISNUMBER($AB138),IF(Header!$D$34="","?",$AB138*Header!$D$34),"")</f>
      </c>
      <c r="AT138" s="42">
        <f>IF(AND(ISNUMBER($AB138),$M138&gt;0),$AB138/$M138*100,"")</f>
      </c>
      <c r="AU138" s="42">
        <f>IF(AND(ISNUMBER($AD138),$M138&gt;0),$AD138/$M138*100,"")</f>
      </c>
      <c r="AV138" s="40">
        <f>IF(AND(ISNUMBER($AB138),ISNUMBER($AD138),ABS($AB138)&gt;0),$AD138/$AB138,"")</f>
      </c>
      <c r="AW138" s="39">
        <f>IF(ISNUMBER($AD138),MAX(0,(1-0.55-Header!$O$3)*Header!$Q$3*$AQ138),"")</f>
      </c>
      <c r="AX138" s="43">
        <f>IF($A138="","",IF(TRIM(IF($A138="","Missing certificate ref. ","") &amp; IF($C138="","Missing effective date. ","") &amp; IF($D138="","Missing binding status. ","") &amp; IF($E138="","Missing movement type. ","") &amp; IF($I138="","Missing make. ","") &amp; IF($L138="","Missing vehicle class. ","") &amp; IF($M138="","Missing agreed value. ","") &amp; IF($N138="","Missing policy type. ","") &amp; IF($Q138="","Missing garaging state. ","") &amp; IF($R138="","Missing garaging ZIP. ","") &amp; IF($S138="","Missing cat zone. ","") &amp; IF($V138="","Missing valuation basis. ","") &amp; IF($W138="","Missing PD deductible. ","") &amp; IF($X138="","Missing liability limit. ","") &amp; IF($AB138="","Missing technical premium. ","") &amp; IF($AF138="","Missing surplus lines tax %. ",""))="","PASS","FAIL: "&amp;TRIM(IF($A138="","Missing certificate ref. ","") &amp; IF($C138="","Missing effective date. ","") &amp; IF($D138="","Missing binding status. ","") &amp; IF($E138="","Missing movement type. ","") &amp; IF($I138="","Missing make. ","") &amp; IF($L138="","Missing vehicle class. ","") &amp; IF($M138="","Missing agreed value. ","") &amp; IF($N138="","Missing policy type. ","") &amp; IF($Q138="","Missing garaging state. ","") &amp; IF($R138="","Missing garaging ZIP. ","") &amp; IF($S138="","Missing cat zone. ","") &amp; IF($V138="","Missing valuation basis. ","") &amp; IF($W138="","Missing PD deductible. ","") &amp; IF($X138="","Missing liability limit. ","") &amp; IF($AB138="","Missing technical premium. ","") &amp; IF($AF138="","Missing surplus lines tax %. ",""))))</f>
      </c>
      <c r="AY138" s="44">
        <f>IF($M138="","",IF(ISNUMBER($M138),IF($M138&gt;=Header!$C$18,"YES — refer","No"),""))</f>
      </c>
      <c r="AZ138" s="44">
        <f>IF($AD138="","",IF(ISNUMBER($AD138),IF($AD138&lt;Header!$C$20,"BELOW MIN PREMIUM","OK"),""))</f>
      </c>
      <c r="BA138" s="48" t="inlineStr">
        <is>
          <t xml:space="preserve">Yes</t>
        </is>
      </c>
      <c r="BB138" s="48" t="inlineStr">
        <is>
          <t xml:space="preserve">Yes</t>
        </is>
      </c>
      <c r="BC138" s="46" t="inlineStr">
        <is>
          <t xml:space="preserve">Synthetic demo data</t>
        </is>
      </c>
      <c r="BE138" s="45">
        <f>IF(OR($A138="",$L138="",$H138=""),"",IF(AND(LEFT($L138,2)="06",$H138&gt;1945),"FAIL - pre-war class, year "&amp;$H138,IF(AND(LEFT($L138,2)="07",OR($H138&lt;1946,$H138&gt;1972)),"FAIL - 1946-72 class, year "&amp;$H138,IF(AND(LEFT($L138,2)="08",OR($H138&lt;1973,$H138&gt;1999)),"FAIL - 1973-99 class, year "&amp;$H138,IF(AND(LEFT($L138,2)="09",OR($H138&lt;2000,$H138&gt;2010)),"FAIL - 2000-10 class, year "&amp;$H138,"OK")))))</f>
      </c>
      <c r="BF138" s="45">
        <f>IF($AD138="","",IF(ROUND($AO138+$AP138+$AQ138-$AD138,2)=0,"OK","FAIL - out by "&amp;TEXT($AO138+$AP138+$AQ138-$AD138,"$0.00")))</f>
      </c>
    </row>
    <row r="139" spans="1:58" ht="18.75" customHeight="1" x14ac:dyDescent="0.25">
      <c r="A139" s="30" t="inlineStr">
        <is>
          <t xml:space="preserve">CANON-202511-002344</t>
        </is>
      </c>
      <c r="B139" s="30" t="inlineStr">
        <is>
          <t xml:space="preserve">Callum Vandermeer</t>
        </is>
      </c>
      <c r="C139" s="31">
        <v>45968</v>
      </c>
      <c r="D139" s="32" t="inlineStr">
        <is>
          <t xml:space="preserve">Bound - within authority</t>
        </is>
      </c>
      <c r="E139" s="32" t="inlineStr">
        <is>
          <t xml:space="preserve">New business</t>
        </is>
      </c>
      <c r="F139" s="30" t="inlineStr">
        <is>
          <t xml:space="preserve">B1234EXOTIC26</t>
        </is>
      </c>
      <c r="G139" s="33">
        <f>IF($A139="","",IF($C139="","",YEAR($C139)))</f>
      </c>
      <c r="H139" s="34">
        <v>1975</v>
      </c>
      <c r="I139" s="30" t="inlineStr">
        <is>
          <t xml:space="preserve">Jaguar</t>
        </is>
      </c>
      <c r="J139" s="30" t="inlineStr">
        <is>
          <t xml:space="preserve">E-Type Series 1</t>
        </is>
      </c>
      <c r="K139" s="30" t="inlineStr">
        <is>
          <t xml:space="preserve">PCYT4P86L6TYGRC19</t>
        </is>
      </c>
      <c r="L139" s="32" t="inlineStr">
        <is>
          <t xml:space="preserve">08 - Modern Classic (1973-1999)</t>
        </is>
      </c>
      <c r="M139" s="35">
        <v>740000</v>
      </c>
      <c r="N139" s="32" t="inlineStr">
        <is>
          <t xml:space="preserve">Personal</t>
        </is>
      </c>
      <c r="O139" s="30" t="inlineStr">
        <is>
          <t xml:space="preserve">Personal - regular use</t>
        </is>
      </c>
      <c r="P139" s="30" t="inlineStr">
        <is>
          <t xml:space="preserve">Under 1,000</t>
        </is>
      </c>
      <c r="Q139" s="30" t="inlineStr">
        <is>
          <t xml:space="preserve">Wyoming</t>
        </is>
      </c>
      <c r="R139" s="30" t="inlineStr">
        <is>
          <t xml:space="preserve">82001</t>
        </is>
      </c>
      <c r="S139" s="32" t="inlineStr">
        <is>
          <t xml:space="preserve">Severe convective - hail alley (high)</t>
        </is>
      </c>
      <c r="T139" s="36">
        <f>IF($A139="","",IF($S139="","",IFERROR(INDEX('[1]natural catastrophe'!$D$6:$D$17,MATCH($S139,'[1]natural catastrophe'!$B$6:$B$17,0)),"?")))</f>
      </c>
      <c r="U139" s="30" t="inlineStr">
        <is>
          <t xml:space="preserve">$5,000</t>
        </is>
      </c>
      <c r="V139" s="32" t="inlineStr">
        <is>
          <t xml:space="preserve">Agreed Value</t>
        </is>
      </c>
      <c r="W139" s="30" t="inlineStr">
        <is>
          <t xml:space="preserve">$1,000</t>
        </is>
      </c>
      <c r="X139" s="32" t="inlineStr">
        <is>
          <t xml:space="preserve">$1,000,000 CSL</t>
        </is>
      </c>
      <c r="Y139" s="30"/>
      <c r="Z139" s="30"/>
      <c r="AA139" s="32" t="inlineStr">
        <is>
          <t xml:space="preserve">Surplus Lines</t>
        </is>
      </c>
      <c r="AB139" s="35">
        <v>5906.26</v>
      </c>
      <c r="AC139" s="37">
        <v>0</v>
      </c>
      <c r="AD139" s="38">
        <f>IF(ISNUMBER($AB139),$AB139*(1+N($AC139)),"")</f>
      </c>
      <c r="AE139" s="35">
        <v>350</v>
      </c>
      <c r="AF139" s="35">
        <v>0</v>
      </c>
      <c r="AG139" s="37"/>
      <c r="AH139" s="39">
        <f>IF(ISNUMBER($AD139),($AD139+$AE139+$AF139)*$AG139,"")</f>
      </c>
      <c r="AI139" s="35"/>
      <c r="AJ139" s="38">
        <f>IF(ISNUMBER($AD139),SUM($AD139:$AH139),"")</f>
      </c>
      <c r="AK139" s="40">
        <f>IF(AND(ISNUMBER($AB139),ISNUMBER($AD139)),IF($AB139&gt;0,$AD139/$AB139,""),"")</f>
      </c>
      <c r="AL139" s="32" t="inlineStr">
        <is>
          <t xml:space="preserve">At technical</t>
        </is>
      </c>
      <c r="AM139" s="41">
        <f>IF(ISNUMBER($AD139),Header!$I$3,"")</f>
      </c>
      <c r="AN139" s="39">
        <f>IF(ISNUMBER($AD139),$AO139+$AP139,"")</f>
      </c>
      <c r="AO139" s="39">
        <f>IF(ISNUMBER($AD139),ROUND($AD139*Header!$K$3,2),"")</f>
      </c>
      <c r="AP139" s="39">
        <f>IF(ISNUMBER($AD139),ROUND($AD139*Header!$M$3,2),"")</f>
      </c>
      <c r="AQ139" s="38">
        <f>IF(ISNUMBER($AD139),ROUND($AD139,2)-$AO139-$AP139,"")</f>
      </c>
      <c r="AR139" s="39">
        <f>IF(ISNUMBER($AD139),IF(Header!$D$34="","?",$AD139*Header!$D$34),"")</f>
      </c>
      <c r="AS139" s="39">
        <f>IF(ISNUMBER($AB139),IF(Header!$D$34="","?",$AB139*Header!$D$34),"")</f>
      </c>
      <c r="AT139" s="42">
        <f>IF(AND(ISNUMBER($AB139),$M139&gt;0),$AB139/$M139*100,"")</f>
      </c>
      <c r="AU139" s="42">
        <f>IF(AND(ISNUMBER($AD139),$M139&gt;0),$AD139/$M139*100,"")</f>
      </c>
      <c r="AV139" s="40">
        <f>IF(AND(ISNUMBER($AB139),ISNUMBER($AD139),ABS($AB139)&gt;0),$AD139/$AB139,"")</f>
      </c>
      <c r="AW139" s="39">
        <f>IF(ISNUMBER($AD139),MAX(0,(1-0.55-Header!$O$3)*Header!$Q$3*$AQ139),"")</f>
      </c>
      <c r="AX139" s="43">
        <f>IF($A139="","",IF(TRIM(IF($A139="","Missing certificate ref. ","") &amp; IF($C139="","Missing effective date. ","") &amp; IF($D139="","Missing binding status. ","") &amp; IF($E139="","Missing movement type. ","") &amp; IF($I139="","Missing make. ","") &amp; IF($L139="","Missing vehicle class. ","") &amp; IF($M139="","Missing agreed value. ","") &amp; IF($N139="","Missing policy type. ","") &amp; IF($Q139="","Missing garaging state. ","") &amp; IF($R139="","Missing garaging ZIP. ","") &amp; IF($S139="","Missing cat zone. ","") &amp; IF($V139="","Missing valuation basis. ","") &amp; IF($W139="","Missing PD deductible. ","") &amp; IF($X139="","Missing liability limit. ","") &amp; IF($AB139="","Missing technical premium. ","") &amp; IF($AF139="","Missing surplus lines tax %. ",""))="","PASS","FAIL: "&amp;TRIM(IF($A139="","Missing certificate ref. ","") &amp; IF($C139="","Missing effective date. ","") &amp; IF($D139="","Missing binding status. ","") &amp; IF($E139="","Missing movement type. ","") &amp; IF($I139="","Missing make. ","") &amp; IF($L139="","Missing vehicle class. ","") &amp; IF($M139="","Missing agreed value. ","") &amp; IF($N139="","Missing policy type. ","") &amp; IF($Q139="","Missing garaging state. ","") &amp; IF($R139="","Missing garaging ZIP. ","") &amp; IF($S139="","Missing cat zone. ","") &amp; IF($V139="","Missing valuation basis. ","") &amp; IF($W139="","Missing PD deductible. ","") &amp; IF($X139="","Missing liability limit. ","") &amp; IF($AB139="","Missing technical premium. ","") &amp; IF($AF139="","Missing surplus lines tax %. ",""))))</f>
      </c>
      <c r="AY139" s="44">
        <f>IF($M139="","",IF(ISNUMBER($M139),IF($M139&gt;=Header!$C$18,"YES — refer","No"),""))</f>
      </c>
      <c r="AZ139" s="44">
        <f>IF($AD139="","",IF(ISNUMBER($AD139),IF($AD139&lt;Header!$C$20,"BELOW MIN PREMIUM","OK"),""))</f>
      </c>
      <c r="BA139" s="32" t="inlineStr">
        <is>
          <t xml:space="preserve">Yes</t>
        </is>
      </c>
      <c r="BB139" s="32" t="inlineStr">
        <is>
          <t xml:space="preserve">Yes</t>
        </is>
      </c>
      <c r="BC139" s="30" t="inlineStr">
        <is>
          <t xml:space="preserve">Synthetic demo data</t>
        </is>
      </c>
      <c r="BE139" s="45">
        <f>IF(OR($A139="",$L139="",$H139=""),"",IF(AND(LEFT($L139,2)="06",$H139&gt;1945),"FAIL - pre-war class, year "&amp;$H139,IF(AND(LEFT($L139,2)="07",OR($H139&lt;1946,$H139&gt;1972)),"FAIL - 1946-72 class, year "&amp;$H139,IF(AND(LEFT($L139,2)="08",OR($H139&lt;1973,$H139&gt;1999)),"FAIL - 1973-99 class, year "&amp;$H139,IF(AND(LEFT($L139,2)="09",OR($H139&lt;2000,$H139&gt;2010)),"FAIL - 2000-10 class, year "&amp;$H139,"OK")))))</f>
      </c>
      <c r="BF139" s="45">
        <f>IF($AD139="","",IF(ROUND($AO139+$AP139+$AQ139-$AD139,2)=0,"OK","FAIL - out by "&amp;TEXT($AO139+$AP139+$AQ139-$AD139,"$0.00")))</f>
      </c>
    </row>
    <row r="140" spans="1:58" ht="18.75" customHeight="1" x14ac:dyDescent="0.25">
      <c r="A140" s="46" t="inlineStr">
        <is>
          <t xml:space="preserve">CANON-202511-002345</t>
        </is>
      </c>
      <c r="B140" s="46" t="inlineStr">
        <is>
          <t xml:space="preserve">Fenwick Bellandi</t>
        </is>
      </c>
      <c r="C140" s="47">
        <v>45976</v>
      </c>
      <c r="D140" s="48" t="inlineStr">
        <is>
          <t xml:space="preserve">Bound - within authority</t>
        </is>
      </c>
      <c r="E140" s="48" t="inlineStr">
        <is>
          <t xml:space="preserve">New business</t>
        </is>
      </c>
      <c r="F140" s="46" t="inlineStr">
        <is>
          <t xml:space="preserve">B1234EXOTIC26</t>
        </is>
      </c>
      <c r="G140" s="33">
        <f>IF($A140="","",IF($C140="","",YEAR($C140)))</f>
      </c>
      <c r="H140" s="49">
        <v>1994</v>
      </c>
      <c r="I140" s="46" t="inlineStr">
        <is>
          <t xml:space="preserve">Porsche</t>
        </is>
      </c>
      <c r="J140" s="46" t="inlineStr">
        <is>
          <t xml:space="preserve">911 Turbo S</t>
        </is>
      </c>
      <c r="K140" s="46" t="inlineStr">
        <is>
          <t xml:space="preserve">H3CBMZVVSDYWA2LLH</t>
        </is>
      </c>
      <c r="L140" s="48" t="inlineStr">
        <is>
          <t xml:space="preserve">02 - Sports / GT</t>
        </is>
      </c>
      <c r="M140" s="50">
        <v>1605000</v>
      </c>
      <c r="N140" s="48" t="inlineStr">
        <is>
          <t xml:space="preserve">Personal</t>
        </is>
      </c>
      <c r="O140" s="46" t="inlineStr">
        <is>
          <t xml:space="preserve">Personal - regular use</t>
        </is>
      </c>
      <c r="P140" s="46" t="inlineStr">
        <is>
          <t xml:space="preserve">Under 1,000</t>
        </is>
      </c>
      <c r="Q140" s="46" t="inlineStr">
        <is>
          <t xml:space="preserve">Massachusetts</t>
        </is>
      </c>
      <c r="R140" s="46" t="inlineStr">
        <is>
          <t xml:space="preserve">02108</t>
        </is>
      </c>
      <c r="S140" s="48" t="inlineStr">
        <is>
          <t xml:space="preserve">Tier 3 - Coastal wind (25-100 miles)</t>
        </is>
      </c>
      <c r="T140" s="36">
        <f>IF($A140="","",IF($S140="","",IFERROR(INDEX('[1]natural catastrophe'!$D$6:$D$17,MATCH($S140,'[1]natural catastrophe'!$B$6:$B$17,0)),"?")))</f>
      </c>
      <c r="U140" s="46" t="inlineStr">
        <is>
          <t xml:space="preserve">2% of agreed value, minimum $10,000</t>
        </is>
      </c>
      <c r="V140" s="48" t="inlineStr">
        <is>
          <t xml:space="preserve">Agreed Value</t>
        </is>
      </c>
      <c r="W140" s="46" t="inlineStr">
        <is>
          <t xml:space="preserve">$1,000</t>
        </is>
      </c>
      <c r="X140" s="48" t="inlineStr">
        <is>
          <t xml:space="preserve">$1,000,000 CSL</t>
        </is>
      </c>
      <c r="Y140" s="46"/>
      <c r="Z140" s="46"/>
      <c r="AA140" s="48" t="inlineStr">
        <is>
          <t xml:space="preserve">Surplus Lines</t>
        </is>
      </c>
      <c r="AB140" s="50">
        <v>19141.52</v>
      </c>
      <c r="AC140" s="51">
        <v>0</v>
      </c>
      <c r="AD140" s="38">
        <f>IF(ISNUMBER($AB140),$AB140*(1+N($AC140)),"")</f>
      </c>
      <c r="AE140" s="50">
        <v>350</v>
      </c>
      <c r="AF140" s="50">
        <v>250</v>
      </c>
      <c r="AG140" s="51"/>
      <c r="AH140" s="39">
        <f>IF(ISNUMBER($AD140),($AD140+$AE140+$AF140)*$AG140,"")</f>
      </c>
      <c r="AI140" s="50"/>
      <c r="AJ140" s="38">
        <f>IF(ISNUMBER($AD140),SUM($AD140:$AH140),"")</f>
      </c>
      <c r="AK140" s="40">
        <f>IF(AND(ISNUMBER($AB140),ISNUMBER($AD140)),IF($AB140&gt;0,$AD140/$AB140,""),"")</f>
      </c>
      <c r="AL140" s="48" t="inlineStr">
        <is>
          <t xml:space="preserve">At technical</t>
        </is>
      </c>
      <c r="AM140" s="41">
        <f>IF(ISNUMBER($AD140),Header!$I$3,"")</f>
      </c>
      <c r="AN140" s="39">
        <f>IF(ISNUMBER($AD140),$AO140+$AP140,"")</f>
      </c>
      <c r="AO140" s="39">
        <f>IF(ISNUMBER($AD140),ROUND($AD140*Header!$K$3,2),"")</f>
      </c>
      <c r="AP140" s="39">
        <f>IF(ISNUMBER($AD140),ROUND($AD140*Header!$M$3,2),"")</f>
      </c>
      <c r="AQ140" s="38">
        <f>IF(ISNUMBER($AD140),ROUND($AD140,2)-$AO140-$AP140,"")</f>
      </c>
      <c r="AR140" s="39">
        <f>IF(ISNUMBER($AD140),IF(Header!$D$34="","?",$AD140*Header!$D$34),"")</f>
      </c>
      <c r="AS140" s="39">
        <f>IF(ISNUMBER($AB140),IF(Header!$D$34="","?",$AB140*Header!$D$34),"")</f>
      </c>
      <c r="AT140" s="42">
        <f>IF(AND(ISNUMBER($AB140),$M140&gt;0),$AB140/$M140*100,"")</f>
      </c>
      <c r="AU140" s="42">
        <f>IF(AND(ISNUMBER($AD140),$M140&gt;0),$AD140/$M140*100,"")</f>
      </c>
      <c r="AV140" s="40">
        <f>IF(AND(ISNUMBER($AB140),ISNUMBER($AD140),ABS($AB140)&gt;0),$AD140/$AB140,"")</f>
      </c>
      <c r="AW140" s="39">
        <f>IF(ISNUMBER($AD140),MAX(0,(1-0.55-Header!$O$3)*Header!$Q$3*$AQ140),"")</f>
      </c>
      <c r="AX140" s="43">
        <f>IF($A140="","",IF(TRIM(IF($A140="","Missing certificate ref. ","") &amp; IF($C140="","Missing effective date. ","") &amp; IF($D140="","Missing binding status. ","") &amp; IF($E140="","Missing movement type. ","") &amp; IF($I140="","Missing make. ","") &amp; IF($L140="","Missing vehicle class. ","") &amp; IF($M140="","Missing agreed value. ","") &amp; IF($N140="","Missing policy type. ","") &amp; IF($Q140="","Missing garaging state. ","") &amp; IF($R140="","Missing garaging ZIP. ","") &amp; IF($S140="","Missing cat zone. ","") &amp; IF($V140="","Missing valuation basis. ","") &amp; IF($W140="","Missing PD deductible. ","") &amp; IF($X140="","Missing liability limit. ","") &amp; IF($AB140="","Missing technical premium. ","") &amp; IF($AF140="","Missing surplus lines tax %. ",""))="","PASS","FAIL: "&amp;TRIM(IF($A140="","Missing certificate ref. ","") &amp; IF($C140="","Missing effective date. ","") &amp; IF($D140="","Missing binding status. ","") &amp; IF($E140="","Missing movement type. ","") &amp; IF($I140="","Missing make. ","") &amp; IF($L140="","Missing vehicle class. ","") &amp; IF($M140="","Missing agreed value. ","") &amp; IF($N140="","Missing policy type. ","") &amp; IF($Q140="","Missing garaging state. ","") &amp; IF($R140="","Missing garaging ZIP. ","") &amp; IF($S140="","Missing cat zone. ","") &amp; IF($V140="","Missing valuation basis. ","") &amp; IF($W140="","Missing PD deductible. ","") &amp; IF($X140="","Missing liability limit. ","") &amp; IF($AB140="","Missing technical premium. ","") &amp; IF($AF140="","Missing surplus lines tax %. ",""))))</f>
      </c>
      <c r="AY140" s="44">
        <f>IF($M140="","",IF(ISNUMBER($M140),IF($M140&gt;=Header!$C$18,"YES — refer","No"),""))</f>
      </c>
      <c r="AZ140" s="44">
        <f>IF($AD140="","",IF(ISNUMBER($AD140),IF($AD140&lt;Header!$C$20,"BELOW MIN PREMIUM","OK"),""))</f>
      </c>
      <c r="BA140" s="48" t="inlineStr">
        <is>
          <t xml:space="preserve">Yes</t>
        </is>
      </c>
      <c r="BB140" s="48" t="inlineStr">
        <is>
          <t xml:space="preserve">Yes</t>
        </is>
      </c>
      <c r="BC140" s="46" t="inlineStr">
        <is>
          <t xml:space="preserve">Synthetic demo data</t>
        </is>
      </c>
      <c r="BE140" s="45">
        <f>IF(OR($A140="",$L140="",$H140=""),"",IF(AND(LEFT($L140,2)="06",$H140&gt;1945),"FAIL - pre-war class, year "&amp;$H140,IF(AND(LEFT($L140,2)="07",OR($H140&lt;1946,$H140&gt;1972)),"FAIL - 1946-72 class, year "&amp;$H140,IF(AND(LEFT($L140,2)="08",OR($H140&lt;1973,$H140&gt;1999)),"FAIL - 1973-99 class, year "&amp;$H140,IF(AND(LEFT($L140,2)="09",OR($H140&lt;2000,$H140&gt;2010)),"FAIL - 2000-10 class, year "&amp;$H140,"OK")))))</f>
      </c>
      <c r="BF140" s="45">
        <f>IF($AD140="","",IF(ROUND($AO140+$AP140+$AQ140-$AD140,2)=0,"OK","FAIL - out by "&amp;TEXT($AO140+$AP140+$AQ140-$AD140,"$0.00")))</f>
      </c>
    </row>
    <row r="141" spans="1:58" ht="18.75" customHeight="1" x14ac:dyDescent="0.25">
      <c r="A141" s="30" t="inlineStr">
        <is>
          <t xml:space="preserve">CANON-202511-002346</t>
        </is>
      </c>
      <c r="B141" s="30" t="inlineStr">
        <is>
          <t xml:space="preserve">Wilhelmina Harrington</t>
        </is>
      </c>
      <c r="C141" s="31">
        <v>45965</v>
      </c>
      <c r="D141" s="32" t="inlineStr">
        <is>
          <t xml:space="preserve">Bound - within authority</t>
        </is>
      </c>
      <c r="E141" s="32" t="inlineStr">
        <is>
          <t xml:space="preserve">New business</t>
        </is>
      </c>
      <c r="F141" s="30" t="inlineStr">
        <is>
          <t xml:space="preserve">B1234EXOTIC26</t>
        </is>
      </c>
      <c r="G141" s="33">
        <f>IF($A141="","",IF($C141="","",YEAR($C141)))</f>
      </c>
      <c r="H141" s="34">
        <v>1977</v>
      </c>
      <c r="I141" s="30" t="inlineStr">
        <is>
          <t xml:space="preserve">Bentley</t>
        </is>
      </c>
      <c r="J141" s="30" t="inlineStr">
        <is>
          <t xml:space="preserve">Continental GT</t>
        </is>
      </c>
      <c r="K141" s="30" t="inlineStr">
        <is>
          <t xml:space="preserve">DFLZ4FZUX7BH425WW</t>
        </is>
      </c>
      <c r="L141" s="32" t="inlineStr">
        <is>
          <t xml:space="preserve">02 - Sports / GT</t>
        </is>
      </c>
      <c r="M141" s="35">
        <v>290000</v>
      </c>
      <c r="N141" s="32" t="inlineStr">
        <is>
          <t xml:space="preserve">Personal</t>
        </is>
      </c>
      <c r="O141" s="30" t="inlineStr">
        <is>
          <t xml:space="preserve">Personal - regular use</t>
        </is>
      </c>
      <c r="P141" s="30" t="inlineStr">
        <is>
          <t xml:space="preserve">1,000 - 2,500</t>
        </is>
      </c>
      <c r="Q141" s="30" t="inlineStr">
        <is>
          <t xml:space="preserve">Wyoming</t>
        </is>
      </c>
      <c r="R141" s="30" t="inlineStr">
        <is>
          <t xml:space="preserve">82001</t>
        </is>
      </c>
      <c r="S141" s="32" t="inlineStr">
        <is>
          <t xml:space="preserve">Severe convective - hail alley (high)</t>
        </is>
      </c>
      <c r="T141" s="36">
        <f>IF($A141="","",IF($S141="","",IFERROR(INDEX('[1]natural catastrophe'!$D$6:$D$17,MATCH($S141,'[1]natural catastrophe'!$B$6:$B$17,0)),"?")))</f>
      </c>
      <c r="U141" s="30" t="inlineStr">
        <is>
          <t xml:space="preserve">$5,000</t>
        </is>
      </c>
      <c r="V141" s="32" t="inlineStr">
        <is>
          <t xml:space="preserve">Agreed Value</t>
        </is>
      </c>
      <c r="W141" s="30" t="inlineStr">
        <is>
          <t xml:space="preserve">$1,000</t>
        </is>
      </c>
      <c r="X141" s="32" t="inlineStr">
        <is>
          <t xml:space="preserve">$1,000,000 CSL</t>
        </is>
      </c>
      <c r="Y141" s="30"/>
      <c r="Z141" s="30"/>
      <c r="AA141" s="32" t="inlineStr">
        <is>
          <t xml:space="preserve">Surplus Lines</t>
        </is>
      </c>
      <c r="AB141" s="35">
        <v>4037.12</v>
      </c>
      <c r="AC141" s="37">
        <v>0</v>
      </c>
      <c r="AD141" s="38">
        <f>IF(ISNUMBER($AB141),$AB141*(1+N($AC141)),"")</f>
      </c>
      <c r="AE141" s="35">
        <v>350</v>
      </c>
      <c r="AF141" s="35">
        <v>0</v>
      </c>
      <c r="AG141" s="37"/>
      <c r="AH141" s="39">
        <f>IF(ISNUMBER($AD141),($AD141+$AE141+$AF141)*$AG141,"")</f>
      </c>
      <c r="AI141" s="35"/>
      <c r="AJ141" s="38">
        <f>IF(ISNUMBER($AD141),SUM($AD141:$AH141),"")</f>
      </c>
      <c r="AK141" s="40">
        <f>IF(AND(ISNUMBER($AB141),ISNUMBER($AD141)),IF($AB141&gt;0,$AD141/$AB141,""),"")</f>
      </c>
      <c r="AL141" s="32" t="inlineStr">
        <is>
          <t xml:space="preserve">At technical</t>
        </is>
      </c>
      <c r="AM141" s="41">
        <f>IF(ISNUMBER($AD141),Header!$I$3,"")</f>
      </c>
      <c r="AN141" s="39">
        <f>IF(ISNUMBER($AD141),$AO141+$AP141,"")</f>
      </c>
      <c r="AO141" s="39">
        <f>IF(ISNUMBER($AD141),ROUND($AD141*Header!$K$3,2),"")</f>
      </c>
      <c r="AP141" s="39">
        <f>IF(ISNUMBER($AD141),ROUND($AD141*Header!$M$3,2),"")</f>
      </c>
      <c r="AQ141" s="38">
        <f>IF(ISNUMBER($AD141),ROUND($AD141,2)-$AO141-$AP141,"")</f>
      </c>
      <c r="AR141" s="39">
        <f>IF(ISNUMBER($AD141),IF(Header!$D$34="","?",$AD141*Header!$D$34),"")</f>
      </c>
      <c r="AS141" s="39">
        <f>IF(ISNUMBER($AB141),IF(Header!$D$34="","?",$AB141*Header!$D$34),"")</f>
      </c>
      <c r="AT141" s="42">
        <f>IF(AND(ISNUMBER($AB141),$M141&gt;0),$AB141/$M141*100,"")</f>
      </c>
      <c r="AU141" s="42">
        <f>IF(AND(ISNUMBER($AD141),$M141&gt;0),$AD141/$M141*100,"")</f>
      </c>
      <c r="AV141" s="40">
        <f>IF(AND(ISNUMBER($AB141),ISNUMBER($AD141),ABS($AB141)&gt;0),$AD141/$AB141,"")</f>
      </c>
      <c r="AW141" s="39">
        <f>IF(ISNUMBER($AD141),MAX(0,(1-0.55-Header!$O$3)*Header!$Q$3*$AQ141),"")</f>
      </c>
      <c r="AX141" s="43">
        <f>IF($A141="","",IF(TRIM(IF($A141="","Missing certificate ref. ","") &amp; IF($C141="","Missing effective date. ","") &amp; IF($D141="","Missing binding status. ","") &amp; IF($E141="","Missing movement type. ","") &amp; IF($I141="","Missing make. ","") &amp; IF($L141="","Missing vehicle class. ","") &amp; IF($M141="","Missing agreed value. ","") &amp; IF($N141="","Missing policy type. ","") &amp; IF($Q141="","Missing garaging state. ","") &amp; IF($R141="","Missing garaging ZIP. ","") &amp; IF($S141="","Missing cat zone. ","") &amp; IF($V141="","Missing valuation basis. ","") &amp; IF($W141="","Missing PD deductible. ","") &amp; IF($X141="","Missing liability limit. ","") &amp; IF($AB141="","Missing technical premium. ","") &amp; IF($AF141="","Missing surplus lines tax %. ",""))="","PASS","FAIL: "&amp;TRIM(IF($A141="","Missing certificate ref. ","") &amp; IF($C141="","Missing effective date. ","") &amp; IF($D141="","Missing binding status. ","") &amp; IF($E141="","Missing movement type. ","") &amp; IF($I141="","Missing make. ","") &amp; IF($L141="","Missing vehicle class. ","") &amp; IF($M141="","Missing agreed value. ","") &amp; IF($N141="","Missing policy type. ","") &amp; IF($Q141="","Missing garaging state. ","") &amp; IF($R141="","Missing garaging ZIP. ","") &amp; IF($S141="","Missing cat zone. ","") &amp; IF($V141="","Missing valuation basis. ","") &amp; IF($W141="","Missing PD deductible. ","") &amp; IF($X141="","Missing liability limit. ","") &amp; IF($AB141="","Missing technical premium. ","") &amp; IF($AF141="","Missing surplus lines tax %. ",""))))</f>
      </c>
      <c r="AY141" s="44">
        <f>IF($M141="","",IF(ISNUMBER($M141),IF($M141&gt;=Header!$C$18,"YES — refer","No"),""))</f>
      </c>
      <c r="AZ141" s="44">
        <f>IF($AD141="","",IF(ISNUMBER($AD141),IF($AD141&lt;Header!$C$20,"BELOW MIN PREMIUM","OK"),""))</f>
      </c>
      <c r="BA141" s="32" t="inlineStr">
        <is>
          <t xml:space="preserve">Yes</t>
        </is>
      </c>
      <c r="BB141" s="32" t="inlineStr">
        <is>
          <t xml:space="preserve">Yes</t>
        </is>
      </c>
      <c r="BC141" s="30" t="inlineStr">
        <is>
          <t xml:space="preserve">Synthetic demo data</t>
        </is>
      </c>
      <c r="BE141" s="45">
        <f>IF(OR($A141="",$L141="",$H141=""),"",IF(AND(LEFT($L141,2)="06",$H141&gt;1945),"FAIL - pre-war class, year "&amp;$H141,IF(AND(LEFT($L141,2)="07",OR($H141&lt;1946,$H141&gt;1972)),"FAIL - 1946-72 class, year "&amp;$H141,IF(AND(LEFT($L141,2)="08",OR($H141&lt;1973,$H141&gt;1999)),"FAIL - 1973-99 class, year "&amp;$H141,IF(AND(LEFT($L141,2)="09",OR($H141&lt;2000,$H141&gt;2010)),"FAIL - 2000-10 class, year "&amp;$H141,"OK")))))</f>
      </c>
      <c r="BF141" s="45">
        <f>IF($AD141="","",IF(ROUND($AO141+$AP141+$AQ141-$AD141,2)=0,"OK","FAIL - out by "&amp;TEXT($AO141+$AP141+$AQ141-$AD141,"$0.00")))</f>
      </c>
    </row>
    <row r="142" spans="1:58" ht="18.75" customHeight="1" x14ac:dyDescent="0.25">
      <c r="A142" s="46" t="inlineStr">
        <is>
          <t xml:space="preserve">CANON-202511-002347</t>
        </is>
      </c>
      <c r="B142" s="46" t="inlineStr">
        <is>
          <t xml:space="preserve">Beatrix Delacroix</t>
        </is>
      </c>
      <c r="C142" s="47">
        <v>45969</v>
      </c>
      <c r="D142" s="48" t="inlineStr">
        <is>
          <t xml:space="preserve">Bound - within authority</t>
        </is>
      </c>
      <c r="E142" s="48" t="inlineStr">
        <is>
          <t xml:space="preserve">New business</t>
        </is>
      </c>
      <c r="F142" s="46" t="inlineStr">
        <is>
          <t xml:space="preserve">B1234EXOTIC26</t>
        </is>
      </c>
      <c r="G142" s="33">
        <f>IF($A142="","",IF($C142="","",YEAR($C142)))</f>
      </c>
      <c r="H142" s="49">
        <v>1975</v>
      </c>
      <c r="I142" s="46" t="inlineStr">
        <is>
          <t xml:space="preserve">Bentley</t>
        </is>
      </c>
      <c r="J142" s="46" t="inlineStr">
        <is>
          <t xml:space="preserve">Continental GT</t>
        </is>
      </c>
      <c r="K142" s="46" t="inlineStr">
        <is>
          <t xml:space="preserve">KC19YPA9C5K2TRANK</t>
        </is>
      </c>
      <c r="L142" s="48" t="inlineStr">
        <is>
          <t xml:space="preserve">02 - Sports / GT</t>
        </is>
      </c>
      <c r="M142" s="50">
        <v>450000</v>
      </c>
      <c r="N142" s="48" t="inlineStr">
        <is>
          <t xml:space="preserve">Personal</t>
        </is>
      </c>
      <c r="O142" s="46" t="inlineStr">
        <is>
          <t xml:space="preserve">Personal - regular use</t>
        </is>
      </c>
      <c r="P142" s="46" t="inlineStr">
        <is>
          <t xml:space="preserve">2,500 - 5,000</t>
        </is>
      </c>
      <c r="Q142" s="46" t="inlineStr">
        <is>
          <t xml:space="preserve">Utah</t>
        </is>
      </c>
      <c r="R142" s="46" t="inlineStr">
        <is>
          <t xml:space="preserve">84101</t>
        </is>
      </c>
      <c r="S142" s="48" t="inlineStr">
        <is>
          <t xml:space="preserve">Wildfire - WUI high hazard</t>
        </is>
      </c>
      <c r="T142" s="36">
        <f>IF($A142="","",IF($S142="","",IFERROR(INDEX('[1]natural catastrophe'!$D$6:$D$17,MATCH($S142,'[1]natural catastrophe'!$B$6:$B$17,0)),"?")))</f>
      </c>
      <c r="U142" s="46" t="inlineStr">
        <is>
          <t xml:space="preserve">$5,000</t>
        </is>
      </c>
      <c r="V142" s="48" t="inlineStr">
        <is>
          <t xml:space="preserve">Agreed Value</t>
        </is>
      </c>
      <c r="W142" s="46" t="inlineStr">
        <is>
          <t xml:space="preserve">$1,000</t>
        </is>
      </c>
      <c r="X142" s="48" t="inlineStr">
        <is>
          <t xml:space="preserve">$1,000,000 CSL</t>
        </is>
      </c>
      <c r="Y142" s="46"/>
      <c r="Z142" s="46"/>
      <c r="AA142" s="48" t="inlineStr">
        <is>
          <t xml:space="preserve">Surplus Lines</t>
        </is>
      </c>
      <c r="AB142" s="50">
        <v>7903.81</v>
      </c>
      <c r="AC142" s="51">
        <v>0</v>
      </c>
      <c r="AD142" s="38">
        <f>IF(ISNUMBER($AB142),$AB142*(1+N($AC142)),"")</f>
      </c>
      <c r="AE142" s="50">
        <v>350</v>
      </c>
      <c r="AF142" s="50">
        <v>0</v>
      </c>
      <c r="AG142" s="51"/>
      <c r="AH142" s="39">
        <f>IF(ISNUMBER($AD142),($AD142+$AE142+$AF142)*$AG142,"")</f>
      </c>
      <c r="AI142" s="50"/>
      <c r="AJ142" s="38">
        <f>IF(ISNUMBER($AD142),SUM($AD142:$AH142),"")</f>
      </c>
      <c r="AK142" s="40">
        <f>IF(AND(ISNUMBER($AB142),ISNUMBER($AD142)),IF($AB142&gt;0,$AD142/$AB142,""),"")</f>
      </c>
      <c r="AL142" s="48" t="inlineStr">
        <is>
          <t xml:space="preserve">At technical</t>
        </is>
      </c>
      <c r="AM142" s="41">
        <f>IF(ISNUMBER($AD142),Header!$I$3,"")</f>
      </c>
      <c r="AN142" s="39">
        <f>IF(ISNUMBER($AD142),$AO142+$AP142,"")</f>
      </c>
      <c r="AO142" s="39">
        <f>IF(ISNUMBER($AD142),ROUND($AD142*Header!$K$3,2),"")</f>
      </c>
      <c r="AP142" s="39">
        <f>IF(ISNUMBER($AD142),ROUND($AD142*Header!$M$3,2),"")</f>
      </c>
      <c r="AQ142" s="38">
        <f>IF(ISNUMBER($AD142),ROUND($AD142,2)-$AO142-$AP142,"")</f>
      </c>
      <c r="AR142" s="39">
        <f>IF(ISNUMBER($AD142),IF(Header!$D$34="","?",$AD142*Header!$D$34),"")</f>
      </c>
      <c r="AS142" s="39">
        <f>IF(ISNUMBER($AB142),IF(Header!$D$34="","?",$AB142*Header!$D$34),"")</f>
      </c>
      <c r="AT142" s="42">
        <f>IF(AND(ISNUMBER($AB142),$M142&gt;0),$AB142/$M142*100,"")</f>
      </c>
      <c r="AU142" s="42">
        <f>IF(AND(ISNUMBER($AD142),$M142&gt;0),$AD142/$M142*100,"")</f>
      </c>
      <c r="AV142" s="40">
        <f>IF(AND(ISNUMBER($AB142),ISNUMBER($AD142),ABS($AB142)&gt;0),$AD142/$AB142,"")</f>
      </c>
      <c r="AW142" s="39">
        <f>IF(ISNUMBER($AD142),MAX(0,(1-0.55-Header!$O$3)*Header!$Q$3*$AQ142),"")</f>
      </c>
      <c r="AX142" s="43">
        <f>IF($A142="","",IF(TRIM(IF($A142="","Missing certificate ref. ","") &amp; IF($C142="","Missing effective date. ","") &amp; IF($D142="","Missing binding status. ","") &amp; IF($E142="","Missing movement type. ","") &amp; IF($I142="","Missing make. ","") &amp; IF($L142="","Missing vehicle class. ","") &amp; IF($M142="","Missing agreed value. ","") &amp; IF($N142="","Missing policy type. ","") &amp; IF($Q142="","Missing garaging state. ","") &amp; IF($R142="","Missing garaging ZIP. ","") &amp; IF($S142="","Missing cat zone. ","") &amp; IF($V142="","Missing valuation basis. ","") &amp; IF($W142="","Missing PD deductible. ","") &amp; IF($X142="","Missing liability limit. ","") &amp; IF($AB142="","Missing technical premium. ","") &amp; IF($AF142="","Missing surplus lines tax %. ",""))="","PASS","FAIL: "&amp;TRIM(IF($A142="","Missing certificate ref. ","") &amp; IF($C142="","Missing effective date. ","") &amp; IF($D142="","Missing binding status. ","") &amp; IF($E142="","Missing movement type. ","") &amp; IF($I142="","Missing make. ","") &amp; IF($L142="","Missing vehicle class. ","") &amp; IF($M142="","Missing agreed value. ","") &amp; IF($N142="","Missing policy type. ","") &amp; IF($Q142="","Missing garaging state. ","") &amp; IF($R142="","Missing garaging ZIP. ","") &amp; IF($S142="","Missing cat zone. ","") &amp; IF($V142="","Missing valuation basis. ","") &amp; IF($W142="","Missing PD deductible. ","") &amp; IF($X142="","Missing liability limit. ","") &amp; IF($AB142="","Missing technical premium. ","") &amp; IF($AF142="","Missing surplus lines tax %. ",""))))</f>
      </c>
      <c r="AY142" s="44">
        <f>IF($M142="","",IF(ISNUMBER($M142),IF($M142&gt;=Header!$C$18,"YES — refer","No"),""))</f>
      </c>
      <c r="AZ142" s="44">
        <f>IF($AD142="","",IF(ISNUMBER($AD142),IF($AD142&lt;Header!$C$20,"BELOW MIN PREMIUM","OK"),""))</f>
      </c>
      <c r="BA142" s="48" t="inlineStr">
        <is>
          <t xml:space="preserve">Yes</t>
        </is>
      </c>
      <c r="BB142" s="48" t="inlineStr">
        <is>
          <t xml:space="preserve">Yes</t>
        </is>
      </c>
      <c r="BC142" s="46" t="inlineStr">
        <is>
          <t xml:space="preserve">Synthetic demo data</t>
        </is>
      </c>
      <c r="BE142" s="45">
        <f>IF(OR($A142="",$L142="",$H142=""),"",IF(AND(LEFT($L142,2)="06",$H142&gt;1945),"FAIL - pre-war class, year "&amp;$H142,IF(AND(LEFT($L142,2)="07",OR($H142&lt;1946,$H142&gt;1972)),"FAIL - 1946-72 class, year "&amp;$H142,IF(AND(LEFT($L142,2)="08",OR($H142&lt;1973,$H142&gt;1999)),"FAIL - 1973-99 class, year "&amp;$H142,IF(AND(LEFT($L142,2)="09",OR($H142&lt;2000,$H142&gt;2010)),"FAIL - 2000-10 class, year "&amp;$H142,"OK")))))</f>
      </c>
      <c r="BF142" s="45">
        <f>IF($AD142="","",IF(ROUND($AO142+$AP142+$AQ142-$AD142,2)=0,"OK","FAIL - out by "&amp;TEXT($AO142+$AP142+$AQ142-$AD142,"$0.00")))</f>
      </c>
    </row>
    <row r="143" spans="1:58" ht="18.75" customHeight="1" x14ac:dyDescent="0.25">
      <c r="A143" s="30" t="inlineStr">
        <is>
          <t xml:space="preserve">CANON-202511-002348</t>
        </is>
      </c>
      <c r="B143" s="30" t="inlineStr">
        <is>
          <t xml:space="preserve">Saoirse Farkas</t>
        </is>
      </c>
      <c r="C143" s="31">
        <v>45965</v>
      </c>
      <c r="D143" s="32" t="inlineStr">
        <is>
          <t xml:space="preserve">Bound - within authority</t>
        </is>
      </c>
      <c r="E143" s="32" t="inlineStr">
        <is>
          <t xml:space="preserve">New business</t>
        </is>
      </c>
      <c r="F143" s="30" t="inlineStr">
        <is>
          <t xml:space="preserve">B1234EXOTIC26</t>
        </is>
      </c>
      <c r="G143" s="33">
        <f>IF($A143="","",IF($C143="","",YEAR($C143)))</f>
      </c>
      <c r="H143" s="34">
        <v>1968</v>
      </c>
      <c r="I143" s="30" t="inlineStr">
        <is>
          <t xml:space="preserve">Aston Martin</t>
        </is>
      </c>
      <c r="J143" s="30" t="inlineStr">
        <is>
          <t xml:space="preserve">DB12</t>
        </is>
      </c>
      <c r="K143" s="30" t="inlineStr">
        <is>
          <t xml:space="preserve">0354C6S24CAWA8HM9</t>
        </is>
      </c>
      <c r="L143" s="32" t="inlineStr">
        <is>
          <t xml:space="preserve">02 - Sports / GT</t>
        </is>
      </c>
      <c r="M143" s="35">
        <v>490000</v>
      </c>
      <c r="N143" s="32" t="inlineStr">
        <is>
          <t xml:space="preserve">Personal</t>
        </is>
      </c>
      <c r="O143" s="30" t="inlineStr">
        <is>
          <t xml:space="preserve">Personal - regular use</t>
        </is>
      </c>
      <c r="P143" s="30" t="inlineStr">
        <is>
          <t xml:space="preserve">2,500 - 5,000</t>
        </is>
      </c>
      <c r="Q143" s="30" t="inlineStr">
        <is>
          <t xml:space="preserve">Missouri</t>
        </is>
      </c>
      <c r="R143" s="30" t="inlineStr">
        <is>
          <t xml:space="preserve">63101</t>
        </is>
      </c>
      <c r="S143" s="32" t="inlineStr">
        <is>
          <t xml:space="preserve">Severe convective - hail / tornado (moderate)</t>
        </is>
      </c>
      <c r="T143" s="36">
        <f>IF($A143="","",IF($S143="","",IFERROR(INDEX('[1]natural catastrophe'!$D$6:$D$17,MATCH($S143,'[1]natural catastrophe'!$B$6:$B$17,0)),"?")))</f>
      </c>
      <c r="U143" s="30" t="inlineStr">
        <is>
          <t xml:space="preserve">$5,000</t>
        </is>
      </c>
      <c r="V143" s="32" t="inlineStr">
        <is>
          <t xml:space="preserve">Agreed Value</t>
        </is>
      </c>
      <c r="W143" s="30" t="inlineStr">
        <is>
          <t xml:space="preserve">$1,000</t>
        </is>
      </c>
      <c r="X143" s="32" t="inlineStr">
        <is>
          <t xml:space="preserve">$1,000,000 CSL</t>
        </is>
      </c>
      <c r="Y143" s="30"/>
      <c r="Z143" s="30"/>
      <c r="AA143" s="32" t="inlineStr">
        <is>
          <t xml:space="preserve">Surplus Lines</t>
        </is>
      </c>
      <c r="AB143" s="35">
        <v>6757.59</v>
      </c>
      <c r="AC143" s="37">
        <v>0</v>
      </c>
      <c r="AD143" s="38">
        <f>IF(ISNUMBER($AB143),$AB143*(1+N($AC143)),"")</f>
      </c>
      <c r="AE143" s="35">
        <v>350</v>
      </c>
      <c r="AF143" s="35">
        <v>0</v>
      </c>
      <c r="AG143" s="37"/>
      <c r="AH143" s="39">
        <f>IF(ISNUMBER($AD143),($AD143+$AE143+$AF143)*$AG143,"")</f>
      </c>
      <c r="AI143" s="35"/>
      <c r="AJ143" s="38">
        <f>IF(ISNUMBER($AD143),SUM($AD143:$AH143),"")</f>
      </c>
      <c r="AK143" s="40">
        <f>IF(AND(ISNUMBER($AB143),ISNUMBER($AD143)),IF($AB143&gt;0,$AD143/$AB143,""),"")</f>
      </c>
      <c r="AL143" s="32" t="inlineStr">
        <is>
          <t xml:space="preserve">At technical</t>
        </is>
      </c>
      <c r="AM143" s="41">
        <f>IF(ISNUMBER($AD143),Header!$I$3,"")</f>
      </c>
      <c r="AN143" s="39">
        <f>IF(ISNUMBER($AD143),$AO143+$AP143,"")</f>
      </c>
      <c r="AO143" s="39">
        <f>IF(ISNUMBER($AD143),ROUND($AD143*Header!$K$3,2),"")</f>
      </c>
      <c r="AP143" s="39">
        <f>IF(ISNUMBER($AD143),ROUND($AD143*Header!$M$3,2),"")</f>
      </c>
      <c r="AQ143" s="38">
        <f>IF(ISNUMBER($AD143),ROUND($AD143,2)-$AO143-$AP143,"")</f>
      </c>
      <c r="AR143" s="39">
        <f>IF(ISNUMBER($AD143),IF(Header!$D$34="","?",$AD143*Header!$D$34),"")</f>
      </c>
      <c r="AS143" s="39">
        <f>IF(ISNUMBER($AB143),IF(Header!$D$34="","?",$AB143*Header!$D$34),"")</f>
      </c>
      <c r="AT143" s="42">
        <f>IF(AND(ISNUMBER($AB143),$M143&gt;0),$AB143/$M143*100,"")</f>
      </c>
      <c r="AU143" s="42">
        <f>IF(AND(ISNUMBER($AD143),$M143&gt;0),$AD143/$M143*100,"")</f>
      </c>
      <c r="AV143" s="40">
        <f>IF(AND(ISNUMBER($AB143),ISNUMBER($AD143),ABS($AB143)&gt;0),$AD143/$AB143,"")</f>
      </c>
      <c r="AW143" s="39">
        <f>IF(ISNUMBER($AD143),MAX(0,(1-0.55-Header!$O$3)*Header!$Q$3*$AQ143),"")</f>
      </c>
      <c r="AX143" s="43">
        <f>IF($A143="","",IF(TRIM(IF($A143="","Missing certificate ref. ","") &amp; IF($C143="","Missing effective date. ","") &amp; IF($D143="","Missing binding status. ","") &amp; IF($E143="","Missing movement type. ","") &amp; IF($I143="","Missing make. ","") &amp; IF($L143="","Missing vehicle class. ","") &amp; IF($M143="","Missing agreed value. ","") &amp; IF($N143="","Missing policy type. ","") &amp; IF($Q143="","Missing garaging state. ","") &amp; IF($R143="","Missing garaging ZIP. ","") &amp; IF($S143="","Missing cat zone. ","") &amp; IF($V143="","Missing valuation basis. ","") &amp; IF($W143="","Missing PD deductible. ","") &amp; IF($X143="","Missing liability limit. ","") &amp; IF($AB143="","Missing technical premium. ","") &amp; IF($AF143="","Missing surplus lines tax %. ",""))="","PASS","FAIL: "&amp;TRIM(IF($A143="","Missing certificate ref. ","") &amp; IF($C143="","Missing effective date. ","") &amp; IF($D143="","Missing binding status. ","") &amp; IF($E143="","Missing movement type. ","") &amp; IF($I143="","Missing make. ","") &amp; IF($L143="","Missing vehicle class. ","") &amp; IF($M143="","Missing agreed value. ","") &amp; IF($N143="","Missing policy type. ","") &amp; IF($Q143="","Missing garaging state. ","") &amp; IF($R143="","Missing garaging ZIP. ","") &amp; IF($S143="","Missing cat zone. ","") &amp; IF($V143="","Missing valuation basis. ","") &amp; IF($W143="","Missing PD deductible. ","") &amp; IF($X143="","Missing liability limit. ","") &amp; IF($AB143="","Missing technical premium. ","") &amp; IF($AF143="","Missing surplus lines tax %. ",""))))</f>
      </c>
      <c r="AY143" s="44">
        <f>IF($M143="","",IF(ISNUMBER($M143),IF($M143&gt;=Header!$C$18,"YES — refer","No"),""))</f>
      </c>
      <c r="AZ143" s="44">
        <f>IF($AD143="","",IF(ISNUMBER($AD143),IF($AD143&lt;Header!$C$20,"BELOW MIN PREMIUM","OK"),""))</f>
      </c>
      <c r="BA143" s="32" t="inlineStr">
        <is>
          <t xml:space="preserve">Yes</t>
        </is>
      </c>
      <c r="BB143" s="32" t="inlineStr">
        <is>
          <t xml:space="preserve">Yes</t>
        </is>
      </c>
      <c r="BC143" s="30" t="inlineStr">
        <is>
          <t xml:space="preserve">Synthetic demo data</t>
        </is>
      </c>
      <c r="BE143" s="45">
        <f>IF(OR($A143="",$L143="",$H143=""),"",IF(AND(LEFT($L143,2)="06",$H143&gt;1945),"FAIL - pre-war class, year "&amp;$H143,IF(AND(LEFT($L143,2)="07",OR($H143&lt;1946,$H143&gt;1972)),"FAIL - 1946-72 class, year "&amp;$H143,IF(AND(LEFT($L143,2)="08",OR($H143&lt;1973,$H143&gt;1999)),"FAIL - 1973-99 class, year "&amp;$H143,IF(AND(LEFT($L143,2)="09",OR($H143&lt;2000,$H143&gt;2010)),"FAIL - 2000-10 class, year "&amp;$H143,"OK")))))</f>
      </c>
      <c r="BF143" s="45">
        <f>IF($AD143="","",IF(ROUND($AO143+$AP143+$AQ143-$AD143,2)=0,"OK","FAIL - out by "&amp;TEXT($AO143+$AP143+$AQ143-$AD143,"$0.00")))</f>
      </c>
    </row>
    <row r="144" spans="1:58" ht="18.75" customHeight="1" x14ac:dyDescent="0.25">
      <c r="A144" s="46" t="inlineStr">
        <is>
          <t xml:space="preserve">CANON-202511-002350</t>
        </is>
      </c>
      <c r="B144" s="46" t="inlineStr">
        <is>
          <t xml:space="preserve">Fitzgerald Nakashima</t>
        </is>
      </c>
      <c r="C144" s="47">
        <v>45989</v>
      </c>
      <c r="D144" s="48" t="inlineStr">
        <is>
          <t xml:space="preserve">Bound - within authority</t>
        </is>
      </c>
      <c r="E144" s="48" t="inlineStr">
        <is>
          <t xml:space="preserve">New business</t>
        </is>
      </c>
      <c r="F144" s="46" t="inlineStr">
        <is>
          <t xml:space="preserve">B1234EXOTIC26</t>
        </is>
      </c>
      <c r="G144" s="33">
        <f>IF($A144="","",IF($C144="","",YEAR($C144)))</f>
      </c>
      <c r="H144" s="49">
        <v>1967</v>
      </c>
      <c r="I144" s="46" t="inlineStr">
        <is>
          <t xml:space="preserve">Mercedes-Benz</t>
        </is>
      </c>
      <c r="J144" s="46" t="inlineStr">
        <is>
          <t xml:space="preserve">AMG GT</t>
        </is>
      </c>
      <c r="K144" s="46" t="inlineStr">
        <is>
          <t xml:space="preserve">F58J3BW0XZF685NSA</t>
        </is>
      </c>
      <c r="L144" s="48" t="inlineStr">
        <is>
          <t xml:space="preserve">02 - Sports / GT</t>
        </is>
      </c>
      <c r="M144" s="50">
        <v>145000</v>
      </c>
      <c r="N144" s="48" t="inlineStr">
        <is>
          <t xml:space="preserve">Personal</t>
        </is>
      </c>
      <c r="O144" s="46" t="inlineStr">
        <is>
          <t xml:space="preserve">Personal - regular use</t>
        </is>
      </c>
      <c r="P144" s="46" t="inlineStr">
        <is>
          <t xml:space="preserve">2,500 - 5,000</t>
        </is>
      </c>
      <c r="Q144" s="46" t="inlineStr">
        <is>
          <t xml:space="preserve">Minnesota</t>
        </is>
      </c>
      <c r="R144" s="46" t="inlineStr">
        <is>
          <t xml:space="preserve">55401</t>
        </is>
      </c>
      <c r="S144" s="48" t="inlineStr">
        <is>
          <t xml:space="preserve">Severe convective - hail / tornado (moderate)</t>
        </is>
      </c>
      <c r="T144" s="36">
        <f>IF($A144="","",IF($S144="","",IFERROR(INDEX('[1]natural catastrophe'!$D$6:$D$17,MATCH($S144,'[1]natural catastrophe'!$B$6:$B$17,0)),"?")))</f>
      </c>
      <c r="U144" s="46" t="inlineStr">
        <is>
          <t xml:space="preserve">$5,000</t>
        </is>
      </c>
      <c r="V144" s="48" t="inlineStr">
        <is>
          <t xml:space="preserve">Agreed Value</t>
        </is>
      </c>
      <c r="W144" s="46" t="inlineStr">
        <is>
          <t xml:space="preserve">$1,000</t>
        </is>
      </c>
      <c r="X144" s="48" t="inlineStr">
        <is>
          <t xml:space="preserve">$1,000,000 CSL</t>
        </is>
      </c>
      <c r="Y144" s="46"/>
      <c r="Z144" s="46"/>
      <c r="AA144" s="48" t="inlineStr">
        <is>
          <t xml:space="preserve">Surplus Lines</t>
        </is>
      </c>
      <c r="AB144" s="50">
        <v>3054.63</v>
      </c>
      <c r="AC144" s="51">
        <v>0</v>
      </c>
      <c r="AD144" s="38">
        <f>IF(ISNUMBER($AB144),$AB144*(1+N($AC144)),"")</f>
      </c>
      <c r="AE144" s="50">
        <v>350</v>
      </c>
      <c r="AF144" s="50">
        <v>0</v>
      </c>
      <c r="AG144" s="51"/>
      <c r="AH144" s="39">
        <f>IF(ISNUMBER($AD144),($AD144+$AE144+$AF144)*$AG144,"")</f>
      </c>
      <c r="AI144" s="50"/>
      <c r="AJ144" s="38">
        <f>IF(ISNUMBER($AD144),SUM($AD144:$AH144),"")</f>
      </c>
      <c r="AK144" s="40">
        <f>IF(AND(ISNUMBER($AB144),ISNUMBER($AD144)),IF($AB144&gt;0,$AD144/$AB144,""),"")</f>
      </c>
      <c r="AL144" s="48" t="inlineStr">
        <is>
          <t xml:space="preserve">At technical</t>
        </is>
      </c>
      <c r="AM144" s="41">
        <f>IF(ISNUMBER($AD144),Header!$I$3,"")</f>
      </c>
      <c r="AN144" s="39">
        <f>IF(ISNUMBER($AD144),$AO144+$AP144,"")</f>
      </c>
      <c r="AO144" s="39">
        <f>IF(ISNUMBER($AD144),ROUND($AD144*Header!$K$3,2),"")</f>
      </c>
      <c r="AP144" s="39">
        <f>IF(ISNUMBER($AD144),ROUND($AD144*Header!$M$3,2),"")</f>
      </c>
      <c r="AQ144" s="38">
        <f>IF(ISNUMBER($AD144),ROUND($AD144,2)-$AO144-$AP144,"")</f>
      </c>
      <c r="AR144" s="39">
        <f>IF(ISNUMBER($AD144),IF(Header!$D$34="","?",$AD144*Header!$D$34),"")</f>
      </c>
      <c r="AS144" s="39">
        <f>IF(ISNUMBER($AB144),IF(Header!$D$34="","?",$AB144*Header!$D$34),"")</f>
      </c>
      <c r="AT144" s="42">
        <f>IF(AND(ISNUMBER($AB144),$M144&gt;0),$AB144/$M144*100,"")</f>
      </c>
      <c r="AU144" s="42">
        <f>IF(AND(ISNUMBER($AD144),$M144&gt;0),$AD144/$M144*100,"")</f>
      </c>
      <c r="AV144" s="40">
        <f>IF(AND(ISNUMBER($AB144),ISNUMBER($AD144),ABS($AB144)&gt;0),$AD144/$AB144,"")</f>
      </c>
      <c r="AW144" s="39">
        <f>IF(ISNUMBER($AD144),MAX(0,(1-0.55-Header!$O$3)*Header!$Q$3*$AQ144),"")</f>
      </c>
      <c r="AX144" s="43">
        <f>IF($A144="","",IF(TRIM(IF($A144="","Missing certificate ref. ","") &amp; IF($C144="","Missing effective date. ","") &amp; IF($D144="","Missing binding status. ","") &amp; IF($E144="","Missing movement type. ","") &amp; IF($I144="","Missing make. ","") &amp; IF($L144="","Missing vehicle class. ","") &amp; IF($M144="","Missing agreed value. ","") &amp; IF($N144="","Missing policy type. ","") &amp; IF($Q144="","Missing garaging state. ","") &amp; IF($R144="","Missing garaging ZIP. ","") &amp; IF($S144="","Missing cat zone. ","") &amp; IF($V144="","Missing valuation basis. ","") &amp; IF($W144="","Missing PD deductible. ","") &amp; IF($X144="","Missing liability limit. ","") &amp; IF($AB144="","Missing technical premium. ","") &amp; IF($AF144="","Missing surplus lines tax %. ",""))="","PASS","FAIL: "&amp;TRIM(IF($A144="","Missing certificate ref. ","") &amp; IF($C144="","Missing effective date. ","") &amp; IF($D144="","Missing binding status. ","") &amp; IF($E144="","Missing movement type. ","") &amp; IF($I144="","Missing make. ","") &amp; IF($L144="","Missing vehicle class. ","") &amp; IF($M144="","Missing agreed value. ","") &amp; IF($N144="","Missing policy type. ","") &amp; IF($Q144="","Missing garaging state. ","") &amp; IF($R144="","Missing garaging ZIP. ","") &amp; IF($S144="","Missing cat zone. ","") &amp; IF($V144="","Missing valuation basis. ","") &amp; IF($W144="","Missing PD deductible. ","") &amp; IF($X144="","Missing liability limit. ","") &amp; IF($AB144="","Missing technical premium. ","") &amp; IF($AF144="","Missing surplus lines tax %. ",""))))</f>
      </c>
      <c r="AY144" s="44">
        <f>IF($M144="","",IF(ISNUMBER($M144),IF($M144&gt;=Header!$C$18,"YES — refer","No"),""))</f>
      </c>
      <c r="AZ144" s="44">
        <f>IF($AD144="","",IF(ISNUMBER($AD144),IF($AD144&lt;Header!$C$20,"BELOW MIN PREMIUM","OK"),""))</f>
      </c>
      <c r="BA144" s="48" t="inlineStr">
        <is>
          <t xml:space="preserve">Yes</t>
        </is>
      </c>
      <c r="BB144" s="48" t="inlineStr">
        <is>
          <t xml:space="preserve">Yes</t>
        </is>
      </c>
      <c r="BC144" s="46" t="inlineStr">
        <is>
          <t xml:space="preserve">Synthetic demo data</t>
        </is>
      </c>
      <c r="BE144" s="45">
        <f>IF(OR($A144="",$L144="",$H144=""),"",IF(AND(LEFT($L144,2)="06",$H144&gt;1945),"FAIL - pre-war class, year "&amp;$H144,IF(AND(LEFT($L144,2)="07",OR($H144&lt;1946,$H144&gt;1972)),"FAIL - 1946-72 class, year "&amp;$H144,IF(AND(LEFT($L144,2)="08",OR($H144&lt;1973,$H144&gt;1999)),"FAIL - 1973-99 class, year "&amp;$H144,IF(AND(LEFT($L144,2)="09",OR($H144&lt;2000,$H144&gt;2010)),"FAIL - 2000-10 class, year "&amp;$H144,"OK")))))</f>
      </c>
      <c r="BF144" s="45">
        <f>IF($AD144="","",IF(ROUND($AO144+$AP144+$AQ144-$AD144,2)=0,"OK","FAIL - out by "&amp;TEXT($AO144+$AP144+$AQ144-$AD144,"$0.00")))</f>
      </c>
    </row>
    <row r="145" spans="1:58" ht="18.75" customHeight="1" x14ac:dyDescent="0.25">
      <c r="A145" s="30" t="inlineStr">
        <is>
          <t xml:space="preserve">CANON-202511-002351</t>
        </is>
      </c>
      <c r="B145" s="30" t="inlineStr">
        <is>
          <t xml:space="preserve">Lorenzo Thistlewood</t>
        </is>
      </c>
      <c r="C145" s="31">
        <v>45985</v>
      </c>
      <c r="D145" s="32" t="inlineStr">
        <is>
          <t xml:space="preserve">Bound - within authority</t>
        </is>
      </c>
      <c r="E145" s="32" t="inlineStr">
        <is>
          <t xml:space="preserve">New business</t>
        </is>
      </c>
      <c r="F145" s="30" t="inlineStr">
        <is>
          <t xml:space="preserve">B1234EXOTIC26</t>
        </is>
      </c>
      <c r="G145" s="33">
        <f>IF($A145="","",IF($C145="","",YEAR($C145)))</f>
      </c>
      <c r="H145" s="34">
        <v>2022</v>
      </c>
      <c r="I145" s="30" t="inlineStr">
        <is>
          <t xml:space="preserve">Bentley</t>
        </is>
      </c>
      <c r="J145" s="30" t="inlineStr">
        <is>
          <t xml:space="preserve">Continental GT</t>
        </is>
      </c>
      <c r="K145" s="30" t="inlineStr">
        <is>
          <t xml:space="preserve">72ZY4PXDFETL10C73</t>
        </is>
      </c>
      <c r="L145" s="32" t="inlineStr">
        <is>
          <t xml:space="preserve">02 - Sports / GT</t>
        </is>
      </c>
      <c r="M145" s="35">
        <v>345000</v>
      </c>
      <c r="N145" s="32" t="inlineStr">
        <is>
          <t xml:space="preserve">Personal</t>
        </is>
      </c>
      <c r="O145" s="30" t="inlineStr">
        <is>
          <t xml:space="preserve">Personal - regular use</t>
        </is>
      </c>
      <c r="P145" s="30" t="inlineStr">
        <is>
          <t xml:space="preserve">Under 1,000</t>
        </is>
      </c>
      <c r="Q145" s="30" t="inlineStr">
        <is>
          <t xml:space="preserve">New York</t>
        </is>
      </c>
      <c r="R145" s="30" t="inlineStr">
        <is>
          <t xml:space="preserve">10022</t>
        </is>
      </c>
      <c r="S145" s="32" t="inlineStr">
        <is>
          <t xml:space="preserve">Tier 3 - Coastal wind (25-100 miles)</t>
        </is>
      </c>
      <c r="T145" s="36">
        <f>IF($A145="","",IF($S145="","",IFERROR(INDEX('[1]natural catastrophe'!$D$6:$D$17,MATCH($S145,'[1]natural catastrophe'!$B$6:$B$17,0)),"?")))</f>
      </c>
      <c r="U145" s="30" t="inlineStr">
        <is>
          <t xml:space="preserve">2% of agreed value, minimum $10,000</t>
        </is>
      </c>
      <c r="V145" s="32" t="inlineStr">
        <is>
          <t xml:space="preserve">Agreed Value</t>
        </is>
      </c>
      <c r="W145" s="30" t="inlineStr">
        <is>
          <t xml:space="preserve">$1,000</t>
        </is>
      </c>
      <c r="X145" s="32" t="inlineStr">
        <is>
          <t xml:space="preserve">$1,000,000 CSL</t>
        </is>
      </c>
      <c r="Y145" s="30"/>
      <c r="Z145" s="30"/>
      <c r="AA145" s="32" t="inlineStr">
        <is>
          <t xml:space="preserve">Surplus Lines</t>
        </is>
      </c>
      <c r="AB145" s="35">
        <v>5745.39</v>
      </c>
      <c r="AC145" s="37">
        <v>0</v>
      </c>
      <c r="AD145" s="38">
        <f>IF(ISNUMBER($AB145),$AB145*(1+N($AC145)),"")</f>
      </c>
      <c r="AE145" s="35">
        <v>350</v>
      </c>
      <c r="AF145" s="35">
        <v>0</v>
      </c>
      <c r="AG145" s="37"/>
      <c r="AH145" s="39">
        <f>IF(ISNUMBER($AD145),($AD145+$AE145+$AF145)*$AG145,"")</f>
      </c>
      <c r="AI145" s="35"/>
      <c r="AJ145" s="38">
        <f>IF(ISNUMBER($AD145),SUM($AD145:$AH145),"")</f>
      </c>
      <c r="AK145" s="40">
        <f>IF(AND(ISNUMBER($AB145),ISNUMBER($AD145)),IF($AB145&gt;0,$AD145/$AB145,""),"")</f>
      </c>
      <c r="AL145" s="32" t="inlineStr">
        <is>
          <t xml:space="preserve">At technical</t>
        </is>
      </c>
      <c r="AM145" s="41">
        <f>IF(ISNUMBER($AD145),Header!$I$3,"")</f>
      </c>
      <c r="AN145" s="39">
        <f>IF(ISNUMBER($AD145),$AO145+$AP145,"")</f>
      </c>
      <c r="AO145" s="39">
        <f>IF(ISNUMBER($AD145),ROUND($AD145*Header!$K$3,2),"")</f>
      </c>
      <c r="AP145" s="39">
        <f>IF(ISNUMBER($AD145),ROUND($AD145*Header!$M$3,2),"")</f>
      </c>
      <c r="AQ145" s="38">
        <f>IF(ISNUMBER($AD145),ROUND($AD145,2)-$AO145-$AP145,"")</f>
      </c>
      <c r="AR145" s="39">
        <f>IF(ISNUMBER($AD145),IF(Header!$D$34="","?",$AD145*Header!$D$34),"")</f>
      </c>
      <c r="AS145" s="39">
        <f>IF(ISNUMBER($AB145),IF(Header!$D$34="","?",$AB145*Header!$D$34),"")</f>
      </c>
      <c r="AT145" s="42">
        <f>IF(AND(ISNUMBER($AB145),$M145&gt;0),$AB145/$M145*100,"")</f>
      </c>
      <c r="AU145" s="42">
        <f>IF(AND(ISNUMBER($AD145),$M145&gt;0),$AD145/$M145*100,"")</f>
      </c>
      <c r="AV145" s="40">
        <f>IF(AND(ISNUMBER($AB145),ISNUMBER($AD145),ABS($AB145)&gt;0),$AD145/$AB145,"")</f>
      </c>
      <c r="AW145" s="39">
        <f>IF(ISNUMBER($AD145),MAX(0,(1-0.55-Header!$O$3)*Header!$Q$3*$AQ145),"")</f>
      </c>
      <c r="AX145" s="43">
        <f>IF($A145="","",IF(TRIM(IF($A145="","Missing certificate ref. ","") &amp; IF($C145="","Missing effective date. ","") &amp; IF($D145="","Missing binding status. ","") &amp; IF($E145="","Missing movement type. ","") &amp; IF($I145="","Missing make. ","") &amp; IF($L145="","Missing vehicle class. ","") &amp; IF($M145="","Missing agreed value. ","") &amp; IF($N145="","Missing policy type. ","") &amp; IF($Q145="","Missing garaging state. ","") &amp; IF($R145="","Missing garaging ZIP. ","") &amp; IF($S145="","Missing cat zone. ","") &amp; IF($V145="","Missing valuation basis. ","") &amp; IF($W145="","Missing PD deductible. ","") &amp; IF($X145="","Missing liability limit. ","") &amp; IF($AB145="","Missing technical premium. ","") &amp; IF($AF145="","Missing surplus lines tax %. ",""))="","PASS","FAIL: "&amp;TRIM(IF($A145="","Missing certificate ref. ","") &amp; IF($C145="","Missing effective date. ","") &amp; IF($D145="","Missing binding status. ","") &amp; IF($E145="","Missing movement type. ","") &amp; IF($I145="","Missing make. ","") &amp; IF($L145="","Missing vehicle class. ","") &amp; IF($M145="","Missing agreed value. ","") &amp; IF($N145="","Missing policy type. ","") &amp; IF($Q145="","Missing garaging state. ","") &amp; IF($R145="","Missing garaging ZIP. ","") &amp; IF($S145="","Missing cat zone. ","") &amp; IF($V145="","Missing valuation basis. ","") &amp; IF($W145="","Missing PD deductible. ","") &amp; IF($X145="","Missing liability limit. ","") &amp; IF($AB145="","Missing technical premium. ","") &amp; IF($AF145="","Missing surplus lines tax %. ",""))))</f>
      </c>
      <c r="AY145" s="44">
        <f>IF($M145="","",IF(ISNUMBER($M145),IF($M145&gt;=Header!$C$18,"YES — refer","No"),""))</f>
      </c>
      <c r="AZ145" s="44">
        <f>IF($AD145="","",IF(ISNUMBER($AD145),IF($AD145&lt;Header!$C$20,"BELOW MIN PREMIUM","OK"),""))</f>
      </c>
      <c r="BA145" s="32" t="inlineStr">
        <is>
          <t xml:space="preserve">Yes</t>
        </is>
      </c>
      <c r="BB145" s="32" t="inlineStr">
        <is>
          <t xml:space="preserve">Yes</t>
        </is>
      </c>
      <c r="BC145" s="30" t="inlineStr">
        <is>
          <t xml:space="preserve">Synthetic demo data</t>
        </is>
      </c>
      <c r="BE145" s="45">
        <f>IF(OR($A145="",$L145="",$H145=""),"",IF(AND(LEFT($L145,2)="06",$H145&gt;1945),"FAIL - pre-war class, year "&amp;$H145,IF(AND(LEFT($L145,2)="07",OR($H145&lt;1946,$H145&gt;1972)),"FAIL - 1946-72 class, year "&amp;$H145,IF(AND(LEFT($L145,2)="08",OR($H145&lt;1973,$H145&gt;1999)),"FAIL - 1973-99 class, year "&amp;$H145,IF(AND(LEFT($L145,2)="09",OR($H145&lt;2000,$H145&gt;2010)),"FAIL - 2000-10 class, year "&amp;$H145,"OK")))))</f>
      </c>
      <c r="BF145" s="45">
        <f>IF($AD145="","",IF(ROUND($AO145+$AP145+$AQ145-$AD145,2)=0,"OK","FAIL - out by "&amp;TEXT($AO145+$AP145+$AQ145-$AD145,"$0.00")))</f>
      </c>
    </row>
    <row r="146" spans="1:58" ht="18.75" customHeight="1" x14ac:dyDescent="0.25">
      <c r="A146" s="46" t="inlineStr">
        <is>
          <t xml:space="preserve">CANON-202511-002352</t>
        </is>
      </c>
      <c r="B146" s="46" t="inlineStr">
        <is>
          <t xml:space="preserve">Thaddeus Castellanos</t>
        </is>
      </c>
      <c r="C146" s="47">
        <v>45970</v>
      </c>
      <c r="D146" s="48" t="inlineStr">
        <is>
          <t xml:space="preserve">Bound - within authority</t>
        </is>
      </c>
      <c r="E146" s="48" t="inlineStr">
        <is>
          <t xml:space="preserve">New business</t>
        </is>
      </c>
      <c r="F146" s="46" t="inlineStr">
        <is>
          <t xml:space="preserve">B1234EXOTIC26</t>
        </is>
      </c>
      <c r="G146" s="33">
        <f>IF($A146="","",IF($C146="","",YEAR($C146)))</f>
      </c>
      <c r="H146" s="49">
        <v>1993</v>
      </c>
      <c r="I146" s="46" t="inlineStr">
        <is>
          <t xml:space="preserve">Ferrari</t>
        </is>
      </c>
      <c r="J146" s="46" t="inlineStr">
        <is>
          <t xml:space="preserve">296 GTB</t>
        </is>
      </c>
      <c r="K146" s="46" t="inlineStr">
        <is>
          <t xml:space="preserve">1SARH3LM9EK7945DG</t>
        </is>
      </c>
      <c r="L146" s="48" t="inlineStr">
        <is>
          <t xml:space="preserve">03 - Supercar</t>
        </is>
      </c>
      <c r="M146" s="50">
        <v>580000</v>
      </c>
      <c r="N146" s="48" t="inlineStr">
        <is>
          <t xml:space="preserve">Personal</t>
        </is>
      </c>
      <c r="O146" s="46" t="inlineStr">
        <is>
          <t xml:space="preserve">Personal - regular use</t>
        </is>
      </c>
      <c r="P146" s="46" t="inlineStr">
        <is>
          <t xml:space="preserve">2,500 - 5,000</t>
        </is>
      </c>
      <c r="Q146" s="46" t="inlineStr">
        <is>
          <t xml:space="preserve">California</t>
        </is>
      </c>
      <c r="R146" s="46" t="inlineStr">
        <is>
          <t xml:space="preserve">90012</t>
        </is>
      </c>
      <c r="S146" s="48" t="inlineStr">
        <is>
          <t xml:space="preserve">Earthquake - high (CA, Cascadia, New Madrid)</t>
        </is>
      </c>
      <c r="T146" s="36">
        <f>IF($A146="","",IF($S146="","",IFERROR(INDEX('[1]natural catastrophe'!$D$6:$D$17,MATCH($S146,'[1]natural catastrophe'!$B$6:$B$17,0)),"?")))</f>
      </c>
      <c r="U146" s="46" t="inlineStr">
        <is>
          <t xml:space="preserve">$5,000</t>
        </is>
      </c>
      <c r="V146" s="48" t="inlineStr">
        <is>
          <t xml:space="preserve">Agreed Value</t>
        </is>
      </c>
      <c r="W146" s="46" t="inlineStr">
        <is>
          <t xml:space="preserve">$1,000</t>
        </is>
      </c>
      <c r="X146" s="48" t="inlineStr">
        <is>
          <t xml:space="preserve">$1,000,000 CSL</t>
        </is>
      </c>
      <c r="Y146" s="46"/>
      <c r="Z146" s="46"/>
      <c r="AA146" s="48" t="inlineStr">
        <is>
          <t xml:space="preserve">Surplus Lines</t>
        </is>
      </c>
      <c r="AB146" s="50">
        <v>12903.7</v>
      </c>
      <c r="AC146" s="51">
        <v>0</v>
      </c>
      <c r="AD146" s="38">
        <f>IF(ISNUMBER($AB146),$AB146*(1+N($AC146)),"")</f>
      </c>
      <c r="AE146" s="50">
        <v>350</v>
      </c>
      <c r="AF146" s="50">
        <v>0</v>
      </c>
      <c r="AG146" s="51"/>
      <c r="AH146" s="39">
        <f>IF(ISNUMBER($AD146),($AD146+$AE146+$AF146)*$AG146,"")</f>
      </c>
      <c r="AI146" s="50"/>
      <c r="AJ146" s="38">
        <f>IF(ISNUMBER($AD146),SUM($AD146:$AH146),"")</f>
      </c>
      <c r="AK146" s="40">
        <f>IF(AND(ISNUMBER($AB146),ISNUMBER($AD146)),IF($AB146&gt;0,$AD146/$AB146,""),"")</f>
      </c>
      <c r="AL146" s="48" t="inlineStr">
        <is>
          <t xml:space="preserve">At technical</t>
        </is>
      </c>
      <c r="AM146" s="41">
        <f>IF(ISNUMBER($AD146),Header!$I$3,"")</f>
      </c>
      <c r="AN146" s="39">
        <f>IF(ISNUMBER($AD146),$AO146+$AP146,"")</f>
      </c>
      <c r="AO146" s="39">
        <f>IF(ISNUMBER($AD146),ROUND($AD146*Header!$K$3,2),"")</f>
      </c>
      <c r="AP146" s="39">
        <f>IF(ISNUMBER($AD146),ROUND($AD146*Header!$M$3,2),"")</f>
      </c>
      <c r="AQ146" s="38">
        <f>IF(ISNUMBER($AD146),ROUND($AD146,2)-$AO146-$AP146,"")</f>
      </c>
      <c r="AR146" s="39">
        <f>IF(ISNUMBER($AD146),IF(Header!$D$34="","?",$AD146*Header!$D$34),"")</f>
      </c>
      <c r="AS146" s="39">
        <f>IF(ISNUMBER($AB146),IF(Header!$D$34="","?",$AB146*Header!$D$34),"")</f>
      </c>
      <c r="AT146" s="42">
        <f>IF(AND(ISNUMBER($AB146),$M146&gt;0),$AB146/$M146*100,"")</f>
      </c>
      <c r="AU146" s="42">
        <f>IF(AND(ISNUMBER($AD146),$M146&gt;0),$AD146/$M146*100,"")</f>
      </c>
      <c r="AV146" s="40">
        <f>IF(AND(ISNUMBER($AB146),ISNUMBER($AD146),ABS($AB146)&gt;0),$AD146/$AB146,"")</f>
      </c>
      <c r="AW146" s="39">
        <f>IF(ISNUMBER($AD146),MAX(0,(1-0.55-Header!$O$3)*Header!$Q$3*$AQ146),"")</f>
      </c>
      <c r="AX146" s="43">
        <f>IF($A146="","",IF(TRIM(IF($A146="","Missing certificate ref. ","") &amp; IF($C146="","Missing effective date. ","") &amp; IF($D146="","Missing binding status. ","") &amp; IF($E146="","Missing movement type. ","") &amp; IF($I146="","Missing make. ","") &amp; IF($L146="","Missing vehicle class. ","") &amp; IF($M146="","Missing agreed value. ","") &amp; IF($N146="","Missing policy type. ","") &amp; IF($Q146="","Missing garaging state. ","") &amp; IF($R146="","Missing garaging ZIP. ","") &amp; IF($S146="","Missing cat zone. ","") &amp; IF($V146="","Missing valuation basis. ","") &amp; IF($W146="","Missing PD deductible. ","") &amp; IF($X146="","Missing liability limit. ","") &amp; IF($AB146="","Missing technical premium. ","") &amp; IF($AF146="","Missing surplus lines tax %. ",""))="","PASS","FAIL: "&amp;TRIM(IF($A146="","Missing certificate ref. ","") &amp; IF($C146="","Missing effective date. ","") &amp; IF($D146="","Missing binding status. ","") &amp; IF($E146="","Missing movement type. ","") &amp; IF($I146="","Missing make. ","") &amp; IF($L146="","Missing vehicle class. ","") &amp; IF($M146="","Missing agreed value. ","") &amp; IF($N146="","Missing policy type. ","") &amp; IF($Q146="","Missing garaging state. ","") &amp; IF($R146="","Missing garaging ZIP. ","") &amp; IF($S146="","Missing cat zone. ","") &amp; IF($V146="","Missing valuation basis. ","") &amp; IF($W146="","Missing PD deductible. ","") &amp; IF($X146="","Missing liability limit. ","") &amp; IF($AB146="","Missing technical premium. ","") &amp; IF($AF146="","Missing surplus lines tax %. ",""))))</f>
      </c>
      <c r="AY146" s="44">
        <f>IF($M146="","",IF(ISNUMBER($M146),IF($M146&gt;=Header!$C$18,"YES — refer","No"),""))</f>
      </c>
      <c r="AZ146" s="44">
        <f>IF($AD146="","",IF(ISNUMBER($AD146),IF($AD146&lt;Header!$C$20,"BELOW MIN PREMIUM","OK"),""))</f>
      </c>
      <c r="BA146" s="48" t="inlineStr">
        <is>
          <t xml:space="preserve">Yes</t>
        </is>
      </c>
      <c r="BB146" s="48" t="inlineStr">
        <is>
          <t xml:space="preserve">Yes</t>
        </is>
      </c>
      <c r="BC146" s="46" t="inlineStr">
        <is>
          <t xml:space="preserve">Synthetic demo data</t>
        </is>
      </c>
      <c r="BE146" s="45">
        <f>IF(OR($A146="",$L146="",$H146=""),"",IF(AND(LEFT($L146,2)="06",$H146&gt;1945),"FAIL - pre-war class, year "&amp;$H146,IF(AND(LEFT($L146,2)="07",OR($H146&lt;1946,$H146&gt;1972)),"FAIL - 1946-72 class, year "&amp;$H146,IF(AND(LEFT($L146,2)="08",OR($H146&lt;1973,$H146&gt;1999)),"FAIL - 1973-99 class, year "&amp;$H146,IF(AND(LEFT($L146,2)="09",OR($H146&lt;2000,$H146&gt;2010)),"FAIL - 2000-10 class, year "&amp;$H146,"OK")))))</f>
      </c>
      <c r="BF146" s="45">
        <f>IF($AD146="","",IF(ROUND($AO146+$AP146+$AQ146-$AD146,2)=0,"OK","FAIL - out by "&amp;TEXT($AO146+$AP146+$AQ146-$AD146,"$0.00")))</f>
      </c>
    </row>
    <row r="147" spans="1:58" ht="18.75" customHeight="1" x14ac:dyDescent="0.25">
      <c r="A147" s="30" t="inlineStr">
        <is>
          <t xml:space="preserve">CANON-202511-002355</t>
        </is>
      </c>
      <c r="B147" s="30" t="inlineStr">
        <is>
          <t xml:space="preserve">Leopold Thistlewood</t>
        </is>
      </c>
      <c r="C147" s="31">
        <v>45964</v>
      </c>
      <c r="D147" s="32" t="inlineStr">
        <is>
          <t xml:space="preserve">Bound - within authority</t>
        </is>
      </c>
      <c r="E147" s="32" t="inlineStr">
        <is>
          <t xml:space="preserve">New business</t>
        </is>
      </c>
      <c r="F147" s="30" t="inlineStr">
        <is>
          <t xml:space="preserve">B1234EXOTIC26</t>
        </is>
      </c>
      <c r="G147" s="33">
        <f>IF($A147="","",IF($C147="","",YEAR($C147)))</f>
      </c>
      <c r="H147" s="34">
        <v>1985</v>
      </c>
      <c r="I147" s="30" t="inlineStr">
        <is>
          <t xml:space="preserve">Mercedes-Benz</t>
        </is>
      </c>
      <c r="J147" s="30" t="inlineStr">
        <is>
          <t xml:space="preserve">AMG GT</t>
        </is>
      </c>
      <c r="K147" s="30" t="inlineStr">
        <is>
          <t xml:space="preserve">AT0HKTBY9Z2ASPPGS</t>
        </is>
      </c>
      <c r="L147" s="32" t="inlineStr">
        <is>
          <t xml:space="preserve">02 - Sports / GT</t>
        </is>
      </c>
      <c r="M147" s="35">
        <v>515000</v>
      </c>
      <c r="N147" s="32" t="inlineStr">
        <is>
          <t xml:space="preserve">Personal</t>
        </is>
      </c>
      <c r="O147" s="30" t="inlineStr">
        <is>
          <t xml:space="preserve">Personal - regular use</t>
        </is>
      </c>
      <c r="P147" s="30" t="inlineStr">
        <is>
          <t xml:space="preserve">2,500 - 5,000</t>
        </is>
      </c>
      <c r="Q147" s="30" t="inlineStr">
        <is>
          <t xml:space="preserve">Pennsylvania</t>
        </is>
      </c>
      <c r="R147" s="30" t="inlineStr">
        <is>
          <t xml:space="preserve">19103</t>
        </is>
      </c>
      <c r="S147" s="32" t="inlineStr">
        <is>
          <t xml:space="preserve">Low hazard - inland benign</t>
        </is>
      </c>
      <c r="T147" s="36">
        <f>IF($A147="","",IF($S147="","",IFERROR(INDEX('[1]natural catastrophe'!$D$6:$D$17,MATCH($S147,'[1]natural catastrophe'!$B$6:$B$17,0)),"?")))</f>
      </c>
      <c r="U147" s="30" t="inlineStr">
        <is>
          <t xml:space="preserve">$5,000</t>
        </is>
      </c>
      <c r="V147" s="32" t="inlineStr">
        <is>
          <t xml:space="preserve">Agreed Value</t>
        </is>
      </c>
      <c r="W147" s="30" t="inlineStr">
        <is>
          <t xml:space="preserve">$1,000</t>
        </is>
      </c>
      <c r="X147" s="32" t="inlineStr">
        <is>
          <t xml:space="preserve">$1,000,000 CSL</t>
        </is>
      </c>
      <c r="Y147" s="30"/>
      <c r="Z147" s="30"/>
      <c r="AA147" s="32" t="inlineStr">
        <is>
          <t xml:space="preserve">Surplus Lines</t>
        </is>
      </c>
      <c r="AB147" s="35">
        <v>5806.97</v>
      </c>
      <c r="AC147" s="37">
        <v>0</v>
      </c>
      <c r="AD147" s="38">
        <f>IF(ISNUMBER($AB147),$AB147*(1+N($AC147)),"")</f>
      </c>
      <c r="AE147" s="35">
        <v>350</v>
      </c>
      <c r="AF147" s="35">
        <v>0</v>
      </c>
      <c r="AG147" s="37"/>
      <c r="AH147" s="39">
        <f>IF(ISNUMBER($AD147),($AD147+$AE147+$AF147)*$AG147,"")</f>
      </c>
      <c r="AI147" s="35"/>
      <c r="AJ147" s="38">
        <f>IF(ISNUMBER($AD147),SUM($AD147:$AH147),"")</f>
      </c>
      <c r="AK147" s="40">
        <f>IF(AND(ISNUMBER($AB147),ISNUMBER($AD147)),IF($AB147&gt;0,$AD147/$AB147,""),"")</f>
      </c>
      <c r="AL147" s="32" t="inlineStr">
        <is>
          <t xml:space="preserve">At technical</t>
        </is>
      </c>
      <c r="AM147" s="41">
        <f>IF(ISNUMBER($AD147),Header!$I$3,"")</f>
      </c>
      <c r="AN147" s="39">
        <f>IF(ISNUMBER($AD147),$AO147+$AP147,"")</f>
      </c>
      <c r="AO147" s="39">
        <f>IF(ISNUMBER($AD147),ROUND($AD147*Header!$K$3,2),"")</f>
      </c>
      <c r="AP147" s="39">
        <f>IF(ISNUMBER($AD147),ROUND($AD147*Header!$M$3,2),"")</f>
      </c>
      <c r="AQ147" s="38">
        <f>IF(ISNUMBER($AD147),ROUND($AD147,2)-$AO147-$AP147,"")</f>
      </c>
      <c r="AR147" s="39">
        <f>IF(ISNUMBER($AD147),IF(Header!$D$34="","?",$AD147*Header!$D$34),"")</f>
      </c>
      <c r="AS147" s="39">
        <f>IF(ISNUMBER($AB147),IF(Header!$D$34="","?",$AB147*Header!$D$34),"")</f>
      </c>
      <c r="AT147" s="42">
        <f>IF(AND(ISNUMBER($AB147),$M147&gt;0),$AB147/$M147*100,"")</f>
      </c>
      <c r="AU147" s="42">
        <f>IF(AND(ISNUMBER($AD147),$M147&gt;0),$AD147/$M147*100,"")</f>
      </c>
      <c r="AV147" s="40">
        <f>IF(AND(ISNUMBER($AB147),ISNUMBER($AD147),ABS($AB147)&gt;0),$AD147/$AB147,"")</f>
      </c>
      <c r="AW147" s="39">
        <f>IF(ISNUMBER($AD147),MAX(0,(1-0.55-Header!$O$3)*Header!$Q$3*$AQ147),"")</f>
      </c>
      <c r="AX147" s="43">
        <f>IF($A147="","",IF(TRIM(IF($A147="","Missing certificate ref. ","") &amp; IF($C147="","Missing effective date. ","") &amp; IF($D147="","Missing binding status. ","") &amp; IF($E147="","Missing movement type. ","") &amp; IF($I147="","Missing make. ","") &amp; IF($L147="","Missing vehicle class. ","") &amp; IF($M147="","Missing agreed value. ","") &amp; IF($N147="","Missing policy type. ","") &amp; IF($Q147="","Missing garaging state. ","") &amp; IF($R147="","Missing garaging ZIP. ","") &amp; IF($S147="","Missing cat zone. ","") &amp; IF($V147="","Missing valuation basis. ","") &amp; IF($W147="","Missing PD deductible. ","") &amp; IF($X147="","Missing liability limit. ","") &amp; IF($AB147="","Missing technical premium. ","") &amp; IF($AF147="","Missing surplus lines tax %. ",""))="","PASS","FAIL: "&amp;TRIM(IF($A147="","Missing certificate ref. ","") &amp; IF($C147="","Missing effective date. ","") &amp; IF($D147="","Missing binding status. ","") &amp; IF($E147="","Missing movement type. ","") &amp; IF($I147="","Missing make. ","") &amp; IF($L147="","Missing vehicle class. ","") &amp; IF($M147="","Missing agreed value. ","") &amp; IF($N147="","Missing policy type. ","") &amp; IF($Q147="","Missing garaging state. ","") &amp; IF($R147="","Missing garaging ZIP. ","") &amp; IF($S147="","Missing cat zone. ","") &amp; IF($V147="","Missing valuation basis. ","") &amp; IF($W147="","Missing PD deductible. ","") &amp; IF($X147="","Missing liability limit. ","") &amp; IF($AB147="","Missing technical premium. ","") &amp; IF($AF147="","Missing surplus lines tax %. ",""))))</f>
      </c>
      <c r="AY147" s="44">
        <f>IF($M147="","",IF(ISNUMBER($M147),IF($M147&gt;=Header!$C$18,"YES — refer","No"),""))</f>
      </c>
      <c r="AZ147" s="44">
        <f>IF($AD147="","",IF(ISNUMBER($AD147),IF($AD147&lt;Header!$C$20,"BELOW MIN PREMIUM","OK"),""))</f>
      </c>
      <c r="BA147" s="32" t="inlineStr">
        <is>
          <t xml:space="preserve">Yes</t>
        </is>
      </c>
      <c r="BB147" s="32" t="inlineStr">
        <is>
          <t xml:space="preserve">Yes</t>
        </is>
      </c>
      <c r="BC147" s="30" t="inlineStr">
        <is>
          <t xml:space="preserve">Synthetic demo data</t>
        </is>
      </c>
      <c r="BE147" s="45">
        <f>IF(OR($A147="",$L147="",$H147=""),"",IF(AND(LEFT($L147,2)="06",$H147&gt;1945),"FAIL - pre-war class, year "&amp;$H147,IF(AND(LEFT($L147,2)="07",OR($H147&lt;1946,$H147&gt;1972)),"FAIL - 1946-72 class, year "&amp;$H147,IF(AND(LEFT($L147,2)="08",OR($H147&lt;1973,$H147&gt;1999)),"FAIL - 1973-99 class, year "&amp;$H147,IF(AND(LEFT($L147,2)="09",OR($H147&lt;2000,$H147&gt;2010)),"FAIL - 2000-10 class, year "&amp;$H147,"OK")))))</f>
      </c>
      <c r="BF147" s="45">
        <f>IF($AD147="","",IF(ROUND($AO147+$AP147+$AQ147-$AD147,2)=0,"OK","FAIL - out by "&amp;TEXT($AO147+$AP147+$AQ147-$AD147,"$0.00")))</f>
      </c>
    </row>
    <row r="148" spans="1:58" ht="18.75" customHeight="1" x14ac:dyDescent="0.25">
      <c r="A148" s="46" t="inlineStr">
        <is>
          <t xml:space="preserve">CANON-202511-002358</t>
        </is>
      </c>
      <c r="B148" s="46" t="inlineStr">
        <is>
          <t xml:space="preserve">Wilhelmina Montoya</t>
        </is>
      </c>
      <c r="C148" s="47">
        <v>45984</v>
      </c>
      <c r="D148" s="48" t="inlineStr">
        <is>
          <t xml:space="preserve">Bound - within authority</t>
        </is>
      </c>
      <c r="E148" s="48" t="inlineStr">
        <is>
          <t xml:space="preserve">New business</t>
        </is>
      </c>
      <c r="F148" s="46" t="inlineStr">
        <is>
          <t xml:space="preserve">B1234EXOTIC26</t>
        </is>
      </c>
      <c r="G148" s="33">
        <f>IF($A148="","",IF($C148="","",YEAR($C148)))</f>
      </c>
      <c r="H148" s="49">
        <v>1993</v>
      </c>
      <c r="I148" s="46" t="inlineStr">
        <is>
          <t xml:space="preserve">Maserati</t>
        </is>
      </c>
      <c r="J148" s="46" t="inlineStr">
        <is>
          <t xml:space="preserve">GranTurismo</t>
        </is>
      </c>
      <c r="K148" s="46" t="inlineStr">
        <is>
          <t xml:space="preserve">BCRF5RHV4X0EV81FH</t>
        </is>
      </c>
      <c r="L148" s="48" t="inlineStr">
        <is>
          <t xml:space="preserve">02 - Sports / GT</t>
        </is>
      </c>
      <c r="M148" s="50">
        <v>415000</v>
      </c>
      <c r="N148" s="48" t="inlineStr">
        <is>
          <t xml:space="preserve">Personal</t>
        </is>
      </c>
      <c r="O148" s="46" t="inlineStr">
        <is>
          <t xml:space="preserve">Personal - regular use</t>
        </is>
      </c>
      <c r="P148" s="46" t="inlineStr">
        <is>
          <t xml:space="preserve">Under 1,000</t>
        </is>
      </c>
      <c r="Q148" s="46" t="inlineStr">
        <is>
          <t xml:space="preserve">California</t>
        </is>
      </c>
      <c r="R148" s="46" t="inlineStr">
        <is>
          <t xml:space="preserve">90012</t>
        </is>
      </c>
      <c r="S148" s="48" t="inlineStr">
        <is>
          <t xml:space="preserve">Earthquake - high (CA, Cascadia, New Madrid)</t>
        </is>
      </c>
      <c r="T148" s="36">
        <f>IF($A148="","",IF($S148="","",IFERROR(INDEX('[1]natural catastrophe'!$D$6:$D$17,MATCH($S148,'[1]natural catastrophe'!$B$6:$B$17,0)),"?")))</f>
      </c>
      <c r="U148" s="46" t="inlineStr">
        <is>
          <t xml:space="preserve">$5,000</t>
        </is>
      </c>
      <c r="V148" s="48" t="inlineStr">
        <is>
          <t xml:space="preserve">Agreed Value</t>
        </is>
      </c>
      <c r="W148" s="46" t="inlineStr">
        <is>
          <t xml:space="preserve">$1,000</t>
        </is>
      </c>
      <c r="X148" s="48" t="inlineStr">
        <is>
          <t xml:space="preserve">$1,000,000 CSL</t>
        </is>
      </c>
      <c r="Y148" s="46"/>
      <c r="Z148" s="46"/>
      <c r="AA148" s="48" t="inlineStr">
        <is>
          <t xml:space="preserve">Surplus Lines</t>
        </is>
      </c>
      <c r="AB148" s="50">
        <v>7289.07</v>
      </c>
      <c r="AC148" s="51">
        <v>0</v>
      </c>
      <c r="AD148" s="38">
        <f>IF(ISNUMBER($AB148),$AB148*(1+N($AC148)),"")</f>
      </c>
      <c r="AE148" s="50">
        <v>350</v>
      </c>
      <c r="AF148" s="50">
        <v>0</v>
      </c>
      <c r="AG148" s="51"/>
      <c r="AH148" s="39">
        <f>IF(ISNUMBER($AD148),($AD148+$AE148+$AF148)*$AG148,"")</f>
      </c>
      <c r="AI148" s="50"/>
      <c r="AJ148" s="38">
        <f>IF(ISNUMBER($AD148),SUM($AD148:$AH148),"")</f>
      </c>
      <c r="AK148" s="40">
        <f>IF(AND(ISNUMBER($AB148),ISNUMBER($AD148)),IF($AB148&gt;0,$AD148/$AB148,""),"")</f>
      </c>
      <c r="AL148" s="48" t="inlineStr">
        <is>
          <t xml:space="preserve">At technical</t>
        </is>
      </c>
      <c r="AM148" s="41">
        <f>IF(ISNUMBER($AD148),Header!$I$3,"")</f>
      </c>
      <c r="AN148" s="39">
        <f>IF(ISNUMBER($AD148),$AO148+$AP148,"")</f>
      </c>
      <c r="AO148" s="39">
        <f>IF(ISNUMBER($AD148),ROUND($AD148*Header!$K$3,2),"")</f>
      </c>
      <c r="AP148" s="39">
        <f>IF(ISNUMBER($AD148),ROUND($AD148*Header!$M$3,2),"")</f>
      </c>
      <c r="AQ148" s="38">
        <f>IF(ISNUMBER($AD148),ROUND($AD148,2)-$AO148-$AP148,"")</f>
      </c>
      <c r="AR148" s="39">
        <f>IF(ISNUMBER($AD148),IF(Header!$D$34="","?",$AD148*Header!$D$34),"")</f>
      </c>
      <c r="AS148" s="39">
        <f>IF(ISNUMBER($AB148),IF(Header!$D$34="","?",$AB148*Header!$D$34),"")</f>
      </c>
      <c r="AT148" s="42">
        <f>IF(AND(ISNUMBER($AB148),$M148&gt;0),$AB148/$M148*100,"")</f>
      </c>
      <c r="AU148" s="42">
        <f>IF(AND(ISNUMBER($AD148),$M148&gt;0),$AD148/$M148*100,"")</f>
      </c>
      <c r="AV148" s="40">
        <f>IF(AND(ISNUMBER($AB148),ISNUMBER($AD148),ABS($AB148)&gt;0),$AD148/$AB148,"")</f>
      </c>
      <c r="AW148" s="39">
        <f>IF(ISNUMBER($AD148),MAX(0,(1-0.55-Header!$O$3)*Header!$Q$3*$AQ148),"")</f>
      </c>
      <c r="AX148" s="43">
        <f>IF($A148="","",IF(TRIM(IF($A148="","Missing certificate ref. ","") &amp; IF($C148="","Missing effective date. ","") &amp; IF($D148="","Missing binding status. ","") &amp; IF($E148="","Missing movement type. ","") &amp; IF($I148="","Missing make. ","") &amp; IF($L148="","Missing vehicle class. ","") &amp; IF($M148="","Missing agreed value. ","") &amp; IF($N148="","Missing policy type. ","") &amp; IF($Q148="","Missing garaging state. ","") &amp; IF($R148="","Missing garaging ZIP. ","") &amp; IF($S148="","Missing cat zone. ","") &amp; IF($V148="","Missing valuation basis. ","") &amp; IF($W148="","Missing PD deductible. ","") &amp; IF($X148="","Missing liability limit. ","") &amp; IF($AB148="","Missing technical premium. ","") &amp; IF($AF148="","Missing surplus lines tax %. ",""))="","PASS","FAIL: "&amp;TRIM(IF($A148="","Missing certificate ref. ","") &amp; IF($C148="","Missing effective date. ","") &amp; IF($D148="","Missing binding status. ","") &amp; IF($E148="","Missing movement type. ","") &amp; IF($I148="","Missing make. ","") &amp; IF($L148="","Missing vehicle class. ","") &amp; IF($M148="","Missing agreed value. ","") &amp; IF($N148="","Missing policy type. ","") &amp; IF($Q148="","Missing garaging state. ","") &amp; IF($R148="","Missing garaging ZIP. ","") &amp; IF($S148="","Missing cat zone. ","") &amp; IF($V148="","Missing valuation basis. ","") &amp; IF($W148="","Missing PD deductible. ","") &amp; IF($X148="","Missing liability limit. ","") &amp; IF($AB148="","Missing technical premium. ","") &amp; IF($AF148="","Missing surplus lines tax %. ",""))))</f>
      </c>
      <c r="AY148" s="44">
        <f>IF($M148="","",IF(ISNUMBER($M148),IF($M148&gt;=Header!$C$18,"YES — refer","No"),""))</f>
      </c>
      <c r="AZ148" s="44">
        <f>IF($AD148="","",IF(ISNUMBER($AD148),IF($AD148&lt;Header!$C$20,"BELOW MIN PREMIUM","OK"),""))</f>
      </c>
      <c r="BA148" s="48" t="inlineStr">
        <is>
          <t xml:space="preserve">Yes</t>
        </is>
      </c>
      <c r="BB148" s="48" t="inlineStr">
        <is>
          <t xml:space="preserve">Yes</t>
        </is>
      </c>
      <c r="BC148" s="46" t="inlineStr">
        <is>
          <t xml:space="preserve">Synthetic demo data</t>
        </is>
      </c>
      <c r="BE148" s="45">
        <f>IF(OR($A148="",$L148="",$H148=""),"",IF(AND(LEFT($L148,2)="06",$H148&gt;1945),"FAIL - pre-war class, year "&amp;$H148,IF(AND(LEFT($L148,2)="07",OR($H148&lt;1946,$H148&gt;1972)),"FAIL - 1946-72 class, year "&amp;$H148,IF(AND(LEFT($L148,2)="08",OR($H148&lt;1973,$H148&gt;1999)),"FAIL - 1973-99 class, year "&amp;$H148,IF(AND(LEFT($L148,2)="09",OR($H148&lt;2000,$H148&gt;2010)),"FAIL - 2000-10 class, year "&amp;$H148,"OK")))))</f>
      </c>
      <c r="BF148" s="45">
        <f>IF($AD148="","",IF(ROUND($AO148+$AP148+$AQ148-$AD148,2)=0,"OK","FAIL - out by "&amp;TEXT($AO148+$AP148+$AQ148-$AD148,"$0.00")))</f>
      </c>
    </row>
    <row r="149" spans="1:58" ht="18.75" customHeight="1" x14ac:dyDescent="0.25">
      <c r="A149" s="30" t="inlineStr">
        <is>
          <t xml:space="preserve">CANON-202511-002359</t>
        </is>
      </c>
      <c r="B149" s="30" t="inlineStr">
        <is>
          <t xml:space="preserve">Beatrix Okonkwo</t>
        </is>
      </c>
      <c r="C149" s="31">
        <v>45987</v>
      </c>
      <c r="D149" s="32" t="inlineStr">
        <is>
          <t xml:space="preserve">Bound - within authority</t>
        </is>
      </c>
      <c r="E149" s="32" t="inlineStr">
        <is>
          <t xml:space="preserve">New business</t>
        </is>
      </c>
      <c r="F149" s="30" t="inlineStr">
        <is>
          <t xml:space="preserve">B1234EXOTIC26</t>
        </is>
      </c>
      <c r="G149" s="33">
        <f>IF($A149="","",IF($C149="","",YEAR($C149)))</f>
      </c>
      <c r="H149" s="34">
        <v>1956</v>
      </c>
      <c r="I149" s="30" t="inlineStr">
        <is>
          <t xml:space="preserve">Alfa Romeo</t>
        </is>
      </c>
      <c r="J149" s="30" t="inlineStr">
        <is>
          <t xml:space="preserve">8C 2900</t>
        </is>
      </c>
      <c r="K149" s="30" t="inlineStr">
        <is>
          <t xml:space="preserve">JPWBPY97H42LFUMS5</t>
        </is>
      </c>
      <c r="L149" s="32" t="inlineStr">
        <is>
          <t xml:space="preserve">07 - Post-War Classic (1946-1972)</t>
        </is>
      </c>
      <c r="M149" s="35">
        <v>1950000</v>
      </c>
      <c r="N149" s="32" t="inlineStr">
        <is>
          <t xml:space="preserve">Personal</t>
        </is>
      </c>
      <c r="O149" s="30" t="inlineStr">
        <is>
          <t xml:space="preserve">Personal - regular use</t>
        </is>
      </c>
      <c r="P149" s="30" t="inlineStr">
        <is>
          <t xml:space="preserve">2,500 - 5,000</t>
        </is>
      </c>
      <c r="Q149" s="30" t="inlineStr">
        <is>
          <t xml:space="preserve">Maryland</t>
        </is>
      </c>
      <c r="R149" s="30" t="inlineStr">
        <is>
          <t xml:space="preserve">21201</t>
        </is>
      </c>
      <c r="S149" s="32" t="inlineStr">
        <is>
          <t xml:space="preserve">Tier 3 - Coastal wind (25-100 miles)</t>
        </is>
      </c>
      <c r="T149" s="36">
        <f>IF($A149="","",IF($S149="","",IFERROR(INDEX('[1]natural catastrophe'!$D$6:$D$17,MATCH($S149,'[1]natural catastrophe'!$B$6:$B$17,0)),"?")))</f>
      </c>
      <c r="U149" s="30" t="inlineStr">
        <is>
          <t xml:space="preserve">2% of agreed value, minimum $10,000</t>
        </is>
      </c>
      <c r="V149" s="32" t="inlineStr">
        <is>
          <t xml:space="preserve">Agreed Value</t>
        </is>
      </c>
      <c r="W149" s="30" t="inlineStr">
        <is>
          <t xml:space="preserve">$1,000</t>
        </is>
      </c>
      <c r="X149" s="32" t="inlineStr">
        <is>
          <t xml:space="preserve">$1,000,000 CSL</t>
        </is>
      </c>
      <c r="Y149" s="30"/>
      <c r="Z149" s="30"/>
      <c r="AA149" s="32" t="inlineStr">
        <is>
          <t xml:space="preserve">Surplus Lines</t>
        </is>
      </c>
      <c r="AB149" s="35">
        <v>10926.11</v>
      </c>
      <c r="AC149" s="37">
        <v>0</v>
      </c>
      <c r="AD149" s="38">
        <f>IF(ISNUMBER($AB149),$AB149*(1+N($AC149)),"")</f>
      </c>
      <c r="AE149" s="35">
        <v>350</v>
      </c>
      <c r="AF149" s="35">
        <v>250</v>
      </c>
      <c r="AG149" s="37"/>
      <c r="AH149" s="39">
        <f>IF(ISNUMBER($AD149),($AD149+$AE149+$AF149)*$AG149,"")</f>
      </c>
      <c r="AI149" s="35"/>
      <c r="AJ149" s="38">
        <f>IF(ISNUMBER($AD149),SUM($AD149:$AH149),"")</f>
      </c>
      <c r="AK149" s="40">
        <f>IF(AND(ISNUMBER($AB149),ISNUMBER($AD149)),IF($AB149&gt;0,$AD149/$AB149,""),"")</f>
      </c>
      <c r="AL149" s="32" t="inlineStr">
        <is>
          <t xml:space="preserve">At technical</t>
        </is>
      </c>
      <c r="AM149" s="41">
        <f>IF(ISNUMBER($AD149),Header!$I$3,"")</f>
      </c>
      <c r="AN149" s="39">
        <f>IF(ISNUMBER($AD149),$AO149+$AP149,"")</f>
      </c>
      <c r="AO149" s="39">
        <f>IF(ISNUMBER($AD149),ROUND($AD149*Header!$K$3,2),"")</f>
      </c>
      <c r="AP149" s="39">
        <f>IF(ISNUMBER($AD149),ROUND($AD149*Header!$M$3,2),"")</f>
      </c>
      <c r="AQ149" s="38">
        <f>IF(ISNUMBER($AD149),ROUND($AD149,2)-$AO149-$AP149,"")</f>
      </c>
      <c r="AR149" s="39">
        <f>IF(ISNUMBER($AD149),IF(Header!$D$34="","?",$AD149*Header!$D$34),"")</f>
      </c>
      <c r="AS149" s="39">
        <f>IF(ISNUMBER($AB149),IF(Header!$D$34="","?",$AB149*Header!$D$34),"")</f>
      </c>
      <c r="AT149" s="42">
        <f>IF(AND(ISNUMBER($AB149),$M149&gt;0),$AB149/$M149*100,"")</f>
      </c>
      <c r="AU149" s="42">
        <f>IF(AND(ISNUMBER($AD149),$M149&gt;0),$AD149/$M149*100,"")</f>
      </c>
      <c r="AV149" s="40">
        <f>IF(AND(ISNUMBER($AB149),ISNUMBER($AD149),ABS($AB149)&gt;0),$AD149/$AB149,"")</f>
      </c>
      <c r="AW149" s="39">
        <f>IF(ISNUMBER($AD149),MAX(0,(1-0.55-Header!$O$3)*Header!$Q$3*$AQ149),"")</f>
      </c>
      <c r="AX149" s="43">
        <f>IF($A149="","",IF(TRIM(IF($A149="","Missing certificate ref. ","") &amp; IF($C149="","Missing effective date. ","") &amp; IF($D149="","Missing binding status. ","") &amp; IF($E149="","Missing movement type. ","") &amp; IF($I149="","Missing make. ","") &amp; IF($L149="","Missing vehicle class. ","") &amp; IF($M149="","Missing agreed value. ","") &amp; IF($N149="","Missing policy type. ","") &amp; IF($Q149="","Missing garaging state. ","") &amp; IF($R149="","Missing garaging ZIP. ","") &amp; IF($S149="","Missing cat zone. ","") &amp; IF($V149="","Missing valuation basis. ","") &amp; IF($W149="","Missing PD deductible. ","") &amp; IF($X149="","Missing liability limit. ","") &amp; IF($AB149="","Missing technical premium. ","") &amp; IF($AF149="","Missing surplus lines tax %. ",""))="","PASS","FAIL: "&amp;TRIM(IF($A149="","Missing certificate ref. ","") &amp; IF($C149="","Missing effective date. ","") &amp; IF($D149="","Missing binding status. ","") &amp; IF($E149="","Missing movement type. ","") &amp; IF($I149="","Missing make. ","") &amp; IF($L149="","Missing vehicle class. ","") &amp; IF($M149="","Missing agreed value. ","") &amp; IF($N149="","Missing policy type. ","") &amp; IF($Q149="","Missing garaging state. ","") &amp; IF($R149="","Missing garaging ZIP. ","") &amp; IF($S149="","Missing cat zone. ","") &amp; IF($V149="","Missing valuation basis. ","") &amp; IF($W149="","Missing PD deductible. ","") &amp; IF($X149="","Missing liability limit. ","") &amp; IF($AB149="","Missing technical premium. ","") &amp; IF($AF149="","Missing surplus lines tax %. ",""))))</f>
      </c>
      <c r="AY149" s="44">
        <f>IF($M149="","",IF(ISNUMBER($M149),IF($M149&gt;=Header!$C$18,"YES — refer","No"),""))</f>
      </c>
      <c r="AZ149" s="44">
        <f>IF($AD149="","",IF(ISNUMBER($AD149),IF($AD149&lt;Header!$C$20,"BELOW MIN PREMIUM","OK"),""))</f>
      </c>
      <c r="BA149" s="32" t="inlineStr">
        <is>
          <t xml:space="preserve">Yes</t>
        </is>
      </c>
      <c r="BB149" s="32" t="inlineStr">
        <is>
          <t xml:space="preserve">Yes</t>
        </is>
      </c>
      <c r="BC149" s="30" t="inlineStr">
        <is>
          <t xml:space="preserve">Synthetic demo data</t>
        </is>
      </c>
      <c r="BE149" s="45">
        <f>IF(OR($A149="",$L149="",$H149=""),"",IF(AND(LEFT($L149,2)="06",$H149&gt;1945),"FAIL - pre-war class, year "&amp;$H149,IF(AND(LEFT($L149,2)="07",OR($H149&lt;1946,$H149&gt;1972)),"FAIL - 1946-72 class, year "&amp;$H149,IF(AND(LEFT($L149,2)="08",OR($H149&lt;1973,$H149&gt;1999)),"FAIL - 1973-99 class, year "&amp;$H149,IF(AND(LEFT($L149,2)="09",OR($H149&lt;2000,$H149&gt;2010)),"FAIL - 2000-10 class, year "&amp;$H149,"OK")))))</f>
      </c>
      <c r="BF149" s="45">
        <f>IF($AD149="","",IF(ROUND($AO149+$AP149+$AQ149-$AD149,2)=0,"OK","FAIL - out by "&amp;TEXT($AO149+$AP149+$AQ149-$AD149,"$0.00")))</f>
      </c>
    </row>
    <row r="150" spans="1:58" ht="18.75" customHeight="1" x14ac:dyDescent="0.25">
      <c r="A150" s="46" t="inlineStr">
        <is>
          <t xml:space="preserve">CANON-202511-002362</t>
        </is>
      </c>
      <c r="B150" s="46" t="inlineStr">
        <is>
          <t xml:space="preserve">Lorenzo Ashcombe</t>
        </is>
      </c>
      <c r="C150" s="47">
        <v>45983</v>
      </c>
      <c r="D150" s="48" t="inlineStr">
        <is>
          <t xml:space="preserve">Bound - within authority</t>
        </is>
      </c>
      <c r="E150" s="48" t="inlineStr">
        <is>
          <t xml:space="preserve">New business</t>
        </is>
      </c>
      <c r="F150" s="46" t="inlineStr">
        <is>
          <t xml:space="preserve">B1234EXOTIC26</t>
        </is>
      </c>
      <c r="G150" s="33">
        <f>IF($A150="","",IF($C150="","",YEAR($C150)))</f>
      </c>
      <c r="H150" s="49">
        <v>2002</v>
      </c>
      <c r="I150" s="46" t="inlineStr">
        <is>
          <t xml:space="preserve">Bentley</t>
        </is>
      </c>
      <c r="J150" s="46" t="inlineStr">
        <is>
          <t xml:space="preserve">Continental GT</t>
        </is>
      </c>
      <c r="K150" s="46" t="inlineStr">
        <is>
          <t xml:space="preserve">LK66U93U1Z2LL9FST</t>
        </is>
      </c>
      <c r="L150" s="48" t="inlineStr">
        <is>
          <t xml:space="preserve">02 - Sports / GT</t>
        </is>
      </c>
      <c r="M150" s="50">
        <v>855000</v>
      </c>
      <c r="N150" s="48" t="inlineStr">
        <is>
          <t xml:space="preserve">Personal</t>
        </is>
      </c>
      <c r="O150" s="46" t="inlineStr">
        <is>
          <t xml:space="preserve">Personal - regular use</t>
        </is>
      </c>
      <c r="P150" s="46" t="inlineStr">
        <is>
          <t xml:space="preserve">1,000 - 2,500</t>
        </is>
      </c>
      <c r="Q150" s="46" t="inlineStr">
        <is>
          <t xml:space="preserve">Pennsylvania</t>
        </is>
      </c>
      <c r="R150" s="46" t="inlineStr">
        <is>
          <t xml:space="preserve">19103</t>
        </is>
      </c>
      <c r="S150" s="48" t="inlineStr">
        <is>
          <t xml:space="preserve">Low hazard - inland benign</t>
        </is>
      </c>
      <c r="T150" s="36">
        <f>IF($A150="","",IF($S150="","",IFERROR(INDEX('[1]natural catastrophe'!$D$6:$D$17,MATCH($S150,'[1]natural catastrophe'!$B$6:$B$17,0)),"?")))</f>
      </c>
      <c r="U150" s="46" t="inlineStr">
        <is>
          <t xml:space="preserve">$5,000</t>
        </is>
      </c>
      <c r="V150" s="48" t="inlineStr">
        <is>
          <t xml:space="preserve">Agreed Value</t>
        </is>
      </c>
      <c r="W150" s="46" t="inlineStr">
        <is>
          <t xml:space="preserve">$1,000</t>
        </is>
      </c>
      <c r="X150" s="48" t="inlineStr">
        <is>
          <t xml:space="preserve">$1,000,000 CSL</t>
        </is>
      </c>
      <c r="Y150" s="46"/>
      <c r="Z150" s="46"/>
      <c r="AA150" s="48" t="inlineStr">
        <is>
          <t xml:space="preserve">Surplus Lines</t>
        </is>
      </c>
      <c r="AB150" s="50">
        <v>9640.69</v>
      </c>
      <c r="AC150" s="51">
        <v>0</v>
      </c>
      <c r="AD150" s="38">
        <f>IF(ISNUMBER($AB150),$AB150*(1+N($AC150)),"")</f>
      </c>
      <c r="AE150" s="50">
        <v>350</v>
      </c>
      <c r="AF150" s="50">
        <v>0</v>
      </c>
      <c r="AG150" s="51"/>
      <c r="AH150" s="39">
        <f>IF(ISNUMBER($AD150),($AD150+$AE150+$AF150)*$AG150,"")</f>
      </c>
      <c r="AI150" s="50"/>
      <c r="AJ150" s="38">
        <f>IF(ISNUMBER($AD150),SUM($AD150:$AH150),"")</f>
      </c>
      <c r="AK150" s="40">
        <f>IF(AND(ISNUMBER($AB150),ISNUMBER($AD150)),IF($AB150&gt;0,$AD150/$AB150,""),"")</f>
      </c>
      <c r="AL150" s="48" t="inlineStr">
        <is>
          <t xml:space="preserve">At technical</t>
        </is>
      </c>
      <c r="AM150" s="41">
        <f>IF(ISNUMBER($AD150),Header!$I$3,"")</f>
      </c>
      <c r="AN150" s="39">
        <f>IF(ISNUMBER($AD150),$AO150+$AP150,"")</f>
      </c>
      <c r="AO150" s="39">
        <f>IF(ISNUMBER($AD150),ROUND($AD150*Header!$K$3,2),"")</f>
      </c>
      <c r="AP150" s="39">
        <f>IF(ISNUMBER($AD150),ROUND($AD150*Header!$M$3,2),"")</f>
      </c>
      <c r="AQ150" s="38">
        <f>IF(ISNUMBER($AD150),ROUND($AD150,2)-$AO150-$AP150,"")</f>
      </c>
      <c r="AR150" s="39">
        <f>IF(ISNUMBER($AD150),IF(Header!$D$34="","?",$AD150*Header!$D$34),"")</f>
      </c>
      <c r="AS150" s="39">
        <f>IF(ISNUMBER($AB150),IF(Header!$D$34="","?",$AB150*Header!$D$34),"")</f>
      </c>
      <c r="AT150" s="42">
        <f>IF(AND(ISNUMBER($AB150),$M150&gt;0),$AB150/$M150*100,"")</f>
      </c>
      <c r="AU150" s="42">
        <f>IF(AND(ISNUMBER($AD150),$M150&gt;0),$AD150/$M150*100,"")</f>
      </c>
      <c r="AV150" s="40">
        <f>IF(AND(ISNUMBER($AB150),ISNUMBER($AD150),ABS($AB150)&gt;0),$AD150/$AB150,"")</f>
      </c>
      <c r="AW150" s="39">
        <f>IF(ISNUMBER($AD150),MAX(0,(1-0.55-Header!$O$3)*Header!$Q$3*$AQ150),"")</f>
      </c>
      <c r="AX150" s="43">
        <f>IF($A150="","",IF(TRIM(IF($A150="","Missing certificate ref. ","") &amp; IF($C150="","Missing effective date. ","") &amp; IF($D150="","Missing binding status. ","") &amp; IF($E150="","Missing movement type. ","") &amp; IF($I150="","Missing make. ","") &amp; IF($L150="","Missing vehicle class. ","") &amp; IF($M150="","Missing agreed value. ","") &amp; IF($N150="","Missing policy type. ","") &amp; IF($Q150="","Missing garaging state. ","") &amp; IF($R150="","Missing garaging ZIP. ","") &amp; IF($S150="","Missing cat zone. ","") &amp; IF($V150="","Missing valuation basis. ","") &amp; IF($W150="","Missing PD deductible. ","") &amp; IF($X150="","Missing liability limit. ","") &amp; IF($AB150="","Missing technical premium. ","") &amp; IF($AF150="","Missing surplus lines tax %. ",""))="","PASS","FAIL: "&amp;TRIM(IF($A150="","Missing certificate ref. ","") &amp; IF($C150="","Missing effective date. ","") &amp; IF($D150="","Missing binding status. ","") &amp; IF($E150="","Missing movement type. ","") &amp; IF($I150="","Missing make. ","") &amp; IF($L150="","Missing vehicle class. ","") &amp; IF($M150="","Missing agreed value. ","") &amp; IF($N150="","Missing policy type. ","") &amp; IF($Q150="","Missing garaging state. ","") &amp; IF($R150="","Missing garaging ZIP. ","") &amp; IF($S150="","Missing cat zone. ","") &amp; IF($V150="","Missing valuation basis. ","") &amp; IF($W150="","Missing PD deductible. ","") &amp; IF($X150="","Missing liability limit. ","") &amp; IF($AB150="","Missing technical premium. ","") &amp; IF($AF150="","Missing surplus lines tax %. ",""))))</f>
      </c>
      <c r="AY150" s="44">
        <f>IF($M150="","",IF(ISNUMBER($M150),IF($M150&gt;=Header!$C$18,"YES — refer","No"),""))</f>
      </c>
      <c r="AZ150" s="44">
        <f>IF($AD150="","",IF(ISNUMBER($AD150),IF($AD150&lt;Header!$C$20,"BELOW MIN PREMIUM","OK"),""))</f>
      </c>
      <c r="BA150" s="48" t="inlineStr">
        <is>
          <t xml:space="preserve">Yes</t>
        </is>
      </c>
      <c r="BB150" s="48" t="inlineStr">
        <is>
          <t xml:space="preserve">Yes</t>
        </is>
      </c>
      <c r="BC150" s="46" t="inlineStr">
        <is>
          <t xml:space="preserve">Synthetic demo data</t>
        </is>
      </c>
      <c r="BE150" s="45">
        <f>IF(OR($A150="",$L150="",$H150=""),"",IF(AND(LEFT($L150,2)="06",$H150&gt;1945),"FAIL - pre-war class, year "&amp;$H150,IF(AND(LEFT($L150,2)="07",OR($H150&lt;1946,$H150&gt;1972)),"FAIL - 1946-72 class, year "&amp;$H150,IF(AND(LEFT($L150,2)="08",OR($H150&lt;1973,$H150&gt;1999)),"FAIL - 1973-99 class, year "&amp;$H150,IF(AND(LEFT($L150,2)="09",OR($H150&lt;2000,$H150&gt;2010)),"FAIL - 2000-10 class, year "&amp;$H150,"OK")))))</f>
      </c>
      <c r="BF150" s="45">
        <f>IF($AD150="","",IF(ROUND($AO150+$AP150+$AQ150-$AD150,2)=0,"OK","FAIL - out by "&amp;TEXT($AO150+$AP150+$AQ150-$AD150,"$0.00")))</f>
      </c>
    </row>
    <row r="151" spans="1:58" ht="18.75" customHeight="1" x14ac:dyDescent="0.25">
      <c r="A151" s="30" t="inlineStr">
        <is>
          <t xml:space="preserve">CANON-202511-002363</t>
        </is>
      </c>
      <c r="B151" s="30" t="inlineStr">
        <is>
          <t xml:space="preserve">Saoirse Vasquez</t>
        </is>
      </c>
      <c r="C151" s="31">
        <v>45983</v>
      </c>
      <c r="D151" s="32" t="inlineStr">
        <is>
          <t xml:space="preserve">Bound - within authority</t>
        </is>
      </c>
      <c r="E151" s="32" t="inlineStr">
        <is>
          <t xml:space="preserve">New business</t>
        </is>
      </c>
      <c r="F151" s="30" t="inlineStr">
        <is>
          <t xml:space="preserve">B1234EXOTIC26</t>
        </is>
      </c>
      <c r="G151" s="33">
        <f>IF($A151="","",IF($C151="","",YEAR($C151)))</f>
      </c>
      <c r="H151" s="34">
        <v>2023</v>
      </c>
      <c r="I151" s="30" t="inlineStr">
        <is>
          <t xml:space="preserve">Maserati</t>
        </is>
      </c>
      <c r="J151" s="30" t="inlineStr">
        <is>
          <t xml:space="preserve">GranTurismo</t>
        </is>
      </c>
      <c r="K151" s="30" t="inlineStr">
        <is>
          <t xml:space="preserve">HML579URS7LDG7YGP</t>
        </is>
      </c>
      <c r="L151" s="32" t="inlineStr">
        <is>
          <t xml:space="preserve">02 - Sports / GT</t>
        </is>
      </c>
      <c r="M151" s="35">
        <v>800000</v>
      </c>
      <c r="N151" s="32" t="inlineStr">
        <is>
          <t xml:space="preserve">Personal</t>
        </is>
      </c>
      <c r="O151" s="30" t="inlineStr">
        <is>
          <t xml:space="preserve">Personal - regular use</t>
        </is>
      </c>
      <c r="P151" s="30" t="inlineStr">
        <is>
          <t xml:space="preserve">Under 1,000</t>
        </is>
      </c>
      <c r="Q151" s="30" t="inlineStr">
        <is>
          <t xml:space="preserve">Nevada</t>
        </is>
      </c>
      <c r="R151" s="30" t="inlineStr">
        <is>
          <t xml:space="preserve">89101</t>
        </is>
      </c>
      <c r="S151" s="32" t="inlineStr">
        <is>
          <t xml:space="preserve">Wildfire - WUI high hazard</t>
        </is>
      </c>
      <c r="T151" s="36">
        <f>IF($A151="","",IF($S151="","",IFERROR(INDEX('[1]natural catastrophe'!$D$6:$D$17,MATCH($S151,'[1]natural catastrophe'!$B$6:$B$17,0)),"?")))</f>
      </c>
      <c r="U151" s="30" t="inlineStr">
        <is>
          <t xml:space="preserve">$5,000</t>
        </is>
      </c>
      <c r="V151" s="32" t="inlineStr">
        <is>
          <t xml:space="preserve">Agreed Value</t>
        </is>
      </c>
      <c r="W151" s="30" t="inlineStr">
        <is>
          <t xml:space="preserve">$1,000</t>
        </is>
      </c>
      <c r="X151" s="32" t="inlineStr">
        <is>
          <t xml:space="preserve">$1,000,000 CSL</t>
        </is>
      </c>
      <c r="Y151" s="30"/>
      <c r="Z151" s="30"/>
      <c r="AA151" s="32" t="inlineStr">
        <is>
          <t xml:space="preserve">Surplus Lines</t>
        </is>
      </c>
      <c r="AB151" s="35">
        <v>10554.02</v>
      </c>
      <c r="AC151" s="37">
        <v>0</v>
      </c>
      <c r="AD151" s="38">
        <f>IF(ISNUMBER($AB151),$AB151*(1+N($AC151)),"")</f>
      </c>
      <c r="AE151" s="35">
        <v>350</v>
      </c>
      <c r="AF151" s="35">
        <v>0</v>
      </c>
      <c r="AG151" s="37"/>
      <c r="AH151" s="39">
        <f>IF(ISNUMBER($AD151),($AD151+$AE151+$AF151)*$AG151,"")</f>
      </c>
      <c r="AI151" s="35"/>
      <c r="AJ151" s="38">
        <f>IF(ISNUMBER($AD151),SUM($AD151:$AH151),"")</f>
      </c>
      <c r="AK151" s="40">
        <f>IF(AND(ISNUMBER($AB151),ISNUMBER($AD151)),IF($AB151&gt;0,$AD151/$AB151,""),"")</f>
      </c>
      <c r="AL151" s="32" t="inlineStr">
        <is>
          <t xml:space="preserve">At technical</t>
        </is>
      </c>
      <c r="AM151" s="41">
        <f>IF(ISNUMBER($AD151),Header!$I$3,"")</f>
      </c>
      <c r="AN151" s="39">
        <f>IF(ISNUMBER($AD151),$AO151+$AP151,"")</f>
      </c>
      <c r="AO151" s="39">
        <f>IF(ISNUMBER($AD151),ROUND($AD151*Header!$K$3,2),"")</f>
      </c>
      <c r="AP151" s="39">
        <f>IF(ISNUMBER($AD151),ROUND($AD151*Header!$M$3,2),"")</f>
      </c>
      <c r="AQ151" s="38">
        <f>IF(ISNUMBER($AD151),ROUND($AD151,2)-$AO151-$AP151,"")</f>
      </c>
      <c r="AR151" s="39">
        <f>IF(ISNUMBER($AD151),IF(Header!$D$34="","?",$AD151*Header!$D$34),"")</f>
      </c>
      <c r="AS151" s="39">
        <f>IF(ISNUMBER($AB151),IF(Header!$D$34="","?",$AB151*Header!$D$34),"")</f>
      </c>
      <c r="AT151" s="42">
        <f>IF(AND(ISNUMBER($AB151),$M151&gt;0),$AB151/$M151*100,"")</f>
      </c>
      <c r="AU151" s="42">
        <f>IF(AND(ISNUMBER($AD151),$M151&gt;0),$AD151/$M151*100,"")</f>
      </c>
      <c r="AV151" s="40">
        <f>IF(AND(ISNUMBER($AB151),ISNUMBER($AD151),ABS($AB151)&gt;0),$AD151/$AB151,"")</f>
      </c>
      <c r="AW151" s="39">
        <f>IF(ISNUMBER($AD151),MAX(0,(1-0.55-Header!$O$3)*Header!$Q$3*$AQ151),"")</f>
      </c>
      <c r="AX151" s="43">
        <f>IF($A151="","",IF(TRIM(IF($A151="","Missing certificate ref. ","") &amp; IF($C151="","Missing effective date. ","") &amp; IF($D151="","Missing binding status. ","") &amp; IF($E151="","Missing movement type. ","") &amp; IF($I151="","Missing make. ","") &amp; IF($L151="","Missing vehicle class. ","") &amp; IF($M151="","Missing agreed value. ","") &amp; IF($N151="","Missing policy type. ","") &amp; IF($Q151="","Missing garaging state. ","") &amp; IF($R151="","Missing garaging ZIP. ","") &amp; IF($S151="","Missing cat zone. ","") &amp; IF($V151="","Missing valuation basis. ","") &amp; IF($W151="","Missing PD deductible. ","") &amp; IF($X151="","Missing liability limit. ","") &amp; IF($AB151="","Missing technical premium. ","") &amp; IF($AF151="","Missing surplus lines tax %. ",""))="","PASS","FAIL: "&amp;TRIM(IF($A151="","Missing certificate ref. ","") &amp; IF($C151="","Missing effective date. ","") &amp; IF($D151="","Missing binding status. ","") &amp; IF($E151="","Missing movement type. ","") &amp; IF($I151="","Missing make. ","") &amp; IF($L151="","Missing vehicle class. ","") &amp; IF($M151="","Missing agreed value. ","") &amp; IF($N151="","Missing policy type. ","") &amp; IF($Q151="","Missing garaging state. ","") &amp; IF($R151="","Missing garaging ZIP. ","") &amp; IF($S151="","Missing cat zone. ","") &amp; IF($V151="","Missing valuation basis. ","") &amp; IF($W151="","Missing PD deductible. ","") &amp; IF($X151="","Missing liability limit. ","") &amp; IF($AB151="","Missing technical premium. ","") &amp; IF($AF151="","Missing surplus lines tax %. ",""))))</f>
      </c>
      <c r="AY151" s="44">
        <f>IF($M151="","",IF(ISNUMBER($M151),IF($M151&gt;=Header!$C$18,"YES — refer","No"),""))</f>
      </c>
      <c r="AZ151" s="44">
        <f>IF($AD151="","",IF(ISNUMBER($AD151),IF($AD151&lt;Header!$C$20,"BELOW MIN PREMIUM","OK"),""))</f>
      </c>
      <c r="BA151" s="32" t="inlineStr">
        <is>
          <t xml:space="preserve">Yes</t>
        </is>
      </c>
      <c r="BB151" s="32" t="inlineStr">
        <is>
          <t xml:space="preserve">Yes</t>
        </is>
      </c>
      <c r="BC151" s="30" t="inlineStr">
        <is>
          <t xml:space="preserve">Synthetic demo data</t>
        </is>
      </c>
      <c r="BE151" s="45">
        <f>IF(OR($A151="",$L151="",$H151=""),"",IF(AND(LEFT($L151,2)="06",$H151&gt;1945),"FAIL - pre-war class, year "&amp;$H151,IF(AND(LEFT($L151,2)="07",OR($H151&lt;1946,$H151&gt;1972)),"FAIL - 1946-72 class, year "&amp;$H151,IF(AND(LEFT($L151,2)="08",OR($H151&lt;1973,$H151&gt;1999)),"FAIL - 1973-99 class, year "&amp;$H151,IF(AND(LEFT($L151,2)="09",OR($H151&lt;2000,$H151&gt;2010)),"FAIL - 2000-10 class, year "&amp;$H151,"OK")))))</f>
      </c>
      <c r="BF151" s="45">
        <f>IF($AD151="","",IF(ROUND($AO151+$AP151+$AQ151-$AD151,2)=0,"OK","FAIL - out by "&amp;TEXT($AO151+$AP151+$AQ151-$AD151,"$0.00")))</f>
      </c>
    </row>
    <row r="152" spans="1:58" ht="18.75" customHeight="1" x14ac:dyDescent="0.25">
      <c r="A152" s="46" t="inlineStr">
        <is>
          <t xml:space="preserve">CANON-202511-002364</t>
        </is>
      </c>
      <c r="B152" s="46" t="inlineStr">
        <is>
          <t xml:space="preserve">Thaddeus Harrington</t>
        </is>
      </c>
      <c r="C152" s="47">
        <v>45978</v>
      </c>
      <c r="D152" s="48" t="inlineStr">
        <is>
          <t xml:space="preserve">Bound - within authority</t>
        </is>
      </c>
      <c r="E152" s="48" t="inlineStr">
        <is>
          <t xml:space="preserve">New business</t>
        </is>
      </c>
      <c r="F152" s="46" t="inlineStr">
        <is>
          <t xml:space="preserve">B1234EXOTIC26</t>
        </is>
      </c>
      <c r="G152" s="33">
        <f>IF($A152="","",IF($C152="","",YEAR($C152)))</f>
      </c>
      <c r="H152" s="49">
        <v>1957</v>
      </c>
      <c r="I152" s="46" t="inlineStr">
        <is>
          <t xml:space="preserve">Porsche</t>
        </is>
      </c>
      <c r="J152" s="46" t="inlineStr">
        <is>
          <t xml:space="preserve">911 Turbo S</t>
        </is>
      </c>
      <c r="K152" s="46" t="inlineStr">
        <is>
          <t xml:space="preserve">VTREMUUCBLH3T03YG</t>
        </is>
      </c>
      <c r="L152" s="48" t="inlineStr">
        <is>
          <t xml:space="preserve">02 - Sports / GT</t>
        </is>
      </c>
      <c r="M152" s="50">
        <v>1115000</v>
      </c>
      <c r="N152" s="48" t="inlineStr">
        <is>
          <t xml:space="preserve">Personal</t>
        </is>
      </c>
      <c r="O152" s="46" t="inlineStr">
        <is>
          <t xml:space="preserve">Personal - regular use</t>
        </is>
      </c>
      <c r="P152" s="46" t="inlineStr">
        <is>
          <t xml:space="preserve">2,500 - 5,000</t>
        </is>
      </c>
      <c r="Q152" s="46" t="inlineStr">
        <is>
          <t xml:space="preserve">Nebraska</t>
        </is>
      </c>
      <c r="R152" s="46" t="inlineStr">
        <is>
          <t xml:space="preserve">68102</t>
        </is>
      </c>
      <c r="S152" s="48" t="inlineStr">
        <is>
          <t xml:space="preserve">Severe convective - hail alley (high)</t>
        </is>
      </c>
      <c r="T152" s="36">
        <f>IF($A152="","",IF($S152="","",IFERROR(INDEX('[1]natural catastrophe'!$D$6:$D$17,MATCH($S152,'[1]natural catastrophe'!$B$6:$B$17,0)),"?")))</f>
      </c>
      <c r="U152" s="46" t="inlineStr">
        <is>
          <t xml:space="preserve">$5,000</t>
        </is>
      </c>
      <c r="V152" s="48" t="inlineStr">
        <is>
          <t xml:space="preserve">Agreed Value</t>
        </is>
      </c>
      <c r="W152" s="46" t="inlineStr">
        <is>
          <t xml:space="preserve">$1,000</t>
        </is>
      </c>
      <c r="X152" s="48" t="inlineStr">
        <is>
          <t xml:space="preserve">$1,000,000 CSL</t>
        </is>
      </c>
      <c r="Y152" s="46"/>
      <c r="Z152" s="46"/>
      <c r="AA152" s="48" t="inlineStr">
        <is>
          <t xml:space="preserve">Surplus Lines</t>
        </is>
      </c>
      <c r="AB152" s="50">
        <v>13829.6</v>
      </c>
      <c r="AC152" s="51">
        <v>0</v>
      </c>
      <c r="AD152" s="38">
        <f>IF(ISNUMBER($AB152),$AB152*(1+N($AC152)),"")</f>
      </c>
      <c r="AE152" s="50">
        <v>350</v>
      </c>
      <c r="AF152" s="50">
        <v>250</v>
      </c>
      <c r="AG152" s="51"/>
      <c r="AH152" s="39">
        <f>IF(ISNUMBER($AD152),($AD152+$AE152+$AF152)*$AG152,"")</f>
      </c>
      <c r="AI152" s="50"/>
      <c r="AJ152" s="38">
        <f>IF(ISNUMBER($AD152),SUM($AD152:$AH152),"")</f>
      </c>
      <c r="AK152" s="40">
        <f>IF(AND(ISNUMBER($AB152),ISNUMBER($AD152)),IF($AB152&gt;0,$AD152/$AB152,""),"")</f>
      </c>
      <c r="AL152" s="48" t="inlineStr">
        <is>
          <t xml:space="preserve">At technical</t>
        </is>
      </c>
      <c r="AM152" s="41">
        <f>IF(ISNUMBER($AD152),Header!$I$3,"")</f>
      </c>
      <c r="AN152" s="39">
        <f>IF(ISNUMBER($AD152),$AO152+$AP152,"")</f>
      </c>
      <c r="AO152" s="39">
        <f>IF(ISNUMBER($AD152),ROUND($AD152*Header!$K$3,2),"")</f>
      </c>
      <c r="AP152" s="39">
        <f>IF(ISNUMBER($AD152),ROUND($AD152*Header!$M$3,2),"")</f>
      </c>
      <c r="AQ152" s="38">
        <f>IF(ISNUMBER($AD152),ROUND($AD152,2)-$AO152-$AP152,"")</f>
      </c>
      <c r="AR152" s="39">
        <f>IF(ISNUMBER($AD152),IF(Header!$D$34="","?",$AD152*Header!$D$34),"")</f>
      </c>
      <c r="AS152" s="39">
        <f>IF(ISNUMBER($AB152),IF(Header!$D$34="","?",$AB152*Header!$D$34),"")</f>
      </c>
      <c r="AT152" s="42">
        <f>IF(AND(ISNUMBER($AB152),$M152&gt;0),$AB152/$M152*100,"")</f>
      </c>
      <c r="AU152" s="42">
        <f>IF(AND(ISNUMBER($AD152),$M152&gt;0),$AD152/$M152*100,"")</f>
      </c>
      <c r="AV152" s="40">
        <f>IF(AND(ISNUMBER($AB152),ISNUMBER($AD152),ABS($AB152)&gt;0),$AD152/$AB152,"")</f>
      </c>
      <c r="AW152" s="39">
        <f>IF(ISNUMBER($AD152),MAX(0,(1-0.55-Header!$O$3)*Header!$Q$3*$AQ152),"")</f>
      </c>
      <c r="AX152" s="43">
        <f>IF($A152="","",IF(TRIM(IF($A152="","Missing certificate ref. ","") &amp; IF($C152="","Missing effective date. ","") &amp; IF($D152="","Missing binding status. ","") &amp; IF($E152="","Missing movement type. ","") &amp; IF($I152="","Missing make. ","") &amp; IF($L152="","Missing vehicle class. ","") &amp; IF($M152="","Missing agreed value. ","") &amp; IF($N152="","Missing policy type. ","") &amp; IF($Q152="","Missing garaging state. ","") &amp; IF($R152="","Missing garaging ZIP. ","") &amp; IF($S152="","Missing cat zone. ","") &amp; IF($V152="","Missing valuation basis. ","") &amp; IF($W152="","Missing PD deductible. ","") &amp; IF($X152="","Missing liability limit. ","") &amp; IF($AB152="","Missing technical premium. ","") &amp; IF($AF152="","Missing surplus lines tax %. ",""))="","PASS","FAIL: "&amp;TRIM(IF($A152="","Missing certificate ref. ","") &amp; IF($C152="","Missing effective date. ","") &amp; IF($D152="","Missing binding status. ","") &amp; IF($E152="","Missing movement type. ","") &amp; IF($I152="","Missing make. ","") &amp; IF($L152="","Missing vehicle class. ","") &amp; IF($M152="","Missing agreed value. ","") &amp; IF($N152="","Missing policy type. ","") &amp; IF($Q152="","Missing garaging state. ","") &amp; IF($R152="","Missing garaging ZIP. ","") &amp; IF($S152="","Missing cat zone. ","") &amp; IF($V152="","Missing valuation basis. ","") &amp; IF($W152="","Missing PD deductible. ","") &amp; IF($X152="","Missing liability limit. ","") &amp; IF($AB152="","Missing technical premium. ","") &amp; IF($AF152="","Missing surplus lines tax %. ",""))))</f>
      </c>
      <c r="AY152" s="44">
        <f>IF($M152="","",IF(ISNUMBER($M152),IF($M152&gt;=Header!$C$18,"YES — refer","No"),""))</f>
      </c>
      <c r="AZ152" s="44">
        <f>IF($AD152="","",IF(ISNUMBER($AD152),IF($AD152&lt;Header!$C$20,"BELOW MIN PREMIUM","OK"),""))</f>
      </c>
      <c r="BA152" s="48" t="inlineStr">
        <is>
          <t xml:space="preserve">Yes</t>
        </is>
      </c>
      <c r="BB152" s="48" t="inlineStr">
        <is>
          <t xml:space="preserve">Yes</t>
        </is>
      </c>
      <c r="BC152" s="46" t="inlineStr">
        <is>
          <t xml:space="preserve">Synthetic demo data</t>
        </is>
      </c>
      <c r="BE152" s="45">
        <f>IF(OR($A152="",$L152="",$H152=""),"",IF(AND(LEFT($L152,2)="06",$H152&gt;1945),"FAIL - pre-war class, year "&amp;$H152,IF(AND(LEFT($L152,2)="07",OR($H152&lt;1946,$H152&gt;1972)),"FAIL - 1946-72 class, year "&amp;$H152,IF(AND(LEFT($L152,2)="08",OR($H152&lt;1973,$H152&gt;1999)),"FAIL - 1973-99 class, year "&amp;$H152,IF(AND(LEFT($L152,2)="09",OR($H152&lt;2000,$H152&gt;2010)),"FAIL - 2000-10 class, year "&amp;$H152,"OK")))))</f>
      </c>
      <c r="BF152" s="45">
        <f>IF($AD152="","",IF(ROUND($AO152+$AP152+$AQ152-$AD152,2)=0,"OK","FAIL - out by "&amp;TEXT($AO152+$AP152+$AQ152-$AD152,"$0.00")))</f>
      </c>
    </row>
    <row r="153" spans="1:58" ht="18.75" customHeight="1" x14ac:dyDescent="0.25">
      <c r="A153" s="30" t="inlineStr">
        <is>
          <t xml:space="preserve">CANON-202511-002365</t>
        </is>
      </c>
      <c r="B153" s="30" t="inlineStr">
        <is>
          <t xml:space="preserve">Noor Thistlewood</t>
        </is>
      </c>
      <c r="C153" s="31">
        <v>45967</v>
      </c>
      <c r="D153" s="32" t="inlineStr">
        <is>
          <t xml:space="preserve">Bound - within authority</t>
        </is>
      </c>
      <c r="E153" s="32" t="inlineStr">
        <is>
          <t xml:space="preserve">New business</t>
        </is>
      </c>
      <c r="F153" s="30" t="inlineStr">
        <is>
          <t xml:space="preserve">B1234EXOTIC26</t>
        </is>
      </c>
      <c r="G153" s="33">
        <f>IF($A153="","",IF($C153="","",YEAR($C153)))</f>
      </c>
      <c r="H153" s="34">
        <v>1976</v>
      </c>
      <c r="I153" s="30" t="inlineStr">
        <is>
          <t xml:space="preserve">Mercedes-Benz</t>
        </is>
      </c>
      <c r="J153" s="30" t="inlineStr">
        <is>
          <t xml:space="preserve">AMG GT</t>
        </is>
      </c>
      <c r="K153" s="30" t="inlineStr">
        <is>
          <t xml:space="preserve">WMEMAJVHNSFWJEYL2</t>
        </is>
      </c>
      <c r="L153" s="32" t="inlineStr">
        <is>
          <t xml:space="preserve">02 - Sports / GT</t>
        </is>
      </c>
      <c r="M153" s="35">
        <v>450000</v>
      </c>
      <c r="N153" s="32" t="inlineStr">
        <is>
          <t xml:space="preserve">Personal</t>
        </is>
      </c>
      <c r="O153" s="30" t="inlineStr">
        <is>
          <t xml:space="preserve">Personal - regular use</t>
        </is>
      </c>
      <c r="P153" s="30" t="inlineStr">
        <is>
          <t xml:space="preserve">1,000 - 2,500</t>
        </is>
      </c>
      <c r="Q153" s="30" t="inlineStr">
        <is>
          <t xml:space="preserve">Kansas</t>
        </is>
      </c>
      <c r="R153" s="30" t="inlineStr">
        <is>
          <t xml:space="preserve">66603</t>
        </is>
      </c>
      <c r="S153" s="32" t="inlineStr">
        <is>
          <t xml:space="preserve">Severe convective - hail alley (high)</t>
        </is>
      </c>
      <c r="T153" s="36">
        <f>IF($A153="","",IF($S153="","",IFERROR(INDEX('[1]natural catastrophe'!$D$6:$D$17,MATCH($S153,'[1]natural catastrophe'!$B$6:$B$17,0)),"?")))</f>
      </c>
      <c r="U153" s="30" t="inlineStr">
        <is>
          <t xml:space="preserve">$5,000</t>
        </is>
      </c>
      <c r="V153" s="32" t="inlineStr">
        <is>
          <t xml:space="preserve">Agreed Value</t>
        </is>
      </c>
      <c r="W153" s="30" t="inlineStr">
        <is>
          <t xml:space="preserve">$1,000</t>
        </is>
      </c>
      <c r="X153" s="32" t="inlineStr">
        <is>
          <t xml:space="preserve">$1,000,000 CSL</t>
        </is>
      </c>
      <c r="Y153" s="30"/>
      <c r="Z153" s="30"/>
      <c r="AA153" s="32" t="inlineStr">
        <is>
          <t xml:space="preserve">Surplus Lines</t>
        </is>
      </c>
      <c r="AB153" s="35">
        <v>5679.03</v>
      </c>
      <c r="AC153" s="37">
        <v>0</v>
      </c>
      <c r="AD153" s="38">
        <f>IF(ISNUMBER($AB153),$AB153*(1+N($AC153)),"")</f>
      </c>
      <c r="AE153" s="35">
        <v>350</v>
      </c>
      <c r="AF153" s="35">
        <v>0</v>
      </c>
      <c r="AG153" s="37"/>
      <c r="AH153" s="39">
        <f>IF(ISNUMBER($AD153),($AD153+$AE153+$AF153)*$AG153,"")</f>
      </c>
      <c r="AI153" s="35"/>
      <c r="AJ153" s="38">
        <f>IF(ISNUMBER($AD153),SUM($AD153:$AH153),"")</f>
      </c>
      <c r="AK153" s="40">
        <f>IF(AND(ISNUMBER($AB153),ISNUMBER($AD153)),IF($AB153&gt;0,$AD153/$AB153,""),"")</f>
      </c>
      <c r="AL153" s="32" t="inlineStr">
        <is>
          <t xml:space="preserve">At technical</t>
        </is>
      </c>
      <c r="AM153" s="41">
        <f>IF(ISNUMBER($AD153),Header!$I$3,"")</f>
      </c>
      <c r="AN153" s="39">
        <f>IF(ISNUMBER($AD153),$AO153+$AP153,"")</f>
      </c>
      <c r="AO153" s="39">
        <f>IF(ISNUMBER($AD153),ROUND($AD153*Header!$K$3,2),"")</f>
      </c>
      <c r="AP153" s="39">
        <f>IF(ISNUMBER($AD153),ROUND($AD153*Header!$M$3,2),"")</f>
      </c>
      <c r="AQ153" s="38">
        <f>IF(ISNUMBER($AD153),ROUND($AD153,2)-$AO153-$AP153,"")</f>
      </c>
      <c r="AR153" s="39">
        <f>IF(ISNUMBER($AD153),IF(Header!$D$34="","?",$AD153*Header!$D$34),"")</f>
      </c>
      <c r="AS153" s="39">
        <f>IF(ISNUMBER($AB153),IF(Header!$D$34="","?",$AB153*Header!$D$34),"")</f>
      </c>
      <c r="AT153" s="42">
        <f>IF(AND(ISNUMBER($AB153),$M153&gt;0),$AB153/$M153*100,"")</f>
      </c>
      <c r="AU153" s="42">
        <f>IF(AND(ISNUMBER($AD153),$M153&gt;0),$AD153/$M153*100,"")</f>
      </c>
      <c r="AV153" s="40">
        <f>IF(AND(ISNUMBER($AB153),ISNUMBER($AD153),ABS($AB153)&gt;0),$AD153/$AB153,"")</f>
      </c>
      <c r="AW153" s="39">
        <f>IF(ISNUMBER($AD153),MAX(0,(1-0.55-Header!$O$3)*Header!$Q$3*$AQ153),"")</f>
      </c>
      <c r="AX153" s="43">
        <f>IF($A153="","",IF(TRIM(IF($A153="","Missing certificate ref. ","") &amp; IF($C153="","Missing effective date. ","") &amp; IF($D153="","Missing binding status. ","") &amp; IF($E153="","Missing movement type. ","") &amp; IF($I153="","Missing make. ","") &amp; IF($L153="","Missing vehicle class. ","") &amp; IF($M153="","Missing agreed value. ","") &amp; IF($N153="","Missing policy type. ","") &amp; IF($Q153="","Missing garaging state. ","") &amp; IF($R153="","Missing garaging ZIP. ","") &amp; IF($S153="","Missing cat zone. ","") &amp; IF($V153="","Missing valuation basis. ","") &amp; IF($W153="","Missing PD deductible. ","") &amp; IF($X153="","Missing liability limit. ","") &amp; IF($AB153="","Missing technical premium. ","") &amp; IF($AF153="","Missing surplus lines tax %. ",""))="","PASS","FAIL: "&amp;TRIM(IF($A153="","Missing certificate ref. ","") &amp; IF($C153="","Missing effective date. ","") &amp; IF($D153="","Missing binding status. ","") &amp; IF($E153="","Missing movement type. ","") &amp; IF($I153="","Missing make. ","") &amp; IF($L153="","Missing vehicle class. ","") &amp; IF($M153="","Missing agreed value. ","") &amp; IF($N153="","Missing policy type. ","") &amp; IF($Q153="","Missing garaging state. ","") &amp; IF($R153="","Missing garaging ZIP. ","") &amp; IF($S153="","Missing cat zone. ","") &amp; IF($V153="","Missing valuation basis. ","") &amp; IF($W153="","Missing PD deductible. ","") &amp; IF($X153="","Missing liability limit. ","") &amp; IF($AB153="","Missing technical premium. ","") &amp; IF($AF153="","Missing surplus lines tax %. ",""))))</f>
      </c>
      <c r="AY153" s="44">
        <f>IF($M153="","",IF(ISNUMBER($M153),IF($M153&gt;=Header!$C$18,"YES — refer","No"),""))</f>
      </c>
      <c r="AZ153" s="44">
        <f>IF($AD153="","",IF(ISNUMBER($AD153),IF($AD153&lt;Header!$C$20,"BELOW MIN PREMIUM","OK"),""))</f>
      </c>
      <c r="BA153" s="32" t="inlineStr">
        <is>
          <t xml:space="preserve">Yes</t>
        </is>
      </c>
      <c r="BB153" s="32" t="inlineStr">
        <is>
          <t xml:space="preserve">Yes</t>
        </is>
      </c>
      <c r="BC153" s="30" t="inlineStr">
        <is>
          <t xml:space="preserve">Synthetic demo data</t>
        </is>
      </c>
      <c r="BE153" s="45">
        <f>IF(OR($A153="",$L153="",$H153=""),"",IF(AND(LEFT($L153,2)="06",$H153&gt;1945),"FAIL - pre-war class, year "&amp;$H153,IF(AND(LEFT($L153,2)="07",OR($H153&lt;1946,$H153&gt;1972)),"FAIL - 1946-72 class, year "&amp;$H153,IF(AND(LEFT($L153,2)="08",OR($H153&lt;1973,$H153&gt;1999)),"FAIL - 1973-99 class, year "&amp;$H153,IF(AND(LEFT($L153,2)="09",OR($H153&lt;2000,$H153&gt;2010)),"FAIL - 2000-10 class, year "&amp;$H153,"OK")))))</f>
      </c>
      <c r="BF153" s="45">
        <f>IF($AD153="","",IF(ROUND($AO153+$AP153+$AQ153-$AD153,2)=0,"OK","FAIL - out by "&amp;TEXT($AO153+$AP153+$AQ153-$AD153,"$0.00")))</f>
      </c>
    </row>
    <row r="154" spans="1:58" ht="18.75" customHeight="1" x14ac:dyDescent="0.25">
      <c r="A154" s="46" t="inlineStr">
        <is>
          <t xml:space="preserve">CANON-202511-002366</t>
        </is>
      </c>
      <c r="B154" s="46" t="inlineStr">
        <is>
          <t xml:space="preserve">Marisol Delacroix</t>
        </is>
      </c>
      <c r="C154" s="47">
        <v>45988</v>
      </c>
      <c r="D154" s="48" t="inlineStr">
        <is>
          <t xml:space="preserve">Bound - within authority</t>
        </is>
      </c>
      <c r="E154" s="48" t="inlineStr">
        <is>
          <t xml:space="preserve">New business</t>
        </is>
      </c>
      <c r="F154" s="46" t="inlineStr">
        <is>
          <t xml:space="preserve">B1234EXOTIC26</t>
        </is>
      </c>
      <c r="G154" s="33">
        <f>IF($A154="","",IF($C154="","",YEAR($C154)))</f>
      </c>
      <c r="H154" s="49">
        <v>1979</v>
      </c>
      <c r="I154" s="46" t="inlineStr">
        <is>
          <t xml:space="preserve">Jaguar</t>
        </is>
      </c>
      <c r="J154" s="46" t="inlineStr">
        <is>
          <t xml:space="preserve">E-Type Series 1</t>
        </is>
      </c>
      <c r="K154" s="46" t="inlineStr">
        <is>
          <t xml:space="preserve">NKUAVG21XL9MELZU1</t>
        </is>
      </c>
      <c r="L154" s="48" t="inlineStr">
        <is>
          <t xml:space="preserve">08 - Modern Classic (1973-1999)</t>
        </is>
      </c>
      <c r="M154" s="50">
        <v>1950000</v>
      </c>
      <c r="N154" s="48" t="inlineStr">
        <is>
          <t xml:space="preserve">Personal</t>
        </is>
      </c>
      <c r="O154" s="46" t="inlineStr">
        <is>
          <t xml:space="preserve">Personal - regular use</t>
        </is>
      </c>
      <c r="P154" s="46" t="inlineStr">
        <is>
          <t xml:space="preserve">1,000 - 2,500</t>
        </is>
      </c>
      <c r="Q154" s="46" t="inlineStr">
        <is>
          <t xml:space="preserve">Texas</t>
        </is>
      </c>
      <c r="R154" s="46" t="inlineStr">
        <is>
          <t xml:space="preserve">75201</t>
        </is>
      </c>
      <c r="S154" s="48" t="inlineStr">
        <is>
          <t xml:space="preserve">Tier 2 - Coastal wind (1-25 miles)</t>
        </is>
      </c>
      <c r="T154" s="36">
        <f>IF($A154="","",IF($S154="","",IFERROR(INDEX('[1]natural catastrophe'!$D$6:$D$17,MATCH($S154,'[1]natural catastrophe'!$B$6:$B$17,0)),"?")))</f>
      </c>
      <c r="U154" s="46" t="inlineStr">
        <is>
          <t xml:space="preserve">2% of agreed value, minimum $10,000</t>
        </is>
      </c>
      <c r="V154" s="48" t="inlineStr">
        <is>
          <t xml:space="preserve">Agreed Value</t>
        </is>
      </c>
      <c r="W154" s="46" t="inlineStr">
        <is>
          <t xml:space="preserve">$1,000</t>
        </is>
      </c>
      <c r="X154" s="48" t="inlineStr">
        <is>
          <t xml:space="preserve">$1,000,000 CSL</t>
        </is>
      </c>
      <c r="Y154" s="46"/>
      <c r="Z154" s="46"/>
      <c r="AA154" s="48" t="inlineStr">
        <is>
          <t xml:space="preserve">Surplus Lines</t>
        </is>
      </c>
      <c r="AB154" s="50">
        <v>14782.39</v>
      </c>
      <c r="AC154" s="51">
        <v>0</v>
      </c>
      <c r="AD154" s="38">
        <f>IF(ISNUMBER($AB154),$AB154*(1+N($AC154)),"")</f>
      </c>
      <c r="AE154" s="50">
        <v>350</v>
      </c>
      <c r="AF154" s="50">
        <v>250</v>
      </c>
      <c r="AG154" s="51"/>
      <c r="AH154" s="39">
        <f>IF(ISNUMBER($AD154),($AD154+$AE154+$AF154)*$AG154,"")</f>
      </c>
      <c r="AI154" s="50"/>
      <c r="AJ154" s="38">
        <f>IF(ISNUMBER($AD154),SUM($AD154:$AH154),"")</f>
      </c>
      <c r="AK154" s="40">
        <f>IF(AND(ISNUMBER($AB154),ISNUMBER($AD154)),IF($AB154&gt;0,$AD154/$AB154,""),"")</f>
      </c>
      <c r="AL154" s="48" t="inlineStr">
        <is>
          <t xml:space="preserve">At technical</t>
        </is>
      </c>
      <c r="AM154" s="41">
        <f>IF(ISNUMBER($AD154),Header!$I$3,"")</f>
      </c>
      <c r="AN154" s="39">
        <f>IF(ISNUMBER($AD154),$AO154+$AP154,"")</f>
      </c>
      <c r="AO154" s="39">
        <f>IF(ISNUMBER($AD154),ROUND($AD154*Header!$K$3,2),"")</f>
      </c>
      <c r="AP154" s="39">
        <f>IF(ISNUMBER($AD154),ROUND($AD154*Header!$M$3,2),"")</f>
      </c>
      <c r="AQ154" s="38">
        <f>IF(ISNUMBER($AD154),ROUND($AD154,2)-$AO154-$AP154,"")</f>
      </c>
      <c r="AR154" s="39">
        <f>IF(ISNUMBER($AD154),IF(Header!$D$34="","?",$AD154*Header!$D$34),"")</f>
      </c>
      <c r="AS154" s="39">
        <f>IF(ISNUMBER($AB154),IF(Header!$D$34="","?",$AB154*Header!$D$34),"")</f>
      </c>
      <c r="AT154" s="42">
        <f>IF(AND(ISNUMBER($AB154),$M154&gt;0),$AB154/$M154*100,"")</f>
      </c>
      <c r="AU154" s="42">
        <f>IF(AND(ISNUMBER($AD154),$M154&gt;0),$AD154/$M154*100,"")</f>
      </c>
      <c r="AV154" s="40">
        <f>IF(AND(ISNUMBER($AB154),ISNUMBER($AD154),ABS($AB154)&gt;0),$AD154/$AB154,"")</f>
      </c>
      <c r="AW154" s="39">
        <f>IF(ISNUMBER($AD154),MAX(0,(1-0.55-Header!$O$3)*Header!$Q$3*$AQ154),"")</f>
      </c>
      <c r="AX154" s="43">
        <f>IF($A154="","",IF(TRIM(IF($A154="","Missing certificate ref. ","") &amp; IF($C154="","Missing effective date. ","") &amp; IF($D154="","Missing binding status. ","") &amp; IF($E154="","Missing movement type. ","") &amp; IF($I154="","Missing make. ","") &amp; IF($L154="","Missing vehicle class. ","") &amp; IF($M154="","Missing agreed value. ","") &amp; IF($N154="","Missing policy type. ","") &amp; IF($Q154="","Missing garaging state. ","") &amp; IF($R154="","Missing garaging ZIP. ","") &amp; IF($S154="","Missing cat zone. ","") &amp; IF($V154="","Missing valuation basis. ","") &amp; IF($W154="","Missing PD deductible. ","") &amp; IF($X154="","Missing liability limit. ","") &amp; IF($AB154="","Missing technical premium. ","") &amp; IF($AF154="","Missing surplus lines tax %. ",""))="","PASS","FAIL: "&amp;TRIM(IF($A154="","Missing certificate ref. ","") &amp; IF($C154="","Missing effective date. ","") &amp; IF($D154="","Missing binding status. ","") &amp; IF($E154="","Missing movement type. ","") &amp; IF($I154="","Missing make. ","") &amp; IF($L154="","Missing vehicle class. ","") &amp; IF($M154="","Missing agreed value. ","") &amp; IF($N154="","Missing policy type. ","") &amp; IF($Q154="","Missing garaging state. ","") &amp; IF($R154="","Missing garaging ZIP. ","") &amp; IF($S154="","Missing cat zone. ","") &amp; IF($V154="","Missing valuation basis. ","") &amp; IF($W154="","Missing PD deductible. ","") &amp; IF($X154="","Missing liability limit. ","") &amp; IF($AB154="","Missing technical premium. ","") &amp; IF($AF154="","Missing surplus lines tax %. ",""))))</f>
      </c>
      <c r="AY154" s="44">
        <f>IF($M154="","",IF(ISNUMBER($M154),IF($M154&gt;=Header!$C$18,"YES — refer","No"),""))</f>
      </c>
      <c r="AZ154" s="44">
        <f>IF($AD154="","",IF(ISNUMBER($AD154),IF($AD154&lt;Header!$C$20,"BELOW MIN PREMIUM","OK"),""))</f>
      </c>
      <c r="BA154" s="48" t="inlineStr">
        <is>
          <t xml:space="preserve">Yes</t>
        </is>
      </c>
      <c r="BB154" s="48" t="inlineStr">
        <is>
          <t xml:space="preserve">Yes</t>
        </is>
      </c>
      <c r="BC154" s="46" t="inlineStr">
        <is>
          <t xml:space="preserve">Synthetic demo data</t>
        </is>
      </c>
      <c r="BE154" s="45">
        <f>IF(OR($A154="",$L154="",$H154=""),"",IF(AND(LEFT($L154,2)="06",$H154&gt;1945),"FAIL - pre-war class, year "&amp;$H154,IF(AND(LEFT($L154,2)="07",OR($H154&lt;1946,$H154&gt;1972)),"FAIL - 1946-72 class, year "&amp;$H154,IF(AND(LEFT($L154,2)="08",OR($H154&lt;1973,$H154&gt;1999)),"FAIL - 1973-99 class, year "&amp;$H154,IF(AND(LEFT($L154,2)="09",OR($H154&lt;2000,$H154&gt;2010)),"FAIL - 2000-10 class, year "&amp;$H154,"OK")))))</f>
      </c>
      <c r="BF154" s="45">
        <f>IF($AD154="","",IF(ROUND($AO154+$AP154+$AQ154-$AD154,2)=0,"OK","FAIL - out by "&amp;TEXT($AO154+$AP154+$AQ154-$AD154,"$0.00")))</f>
      </c>
    </row>
    <row r="155" spans="1:58" ht="18.75" customHeight="1" x14ac:dyDescent="0.25">
      <c r="A155" s="30" t="inlineStr">
        <is>
          <t xml:space="preserve">CANON-202511-002369</t>
        </is>
      </c>
      <c r="B155" s="30" t="inlineStr">
        <is>
          <t xml:space="preserve">Noor Merriweather</t>
        </is>
      </c>
      <c r="C155" s="31">
        <v>45978</v>
      </c>
      <c r="D155" s="32" t="inlineStr">
        <is>
          <t xml:space="preserve">Bound - within authority</t>
        </is>
      </c>
      <c r="E155" s="32" t="inlineStr">
        <is>
          <t xml:space="preserve">New business</t>
        </is>
      </c>
      <c r="F155" s="30" t="inlineStr">
        <is>
          <t xml:space="preserve">B1234EXOTIC26</t>
        </is>
      </c>
      <c r="G155" s="33">
        <f>IF($A155="","",IF($C155="","",YEAR($C155)))</f>
      </c>
      <c r="H155" s="34">
        <v>1966</v>
      </c>
      <c r="I155" s="30" t="inlineStr">
        <is>
          <t xml:space="preserve">Lamborghini</t>
        </is>
      </c>
      <c r="J155" s="30" t="inlineStr">
        <is>
          <t xml:space="preserve">Huracan EVO</t>
        </is>
      </c>
      <c r="K155" s="30" t="inlineStr">
        <is>
          <t xml:space="preserve">HS32R3RFFXREAK0WP</t>
        </is>
      </c>
      <c r="L155" s="32" t="inlineStr">
        <is>
          <t xml:space="preserve">03 - Supercar</t>
        </is>
      </c>
      <c r="M155" s="35">
        <v>205000</v>
      </c>
      <c r="N155" s="32" t="inlineStr">
        <is>
          <t xml:space="preserve">Personal</t>
        </is>
      </c>
      <c r="O155" s="30" t="inlineStr">
        <is>
          <t xml:space="preserve">Personal - regular use</t>
        </is>
      </c>
      <c r="P155" s="30" t="inlineStr">
        <is>
          <t xml:space="preserve">Under 1,000</t>
        </is>
      </c>
      <c r="Q155" s="30" t="inlineStr">
        <is>
          <t xml:space="preserve">Texas</t>
        </is>
      </c>
      <c r="R155" s="30" t="inlineStr">
        <is>
          <t xml:space="preserve">75201</t>
        </is>
      </c>
      <c r="S155" s="32" t="inlineStr">
        <is>
          <t xml:space="preserve">Tier 2 - Coastal wind (1-25 miles)</t>
        </is>
      </c>
      <c r="T155" s="36">
        <f>IF($A155="","",IF($S155="","",IFERROR(INDEX('[1]natural catastrophe'!$D$6:$D$17,MATCH($S155,'[1]natural catastrophe'!$B$6:$B$17,0)),"?")))</f>
      </c>
      <c r="U155" s="30" t="inlineStr">
        <is>
          <t xml:space="preserve">2% of agreed value, minimum $10,000</t>
        </is>
      </c>
      <c r="V155" s="32" t="inlineStr">
        <is>
          <t xml:space="preserve">Agreed Value</t>
        </is>
      </c>
      <c r="W155" s="30" t="inlineStr">
        <is>
          <t xml:space="preserve">$1,000</t>
        </is>
      </c>
      <c r="X155" s="32" t="inlineStr">
        <is>
          <t xml:space="preserve">$1,000,000 CSL</t>
        </is>
      </c>
      <c r="Y155" s="30"/>
      <c r="Z155" s="30"/>
      <c r="AA155" s="32" t="inlineStr">
        <is>
          <t xml:space="preserve">Surplus Lines</t>
        </is>
      </c>
      <c r="AB155" s="35">
        <v>5807.22</v>
      </c>
      <c r="AC155" s="37">
        <v>0</v>
      </c>
      <c r="AD155" s="38">
        <f>IF(ISNUMBER($AB155),$AB155*(1+N($AC155)),"")</f>
      </c>
      <c r="AE155" s="35">
        <v>350</v>
      </c>
      <c r="AF155" s="35">
        <v>0</v>
      </c>
      <c r="AG155" s="37"/>
      <c r="AH155" s="39">
        <f>IF(ISNUMBER($AD155),($AD155+$AE155+$AF155)*$AG155,"")</f>
      </c>
      <c r="AI155" s="35"/>
      <c r="AJ155" s="38">
        <f>IF(ISNUMBER($AD155),SUM($AD155:$AH155),"")</f>
      </c>
      <c r="AK155" s="40">
        <f>IF(AND(ISNUMBER($AB155),ISNUMBER($AD155)),IF($AB155&gt;0,$AD155/$AB155,""),"")</f>
      </c>
      <c r="AL155" s="32" t="inlineStr">
        <is>
          <t xml:space="preserve">At technical</t>
        </is>
      </c>
      <c r="AM155" s="41">
        <f>IF(ISNUMBER($AD155),Header!$I$3,"")</f>
      </c>
      <c r="AN155" s="39">
        <f>IF(ISNUMBER($AD155),$AO155+$AP155,"")</f>
      </c>
      <c r="AO155" s="39">
        <f>IF(ISNUMBER($AD155),ROUND($AD155*Header!$K$3,2),"")</f>
      </c>
      <c r="AP155" s="39">
        <f>IF(ISNUMBER($AD155),ROUND($AD155*Header!$M$3,2),"")</f>
      </c>
      <c r="AQ155" s="38">
        <f>IF(ISNUMBER($AD155),ROUND($AD155,2)-$AO155-$AP155,"")</f>
      </c>
      <c r="AR155" s="39">
        <f>IF(ISNUMBER($AD155),IF(Header!$D$34="","?",$AD155*Header!$D$34),"")</f>
      </c>
      <c r="AS155" s="39">
        <f>IF(ISNUMBER($AB155),IF(Header!$D$34="","?",$AB155*Header!$D$34),"")</f>
      </c>
      <c r="AT155" s="42">
        <f>IF(AND(ISNUMBER($AB155),$M155&gt;0),$AB155/$M155*100,"")</f>
      </c>
      <c r="AU155" s="42">
        <f>IF(AND(ISNUMBER($AD155),$M155&gt;0),$AD155/$M155*100,"")</f>
      </c>
      <c r="AV155" s="40">
        <f>IF(AND(ISNUMBER($AB155),ISNUMBER($AD155),ABS($AB155)&gt;0),$AD155/$AB155,"")</f>
      </c>
      <c r="AW155" s="39">
        <f>IF(ISNUMBER($AD155),MAX(0,(1-0.55-Header!$O$3)*Header!$Q$3*$AQ155),"")</f>
      </c>
      <c r="AX155" s="43">
        <f>IF($A155="","",IF(TRIM(IF($A155="","Missing certificate ref. ","") &amp; IF($C155="","Missing effective date. ","") &amp; IF($D155="","Missing binding status. ","") &amp; IF($E155="","Missing movement type. ","") &amp; IF($I155="","Missing make. ","") &amp; IF($L155="","Missing vehicle class. ","") &amp; IF($M155="","Missing agreed value. ","") &amp; IF($N155="","Missing policy type. ","") &amp; IF($Q155="","Missing garaging state. ","") &amp; IF($R155="","Missing garaging ZIP. ","") &amp; IF($S155="","Missing cat zone. ","") &amp; IF($V155="","Missing valuation basis. ","") &amp; IF($W155="","Missing PD deductible. ","") &amp; IF($X155="","Missing liability limit. ","") &amp; IF($AB155="","Missing technical premium. ","") &amp; IF($AF155="","Missing surplus lines tax %. ",""))="","PASS","FAIL: "&amp;TRIM(IF($A155="","Missing certificate ref. ","") &amp; IF($C155="","Missing effective date. ","") &amp; IF($D155="","Missing binding status. ","") &amp; IF($E155="","Missing movement type. ","") &amp; IF($I155="","Missing make. ","") &amp; IF($L155="","Missing vehicle class. ","") &amp; IF($M155="","Missing agreed value. ","") &amp; IF($N155="","Missing policy type. ","") &amp; IF($Q155="","Missing garaging state. ","") &amp; IF($R155="","Missing garaging ZIP. ","") &amp; IF($S155="","Missing cat zone. ","") &amp; IF($V155="","Missing valuation basis. ","") &amp; IF($W155="","Missing PD deductible. ","") &amp; IF($X155="","Missing liability limit. ","") &amp; IF($AB155="","Missing technical premium. ","") &amp; IF($AF155="","Missing surplus lines tax %. ",""))))</f>
      </c>
      <c r="AY155" s="44">
        <f>IF($M155="","",IF(ISNUMBER($M155),IF($M155&gt;=Header!$C$18,"YES — refer","No"),""))</f>
      </c>
      <c r="AZ155" s="44">
        <f>IF($AD155="","",IF(ISNUMBER($AD155),IF($AD155&lt;Header!$C$20,"BELOW MIN PREMIUM","OK"),""))</f>
      </c>
      <c r="BA155" s="32" t="inlineStr">
        <is>
          <t xml:space="preserve">Yes</t>
        </is>
      </c>
      <c r="BB155" s="32" t="inlineStr">
        <is>
          <t xml:space="preserve">Yes</t>
        </is>
      </c>
      <c r="BC155" s="30" t="inlineStr">
        <is>
          <t xml:space="preserve">Synthetic demo data</t>
        </is>
      </c>
      <c r="BE155" s="45">
        <f>IF(OR($A155="",$L155="",$H155=""),"",IF(AND(LEFT($L155,2)="06",$H155&gt;1945),"FAIL - pre-war class, year "&amp;$H155,IF(AND(LEFT($L155,2)="07",OR($H155&lt;1946,$H155&gt;1972)),"FAIL - 1946-72 class, year "&amp;$H155,IF(AND(LEFT($L155,2)="08",OR($H155&lt;1973,$H155&gt;1999)),"FAIL - 1973-99 class, year "&amp;$H155,IF(AND(LEFT($L155,2)="09",OR($H155&lt;2000,$H155&gt;2010)),"FAIL - 2000-10 class, year "&amp;$H155,"OK")))))</f>
      </c>
      <c r="BF155" s="45">
        <f>IF($AD155="","",IF(ROUND($AO155+$AP155+$AQ155-$AD155,2)=0,"OK","FAIL - out by "&amp;TEXT($AO155+$AP155+$AQ155-$AD155,"$0.00")))</f>
      </c>
    </row>
    <row r="156" spans="1:58" ht="18.75" customHeight="1" x14ac:dyDescent="0.25">
      <c r="A156" s="46" t="inlineStr">
        <is>
          <t xml:space="preserve">CANON-202511-002370</t>
        </is>
      </c>
      <c r="B156" s="46" t="inlineStr">
        <is>
          <t xml:space="preserve">Everett Whitlock</t>
        </is>
      </c>
      <c r="C156" s="47">
        <v>45973</v>
      </c>
      <c r="D156" s="48" t="inlineStr">
        <is>
          <t xml:space="preserve">Bound - within authority</t>
        </is>
      </c>
      <c r="E156" s="48" t="inlineStr">
        <is>
          <t xml:space="preserve">New business</t>
        </is>
      </c>
      <c r="F156" s="46" t="inlineStr">
        <is>
          <t xml:space="preserve">B1234EXOTIC26</t>
        </is>
      </c>
      <c r="G156" s="33">
        <f>IF($A156="","",IF($C156="","",YEAR($C156)))</f>
      </c>
      <c r="H156" s="49">
        <v>1955</v>
      </c>
      <c r="I156" s="46" t="inlineStr">
        <is>
          <t xml:space="preserve">Bentley</t>
        </is>
      </c>
      <c r="J156" s="46" t="inlineStr">
        <is>
          <t xml:space="preserve">Continental GT</t>
        </is>
      </c>
      <c r="K156" s="46" t="inlineStr">
        <is>
          <t xml:space="preserve">J8D52NAXNM6PEDE02</t>
        </is>
      </c>
      <c r="L156" s="48" t="inlineStr">
        <is>
          <t xml:space="preserve">02 - Sports / GT</t>
        </is>
      </c>
      <c r="M156" s="50">
        <v>805000</v>
      </c>
      <c r="N156" s="48" t="inlineStr">
        <is>
          <t xml:space="preserve">Personal</t>
        </is>
      </c>
      <c r="O156" s="46" t="inlineStr">
        <is>
          <t xml:space="preserve">Personal - regular use</t>
        </is>
      </c>
      <c r="P156" s="46" t="inlineStr">
        <is>
          <t xml:space="preserve">2,500 - 5,000</t>
        </is>
      </c>
      <c r="Q156" s="46" t="inlineStr">
        <is>
          <t xml:space="preserve">Rhode Island</t>
        </is>
      </c>
      <c r="R156" s="46" t="inlineStr">
        <is>
          <t xml:space="preserve">02903</t>
        </is>
      </c>
      <c r="S156" s="48" t="inlineStr">
        <is>
          <t xml:space="preserve">Tier 3 - Coastal wind (25-100 miles)</t>
        </is>
      </c>
      <c r="T156" s="36">
        <f>IF($A156="","",IF($S156="","",IFERROR(INDEX('[1]natural catastrophe'!$D$6:$D$17,MATCH($S156,'[1]natural catastrophe'!$B$6:$B$17,0)),"?")))</f>
      </c>
      <c r="U156" s="46" t="inlineStr">
        <is>
          <t xml:space="preserve">2% of agreed value, minimum $10,000</t>
        </is>
      </c>
      <c r="V156" s="48" t="inlineStr">
        <is>
          <t xml:space="preserve">Agreed Value</t>
        </is>
      </c>
      <c r="W156" s="46" t="inlineStr">
        <is>
          <t xml:space="preserve">$1,000</t>
        </is>
      </c>
      <c r="X156" s="48" t="inlineStr">
        <is>
          <t xml:space="preserve">$1,000,000 CSL</t>
        </is>
      </c>
      <c r="Y156" s="46"/>
      <c r="Z156" s="46"/>
      <c r="AA156" s="48" t="inlineStr">
        <is>
          <t xml:space="preserve">Surplus Lines</t>
        </is>
      </c>
      <c r="AB156" s="50">
        <v>12435.36</v>
      </c>
      <c r="AC156" s="51">
        <v>0</v>
      </c>
      <c r="AD156" s="38">
        <f>IF(ISNUMBER($AB156),$AB156*(1+N($AC156)),"")</f>
      </c>
      <c r="AE156" s="50">
        <v>350</v>
      </c>
      <c r="AF156" s="50">
        <v>0</v>
      </c>
      <c r="AG156" s="51"/>
      <c r="AH156" s="39">
        <f>IF(ISNUMBER($AD156),($AD156+$AE156+$AF156)*$AG156,"")</f>
      </c>
      <c r="AI156" s="50"/>
      <c r="AJ156" s="38">
        <f>IF(ISNUMBER($AD156),SUM($AD156:$AH156),"")</f>
      </c>
      <c r="AK156" s="40">
        <f>IF(AND(ISNUMBER($AB156),ISNUMBER($AD156)),IF($AB156&gt;0,$AD156/$AB156,""),"")</f>
      </c>
      <c r="AL156" s="48" t="inlineStr">
        <is>
          <t xml:space="preserve">At technical</t>
        </is>
      </c>
      <c r="AM156" s="41">
        <f>IF(ISNUMBER($AD156),Header!$I$3,"")</f>
      </c>
      <c r="AN156" s="39">
        <f>IF(ISNUMBER($AD156),$AO156+$AP156,"")</f>
      </c>
      <c r="AO156" s="39">
        <f>IF(ISNUMBER($AD156),ROUND($AD156*Header!$K$3,2),"")</f>
      </c>
      <c r="AP156" s="39">
        <f>IF(ISNUMBER($AD156),ROUND($AD156*Header!$M$3,2),"")</f>
      </c>
      <c r="AQ156" s="38">
        <f>IF(ISNUMBER($AD156),ROUND($AD156,2)-$AO156-$AP156,"")</f>
      </c>
      <c r="AR156" s="39">
        <f>IF(ISNUMBER($AD156),IF(Header!$D$34="","?",$AD156*Header!$D$34),"")</f>
      </c>
      <c r="AS156" s="39">
        <f>IF(ISNUMBER($AB156),IF(Header!$D$34="","?",$AB156*Header!$D$34),"")</f>
      </c>
      <c r="AT156" s="42">
        <f>IF(AND(ISNUMBER($AB156),$M156&gt;0),$AB156/$M156*100,"")</f>
      </c>
      <c r="AU156" s="42">
        <f>IF(AND(ISNUMBER($AD156),$M156&gt;0),$AD156/$M156*100,"")</f>
      </c>
      <c r="AV156" s="40">
        <f>IF(AND(ISNUMBER($AB156),ISNUMBER($AD156),ABS($AB156)&gt;0),$AD156/$AB156,"")</f>
      </c>
      <c r="AW156" s="39">
        <f>IF(ISNUMBER($AD156),MAX(0,(1-0.55-Header!$O$3)*Header!$Q$3*$AQ156),"")</f>
      </c>
      <c r="AX156" s="43">
        <f>IF($A156="","",IF(TRIM(IF($A156="","Missing certificate ref. ","") &amp; IF($C156="","Missing effective date. ","") &amp; IF($D156="","Missing binding status. ","") &amp; IF($E156="","Missing movement type. ","") &amp; IF($I156="","Missing make. ","") &amp; IF($L156="","Missing vehicle class. ","") &amp; IF($M156="","Missing agreed value. ","") &amp; IF($N156="","Missing policy type. ","") &amp; IF($Q156="","Missing garaging state. ","") &amp; IF($R156="","Missing garaging ZIP. ","") &amp; IF($S156="","Missing cat zone. ","") &amp; IF($V156="","Missing valuation basis. ","") &amp; IF($W156="","Missing PD deductible. ","") &amp; IF($X156="","Missing liability limit. ","") &amp; IF($AB156="","Missing technical premium. ","") &amp; IF($AF156="","Missing surplus lines tax %. ",""))="","PASS","FAIL: "&amp;TRIM(IF($A156="","Missing certificate ref. ","") &amp; IF($C156="","Missing effective date. ","") &amp; IF($D156="","Missing binding status. ","") &amp; IF($E156="","Missing movement type. ","") &amp; IF($I156="","Missing make. ","") &amp; IF($L156="","Missing vehicle class. ","") &amp; IF($M156="","Missing agreed value. ","") &amp; IF($N156="","Missing policy type. ","") &amp; IF($Q156="","Missing garaging state. ","") &amp; IF($R156="","Missing garaging ZIP. ","") &amp; IF($S156="","Missing cat zone. ","") &amp; IF($V156="","Missing valuation basis. ","") &amp; IF($W156="","Missing PD deductible. ","") &amp; IF($X156="","Missing liability limit. ","") &amp; IF($AB156="","Missing technical premium. ","") &amp; IF($AF156="","Missing surplus lines tax %. ",""))))</f>
      </c>
      <c r="AY156" s="44">
        <f>IF($M156="","",IF(ISNUMBER($M156),IF($M156&gt;=Header!$C$18,"YES — refer","No"),""))</f>
      </c>
      <c r="AZ156" s="44">
        <f>IF($AD156="","",IF(ISNUMBER($AD156),IF($AD156&lt;Header!$C$20,"BELOW MIN PREMIUM","OK"),""))</f>
      </c>
      <c r="BA156" s="48" t="inlineStr">
        <is>
          <t xml:space="preserve">Yes</t>
        </is>
      </c>
      <c r="BB156" s="48" t="inlineStr">
        <is>
          <t xml:space="preserve">Yes</t>
        </is>
      </c>
      <c r="BC156" s="46" t="inlineStr">
        <is>
          <t xml:space="preserve">Synthetic demo data</t>
        </is>
      </c>
      <c r="BE156" s="45">
        <f>IF(OR($A156="",$L156="",$H156=""),"",IF(AND(LEFT($L156,2)="06",$H156&gt;1945),"FAIL - pre-war class, year "&amp;$H156,IF(AND(LEFT($L156,2)="07",OR($H156&lt;1946,$H156&gt;1972)),"FAIL - 1946-72 class, year "&amp;$H156,IF(AND(LEFT($L156,2)="08",OR($H156&lt;1973,$H156&gt;1999)),"FAIL - 1973-99 class, year "&amp;$H156,IF(AND(LEFT($L156,2)="09",OR($H156&lt;2000,$H156&gt;2010)),"FAIL - 2000-10 class, year "&amp;$H156,"OK")))))</f>
      </c>
      <c r="BF156" s="45">
        <f>IF($AD156="","",IF(ROUND($AO156+$AP156+$AQ156-$AD156,2)=0,"OK","FAIL - out by "&amp;TEXT($AO156+$AP156+$AQ156-$AD156,"$0.00")))</f>
      </c>
    </row>
    <row r="157" spans="1:58" ht="18.75" customHeight="1" x14ac:dyDescent="0.25">
      <c r="A157" s="30" t="inlineStr">
        <is>
          <t xml:space="preserve">CANON-202511-002372</t>
        </is>
      </c>
      <c r="B157" s="30" t="inlineStr">
        <is>
          <t xml:space="preserve">Horace Farkas</t>
        </is>
      </c>
      <c r="C157" s="31">
        <v>45980</v>
      </c>
      <c r="D157" s="32" t="inlineStr">
        <is>
          <t xml:space="preserve">Bound - within authority</t>
        </is>
      </c>
      <c r="E157" s="32" t="inlineStr">
        <is>
          <t xml:space="preserve">New business</t>
        </is>
      </c>
      <c r="F157" s="30" t="inlineStr">
        <is>
          <t xml:space="preserve">B1234EXOTIC26</t>
        </is>
      </c>
      <c r="G157" s="33">
        <f>IF($A157="","",IF($C157="","",YEAR($C157)))</f>
      </c>
      <c r="H157" s="34">
        <v>1970</v>
      </c>
      <c r="I157" s="30" t="inlineStr">
        <is>
          <t xml:space="preserve">Jaguar</t>
        </is>
      </c>
      <c r="J157" s="30" t="inlineStr">
        <is>
          <t xml:space="preserve">E-Type Series 1</t>
        </is>
      </c>
      <c r="K157" s="30" t="inlineStr">
        <is>
          <t xml:space="preserve">K7RLH29LAJ4P2T8C0</t>
        </is>
      </c>
      <c r="L157" s="32" t="inlineStr">
        <is>
          <t xml:space="preserve">07 - Post-War Classic (1946-1972)</t>
        </is>
      </c>
      <c r="M157" s="35">
        <v>910000</v>
      </c>
      <c r="N157" s="32" t="inlineStr">
        <is>
          <t xml:space="preserve">Personal</t>
        </is>
      </c>
      <c r="O157" s="30" t="inlineStr">
        <is>
          <t xml:space="preserve">Personal - regular use</t>
        </is>
      </c>
      <c r="P157" s="30" t="inlineStr">
        <is>
          <t xml:space="preserve">Under 1,000</t>
        </is>
      </c>
      <c r="Q157" s="30" t="inlineStr">
        <is>
          <t xml:space="preserve">Nebraska</t>
        </is>
      </c>
      <c r="R157" s="30" t="inlineStr">
        <is>
          <t xml:space="preserve">68102</t>
        </is>
      </c>
      <c r="S157" s="32" t="inlineStr">
        <is>
          <t xml:space="preserve">Severe convective - hail alley (high)</t>
        </is>
      </c>
      <c r="T157" s="36">
        <f>IF($A157="","",IF($S157="","",IFERROR(INDEX('[1]natural catastrophe'!$D$6:$D$17,MATCH($S157,'[1]natural catastrophe'!$B$6:$B$17,0)),"?")))</f>
      </c>
      <c r="U157" s="30" t="inlineStr">
        <is>
          <t xml:space="preserve">$5,000</t>
        </is>
      </c>
      <c r="V157" s="32" t="inlineStr">
        <is>
          <t xml:space="preserve">Agreed Value</t>
        </is>
      </c>
      <c r="W157" s="30" t="inlineStr">
        <is>
          <t xml:space="preserve">$1,000</t>
        </is>
      </c>
      <c r="X157" s="32" t="inlineStr">
        <is>
          <t xml:space="preserve">$1,000,000 CSL</t>
        </is>
      </c>
      <c r="Y157" s="30"/>
      <c r="Z157" s="30"/>
      <c r="AA157" s="32" t="inlineStr">
        <is>
          <t xml:space="preserve">Surplus Lines</t>
        </is>
      </c>
      <c r="AB157" s="35">
        <v>8824.33</v>
      </c>
      <c r="AC157" s="37">
        <v>0</v>
      </c>
      <c r="AD157" s="38">
        <f>IF(ISNUMBER($AB157),$AB157*(1+N($AC157)),"")</f>
      </c>
      <c r="AE157" s="35">
        <v>350</v>
      </c>
      <c r="AF157" s="35">
        <v>0</v>
      </c>
      <c r="AG157" s="37"/>
      <c r="AH157" s="39">
        <f>IF(ISNUMBER($AD157),($AD157+$AE157+$AF157)*$AG157,"")</f>
      </c>
      <c r="AI157" s="35"/>
      <c r="AJ157" s="38">
        <f>IF(ISNUMBER($AD157),SUM($AD157:$AH157),"")</f>
      </c>
      <c r="AK157" s="40">
        <f>IF(AND(ISNUMBER($AB157),ISNUMBER($AD157)),IF($AB157&gt;0,$AD157/$AB157,""),"")</f>
      </c>
      <c r="AL157" s="32" t="inlineStr">
        <is>
          <t xml:space="preserve">At technical</t>
        </is>
      </c>
      <c r="AM157" s="41">
        <f>IF(ISNUMBER($AD157),Header!$I$3,"")</f>
      </c>
      <c r="AN157" s="39">
        <f>IF(ISNUMBER($AD157),$AO157+$AP157,"")</f>
      </c>
      <c r="AO157" s="39">
        <f>IF(ISNUMBER($AD157),ROUND($AD157*Header!$K$3,2),"")</f>
      </c>
      <c r="AP157" s="39">
        <f>IF(ISNUMBER($AD157),ROUND($AD157*Header!$M$3,2),"")</f>
      </c>
      <c r="AQ157" s="38">
        <f>IF(ISNUMBER($AD157),ROUND($AD157,2)-$AO157-$AP157,"")</f>
      </c>
      <c r="AR157" s="39">
        <f>IF(ISNUMBER($AD157),IF(Header!$D$34="","?",$AD157*Header!$D$34),"")</f>
      </c>
      <c r="AS157" s="39">
        <f>IF(ISNUMBER($AB157),IF(Header!$D$34="","?",$AB157*Header!$D$34),"")</f>
      </c>
      <c r="AT157" s="42">
        <f>IF(AND(ISNUMBER($AB157),$M157&gt;0),$AB157/$M157*100,"")</f>
      </c>
      <c r="AU157" s="42">
        <f>IF(AND(ISNUMBER($AD157),$M157&gt;0),$AD157/$M157*100,"")</f>
      </c>
      <c r="AV157" s="40">
        <f>IF(AND(ISNUMBER($AB157),ISNUMBER($AD157),ABS($AB157)&gt;0),$AD157/$AB157,"")</f>
      </c>
      <c r="AW157" s="39">
        <f>IF(ISNUMBER($AD157),MAX(0,(1-0.55-Header!$O$3)*Header!$Q$3*$AQ157),"")</f>
      </c>
      <c r="AX157" s="43">
        <f>IF($A157="","",IF(TRIM(IF($A157="","Missing certificate ref. ","") &amp; IF($C157="","Missing effective date. ","") &amp; IF($D157="","Missing binding status. ","") &amp; IF($E157="","Missing movement type. ","") &amp; IF($I157="","Missing make. ","") &amp; IF($L157="","Missing vehicle class. ","") &amp; IF($M157="","Missing agreed value. ","") &amp; IF($N157="","Missing policy type. ","") &amp; IF($Q157="","Missing garaging state. ","") &amp; IF($R157="","Missing garaging ZIP. ","") &amp; IF($S157="","Missing cat zone. ","") &amp; IF($V157="","Missing valuation basis. ","") &amp; IF($W157="","Missing PD deductible. ","") &amp; IF($X157="","Missing liability limit. ","") &amp; IF($AB157="","Missing technical premium. ","") &amp; IF($AF157="","Missing surplus lines tax %. ",""))="","PASS","FAIL: "&amp;TRIM(IF($A157="","Missing certificate ref. ","") &amp; IF($C157="","Missing effective date. ","") &amp; IF($D157="","Missing binding status. ","") &amp; IF($E157="","Missing movement type. ","") &amp; IF($I157="","Missing make. ","") &amp; IF($L157="","Missing vehicle class. ","") &amp; IF($M157="","Missing agreed value. ","") &amp; IF($N157="","Missing policy type. ","") &amp; IF($Q157="","Missing garaging state. ","") &amp; IF($R157="","Missing garaging ZIP. ","") &amp; IF($S157="","Missing cat zone. ","") &amp; IF($V157="","Missing valuation basis. ","") &amp; IF($W157="","Missing PD deductible. ","") &amp; IF($X157="","Missing liability limit. ","") &amp; IF($AB157="","Missing technical premium. ","") &amp; IF($AF157="","Missing surplus lines tax %. ",""))))</f>
      </c>
      <c r="AY157" s="44">
        <f>IF($M157="","",IF(ISNUMBER($M157),IF($M157&gt;=Header!$C$18,"YES — refer","No"),""))</f>
      </c>
      <c r="AZ157" s="44">
        <f>IF($AD157="","",IF(ISNUMBER($AD157),IF($AD157&lt;Header!$C$20,"BELOW MIN PREMIUM","OK"),""))</f>
      </c>
      <c r="BA157" s="32" t="inlineStr">
        <is>
          <t xml:space="preserve">Yes</t>
        </is>
      </c>
      <c r="BB157" s="32" t="inlineStr">
        <is>
          <t xml:space="preserve">Yes</t>
        </is>
      </c>
      <c r="BC157" s="30" t="inlineStr">
        <is>
          <t xml:space="preserve">Synthetic demo data</t>
        </is>
      </c>
      <c r="BE157" s="45">
        <f>IF(OR($A157="",$L157="",$H157=""),"",IF(AND(LEFT($L157,2)="06",$H157&gt;1945),"FAIL - pre-war class, year "&amp;$H157,IF(AND(LEFT($L157,2)="07",OR($H157&lt;1946,$H157&gt;1972)),"FAIL - 1946-72 class, year "&amp;$H157,IF(AND(LEFT($L157,2)="08",OR($H157&lt;1973,$H157&gt;1999)),"FAIL - 1973-99 class, year "&amp;$H157,IF(AND(LEFT($L157,2)="09",OR($H157&lt;2000,$H157&gt;2010)),"FAIL - 2000-10 class, year "&amp;$H157,"OK")))))</f>
      </c>
      <c r="BF157" s="45">
        <f>IF($AD157="","",IF(ROUND($AO157+$AP157+$AQ157-$AD157,2)=0,"OK","FAIL - out by "&amp;TEXT($AO157+$AP157+$AQ157-$AD157,"$0.00")))</f>
      </c>
    </row>
    <row r="158" spans="1:58" ht="18.75" customHeight="1" x14ac:dyDescent="0.25">
      <c r="A158" s="46" t="inlineStr">
        <is>
          <t xml:space="preserve">CANON-202511-002374</t>
        </is>
      </c>
      <c r="B158" s="46" t="inlineStr">
        <is>
          <t xml:space="preserve">Ottilie Larsson</t>
        </is>
      </c>
      <c r="C158" s="47">
        <v>45968</v>
      </c>
      <c r="D158" s="48" t="inlineStr">
        <is>
          <t xml:space="preserve">Bound - within authority</t>
        </is>
      </c>
      <c r="E158" s="48" t="inlineStr">
        <is>
          <t xml:space="preserve">New business</t>
        </is>
      </c>
      <c r="F158" s="46" t="inlineStr">
        <is>
          <t xml:space="preserve">B1234EXOTIC26</t>
        </is>
      </c>
      <c r="G158" s="33">
        <f>IF($A158="","",IF($C158="","",YEAR($C158)))</f>
      </c>
      <c r="H158" s="49">
        <v>2014</v>
      </c>
      <c r="I158" s="46" t="inlineStr">
        <is>
          <t xml:space="preserve">Mercedes-Benz</t>
        </is>
      </c>
      <c r="J158" s="46" t="inlineStr">
        <is>
          <t xml:space="preserve">AMG GT</t>
        </is>
      </c>
      <c r="K158" s="46" t="inlineStr">
        <is>
          <t xml:space="preserve">SE76A0BBUDX6S28L4</t>
        </is>
      </c>
      <c r="L158" s="48" t="inlineStr">
        <is>
          <t xml:space="preserve">02 - Sports / GT</t>
        </is>
      </c>
      <c r="M158" s="50">
        <v>440000</v>
      </c>
      <c r="N158" s="48" t="inlineStr">
        <is>
          <t xml:space="preserve">Personal</t>
        </is>
      </c>
      <c r="O158" s="46" t="inlineStr">
        <is>
          <t xml:space="preserve">Personal - regular use</t>
        </is>
      </c>
      <c r="P158" s="46" t="inlineStr">
        <is>
          <t xml:space="preserve">1,000 - 2,500</t>
        </is>
      </c>
      <c r="Q158" s="46" t="inlineStr">
        <is>
          <t xml:space="preserve">Alabama</t>
        </is>
      </c>
      <c r="R158" s="46" t="inlineStr">
        <is>
          <t xml:space="preserve">35203</t>
        </is>
      </c>
      <c r="S158" s="48" t="inlineStr">
        <is>
          <t xml:space="preserve">Tier 2 - Coastal wind (1-25 miles)</t>
        </is>
      </c>
      <c r="T158" s="36">
        <f>IF($A158="","",IF($S158="","",IFERROR(INDEX('[1]natural catastrophe'!$D$6:$D$17,MATCH($S158,'[1]natural catastrophe'!$B$6:$B$17,0)),"?")))</f>
      </c>
      <c r="U158" s="46" t="inlineStr">
        <is>
          <t xml:space="preserve">2% of agreed value, minimum $10,000</t>
        </is>
      </c>
      <c r="V158" s="48" t="inlineStr">
        <is>
          <t xml:space="preserve">Agreed Value</t>
        </is>
      </c>
      <c r="W158" s="46" t="inlineStr">
        <is>
          <t xml:space="preserve">$1,000</t>
        </is>
      </c>
      <c r="X158" s="48" t="inlineStr">
        <is>
          <t xml:space="preserve">$1,000,000 CSL</t>
        </is>
      </c>
      <c r="Y158" s="46"/>
      <c r="Z158" s="46"/>
      <c r="AA158" s="48" t="inlineStr">
        <is>
          <t xml:space="preserve">Surplus Lines</t>
        </is>
      </c>
      <c r="AB158" s="50">
        <v>7270.2</v>
      </c>
      <c r="AC158" s="51">
        <v>0</v>
      </c>
      <c r="AD158" s="38">
        <f>IF(ISNUMBER($AB158),$AB158*(1+N($AC158)),"")</f>
      </c>
      <c r="AE158" s="50">
        <v>350</v>
      </c>
      <c r="AF158" s="50">
        <v>0</v>
      </c>
      <c r="AG158" s="51"/>
      <c r="AH158" s="39">
        <f>IF(ISNUMBER($AD158),($AD158+$AE158+$AF158)*$AG158,"")</f>
      </c>
      <c r="AI158" s="50"/>
      <c r="AJ158" s="38">
        <f>IF(ISNUMBER($AD158),SUM($AD158:$AH158),"")</f>
      </c>
      <c r="AK158" s="40">
        <f>IF(AND(ISNUMBER($AB158),ISNUMBER($AD158)),IF($AB158&gt;0,$AD158/$AB158,""),"")</f>
      </c>
      <c r="AL158" s="48" t="inlineStr">
        <is>
          <t xml:space="preserve">At technical</t>
        </is>
      </c>
      <c r="AM158" s="41">
        <f>IF(ISNUMBER($AD158),Header!$I$3,"")</f>
      </c>
      <c r="AN158" s="39">
        <f>IF(ISNUMBER($AD158),$AO158+$AP158,"")</f>
      </c>
      <c r="AO158" s="39">
        <f>IF(ISNUMBER($AD158),ROUND($AD158*Header!$K$3,2),"")</f>
      </c>
      <c r="AP158" s="39">
        <f>IF(ISNUMBER($AD158),ROUND($AD158*Header!$M$3,2),"")</f>
      </c>
      <c r="AQ158" s="38">
        <f>IF(ISNUMBER($AD158),ROUND($AD158,2)-$AO158-$AP158,"")</f>
      </c>
      <c r="AR158" s="39">
        <f>IF(ISNUMBER($AD158),IF(Header!$D$34="","?",$AD158*Header!$D$34),"")</f>
      </c>
      <c r="AS158" s="39">
        <f>IF(ISNUMBER($AB158),IF(Header!$D$34="","?",$AB158*Header!$D$34),"")</f>
      </c>
      <c r="AT158" s="42">
        <f>IF(AND(ISNUMBER($AB158),$M158&gt;0),$AB158/$M158*100,"")</f>
      </c>
      <c r="AU158" s="42">
        <f>IF(AND(ISNUMBER($AD158),$M158&gt;0),$AD158/$M158*100,"")</f>
      </c>
      <c r="AV158" s="40">
        <f>IF(AND(ISNUMBER($AB158),ISNUMBER($AD158),ABS($AB158)&gt;0),$AD158/$AB158,"")</f>
      </c>
      <c r="AW158" s="39">
        <f>IF(ISNUMBER($AD158),MAX(0,(1-0.55-Header!$O$3)*Header!$Q$3*$AQ158),"")</f>
      </c>
      <c r="AX158" s="43">
        <f>IF($A158="","",IF(TRIM(IF($A158="","Missing certificate ref. ","") &amp; IF($C158="","Missing effective date. ","") &amp; IF($D158="","Missing binding status. ","") &amp; IF($E158="","Missing movement type. ","") &amp; IF($I158="","Missing make. ","") &amp; IF($L158="","Missing vehicle class. ","") &amp; IF($M158="","Missing agreed value. ","") &amp; IF($N158="","Missing policy type. ","") &amp; IF($Q158="","Missing garaging state. ","") &amp; IF($R158="","Missing garaging ZIP. ","") &amp; IF($S158="","Missing cat zone. ","") &amp; IF($V158="","Missing valuation basis. ","") &amp; IF($W158="","Missing PD deductible. ","") &amp; IF($X158="","Missing liability limit. ","") &amp; IF($AB158="","Missing technical premium. ","") &amp; IF($AF158="","Missing surplus lines tax %. ",""))="","PASS","FAIL: "&amp;TRIM(IF($A158="","Missing certificate ref. ","") &amp; IF($C158="","Missing effective date. ","") &amp; IF($D158="","Missing binding status. ","") &amp; IF($E158="","Missing movement type. ","") &amp; IF($I158="","Missing make. ","") &amp; IF($L158="","Missing vehicle class. ","") &amp; IF($M158="","Missing agreed value. ","") &amp; IF($N158="","Missing policy type. ","") &amp; IF($Q158="","Missing garaging state. ","") &amp; IF($R158="","Missing garaging ZIP. ","") &amp; IF($S158="","Missing cat zone. ","") &amp; IF($V158="","Missing valuation basis. ","") &amp; IF($W158="","Missing PD deductible. ","") &amp; IF($X158="","Missing liability limit. ","") &amp; IF($AB158="","Missing technical premium. ","") &amp; IF($AF158="","Missing surplus lines tax %. ",""))))</f>
      </c>
      <c r="AY158" s="44">
        <f>IF($M158="","",IF(ISNUMBER($M158),IF($M158&gt;=Header!$C$18,"YES — refer","No"),""))</f>
      </c>
      <c r="AZ158" s="44">
        <f>IF($AD158="","",IF(ISNUMBER($AD158),IF($AD158&lt;Header!$C$20,"BELOW MIN PREMIUM","OK"),""))</f>
      </c>
      <c r="BA158" s="48" t="inlineStr">
        <is>
          <t xml:space="preserve">Yes</t>
        </is>
      </c>
      <c r="BB158" s="48" t="inlineStr">
        <is>
          <t xml:space="preserve">Yes</t>
        </is>
      </c>
      <c r="BC158" s="46" t="inlineStr">
        <is>
          <t xml:space="preserve">Synthetic demo data</t>
        </is>
      </c>
      <c r="BE158" s="45">
        <f>IF(OR($A158="",$L158="",$H158=""),"",IF(AND(LEFT($L158,2)="06",$H158&gt;1945),"FAIL - pre-war class, year "&amp;$H158,IF(AND(LEFT($L158,2)="07",OR($H158&lt;1946,$H158&gt;1972)),"FAIL - 1946-72 class, year "&amp;$H158,IF(AND(LEFT($L158,2)="08",OR($H158&lt;1973,$H158&gt;1999)),"FAIL - 1973-99 class, year "&amp;$H158,IF(AND(LEFT($L158,2)="09",OR($H158&lt;2000,$H158&gt;2010)),"FAIL - 2000-10 class, year "&amp;$H158,"OK")))))</f>
      </c>
      <c r="BF158" s="45">
        <f>IF($AD158="","",IF(ROUND($AO158+$AP158+$AQ158-$AD158,2)=0,"OK","FAIL - out by "&amp;TEXT($AO158+$AP158+$AQ158-$AD158,"$0.00")))</f>
      </c>
    </row>
    <row r="159" spans="1:58" ht="18.75" customHeight="1" x14ac:dyDescent="0.25">
      <c r="A159" s="30" t="inlineStr">
        <is>
          <t xml:space="preserve">CANON-202511-002377</t>
        </is>
      </c>
      <c r="B159" s="30" t="inlineStr">
        <is>
          <t xml:space="preserve">Everett Chattopadhyay</t>
        </is>
      </c>
      <c r="C159" s="31">
        <v>45964</v>
      </c>
      <c r="D159" s="32" t="inlineStr">
        <is>
          <t xml:space="preserve">Bound - within authority</t>
        </is>
      </c>
      <c r="E159" s="32" t="inlineStr">
        <is>
          <t xml:space="preserve">New business</t>
        </is>
      </c>
      <c r="F159" s="30" t="inlineStr">
        <is>
          <t xml:space="preserve">B1234EXOTIC26</t>
        </is>
      </c>
      <c r="G159" s="33">
        <f>IF($A159="","",IF($C159="","",YEAR($C159)))</f>
      </c>
      <c r="H159" s="34">
        <v>2018</v>
      </c>
      <c r="I159" s="30" t="inlineStr">
        <is>
          <t xml:space="preserve">BMW</t>
        </is>
      </c>
      <c r="J159" s="30" t="inlineStr">
        <is>
          <t xml:space="preserve">M8 Competition</t>
        </is>
      </c>
      <c r="K159" s="30" t="inlineStr">
        <is>
          <t xml:space="preserve">2D4J4V2DGAUP6VHVF</t>
        </is>
      </c>
      <c r="L159" s="32" t="inlineStr">
        <is>
          <t xml:space="preserve">02 - Sports / GT</t>
        </is>
      </c>
      <c r="M159" s="35">
        <v>445000</v>
      </c>
      <c r="N159" s="32" t="inlineStr">
        <is>
          <t xml:space="preserve">Personal</t>
        </is>
      </c>
      <c r="O159" s="30" t="inlineStr">
        <is>
          <t xml:space="preserve">Personal - regular use</t>
        </is>
      </c>
      <c r="P159" s="30" t="inlineStr">
        <is>
          <t xml:space="preserve">1,000 - 2,500</t>
        </is>
      </c>
      <c r="Q159" s="30" t="inlineStr">
        <is>
          <t xml:space="preserve">Washington</t>
        </is>
      </c>
      <c r="R159" s="30" t="inlineStr">
        <is>
          <t xml:space="preserve">98101</t>
        </is>
      </c>
      <c r="S159" s="32" t="inlineStr">
        <is>
          <t xml:space="preserve">Earthquake - high (CA, Cascadia, New Madrid)</t>
        </is>
      </c>
      <c r="T159" s="36">
        <f>IF($A159="","",IF($S159="","",IFERROR(INDEX('[1]natural catastrophe'!$D$6:$D$17,MATCH($S159,'[1]natural catastrophe'!$B$6:$B$17,0)),"?")))</f>
      </c>
      <c r="U159" s="30" t="inlineStr">
        <is>
          <t xml:space="preserve">$5,000</t>
        </is>
      </c>
      <c r="V159" s="32" t="inlineStr">
        <is>
          <t xml:space="preserve">Agreed Value</t>
        </is>
      </c>
      <c r="W159" s="30" t="inlineStr">
        <is>
          <t xml:space="preserve">$1,000</t>
        </is>
      </c>
      <c r="X159" s="32" t="inlineStr">
        <is>
          <t xml:space="preserve">$1,000,000 CSL</t>
        </is>
      </c>
      <c r="Y159" s="30"/>
      <c r="Z159" s="30"/>
      <c r="AA159" s="32" t="inlineStr">
        <is>
          <t xml:space="preserve">Surplus Lines</t>
        </is>
      </c>
      <c r="AB159" s="35">
        <v>5558.03</v>
      </c>
      <c r="AC159" s="37">
        <v>0</v>
      </c>
      <c r="AD159" s="38">
        <f>IF(ISNUMBER($AB159),$AB159*(1+N($AC159)),"")</f>
      </c>
      <c r="AE159" s="35">
        <v>350</v>
      </c>
      <c r="AF159" s="35">
        <v>0</v>
      </c>
      <c r="AG159" s="37"/>
      <c r="AH159" s="39">
        <f>IF(ISNUMBER($AD159),($AD159+$AE159+$AF159)*$AG159,"")</f>
      </c>
      <c r="AI159" s="35"/>
      <c r="AJ159" s="38">
        <f>IF(ISNUMBER($AD159),SUM($AD159:$AH159),"")</f>
      </c>
      <c r="AK159" s="40">
        <f>IF(AND(ISNUMBER($AB159),ISNUMBER($AD159)),IF($AB159&gt;0,$AD159/$AB159,""),"")</f>
      </c>
      <c r="AL159" s="32" t="inlineStr">
        <is>
          <t xml:space="preserve">At technical</t>
        </is>
      </c>
      <c r="AM159" s="41">
        <f>IF(ISNUMBER($AD159),Header!$I$3,"")</f>
      </c>
      <c r="AN159" s="39">
        <f>IF(ISNUMBER($AD159),$AO159+$AP159,"")</f>
      </c>
      <c r="AO159" s="39">
        <f>IF(ISNUMBER($AD159),ROUND($AD159*Header!$K$3,2),"")</f>
      </c>
      <c r="AP159" s="39">
        <f>IF(ISNUMBER($AD159),ROUND($AD159*Header!$M$3,2),"")</f>
      </c>
      <c r="AQ159" s="38">
        <f>IF(ISNUMBER($AD159),ROUND($AD159,2)-$AO159-$AP159,"")</f>
      </c>
      <c r="AR159" s="39">
        <f>IF(ISNUMBER($AD159),IF(Header!$D$34="","?",$AD159*Header!$D$34),"")</f>
      </c>
      <c r="AS159" s="39">
        <f>IF(ISNUMBER($AB159),IF(Header!$D$34="","?",$AB159*Header!$D$34),"")</f>
      </c>
      <c r="AT159" s="42">
        <f>IF(AND(ISNUMBER($AB159),$M159&gt;0),$AB159/$M159*100,"")</f>
      </c>
      <c r="AU159" s="42">
        <f>IF(AND(ISNUMBER($AD159),$M159&gt;0),$AD159/$M159*100,"")</f>
      </c>
      <c r="AV159" s="40">
        <f>IF(AND(ISNUMBER($AB159),ISNUMBER($AD159),ABS($AB159)&gt;0),$AD159/$AB159,"")</f>
      </c>
      <c r="AW159" s="39">
        <f>IF(ISNUMBER($AD159),MAX(0,(1-0.55-Header!$O$3)*Header!$Q$3*$AQ159),"")</f>
      </c>
      <c r="AX159" s="43">
        <f>IF($A159="","",IF(TRIM(IF($A159="","Missing certificate ref. ","") &amp; IF($C159="","Missing effective date. ","") &amp; IF($D159="","Missing binding status. ","") &amp; IF($E159="","Missing movement type. ","") &amp; IF($I159="","Missing make. ","") &amp; IF($L159="","Missing vehicle class. ","") &amp; IF($M159="","Missing agreed value. ","") &amp; IF($N159="","Missing policy type. ","") &amp; IF($Q159="","Missing garaging state. ","") &amp; IF($R159="","Missing garaging ZIP. ","") &amp; IF($S159="","Missing cat zone. ","") &amp; IF($V159="","Missing valuation basis. ","") &amp; IF($W159="","Missing PD deductible. ","") &amp; IF($X159="","Missing liability limit. ","") &amp; IF($AB159="","Missing technical premium. ","") &amp; IF($AF159="","Missing surplus lines tax %. ",""))="","PASS","FAIL: "&amp;TRIM(IF($A159="","Missing certificate ref. ","") &amp; IF($C159="","Missing effective date. ","") &amp; IF($D159="","Missing binding status. ","") &amp; IF($E159="","Missing movement type. ","") &amp; IF($I159="","Missing make. ","") &amp; IF($L159="","Missing vehicle class. ","") &amp; IF($M159="","Missing agreed value. ","") &amp; IF($N159="","Missing policy type. ","") &amp; IF($Q159="","Missing garaging state. ","") &amp; IF($R159="","Missing garaging ZIP. ","") &amp; IF($S159="","Missing cat zone. ","") &amp; IF($V159="","Missing valuation basis. ","") &amp; IF($W159="","Missing PD deductible. ","") &amp; IF($X159="","Missing liability limit. ","") &amp; IF($AB159="","Missing technical premium. ","") &amp; IF($AF159="","Missing surplus lines tax %. ",""))))</f>
      </c>
      <c r="AY159" s="44">
        <f>IF($M159="","",IF(ISNUMBER($M159),IF($M159&gt;=Header!$C$18,"YES — refer","No"),""))</f>
      </c>
      <c r="AZ159" s="44">
        <f>IF($AD159="","",IF(ISNUMBER($AD159),IF($AD159&lt;Header!$C$20,"BELOW MIN PREMIUM","OK"),""))</f>
      </c>
      <c r="BA159" s="32" t="inlineStr">
        <is>
          <t xml:space="preserve">Yes</t>
        </is>
      </c>
      <c r="BB159" s="32" t="inlineStr">
        <is>
          <t xml:space="preserve">Yes</t>
        </is>
      </c>
      <c r="BC159" s="30" t="inlineStr">
        <is>
          <t xml:space="preserve">Synthetic demo data</t>
        </is>
      </c>
      <c r="BE159" s="45">
        <f>IF(OR($A159="",$L159="",$H159=""),"",IF(AND(LEFT($L159,2)="06",$H159&gt;1945),"FAIL - pre-war class, year "&amp;$H159,IF(AND(LEFT($L159,2)="07",OR($H159&lt;1946,$H159&gt;1972)),"FAIL - 1946-72 class, year "&amp;$H159,IF(AND(LEFT($L159,2)="08",OR($H159&lt;1973,$H159&gt;1999)),"FAIL - 1973-99 class, year "&amp;$H159,IF(AND(LEFT($L159,2)="09",OR($H159&lt;2000,$H159&gt;2010)),"FAIL - 2000-10 class, year "&amp;$H159,"OK")))))</f>
      </c>
      <c r="BF159" s="45">
        <f>IF($AD159="","",IF(ROUND($AO159+$AP159+$AQ159-$AD159,2)=0,"OK","FAIL - out by "&amp;TEXT($AO159+$AP159+$AQ159-$AD159,"$0.00")))</f>
      </c>
    </row>
    <row r="160" spans="1:58" ht="18.75" customHeight="1" x14ac:dyDescent="0.25">
      <c r="A160" s="46" t="inlineStr">
        <is>
          <t xml:space="preserve">CANON-202511-002378</t>
        </is>
      </c>
      <c r="B160" s="46" t="inlineStr">
        <is>
          <t xml:space="preserve">Priya Okonkwo</t>
        </is>
      </c>
      <c r="C160" s="47">
        <v>45968</v>
      </c>
      <c r="D160" s="48" t="inlineStr">
        <is>
          <t xml:space="preserve">Bound - within authority</t>
        </is>
      </c>
      <c r="E160" s="48" t="inlineStr">
        <is>
          <t xml:space="preserve">New business</t>
        </is>
      </c>
      <c r="F160" s="46" t="inlineStr">
        <is>
          <t xml:space="preserve">B1234EXOTIC26</t>
        </is>
      </c>
      <c r="G160" s="33">
        <f>IF($A160="","",IF($C160="","",YEAR($C160)))</f>
      </c>
      <c r="H160" s="49">
        <v>2000</v>
      </c>
      <c r="I160" s="46" t="inlineStr">
        <is>
          <t xml:space="preserve">Ferrari</t>
        </is>
      </c>
      <c r="J160" s="46" t="inlineStr">
        <is>
          <t xml:space="preserve">296 GTB</t>
        </is>
      </c>
      <c r="K160" s="46" t="inlineStr">
        <is>
          <t xml:space="preserve">4ZWN7XR2SS2TFBUJT</t>
        </is>
      </c>
      <c r="L160" s="48" t="inlineStr">
        <is>
          <t xml:space="preserve">03 - Supercar</t>
        </is>
      </c>
      <c r="M160" s="50">
        <v>320000</v>
      </c>
      <c r="N160" s="48" t="inlineStr">
        <is>
          <t xml:space="preserve">Personal</t>
        </is>
      </c>
      <c r="O160" s="46" t="inlineStr">
        <is>
          <t xml:space="preserve">Personal - regular use</t>
        </is>
      </c>
      <c r="P160" s="46" t="inlineStr">
        <is>
          <t xml:space="preserve">1,000 - 2,500</t>
        </is>
      </c>
      <c r="Q160" s="46" t="inlineStr">
        <is>
          <t xml:space="preserve">South Dakota</t>
        </is>
      </c>
      <c r="R160" s="46" t="inlineStr">
        <is>
          <t xml:space="preserve">57501</t>
        </is>
      </c>
      <c r="S160" s="48" t="inlineStr">
        <is>
          <t xml:space="preserve">Severe convective - hail alley (high)</t>
        </is>
      </c>
      <c r="T160" s="36">
        <f>IF($A160="","",IF($S160="","",IFERROR(INDEX('[1]natural catastrophe'!$D$6:$D$17,MATCH($S160,'[1]natural catastrophe'!$B$6:$B$17,0)),"?")))</f>
      </c>
      <c r="U160" s="46" t="inlineStr">
        <is>
          <t xml:space="preserve">$5,000</t>
        </is>
      </c>
      <c r="V160" s="48" t="inlineStr">
        <is>
          <t xml:space="preserve">Agreed Value</t>
        </is>
      </c>
      <c r="W160" s="46" t="inlineStr">
        <is>
          <t xml:space="preserve">$1,000</t>
        </is>
      </c>
      <c r="X160" s="48" t="inlineStr">
        <is>
          <t xml:space="preserve">$1,000,000 CSL</t>
        </is>
      </c>
      <c r="Y160" s="46"/>
      <c r="Z160" s="46"/>
      <c r="AA160" s="48" t="inlineStr">
        <is>
          <t xml:space="preserve">Surplus Lines</t>
        </is>
      </c>
      <c r="AB160" s="50">
        <v>7085.97</v>
      </c>
      <c r="AC160" s="51">
        <v>0</v>
      </c>
      <c r="AD160" s="38">
        <f>IF(ISNUMBER($AB160),$AB160*(1+N($AC160)),"")</f>
      </c>
      <c r="AE160" s="50">
        <v>350</v>
      </c>
      <c r="AF160" s="50">
        <v>0</v>
      </c>
      <c r="AG160" s="51"/>
      <c r="AH160" s="39">
        <f>IF(ISNUMBER($AD160),($AD160+$AE160+$AF160)*$AG160,"")</f>
      </c>
      <c r="AI160" s="50"/>
      <c r="AJ160" s="38">
        <f>IF(ISNUMBER($AD160),SUM($AD160:$AH160),"")</f>
      </c>
      <c r="AK160" s="40">
        <f>IF(AND(ISNUMBER($AB160),ISNUMBER($AD160)),IF($AB160&gt;0,$AD160/$AB160,""),"")</f>
      </c>
      <c r="AL160" s="48" t="inlineStr">
        <is>
          <t xml:space="preserve">At technical</t>
        </is>
      </c>
      <c r="AM160" s="41">
        <f>IF(ISNUMBER($AD160),Header!$I$3,"")</f>
      </c>
      <c r="AN160" s="39">
        <f>IF(ISNUMBER($AD160),$AO160+$AP160,"")</f>
      </c>
      <c r="AO160" s="39">
        <f>IF(ISNUMBER($AD160),ROUND($AD160*Header!$K$3,2),"")</f>
      </c>
      <c r="AP160" s="39">
        <f>IF(ISNUMBER($AD160),ROUND($AD160*Header!$M$3,2),"")</f>
      </c>
      <c r="AQ160" s="38">
        <f>IF(ISNUMBER($AD160),ROUND($AD160,2)-$AO160-$AP160,"")</f>
      </c>
      <c r="AR160" s="39">
        <f>IF(ISNUMBER($AD160),IF(Header!$D$34="","?",$AD160*Header!$D$34),"")</f>
      </c>
      <c r="AS160" s="39">
        <f>IF(ISNUMBER($AB160),IF(Header!$D$34="","?",$AB160*Header!$D$34),"")</f>
      </c>
      <c r="AT160" s="42">
        <f>IF(AND(ISNUMBER($AB160),$M160&gt;0),$AB160/$M160*100,"")</f>
      </c>
      <c r="AU160" s="42">
        <f>IF(AND(ISNUMBER($AD160),$M160&gt;0),$AD160/$M160*100,"")</f>
      </c>
      <c r="AV160" s="40">
        <f>IF(AND(ISNUMBER($AB160),ISNUMBER($AD160),ABS($AB160)&gt;0),$AD160/$AB160,"")</f>
      </c>
      <c r="AW160" s="39">
        <f>IF(ISNUMBER($AD160),MAX(0,(1-0.55-Header!$O$3)*Header!$Q$3*$AQ160),"")</f>
      </c>
      <c r="AX160" s="43">
        <f>IF($A160="","",IF(TRIM(IF($A160="","Missing certificate ref. ","") &amp; IF($C160="","Missing effective date. ","") &amp; IF($D160="","Missing binding status. ","") &amp; IF($E160="","Missing movement type. ","") &amp; IF($I160="","Missing make. ","") &amp; IF($L160="","Missing vehicle class. ","") &amp; IF($M160="","Missing agreed value. ","") &amp; IF($N160="","Missing policy type. ","") &amp; IF($Q160="","Missing garaging state. ","") &amp; IF($R160="","Missing garaging ZIP. ","") &amp; IF($S160="","Missing cat zone. ","") &amp; IF($V160="","Missing valuation basis. ","") &amp; IF($W160="","Missing PD deductible. ","") &amp; IF($X160="","Missing liability limit. ","") &amp; IF($AB160="","Missing technical premium. ","") &amp; IF($AF160="","Missing surplus lines tax %. ",""))="","PASS","FAIL: "&amp;TRIM(IF($A160="","Missing certificate ref. ","") &amp; IF($C160="","Missing effective date. ","") &amp; IF($D160="","Missing binding status. ","") &amp; IF($E160="","Missing movement type. ","") &amp; IF($I160="","Missing make. ","") &amp; IF($L160="","Missing vehicle class. ","") &amp; IF($M160="","Missing agreed value. ","") &amp; IF($N160="","Missing policy type. ","") &amp; IF($Q160="","Missing garaging state. ","") &amp; IF($R160="","Missing garaging ZIP. ","") &amp; IF($S160="","Missing cat zone. ","") &amp; IF($V160="","Missing valuation basis. ","") &amp; IF($W160="","Missing PD deductible. ","") &amp; IF($X160="","Missing liability limit. ","") &amp; IF($AB160="","Missing technical premium. ","") &amp; IF($AF160="","Missing surplus lines tax %. ",""))))</f>
      </c>
      <c r="AY160" s="44">
        <f>IF($M160="","",IF(ISNUMBER($M160),IF($M160&gt;=Header!$C$18,"YES — refer","No"),""))</f>
      </c>
      <c r="AZ160" s="44">
        <f>IF($AD160="","",IF(ISNUMBER($AD160),IF($AD160&lt;Header!$C$20,"BELOW MIN PREMIUM","OK"),""))</f>
      </c>
      <c r="BA160" s="48" t="inlineStr">
        <is>
          <t xml:space="preserve">Yes</t>
        </is>
      </c>
      <c r="BB160" s="48" t="inlineStr">
        <is>
          <t xml:space="preserve">Yes</t>
        </is>
      </c>
      <c r="BC160" s="46" t="inlineStr">
        <is>
          <t xml:space="preserve">Synthetic demo data</t>
        </is>
      </c>
      <c r="BE160" s="45">
        <f>IF(OR($A160="",$L160="",$H160=""),"",IF(AND(LEFT($L160,2)="06",$H160&gt;1945),"FAIL - pre-war class, year "&amp;$H160,IF(AND(LEFT($L160,2)="07",OR($H160&lt;1946,$H160&gt;1972)),"FAIL - 1946-72 class, year "&amp;$H160,IF(AND(LEFT($L160,2)="08",OR($H160&lt;1973,$H160&gt;1999)),"FAIL - 1973-99 class, year "&amp;$H160,IF(AND(LEFT($L160,2)="09",OR($H160&lt;2000,$H160&gt;2010)),"FAIL - 2000-10 class, year "&amp;$H160,"OK")))))</f>
      </c>
      <c r="BF160" s="45">
        <f>IF($AD160="","",IF(ROUND($AO160+$AP160+$AQ160-$AD160,2)=0,"OK","FAIL - out by "&amp;TEXT($AO160+$AP160+$AQ160-$AD160,"$0.00")))</f>
      </c>
    </row>
    <row r="161" spans="1:58" ht="18.75" customHeight="1" x14ac:dyDescent="0.25">
      <c r="A161" s="30" t="inlineStr">
        <is>
          <t xml:space="preserve">CANON-202511-002384</t>
        </is>
      </c>
      <c r="B161" s="30" t="inlineStr">
        <is>
          <t xml:space="preserve">Horace Chattopadhyay</t>
        </is>
      </c>
      <c r="C161" s="31">
        <v>45986</v>
      </c>
      <c r="D161" s="32" t="inlineStr">
        <is>
          <t xml:space="preserve">Bound - within authority</t>
        </is>
      </c>
      <c r="E161" s="32" t="inlineStr">
        <is>
          <t xml:space="preserve">New business</t>
        </is>
      </c>
      <c r="F161" s="30" t="inlineStr">
        <is>
          <t xml:space="preserve">B1234EXOTIC26</t>
        </is>
      </c>
      <c r="G161" s="33">
        <f>IF($A161="","",IF($C161="","",YEAR($C161)))</f>
      </c>
      <c r="H161" s="34">
        <v>1981</v>
      </c>
      <c r="I161" s="30" t="inlineStr">
        <is>
          <t xml:space="preserve">Mercedes-Benz</t>
        </is>
      </c>
      <c r="J161" s="30" t="inlineStr">
        <is>
          <t xml:space="preserve">AMG GT</t>
        </is>
      </c>
      <c r="K161" s="30" t="inlineStr">
        <is>
          <t xml:space="preserve">MUSYKG3TYBZP8YYL0</t>
        </is>
      </c>
      <c r="L161" s="32" t="inlineStr">
        <is>
          <t xml:space="preserve">02 - Sports / GT</t>
        </is>
      </c>
      <c r="M161" s="35">
        <v>600000</v>
      </c>
      <c r="N161" s="32" t="inlineStr">
        <is>
          <t xml:space="preserve">Personal</t>
        </is>
      </c>
      <c r="O161" s="30" t="inlineStr">
        <is>
          <t xml:space="preserve">Personal - regular use</t>
        </is>
      </c>
      <c r="P161" s="30" t="inlineStr">
        <is>
          <t xml:space="preserve">2,500 - 5,000</t>
        </is>
      </c>
      <c r="Q161" s="30" t="inlineStr">
        <is>
          <t xml:space="preserve">New Mexico</t>
        </is>
      </c>
      <c r="R161" s="30" t="inlineStr">
        <is>
          <t xml:space="preserve">87501</t>
        </is>
      </c>
      <c r="S161" s="32" t="inlineStr">
        <is>
          <t xml:space="preserve">Wildfire - WUI high hazard</t>
        </is>
      </c>
      <c r="T161" s="36">
        <f>IF($A161="","",IF($S161="","",IFERROR(INDEX('[1]natural catastrophe'!$D$6:$D$17,MATCH($S161,'[1]natural catastrophe'!$B$6:$B$17,0)),"?")))</f>
      </c>
      <c r="U161" s="30" t="inlineStr">
        <is>
          <t xml:space="preserve">$5,000</t>
        </is>
      </c>
      <c r="V161" s="32" t="inlineStr">
        <is>
          <t xml:space="preserve">Agreed Value</t>
        </is>
      </c>
      <c r="W161" s="30" t="inlineStr">
        <is>
          <t xml:space="preserve">$1,000</t>
        </is>
      </c>
      <c r="X161" s="32" t="inlineStr">
        <is>
          <t xml:space="preserve">$1,000,000 CSL</t>
        </is>
      </c>
      <c r="Y161" s="30"/>
      <c r="Z161" s="30"/>
      <c r="AA161" s="32" t="inlineStr">
        <is>
          <t xml:space="preserve">Surplus Lines</t>
        </is>
      </c>
      <c r="AB161" s="35">
        <v>8659.71</v>
      </c>
      <c r="AC161" s="37">
        <v>0</v>
      </c>
      <c r="AD161" s="38">
        <f>IF(ISNUMBER($AB161),$AB161*(1+N($AC161)),"")</f>
      </c>
      <c r="AE161" s="35">
        <v>350</v>
      </c>
      <c r="AF161" s="35">
        <v>0</v>
      </c>
      <c r="AG161" s="37"/>
      <c r="AH161" s="39">
        <f>IF(ISNUMBER($AD161),($AD161+$AE161+$AF161)*$AG161,"")</f>
      </c>
      <c r="AI161" s="35"/>
      <c r="AJ161" s="38">
        <f>IF(ISNUMBER($AD161),SUM($AD161:$AH161),"")</f>
      </c>
      <c r="AK161" s="40">
        <f>IF(AND(ISNUMBER($AB161),ISNUMBER($AD161)),IF($AB161&gt;0,$AD161/$AB161,""),"")</f>
      </c>
      <c r="AL161" s="32" t="inlineStr">
        <is>
          <t xml:space="preserve">At technical</t>
        </is>
      </c>
      <c r="AM161" s="41">
        <f>IF(ISNUMBER($AD161),Header!$I$3,"")</f>
      </c>
      <c r="AN161" s="39">
        <f>IF(ISNUMBER($AD161),$AO161+$AP161,"")</f>
      </c>
      <c r="AO161" s="39">
        <f>IF(ISNUMBER($AD161),ROUND($AD161*Header!$K$3,2),"")</f>
      </c>
      <c r="AP161" s="39">
        <f>IF(ISNUMBER($AD161),ROUND($AD161*Header!$M$3,2),"")</f>
      </c>
      <c r="AQ161" s="38">
        <f>IF(ISNUMBER($AD161),ROUND($AD161,2)-$AO161-$AP161,"")</f>
      </c>
      <c r="AR161" s="39">
        <f>IF(ISNUMBER($AD161),IF(Header!$D$34="","?",$AD161*Header!$D$34),"")</f>
      </c>
      <c r="AS161" s="39">
        <f>IF(ISNUMBER($AB161),IF(Header!$D$34="","?",$AB161*Header!$D$34),"")</f>
      </c>
      <c r="AT161" s="42">
        <f>IF(AND(ISNUMBER($AB161),$M161&gt;0),$AB161/$M161*100,"")</f>
      </c>
      <c r="AU161" s="42">
        <f>IF(AND(ISNUMBER($AD161),$M161&gt;0),$AD161/$M161*100,"")</f>
      </c>
      <c r="AV161" s="40">
        <f>IF(AND(ISNUMBER($AB161),ISNUMBER($AD161),ABS($AB161)&gt;0),$AD161/$AB161,"")</f>
      </c>
      <c r="AW161" s="39">
        <f>IF(ISNUMBER($AD161),MAX(0,(1-0.55-Header!$O$3)*Header!$Q$3*$AQ161),"")</f>
      </c>
      <c r="AX161" s="43">
        <f>IF($A161="","",IF(TRIM(IF($A161="","Missing certificate ref. ","") &amp; IF($C161="","Missing effective date. ","") &amp; IF($D161="","Missing binding status. ","") &amp; IF($E161="","Missing movement type. ","") &amp; IF($I161="","Missing make. ","") &amp; IF($L161="","Missing vehicle class. ","") &amp; IF($M161="","Missing agreed value. ","") &amp; IF($N161="","Missing policy type. ","") &amp; IF($Q161="","Missing garaging state. ","") &amp; IF($R161="","Missing garaging ZIP. ","") &amp; IF($S161="","Missing cat zone. ","") &amp; IF($V161="","Missing valuation basis. ","") &amp; IF($W161="","Missing PD deductible. ","") &amp; IF($X161="","Missing liability limit. ","") &amp; IF($AB161="","Missing technical premium. ","") &amp; IF($AF161="","Missing surplus lines tax %. ",""))="","PASS","FAIL: "&amp;TRIM(IF($A161="","Missing certificate ref. ","") &amp; IF($C161="","Missing effective date. ","") &amp; IF($D161="","Missing binding status. ","") &amp; IF($E161="","Missing movement type. ","") &amp; IF($I161="","Missing make. ","") &amp; IF($L161="","Missing vehicle class. ","") &amp; IF($M161="","Missing agreed value. ","") &amp; IF($N161="","Missing policy type. ","") &amp; IF($Q161="","Missing garaging state. ","") &amp; IF($R161="","Missing garaging ZIP. ","") &amp; IF($S161="","Missing cat zone. ","") &amp; IF($V161="","Missing valuation basis. ","") &amp; IF($W161="","Missing PD deductible. ","") &amp; IF($X161="","Missing liability limit. ","") &amp; IF($AB161="","Missing technical premium. ","") &amp; IF($AF161="","Missing surplus lines tax %. ",""))))</f>
      </c>
      <c r="AY161" s="44">
        <f>IF($M161="","",IF(ISNUMBER($M161),IF($M161&gt;=Header!$C$18,"YES — refer","No"),""))</f>
      </c>
      <c r="AZ161" s="44">
        <f>IF($AD161="","",IF(ISNUMBER($AD161),IF($AD161&lt;Header!$C$20,"BELOW MIN PREMIUM","OK"),""))</f>
      </c>
      <c r="BA161" s="32" t="inlineStr">
        <is>
          <t xml:space="preserve">Yes</t>
        </is>
      </c>
      <c r="BB161" s="32" t="inlineStr">
        <is>
          <t xml:space="preserve">Yes</t>
        </is>
      </c>
      <c r="BC161" s="30" t="inlineStr">
        <is>
          <t xml:space="preserve">Synthetic demo data</t>
        </is>
      </c>
      <c r="BE161" s="45">
        <f>IF(OR($A161="",$L161="",$H161=""),"",IF(AND(LEFT($L161,2)="06",$H161&gt;1945),"FAIL - pre-war class, year "&amp;$H161,IF(AND(LEFT($L161,2)="07",OR($H161&lt;1946,$H161&gt;1972)),"FAIL - 1946-72 class, year "&amp;$H161,IF(AND(LEFT($L161,2)="08",OR($H161&lt;1973,$H161&gt;1999)),"FAIL - 1973-99 class, year "&amp;$H161,IF(AND(LEFT($L161,2)="09",OR($H161&lt;2000,$H161&gt;2010)),"FAIL - 2000-10 class, year "&amp;$H161,"OK")))))</f>
      </c>
      <c r="BF161" s="45">
        <f>IF($AD161="","",IF(ROUND($AO161+$AP161+$AQ161-$AD161,2)=0,"OK","FAIL - out by "&amp;TEXT($AO161+$AP161+$AQ161-$AD161,"$0.00")))</f>
      </c>
    </row>
    <row r="162" spans="1:58" ht="18.75" customHeight="1" x14ac:dyDescent="0.25">
      <c r="A162" s="46" t="inlineStr">
        <is>
          <t xml:space="preserve">CANON-202511-002385</t>
        </is>
      </c>
      <c r="B162" s="46" t="inlineStr">
        <is>
          <t xml:space="preserve">Aurelio Fairweather</t>
        </is>
      </c>
      <c r="C162" s="47">
        <v>45987</v>
      </c>
      <c r="D162" s="48" t="inlineStr">
        <is>
          <t xml:space="preserve">Bound - within authority</t>
        </is>
      </c>
      <c r="E162" s="48" t="inlineStr">
        <is>
          <t xml:space="preserve">New business</t>
        </is>
      </c>
      <c r="F162" s="46" t="inlineStr">
        <is>
          <t xml:space="preserve">B1234EXOTIC26</t>
        </is>
      </c>
      <c r="G162" s="33">
        <f>IF($A162="","",IF($C162="","",YEAR($C162)))</f>
      </c>
      <c r="H162" s="49">
        <v>1975</v>
      </c>
      <c r="I162" s="46" t="inlineStr">
        <is>
          <t xml:space="preserve">Bugatti</t>
        </is>
      </c>
      <c r="J162" s="46" t="inlineStr">
        <is>
          <t xml:space="preserve">Type 57</t>
        </is>
      </c>
      <c r="K162" s="46" t="inlineStr">
        <is>
          <t xml:space="preserve">0EZX072TSJB4YMN01</t>
        </is>
      </c>
      <c r="L162" s="48" t="inlineStr">
        <is>
          <t xml:space="preserve">08 - Modern Classic (1973-1999)</t>
        </is>
      </c>
      <c r="M162" s="50">
        <v>600000</v>
      </c>
      <c r="N162" s="48" t="inlineStr">
        <is>
          <t xml:space="preserve">Personal</t>
        </is>
      </c>
      <c r="O162" s="46" t="inlineStr">
        <is>
          <t xml:space="preserve">Personal - regular use</t>
        </is>
      </c>
      <c r="P162" s="46" t="inlineStr">
        <is>
          <t xml:space="preserve">1,000 - 2,500</t>
        </is>
      </c>
      <c r="Q162" s="46" t="inlineStr">
        <is>
          <t xml:space="preserve">New York</t>
        </is>
      </c>
      <c r="R162" s="46" t="inlineStr">
        <is>
          <t xml:space="preserve">10022</t>
        </is>
      </c>
      <c r="S162" s="48" t="inlineStr">
        <is>
          <t xml:space="preserve">Tier 3 - Coastal wind (25-100 miles)</t>
        </is>
      </c>
      <c r="T162" s="36">
        <f>IF($A162="","",IF($S162="","",IFERROR(INDEX('[1]natural catastrophe'!$D$6:$D$17,MATCH($S162,'[1]natural catastrophe'!$B$6:$B$17,0)),"?")))</f>
      </c>
      <c r="U162" s="46" t="inlineStr">
        <is>
          <t xml:space="preserve">2% of agreed value, minimum $10,000</t>
        </is>
      </c>
      <c r="V162" s="48" t="inlineStr">
        <is>
          <t xml:space="preserve">Agreed Value</t>
        </is>
      </c>
      <c r="W162" s="46" t="inlineStr">
        <is>
          <t xml:space="preserve">$1,000</t>
        </is>
      </c>
      <c r="X162" s="48" t="inlineStr">
        <is>
          <t xml:space="preserve">$1,000,000 CSL</t>
        </is>
      </c>
      <c r="Y162" s="46"/>
      <c r="Z162" s="46"/>
      <c r="AA162" s="48" t="inlineStr">
        <is>
          <t xml:space="preserve">Surplus Lines</t>
        </is>
      </c>
      <c r="AB162" s="50">
        <v>5062.6</v>
      </c>
      <c r="AC162" s="51">
        <v>0</v>
      </c>
      <c r="AD162" s="38">
        <f>IF(ISNUMBER($AB162),$AB162*(1+N($AC162)),"")</f>
      </c>
      <c r="AE162" s="50">
        <v>350</v>
      </c>
      <c r="AF162" s="50">
        <v>0</v>
      </c>
      <c r="AG162" s="51"/>
      <c r="AH162" s="39">
        <f>IF(ISNUMBER($AD162),($AD162+$AE162+$AF162)*$AG162,"")</f>
      </c>
      <c r="AI162" s="50"/>
      <c r="AJ162" s="38">
        <f>IF(ISNUMBER($AD162),SUM($AD162:$AH162),"")</f>
      </c>
      <c r="AK162" s="40">
        <f>IF(AND(ISNUMBER($AB162),ISNUMBER($AD162)),IF($AB162&gt;0,$AD162/$AB162,""),"")</f>
      </c>
      <c r="AL162" s="48" t="inlineStr">
        <is>
          <t xml:space="preserve">At technical</t>
        </is>
      </c>
      <c r="AM162" s="41">
        <f>IF(ISNUMBER($AD162),Header!$I$3,"")</f>
      </c>
      <c r="AN162" s="39">
        <f>IF(ISNUMBER($AD162),$AO162+$AP162,"")</f>
      </c>
      <c r="AO162" s="39">
        <f>IF(ISNUMBER($AD162),ROUND($AD162*Header!$K$3,2),"")</f>
      </c>
      <c r="AP162" s="39">
        <f>IF(ISNUMBER($AD162),ROUND($AD162*Header!$M$3,2),"")</f>
      </c>
      <c r="AQ162" s="38">
        <f>IF(ISNUMBER($AD162),ROUND($AD162,2)-$AO162-$AP162,"")</f>
      </c>
      <c r="AR162" s="39">
        <f>IF(ISNUMBER($AD162),IF(Header!$D$34="","?",$AD162*Header!$D$34),"")</f>
      </c>
      <c r="AS162" s="39">
        <f>IF(ISNUMBER($AB162),IF(Header!$D$34="","?",$AB162*Header!$D$34),"")</f>
      </c>
      <c r="AT162" s="42">
        <f>IF(AND(ISNUMBER($AB162),$M162&gt;0),$AB162/$M162*100,"")</f>
      </c>
      <c r="AU162" s="42">
        <f>IF(AND(ISNUMBER($AD162),$M162&gt;0),$AD162/$M162*100,"")</f>
      </c>
      <c r="AV162" s="40">
        <f>IF(AND(ISNUMBER($AB162),ISNUMBER($AD162),ABS($AB162)&gt;0),$AD162/$AB162,"")</f>
      </c>
      <c r="AW162" s="39">
        <f>IF(ISNUMBER($AD162),MAX(0,(1-0.55-Header!$O$3)*Header!$Q$3*$AQ162),"")</f>
      </c>
      <c r="AX162" s="43">
        <f>IF($A162="","",IF(TRIM(IF($A162="","Missing certificate ref. ","") &amp; IF($C162="","Missing effective date. ","") &amp; IF($D162="","Missing binding status. ","") &amp; IF($E162="","Missing movement type. ","") &amp; IF($I162="","Missing make. ","") &amp; IF($L162="","Missing vehicle class. ","") &amp; IF($M162="","Missing agreed value. ","") &amp; IF($N162="","Missing policy type. ","") &amp; IF($Q162="","Missing garaging state. ","") &amp; IF($R162="","Missing garaging ZIP. ","") &amp; IF($S162="","Missing cat zone. ","") &amp; IF($V162="","Missing valuation basis. ","") &amp; IF($W162="","Missing PD deductible. ","") &amp; IF($X162="","Missing liability limit. ","") &amp; IF($AB162="","Missing technical premium. ","") &amp; IF($AF162="","Missing surplus lines tax %. ",""))="","PASS","FAIL: "&amp;TRIM(IF($A162="","Missing certificate ref. ","") &amp; IF($C162="","Missing effective date. ","") &amp; IF($D162="","Missing binding status. ","") &amp; IF($E162="","Missing movement type. ","") &amp; IF($I162="","Missing make. ","") &amp; IF($L162="","Missing vehicle class. ","") &amp; IF($M162="","Missing agreed value. ","") &amp; IF($N162="","Missing policy type. ","") &amp; IF($Q162="","Missing garaging state. ","") &amp; IF($R162="","Missing garaging ZIP. ","") &amp; IF($S162="","Missing cat zone. ","") &amp; IF($V162="","Missing valuation basis. ","") &amp; IF($W162="","Missing PD deductible. ","") &amp; IF($X162="","Missing liability limit. ","") &amp; IF($AB162="","Missing technical premium. ","") &amp; IF($AF162="","Missing surplus lines tax %. ",""))))</f>
      </c>
      <c r="AY162" s="44">
        <f>IF($M162="","",IF(ISNUMBER($M162),IF($M162&gt;=Header!$C$18,"YES — refer","No"),""))</f>
      </c>
      <c r="AZ162" s="44">
        <f>IF($AD162="","",IF(ISNUMBER($AD162),IF($AD162&lt;Header!$C$20,"BELOW MIN PREMIUM","OK"),""))</f>
      </c>
      <c r="BA162" s="48" t="inlineStr">
        <is>
          <t xml:space="preserve">Yes</t>
        </is>
      </c>
      <c r="BB162" s="48" t="inlineStr">
        <is>
          <t xml:space="preserve">Yes</t>
        </is>
      </c>
      <c r="BC162" s="46" t="inlineStr">
        <is>
          <t xml:space="preserve">Synthetic demo data</t>
        </is>
      </c>
      <c r="BE162" s="45">
        <f>IF(OR($A162="",$L162="",$H162=""),"",IF(AND(LEFT($L162,2)="06",$H162&gt;1945),"FAIL - pre-war class, year "&amp;$H162,IF(AND(LEFT($L162,2)="07",OR($H162&lt;1946,$H162&gt;1972)),"FAIL - 1946-72 class, year "&amp;$H162,IF(AND(LEFT($L162,2)="08",OR($H162&lt;1973,$H162&gt;1999)),"FAIL - 1973-99 class, year "&amp;$H162,IF(AND(LEFT($L162,2)="09",OR($H162&lt;2000,$H162&gt;2010)),"FAIL - 2000-10 class, year "&amp;$H162,"OK")))))</f>
      </c>
      <c r="BF162" s="45">
        <f>IF($AD162="","",IF(ROUND($AO162+$AP162+$AQ162-$AD162,2)=0,"OK","FAIL - out by "&amp;TEXT($AO162+$AP162+$AQ162-$AD162,"$0.00")))</f>
      </c>
    </row>
    <row r="163" spans="1:58" ht="18.75" customHeight="1" x14ac:dyDescent="0.25">
      <c r="A163" s="30" t="inlineStr">
        <is>
          <t xml:space="preserve">CANON-202511-002386</t>
        </is>
      </c>
      <c r="B163" s="30" t="inlineStr">
        <is>
          <t xml:space="preserve">Mireille Blackwood</t>
        </is>
      </c>
      <c r="C163" s="31">
        <v>45985</v>
      </c>
      <c r="D163" s="32" t="inlineStr">
        <is>
          <t xml:space="preserve">Bound - within authority</t>
        </is>
      </c>
      <c r="E163" s="32" t="inlineStr">
        <is>
          <t xml:space="preserve">New business</t>
        </is>
      </c>
      <c r="F163" s="30" t="inlineStr">
        <is>
          <t xml:space="preserve">B1234EXOTIC26</t>
        </is>
      </c>
      <c r="G163" s="33">
        <f>IF($A163="","",IF($C163="","",YEAR($C163)))</f>
      </c>
      <c r="H163" s="34">
        <v>1995</v>
      </c>
      <c r="I163" s="30" t="inlineStr">
        <is>
          <t xml:space="preserve">Maserati</t>
        </is>
      </c>
      <c r="J163" s="30" t="inlineStr">
        <is>
          <t xml:space="preserve">GranTurismo</t>
        </is>
      </c>
      <c r="K163" s="30" t="inlineStr">
        <is>
          <t xml:space="preserve">WDXBZ3L2WA86TWC6C</t>
        </is>
      </c>
      <c r="L163" s="32" t="inlineStr">
        <is>
          <t xml:space="preserve">02 - Sports / GT</t>
        </is>
      </c>
      <c r="M163" s="35">
        <v>315000</v>
      </c>
      <c r="N163" s="32" t="inlineStr">
        <is>
          <t xml:space="preserve">Personal</t>
        </is>
      </c>
      <c r="O163" s="30" t="inlineStr">
        <is>
          <t xml:space="preserve">Personal - regular use</t>
        </is>
      </c>
      <c r="P163" s="30" t="inlineStr">
        <is>
          <t xml:space="preserve">1,000 - 2,500</t>
        </is>
      </c>
      <c r="Q163" s="30" t="inlineStr">
        <is>
          <t xml:space="preserve">Wyoming</t>
        </is>
      </c>
      <c r="R163" s="30" t="inlineStr">
        <is>
          <t xml:space="preserve">82001</t>
        </is>
      </c>
      <c r="S163" s="32" t="inlineStr">
        <is>
          <t xml:space="preserve">Severe convective - hail alley (high)</t>
        </is>
      </c>
      <c r="T163" s="36">
        <f>IF($A163="","",IF($S163="","",IFERROR(INDEX('[1]natural catastrophe'!$D$6:$D$17,MATCH($S163,'[1]natural catastrophe'!$B$6:$B$17,0)),"?")))</f>
      </c>
      <c r="U163" s="30" t="inlineStr">
        <is>
          <t xml:space="preserve">$5,000</t>
        </is>
      </c>
      <c r="V163" s="32" t="inlineStr">
        <is>
          <t xml:space="preserve">Agreed Value</t>
        </is>
      </c>
      <c r="W163" s="30" t="inlineStr">
        <is>
          <t xml:space="preserve">$1,000</t>
        </is>
      </c>
      <c r="X163" s="32" t="inlineStr">
        <is>
          <t xml:space="preserve">$1,000,000 CSL</t>
        </is>
      </c>
      <c r="Y163" s="30"/>
      <c r="Z163" s="30"/>
      <c r="AA163" s="32" t="inlineStr">
        <is>
          <t xml:space="preserve">Surplus Lines</t>
        </is>
      </c>
      <c r="AB163" s="35">
        <v>4385.15</v>
      </c>
      <c r="AC163" s="37">
        <v>0</v>
      </c>
      <c r="AD163" s="38">
        <f>IF(ISNUMBER($AB163),$AB163*(1+N($AC163)),"")</f>
      </c>
      <c r="AE163" s="35">
        <v>350</v>
      </c>
      <c r="AF163" s="35">
        <v>0</v>
      </c>
      <c r="AG163" s="37"/>
      <c r="AH163" s="39">
        <f>IF(ISNUMBER($AD163),($AD163+$AE163+$AF163)*$AG163,"")</f>
      </c>
      <c r="AI163" s="35"/>
      <c r="AJ163" s="38">
        <f>IF(ISNUMBER($AD163),SUM($AD163:$AH163),"")</f>
      </c>
      <c r="AK163" s="40">
        <f>IF(AND(ISNUMBER($AB163),ISNUMBER($AD163)),IF($AB163&gt;0,$AD163/$AB163,""),"")</f>
      </c>
      <c r="AL163" s="32" t="inlineStr">
        <is>
          <t xml:space="preserve">At technical</t>
        </is>
      </c>
      <c r="AM163" s="41">
        <f>IF(ISNUMBER($AD163),Header!$I$3,"")</f>
      </c>
      <c r="AN163" s="39">
        <f>IF(ISNUMBER($AD163),$AO163+$AP163,"")</f>
      </c>
      <c r="AO163" s="39">
        <f>IF(ISNUMBER($AD163),ROUND($AD163*Header!$K$3,2),"")</f>
      </c>
      <c r="AP163" s="39">
        <f>IF(ISNUMBER($AD163),ROUND($AD163*Header!$M$3,2),"")</f>
      </c>
      <c r="AQ163" s="38">
        <f>IF(ISNUMBER($AD163),ROUND($AD163,2)-$AO163-$AP163,"")</f>
      </c>
      <c r="AR163" s="39">
        <f>IF(ISNUMBER($AD163),IF(Header!$D$34="","?",$AD163*Header!$D$34),"")</f>
      </c>
      <c r="AS163" s="39">
        <f>IF(ISNUMBER($AB163),IF(Header!$D$34="","?",$AB163*Header!$D$34),"")</f>
      </c>
      <c r="AT163" s="42">
        <f>IF(AND(ISNUMBER($AB163),$M163&gt;0),$AB163/$M163*100,"")</f>
      </c>
      <c r="AU163" s="42">
        <f>IF(AND(ISNUMBER($AD163),$M163&gt;0),$AD163/$M163*100,"")</f>
      </c>
      <c r="AV163" s="40">
        <f>IF(AND(ISNUMBER($AB163),ISNUMBER($AD163),ABS($AB163)&gt;0),$AD163/$AB163,"")</f>
      </c>
      <c r="AW163" s="39">
        <f>IF(ISNUMBER($AD163),MAX(0,(1-0.55-Header!$O$3)*Header!$Q$3*$AQ163),"")</f>
      </c>
      <c r="AX163" s="43">
        <f>IF($A163="","",IF(TRIM(IF($A163="","Missing certificate ref. ","") &amp; IF($C163="","Missing effective date. ","") &amp; IF($D163="","Missing binding status. ","") &amp; IF($E163="","Missing movement type. ","") &amp; IF($I163="","Missing make. ","") &amp; IF($L163="","Missing vehicle class. ","") &amp; IF($M163="","Missing agreed value. ","") &amp; IF($N163="","Missing policy type. ","") &amp; IF($Q163="","Missing garaging state. ","") &amp; IF($R163="","Missing garaging ZIP. ","") &amp; IF($S163="","Missing cat zone. ","") &amp; IF($V163="","Missing valuation basis. ","") &amp; IF($W163="","Missing PD deductible. ","") &amp; IF($X163="","Missing liability limit. ","") &amp; IF($AB163="","Missing technical premium. ","") &amp; IF($AF163="","Missing surplus lines tax %. ",""))="","PASS","FAIL: "&amp;TRIM(IF($A163="","Missing certificate ref. ","") &amp; IF($C163="","Missing effective date. ","") &amp; IF($D163="","Missing binding status. ","") &amp; IF($E163="","Missing movement type. ","") &amp; IF($I163="","Missing make. ","") &amp; IF($L163="","Missing vehicle class. ","") &amp; IF($M163="","Missing agreed value. ","") &amp; IF($N163="","Missing policy type. ","") &amp; IF($Q163="","Missing garaging state. ","") &amp; IF($R163="","Missing garaging ZIP. ","") &amp; IF($S163="","Missing cat zone. ","") &amp; IF($V163="","Missing valuation basis. ","") &amp; IF($W163="","Missing PD deductible. ","") &amp; IF($X163="","Missing liability limit. ","") &amp; IF($AB163="","Missing technical premium. ","") &amp; IF($AF163="","Missing surplus lines tax %. ",""))))</f>
      </c>
      <c r="AY163" s="44">
        <f>IF($M163="","",IF(ISNUMBER($M163),IF($M163&gt;=Header!$C$18,"YES — refer","No"),""))</f>
      </c>
      <c r="AZ163" s="44">
        <f>IF($AD163="","",IF(ISNUMBER($AD163),IF($AD163&lt;Header!$C$20,"BELOW MIN PREMIUM","OK"),""))</f>
      </c>
      <c r="BA163" s="32" t="inlineStr">
        <is>
          <t xml:space="preserve">Yes</t>
        </is>
      </c>
      <c r="BB163" s="32" t="inlineStr">
        <is>
          <t xml:space="preserve">Yes</t>
        </is>
      </c>
      <c r="BC163" s="30" t="inlineStr">
        <is>
          <t xml:space="preserve">Synthetic demo data</t>
        </is>
      </c>
      <c r="BE163" s="45">
        <f>IF(OR($A163="",$L163="",$H163=""),"",IF(AND(LEFT($L163,2)="06",$H163&gt;1945),"FAIL - pre-war class, year "&amp;$H163,IF(AND(LEFT($L163,2)="07",OR($H163&lt;1946,$H163&gt;1972)),"FAIL - 1946-72 class, year "&amp;$H163,IF(AND(LEFT($L163,2)="08",OR($H163&lt;1973,$H163&gt;1999)),"FAIL - 1973-99 class, year "&amp;$H163,IF(AND(LEFT($L163,2)="09",OR($H163&lt;2000,$H163&gt;2010)),"FAIL - 2000-10 class, year "&amp;$H163,"OK")))))</f>
      </c>
      <c r="BF163" s="45">
        <f>IF($AD163="","",IF(ROUND($AO163+$AP163+$AQ163-$AD163,2)=0,"OK","FAIL - out by "&amp;TEXT($AO163+$AP163+$AQ163-$AD163,"$0.00")))</f>
      </c>
    </row>
    <row r="164" spans="1:58" ht="18.75" customHeight="1" x14ac:dyDescent="0.25">
      <c r="A164" s="46" t="inlineStr">
        <is>
          <t xml:space="preserve">CANON-202511-002387</t>
        </is>
      </c>
      <c r="B164" s="46" t="inlineStr">
        <is>
          <t xml:space="preserve">Noor Vasquez</t>
        </is>
      </c>
      <c r="C164" s="47">
        <v>45979</v>
      </c>
      <c r="D164" s="48" t="inlineStr">
        <is>
          <t xml:space="preserve">Bound - within authority</t>
        </is>
      </c>
      <c r="E164" s="48" t="inlineStr">
        <is>
          <t xml:space="preserve">New business</t>
        </is>
      </c>
      <c r="F164" s="46" t="inlineStr">
        <is>
          <t xml:space="preserve">B1234EXOTIC26</t>
        </is>
      </c>
      <c r="G164" s="33">
        <f>IF($A164="","",IF($C164="","",YEAR($C164)))</f>
      </c>
      <c r="H164" s="49">
        <v>1969</v>
      </c>
      <c r="I164" s="46" t="inlineStr">
        <is>
          <t xml:space="preserve">Porsche</t>
        </is>
      </c>
      <c r="J164" s="46" t="inlineStr">
        <is>
          <t xml:space="preserve">911 Turbo S</t>
        </is>
      </c>
      <c r="K164" s="46" t="inlineStr">
        <is>
          <t xml:space="preserve">S5UAXR2NUAMWRYPCV</t>
        </is>
      </c>
      <c r="L164" s="48" t="inlineStr">
        <is>
          <t xml:space="preserve">02 - Sports / GT</t>
        </is>
      </c>
      <c r="M164" s="50">
        <v>1090000</v>
      </c>
      <c r="N164" s="48" t="inlineStr">
        <is>
          <t xml:space="preserve">Personal</t>
        </is>
      </c>
      <c r="O164" s="46" t="inlineStr">
        <is>
          <t xml:space="preserve">Personal - regular use</t>
        </is>
      </c>
      <c r="P164" s="46" t="inlineStr">
        <is>
          <t xml:space="preserve">2,500 - 5,000</t>
        </is>
      </c>
      <c r="Q164" s="46" t="inlineStr">
        <is>
          <t xml:space="preserve">Wyoming</t>
        </is>
      </c>
      <c r="R164" s="46" t="inlineStr">
        <is>
          <t xml:space="preserve">82001</t>
        </is>
      </c>
      <c r="S164" s="48" t="inlineStr">
        <is>
          <t xml:space="preserve">Severe convective - hail alley (high)</t>
        </is>
      </c>
      <c r="T164" s="36">
        <f>IF($A164="","",IF($S164="","",IFERROR(INDEX('[1]natural catastrophe'!$D$6:$D$17,MATCH($S164,'[1]natural catastrophe'!$B$6:$B$17,0)),"?")))</f>
      </c>
      <c r="U164" s="46" t="inlineStr">
        <is>
          <t xml:space="preserve">$5,000</t>
        </is>
      </c>
      <c r="V164" s="48" t="inlineStr">
        <is>
          <t xml:space="preserve">Agreed Value</t>
        </is>
      </c>
      <c r="W164" s="46" t="inlineStr">
        <is>
          <t xml:space="preserve">$1,000</t>
        </is>
      </c>
      <c r="X164" s="48" t="inlineStr">
        <is>
          <t xml:space="preserve">$1,000,000 CSL</t>
        </is>
      </c>
      <c r="Y164" s="46"/>
      <c r="Z164" s="46"/>
      <c r="AA164" s="48" t="inlineStr">
        <is>
          <t xml:space="preserve">Surplus Lines</t>
        </is>
      </c>
      <c r="AB164" s="50">
        <v>11127.6</v>
      </c>
      <c r="AC164" s="51">
        <v>0</v>
      </c>
      <c r="AD164" s="38">
        <f>IF(ISNUMBER($AB164),$AB164*(1+N($AC164)),"")</f>
      </c>
      <c r="AE164" s="50">
        <v>350</v>
      </c>
      <c r="AF164" s="50">
        <v>250</v>
      </c>
      <c r="AG164" s="51"/>
      <c r="AH164" s="39">
        <f>IF(ISNUMBER($AD164),($AD164+$AE164+$AF164)*$AG164,"")</f>
      </c>
      <c r="AI164" s="50"/>
      <c r="AJ164" s="38">
        <f>IF(ISNUMBER($AD164),SUM($AD164:$AH164),"")</f>
      </c>
      <c r="AK164" s="40">
        <f>IF(AND(ISNUMBER($AB164),ISNUMBER($AD164)),IF($AB164&gt;0,$AD164/$AB164,""),"")</f>
      </c>
      <c r="AL164" s="48" t="inlineStr">
        <is>
          <t xml:space="preserve">At technical</t>
        </is>
      </c>
      <c r="AM164" s="41">
        <f>IF(ISNUMBER($AD164),Header!$I$3,"")</f>
      </c>
      <c r="AN164" s="39">
        <f>IF(ISNUMBER($AD164),$AO164+$AP164,"")</f>
      </c>
      <c r="AO164" s="39">
        <f>IF(ISNUMBER($AD164),ROUND($AD164*Header!$K$3,2),"")</f>
      </c>
      <c r="AP164" s="39">
        <f>IF(ISNUMBER($AD164),ROUND($AD164*Header!$M$3,2),"")</f>
      </c>
      <c r="AQ164" s="38">
        <f>IF(ISNUMBER($AD164),ROUND($AD164,2)-$AO164-$AP164,"")</f>
      </c>
      <c r="AR164" s="39">
        <f>IF(ISNUMBER($AD164),IF(Header!$D$34="","?",$AD164*Header!$D$34),"")</f>
      </c>
      <c r="AS164" s="39">
        <f>IF(ISNUMBER($AB164),IF(Header!$D$34="","?",$AB164*Header!$D$34),"")</f>
      </c>
      <c r="AT164" s="42">
        <f>IF(AND(ISNUMBER($AB164),$M164&gt;0),$AB164/$M164*100,"")</f>
      </c>
      <c r="AU164" s="42">
        <f>IF(AND(ISNUMBER($AD164),$M164&gt;0),$AD164/$M164*100,"")</f>
      </c>
      <c r="AV164" s="40">
        <f>IF(AND(ISNUMBER($AB164),ISNUMBER($AD164),ABS($AB164)&gt;0),$AD164/$AB164,"")</f>
      </c>
      <c r="AW164" s="39">
        <f>IF(ISNUMBER($AD164),MAX(0,(1-0.55-Header!$O$3)*Header!$Q$3*$AQ164),"")</f>
      </c>
      <c r="AX164" s="43">
        <f>IF($A164="","",IF(TRIM(IF($A164="","Missing certificate ref. ","") &amp; IF($C164="","Missing effective date. ","") &amp; IF($D164="","Missing binding status. ","") &amp; IF($E164="","Missing movement type. ","") &amp; IF($I164="","Missing make. ","") &amp; IF($L164="","Missing vehicle class. ","") &amp; IF($M164="","Missing agreed value. ","") &amp; IF($N164="","Missing policy type. ","") &amp; IF($Q164="","Missing garaging state. ","") &amp; IF($R164="","Missing garaging ZIP. ","") &amp; IF($S164="","Missing cat zone. ","") &amp; IF($V164="","Missing valuation basis. ","") &amp; IF($W164="","Missing PD deductible. ","") &amp; IF($X164="","Missing liability limit. ","") &amp; IF($AB164="","Missing technical premium. ","") &amp; IF($AF164="","Missing surplus lines tax %. ",""))="","PASS","FAIL: "&amp;TRIM(IF($A164="","Missing certificate ref. ","") &amp; IF($C164="","Missing effective date. ","") &amp; IF($D164="","Missing binding status. ","") &amp; IF($E164="","Missing movement type. ","") &amp; IF($I164="","Missing make. ","") &amp; IF($L164="","Missing vehicle class. ","") &amp; IF($M164="","Missing agreed value. ","") &amp; IF($N164="","Missing policy type. ","") &amp; IF($Q164="","Missing garaging state. ","") &amp; IF($R164="","Missing garaging ZIP. ","") &amp; IF($S164="","Missing cat zone. ","") &amp; IF($V164="","Missing valuation basis. ","") &amp; IF($W164="","Missing PD deductible. ","") &amp; IF($X164="","Missing liability limit. ","") &amp; IF($AB164="","Missing technical premium. ","") &amp; IF($AF164="","Missing surplus lines tax %. ",""))))</f>
      </c>
      <c r="AY164" s="44">
        <f>IF($M164="","",IF(ISNUMBER($M164),IF($M164&gt;=Header!$C$18,"YES — refer","No"),""))</f>
      </c>
      <c r="AZ164" s="44">
        <f>IF($AD164="","",IF(ISNUMBER($AD164),IF($AD164&lt;Header!$C$20,"BELOW MIN PREMIUM","OK"),""))</f>
      </c>
      <c r="BA164" s="48" t="inlineStr">
        <is>
          <t xml:space="preserve">Yes</t>
        </is>
      </c>
      <c r="BB164" s="48" t="inlineStr">
        <is>
          <t xml:space="preserve">Yes</t>
        </is>
      </c>
      <c r="BC164" s="46" t="inlineStr">
        <is>
          <t xml:space="preserve">Synthetic demo data</t>
        </is>
      </c>
      <c r="BE164" s="45">
        <f>IF(OR($A164="",$L164="",$H164=""),"",IF(AND(LEFT($L164,2)="06",$H164&gt;1945),"FAIL - pre-war class, year "&amp;$H164,IF(AND(LEFT($L164,2)="07",OR($H164&lt;1946,$H164&gt;1972)),"FAIL - 1946-72 class, year "&amp;$H164,IF(AND(LEFT($L164,2)="08",OR($H164&lt;1973,$H164&gt;1999)),"FAIL - 1973-99 class, year "&amp;$H164,IF(AND(LEFT($L164,2)="09",OR($H164&lt;2000,$H164&gt;2010)),"FAIL - 2000-10 class, year "&amp;$H164,"OK")))))</f>
      </c>
      <c r="BF164" s="45">
        <f>IF($AD164="","",IF(ROUND($AO164+$AP164+$AQ164-$AD164,2)=0,"OK","FAIL - out by "&amp;TEXT($AO164+$AP164+$AQ164-$AD164,"$0.00")))</f>
      </c>
    </row>
    <row r="165" spans="1:58" ht="18.75" customHeight="1" x14ac:dyDescent="0.25">
      <c r="A165" s="30" t="inlineStr">
        <is>
          <t xml:space="preserve">CANON-202511-002389</t>
        </is>
      </c>
      <c r="B165" s="30" t="inlineStr">
        <is>
          <t xml:space="preserve">Fenwick Farkas</t>
        </is>
      </c>
      <c r="C165" s="31">
        <v>45966</v>
      </c>
      <c r="D165" s="32" t="inlineStr">
        <is>
          <t xml:space="preserve">Bound - within authority</t>
        </is>
      </c>
      <c r="E165" s="32" t="inlineStr">
        <is>
          <t xml:space="preserve">New business</t>
        </is>
      </c>
      <c r="F165" s="30" t="inlineStr">
        <is>
          <t xml:space="preserve">B1234EXOTIC26</t>
        </is>
      </c>
      <c r="G165" s="33">
        <f>IF($A165="","",IF($C165="","",YEAR($C165)))</f>
      </c>
      <c r="H165" s="34">
        <v>2005</v>
      </c>
      <c r="I165" s="30" t="inlineStr">
        <is>
          <t xml:space="preserve">Aston Martin</t>
        </is>
      </c>
      <c r="J165" s="30" t="inlineStr">
        <is>
          <t xml:space="preserve">DB12</t>
        </is>
      </c>
      <c r="K165" s="30" t="inlineStr">
        <is>
          <t xml:space="preserve">XZ4GS4EKSTSZG2621</t>
        </is>
      </c>
      <c r="L165" s="32" t="inlineStr">
        <is>
          <t xml:space="preserve">02 - Sports / GT</t>
        </is>
      </c>
      <c r="M165" s="35">
        <v>220000</v>
      </c>
      <c r="N165" s="32" t="inlineStr">
        <is>
          <t xml:space="preserve">Personal</t>
        </is>
      </c>
      <c r="O165" s="30" t="inlineStr">
        <is>
          <t xml:space="preserve">Personal - regular use</t>
        </is>
      </c>
      <c r="P165" s="30" t="inlineStr">
        <is>
          <t xml:space="preserve">1,000 - 2,500</t>
        </is>
      </c>
      <c r="Q165" s="30" t="inlineStr">
        <is>
          <t xml:space="preserve">Arkansas</t>
        </is>
      </c>
      <c r="R165" s="30" t="inlineStr">
        <is>
          <t xml:space="preserve">72201</t>
        </is>
      </c>
      <c r="S165" s="32" t="inlineStr">
        <is>
          <t xml:space="preserve">Severe convective - hail / tornado (moderate)</t>
        </is>
      </c>
      <c r="T165" s="36">
        <f>IF($A165="","",IF($S165="","",IFERROR(INDEX('[1]natural catastrophe'!$D$6:$D$17,MATCH($S165,'[1]natural catastrophe'!$B$6:$B$17,0)),"?")))</f>
      </c>
      <c r="U165" s="30" t="inlineStr">
        <is>
          <t xml:space="preserve">$5,000</t>
        </is>
      </c>
      <c r="V165" s="32" t="inlineStr">
        <is>
          <t xml:space="preserve">Agreed Value</t>
        </is>
      </c>
      <c r="W165" s="30" t="inlineStr">
        <is>
          <t xml:space="preserve">$1,000</t>
        </is>
      </c>
      <c r="X165" s="32" t="inlineStr">
        <is>
          <t xml:space="preserve">$1,000,000 CSL</t>
        </is>
      </c>
      <c r="Y165" s="30"/>
      <c r="Z165" s="30"/>
      <c r="AA165" s="32" t="inlineStr">
        <is>
          <t xml:space="preserve">Surplus Lines</t>
        </is>
      </c>
      <c r="AB165" s="35">
        <v>4845.27</v>
      </c>
      <c r="AC165" s="37">
        <v>0</v>
      </c>
      <c r="AD165" s="38">
        <f>IF(ISNUMBER($AB165),$AB165*(1+N($AC165)),"")</f>
      </c>
      <c r="AE165" s="35">
        <v>350</v>
      </c>
      <c r="AF165" s="35">
        <v>0</v>
      </c>
      <c r="AG165" s="37"/>
      <c r="AH165" s="39">
        <f>IF(ISNUMBER($AD165),($AD165+$AE165+$AF165)*$AG165,"")</f>
      </c>
      <c r="AI165" s="35"/>
      <c r="AJ165" s="38">
        <f>IF(ISNUMBER($AD165),SUM($AD165:$AH165),"")</f>
      </c>
      <c r="AK165" s="40">
        <f>IF(AND(ISNUMBER($AB165),ISNUMBER($AD165)),IF($AB165&gt;0,$AD165/$AB165,""),"")</f>
      </c>
      <c r="AL165" s="32" t="inlineStr">
        <is>
          <t xml:space="preserve">At technical</t>
        </is>
      </c>
      <c r="AM165" s="41">
        <f>IF(ISNUMBER($AD165),Header!$I$3,"")</f>
      </c>
      <c r="AN165" s="39">
        <f>IF(ISNUMBER($AD165),$AO165+$AP165,"")</f>
      </c>
      <c r="AO165" s="39">
        <f>IF(ISNUMBER($AD165),ROUND($AD165*Header!$K$3,2),"")</f>
      </c>
      <c r="AP165" s="39">
        <f>IF(ISNUMBER($AD165),ROUND($AD165*Header!$M$3,2),"")</f>
      </c>
      <c r="AQ165" s="38">
        <f>IF(ISNUMBER($AD165),ROUND($AD165,2)-$AO165-$AP165,"")</f>
      </c>
      <c r="AR165" s="39">
        <f>IF(ISNUMBER($AD165),IF(Header!$D$34="","?",$AD165*Header!$D$34),"")</f>
      </c>
      <c r="AS165" s="39">
        <f>IF(ISNUMBER($AB165),IF(Header!$D$34="","?",$AB165*Header!$D$34),"")</f>
      </c>
      <c r="AT165" s="42">
        <f>IF(AND(ISNUMBER($AB165),$M165&gt;0),$AB165/$M165*100,"")</f>
      </c>
      <c r="AU165" s="42">
        <f>IF(AND(ISNUMBER($AD165),$M165&gt;0),$AD165/$M165*100,"")</f>
      </c>
      <c r="AV165" s="40">
        <f>IF(AND(ISNUMBER($AB165),ISNUMBER($AD165),ABS($AB165)&gt;0),$AD165/$AB165,"")</f>
      </c>
      <c r="AW165" s="39">
        <f>IF(ISNUMBER($AD165),MAX(0,(1-0.55-Header!$O$3)*Header!$Q$3*$AQ165),"")</f>
      </c>
      <c r="AX165" s="43">
        <f>IF($A165="","",IF(TRIM(IF($A165="","Missing certificate ref. ","") &amp; IF($C165="","Missing effective date. ","") &amp; IF($D165="","Missing binding status. ","") &amp; IF($E165="","Missing movement type. ","") &amp; IF($I165="","Missing make. ","") &amp; IF($L165="","Missing vehicle class. ","") &amp; IF($M165="","Missing agreed value. ","") &amp; IF($N165="","Missing policy type. ","") &amp; IF($Q165="","Missing garaging state. ","") &amp; IF($R165="","Missing garaging ZIP. ","") &amp; IF($S165="","Missing cat zone. ","") &amp; IF($V165="","Missing valuation basis. ","") &amp; IF($W165="","Missing PD deductible. ","") &amp; IF($X165="","Missing liability limit. ","") &amp; IF($AB165="","Missing technical premium. ","") &amp; IF($AF165="","Missing surplus lines tax %. ",""))="","PASS","FAIL: "&amp;TRIM(IF($A165="","Missing certificate ref. ","") &amp; IF($C165="","Missing effective date. ","") &amp; IF($D165="","Missing binding status. ","") &amp; IF($E165="","Missing movement type. ","") &amp; IF($I165="","Missing make. ","") &amp; IF($L165="","Missing vehicle class. ","") &amp; IF($M165="","Missing agreed value. ","") &amp; IF($N165="","Missing policy type. ","") &amp; IF($Q165="","Missing garaging state. ","") &amp; IF($R165="","Missing garaging ZIP. ","") &amp; IF($S165="","Missing cat zone. ","") &amp; IF($V165="","Missing valuation basis. ","") &amp; IF($W165="","Missing PD deductible. ","") &amp; IF($X165="","Missing liability limit. ","") &amp; IF($AB165="","Missing technical premium. ","") &amp; IF($AF165="","Missing surplus lines tax %. ",""))))</f>
      </c>
      <c r="AY165" s="44">
        <f>IF($M165="","",IF(ISNUMBER($M165),IF($M165&gt;=Header!$C$18,"YES — refer","No"),""))</f>
      </c>
      <c r="AZ165" s="44">
        <f>IF($AD165="","",IF(ISNUMBER($AD165),IF($AD165&lt;Header!$C$20,"BELOW MIN PREMIUM","OK"),""))</f>
      </c>
      <c r="BA165" s="32" t="inlineStr">
        <is>
          <t xml:space="preserve">Yes</t>
        </is>
      </c>
      <c r="BB165" s="32" t="inlineStr">
        <is>
          <t xml:space="preserve">Yes</t>
        </is>
      </c>
      <c r="BC165" s="30" t="inlineStr">
        <is>
          <t xml:space="preserve">Synthetic demo data</t>
        </is>
      </c>
      <c r="BE165" s="45">
        <f>IF(OR($A165="",$L165="",$H165=""),"",IF(AND(LEFT($L165,2)="06",$H165&gt;1945),"FAIL - pre-war class, year "&amp;$H165,IF(AND(LEFT($L165,2)="07",OR($H165&lt;1946,$H165&gt;1972)),"FAIL - 1946-72 class, year "&amp;$H165,IF(AND(LEFT($L165,2)="08",OR($H165&lt;1973,$H165&gt;1999)),"FAIL - 1973-99 class, year "&amp;$H165,IF(AND(LEFT($L165,2)="09",OR($H165&lt;2000,$H165&gt;2010)),"FAIL - 2000-10 class, year "&amp;$H165,"OK")))))</f>
      </c>
      <c r="BF165" s="45">
        <f>IF($AD165="","",IF(ROUND($AO165+$AP165+$AQ165-$AD165,2)=0,"OK","FAIL - out by "&amp;TEXT($AO165+$AP165+$AQ165-$AD165,"$0.00")))</f>
      </c>
    </row>
    <row r="166" spans="1:58" ht="18.75" customHeight="1" x14ac:dyDescent="0.25">
      <c r="A166" s="46" t="inlineStr">
        <is>
          <t xml:space="preserve">CANON-202511-002391</t>
        </is>
      </c>
      <c r="B166" s="46" t="inlineStr">
        <is>
          <t xml:space="preserve">Callum Underwood</t>
        </is>
      </c>
      <c r="C166" s="47">
        <v>45965</v>
      </c>
      <c r="D166" s="48" t="inlineStr">
        <is>
          <t xml:space="preserve">Bound - within authority</t>
        </is>
      </c>
      <c r="E166" s="48" t="inlineStr">
        <is>
          <t xml:space="preserve">New business</t>
        </is>
      </c>
      <c r="F166" s="46" t="inlineStr">
        <is>
          <t xml:space="preserve">B1234EXOTIC26</t>
        </is>
      </c>
      <c r="G166" s="33">
        <f>IF($A166="","",IF($C166="","",YEAR($C166)))</f>
      </c>
      <c r="H166" s="49">
        <v>1970</v>
      </c>
      <c r="I166" s="46" t="inlineStr">
        <is>
          <t xml:space="preserve">Ringbrothers</t>
        </is>
      </c>
      <c r="J166" s="46" t="inlineStr">
        <is>
          <t xml:space="preserve">Mustang</t>
        </is>
      </c>
      <c r="K166" s="46" t="inlineStr">
        <is>
          <t xml:space="preserve">3Y59E9S7W21R395GN</t>
        </is>
      </c>
      <c r="L166" s="48" t="inlineStr">
        <is>
          <t xml:space="preserve">11 - Restomod / Coachbuilt / Bespoke</t>
        </is>
      </c>
      <c r="M166" s="50">
        <v>480000</v>
      </c>
      <c r="N166" s="48" t="inlineStr">
        <is>
          <t xml:space="preserve">Personal</t>
        </is>
      </c>
      <c r="O166" s="46" t="inlineStr">
        <is>
          <t xml:space="preserve">Personal - regular use</t>
        </is>
      </c>
      <c r="P166" s="46" t="inlineStr">
        <is>
          <t xml:space="preserve">Under 1,000</t>
        </is>
      </c>
      <c r="Q166" s="46" t="inlineStr">
        <is>
          <t xml:space="preserve">Pennsylvania</t>
        </is>
      </c>
      <c r="R166" s="46" t="inlineStr">
        <is>
          <t xml:space="preserve">19103</t>
        </is>
      </c>
      <c r="S166" s="48" t="inlineStr">
        <is>
          <t xml:space="preserve">Low hazard - inland benign</t>
        </is>
      </c>
      <c r="T166" s="36">
        <f>IF($A166="","",IF($S166="","",IFERROR(INDEX('[1]natural catastrophe'!$D$6:$D$17,MATCH($S166,'[1]natural catastrophe'!$B$6:$B$17,0)),"?")))</f>
      </c>
      <c r="U166" s="46" t="inlineStr">
        <is>
          <t xml:space="preserve">$5,000</t>
        </is>
      </c>
      <c r="V166" s="48" t="inlineStr">
        <is>
          <t xml:space="preserve">Agreed Value</t>
        </is>
      </c>
      <c r="W166" s="46" t="inlineStr">
        <is>
          <t xml:space="preserve">$1,000</t>
        </is>
      </c>
      <c r="X166" s="48" t="inlineStr">
        <is>
          <t xml:space="preserve">$1,000,000 CSL</t>
        </is>
      </c>
      <c r="Y166" s="46"/>
      <c r="Z166" s="46"/>
      <c r="AA166" s="48" t="inlineStr">
        <is>
          <t xml:space="preserve">Surplus Lines</t>
        </is>
      </c>
      <c r="AB166" s="50">
        <v>7327.44</v>
      </c>
      <c r="AC166" s="51">
        <v>0</v>
      </c>
      <c r="AD166" s="38">
        <f>IF(ISNUMBER($AB166),$AB166*(1+N($AC166)),"")</f>
      </c>
      <c r="AE166" s="50">
        <v>350</v>
      </c>
      <c r="AF166" s="50">
        <v>0</v>
      </c>
      <c r="AG166" s="51"/>
      <c r="AH166" s="39">
        <f>IF(ISNUMBER($AD166),($AD166+$AE166+$AF166)*$AG166,"")</f>
      </c>
      <c r="AI166" s="50"/>
      <c r="AJ166" s="38">
        <f>IF(ISNUMBER($AD166),SUM($AD166:$AH166),"")</f>
      </c>
      <c r="AK166" s="40">
        <f>IF(AND(ISNUMBER($AB166),ISNUMBER($AD166)),IF($AB166&gt;0,$AD166/$AB166,""),"")</f>
      </c>
      <c r="AL166" s="48" t="inlineStr">
        <is>
          <t xml:space="preserve">At technical</t>
        </is>
      </c>
      <c r="AM166" s="41">
        <f>IF(ISNUMBER($AD166),Header!$I$3,"")</f>
      </c>
      <c r="AN166" s="39">
        <f>IF(ISNUMBER($AD166),$AO166+$AP166,"")</f>
      </c>
      <c r="AO166" s="39">
        <f>IF(ISNUMBER($AD166),ROUND($AD166*Header!$K$3,2),"")</f>
      </c>
      <c r="AP166" s="39">
        <f>IF(ISNUMBER($AD166),ROUND($AD166*Header!$M$3,2),"")</f>
      </c>
      <c r="AQ166" s="38">
        <f>IF(ISNUMBER($AD166),ROUND($AD166,2)-$AO166-$AP166,"")</f>
      </c>
      <c r="AR166" s="39">
        <f>IF(ISNUMBER($AD166),IF(Header!$D$34="","?",$AD166*Header!$D$34),"")</f>
      </c>
      <c r="AS166" s="39">
        <f>IF(ISNUMBER($AB166),IF(Header!$D$34="","?",$AB166*Header!$D$34),"")</f>
      </c>
      <c r="AT166" s="42">
        <f>IF(AND(ISNUMBER($AB166),$M166&gt;0),$AB166/$M166*100,"")</f>
      </c>
      <c r="AU166" s="42">
        <f>IF(AND(ISNUMBER($AD166),$M166&gt;0),$AD166/$M166*100,"")</f>
      </c>
      <c r="AV166" s="40">
        <f>IF(AND(ISNUMBER($AB166),ISNUMBER($AD166),ABS($AB166)&gt;0),$AD166/$AB166,"")</f>
      </c>
      <c r="AW166" s="39">
        <f>IF(ISNUMBER($AD166),MAX(0,(1-0.55-Header!$O$3)*Header!$Q$3*$AQ166),"")</f>
      </c>
      <c r="AX166" s="43">
        <f>IF($A166="","",IF(TRIM(IF($A166="","Missing certificate ref. ","") &amp; IF($C166="","Missing effective date. ","") &amp; IF($D166="","Missing binding status. ","") &amp; IF($E166="","Missing movement type. ","") &amp; IF($I166="","Missing make. ","") &amp; IF($L166="","Missing vehicle class. ","") &amp; IF($M166="","Missing agreed value. ","") &amp; IF($N166="","Missing policy type. ","") &amp; IF($Q166="","Missing garaging state. ","") &amp; IF($R166="","Missing garaging ZIP. ","") &amp; IF($S166="","Missing cat zone. ","") &amp; IF($V166="","Missing valuation basis. ","") &amp; IF($W166="","Missing PD deductible. ","") &amp; IF($X166="","Missing liability limit. ","") &amp; IF($AB166="","Missing technical premium. ","") &amp; IF($AF166="","Missing surplus lines tax %. ",""))="","PASS","FAIL: "&amp;TRIM(IF($A166="","Missing certificate ref. ","") &amp; IF($C166="","Missing effective date. ","") &amp; IF($D166="","Missing binding status. ","") &amp; IF($E166="","Missing movement type. ","") &amp; IF($I166="","Missing make. ","") &amp; IF($L166="","Missing vehicle class. ","") &amp; IF($M166="","Missing agreed value. ","") &amp; IF($N166="","Missing policy type. ","") &amp; IF($Q166="","Missing garaging state. ","") &amp; IF($R166="","Missing garaging ZIP. ","") &amp; IF($S166="","Missing cat zone. ","") &amp; IF($V166="","Missing valuation basis. ","") &amp; IF($W166="","Missing PD deductible. ","") &amp; IF($X166="","Missing liability limit. ","") &amp; IF($AB166="","Missing technical premium. ","") &amp; IF($AF166="","Missing surplus lines tax %. ",""))))</f>
      </c>
      <c r="AY166" s="44">
        <f>IF($M166="","",IF(ISNUMBER($M166),IF($M166&gt;=Header!$C$18,"YES — refer","No"),""))</f>
      </c>
      <c r="AZ166" s="44">
        <f>IF($AD166="","",IF(ISNUMBER($AD166),IF($AD166&lt;Header!$C$20,"BELOW MIN PREMIUM","OK"),""))</f>
      </c>
      <c r="BA166" s="48" t="inlineStr">
        <is>
          <t xml:space="preserve">Yes</t>
        </is>
      </c>
      <c r="BB166" s="48" t="inlineStr">
        <is>
          <t xml:space="preserve">Yes</t>
        </is>
      </c>
      <c r="BC166" s="46" t="inlineStr">
        <is>
          <t xml:space="preserve">Synthetic demo data</t>
        </is>
      </c>
      <c r="BE166" s="45">
        <f>IF(OR($A166="",$L166="",$H166=""),"",IF(AND(LEFT($L166,2)="06",$H166&gt;1945),"FAIL - pre-war class, year "&amp;$H166,IF(AND(LEFT($L166,2)="07",OR($H166&lt;1946,$H166&gt;1972)),"FAIL - 1946-72 class, year "&amp;$H166,IF(AND(LEFT($L166,2)="08",OR($H166&lt;1973,$H166&gt;1999)),"FAIL - 1973-99 class, year "&amp;$H166,IF(AND(LEFT($L166,2)="09",OR($H166&lt;2000,$H166&gt;2010)),"FAIL - 2000-10 class, year "&amp;$H166,"OK")))))</f>
      </c>
      <c r="BF166" s="45">
        <f>IF($AD166="","",IF(ROUND($AO166+$AP166+$AQ166-$AD166,2)=0,"OK","FAIL - out by "&amp;TEXT($AO166+$AP166+$AQ166-$AD166,"$0.00")))</f>
      </c>
    </row>
    <row r="167" spans="1:58" ht="18.75" customHeight="1" x14ac:dyDescent="0.25">
      <c r="A167" s="30" t="inlineStr">
        <is>
          <t xml:space="preserve">CANON-202511-002392</t>
        </is>
      </c>
      <c r="B167" s="30" t="inlineStr">
        <is>
          <t xml:space="preserve">Everett Bellandi</t>
        </is>
      </c>
      <c r="C167" s="31">
        <v>45991</v>
      </c>
      <c r="D167" s="32" t="inlineStr">
        <is>
          <t xml:space="preserve">Bound - within authority</t>
        </is>
      </c>
      <c r="E167" s="32" t="inlineStr">
        <is>
          <t xml:space="preserve">New business</t>
        </is>
      </c>
      <c r="F167" s="30" t="inlineStr">
        <is>
          <t xml:space="preserve">B1234EXOTIC26</t>
        </is>
      </c>
      <c r="G167" s="33">
        <f>IF($A167="","",IF($C167="","",YEAR($C167)))</f>
      </c>
      <c r="H167" s="34">
        <v>1974</v>
      </c>
      <c r="I167" s="30" t="inlineStr">
        <is>
          <t xml:space="preserve">Mercedes-Benz</t>
        </is>
      </c>
      <c r="J167" s="30" t="inlineStr">
        <is>
          <t xml:space="preserve">280SL Pagoda</t>
        </is>
      </c>
      <c r="K167" s="30" t="inlineStr">
        <is>
          <t xml:space="preserve">L572KTMXMXHV6EL3A</t>
        </is>
      </c>
      <c r="L167" s="32" t="inlineStr">
        <is>
          <t xml:space="preserve">08 - Modern Classic (1973-1999)</t>
        </is>
      </c>
      <c r="M167" s="35">
        <v>1070000</v>
      </c>
      <c r="N167" s="32" t="inlineStr">
        <is>
          <t xml:space="preserve">Personal</t>
        </is>
      </c>
      <c r="O167" s="30" t="inlineStr">
        <is>
          <t xml:space="preserve">Personal - regular use</t>
        </is>
      </c>
      <c r="P167" s="30" t="inlineStr">
        <is>
          <t xml:space="preserve">1,000 - 2,500</t>
        </is>
      </c>
      <c r="Q167" s="30" t="inlineStr">
        <is>
          <t xml:space="preserve">North Dakota</t>
        </is>
      </c>
      <c r="R167" s="30" t="inlineStr">
        <is>
          <t xml:space="preserve">58501</t>
        </is>
      </c>
      <c r="S167" s="32" t="inlineStr">
        <is>
          <t xml:space="preserve">Severe convective - hail alley (high)</t>
        </is>
      </c>
      <c r="T167" s="36">
        <f>IF($A167="","",IF($S167="","",IFERROR(INDEX('[1]natural catastrophe'!$D$6:$D$17,MATCH($S167,'[1]natural catastrophe'!$B$6:$B$17,0)),"?")))</f>
      </c>
      <c r="U167" s="30" t="inlineStr">
        <is>
          <t xml:space="preserve">$5,000</t>
        </is>
      </c>
      <c r="V167" s="32" t="inlineStr">
        <is>
          <t xml:space="preserve">Agreed Value</t>
        </is>
      </c>
      <c r="W167" s="30" t="inlineStr">
        <is>
          <t xml:space="preserve">$1,000</t>
        </is>
      </c>
      <c r="X167" s="32" t="inlineStr">
        <is>
          <t xml:space="preserve">$1,000,000 CSL</t>
        </is>
      </c>
      <c r="Y167" s="30"/>
      <c r="Z167" s="30"/>
      <c r="AA167" s="32" t="inlineStr">
        <is>
          <t xml:space="preserve">Surplus Lines</t>
        </is>
      </c>
      <c r="AB167" s="35">
        <v>7194.42</v>
      </c>
      <c r="AC167" s="37">
        <v>0</v>
      </c>
      <c r="AD167" s="38">
        <f>IF(ISNUMBER($AB167),$AB167*(1+N($AC167)),"")</f>
      </c>
      <c r="AE167" s="35">
        <v>350</v>
      </c>
      <c r="AF167" s="35">
        <v>250</v>
      </c>
      <c r="AG167" s="37"/>
      <c r="AH167" s="39">
        <f>IF(ISNUMBER($AD167),($AD167+$AE167+$AF167)*$AG167,"")</f>
      </c>
      <c r="AI167" s="35"/>
      <c r="AJ167" s="38">
        <f>IF(ISNUMBER($AD167),SUM($AD167:$AH167),"")</f>
      </c>
      <c r="AK167" s="40">
        <f>IF(AND(ISNUMBER($AB167),ISNUMBER($AD167)),IF($AB167&gt;0,$AD167/$AB167,""),"")</f>
      </c>
      <c r="AL167" s="32" t="inlineStr">
        <is>
          <t xml:space="preserve">At technical</t>
        </is>
      </c>
      <c r="AM167" s="41">
        <f>IF(ISNUMBER($AD167),Header!$I$3,"")</f>
      </c>
      <c r="AN167" s="39">
        <f>IF(ISNUMBER($AD167),$AO167+$AP167,"")</f>
      </c>
      <c r="AO167" s="39">
        <f>IF(ISNUMBER($AD167),ROUND($AD167*Header!$K$3,2),"")</f>
      </c>
      <c r="AP167" s="39">
        <f>IF(ISNUMBER($AD167),ROUND($AD167*Header!$M$3,2),"")</f>
      </c>
      <c r="AQ167" s="38">
        <f>IF(ISNUMBER($AD167),ROUND($AD167,2)-$AO167-$AP167,"")</f>
      </c>
      <c r="AR167" s="39">
        <f>IF(ISNUMBER($AD167),IF(Header!$D$34="","?",$AD167*Header!$D$34),"")</f>
      </c>
      <c r="AS167" s="39">
        <f>IF(ISNUMBER($AB167),IF(Header!$D$34="","?",$AB167*Header!$D$34),"")</f>
      </c>
      <c r="AT167" s="42">
        <f>IF(AND(ISNUMBER($AB167),$M167&gt;0),$AB167/$M167*100,"")</f>
      </c>
      <c r="AU167" s="42">
        <f>IF(AND(ISNUMBER($AD167),$M167&gt;0),$AD167/$M167*100,"")</f>
      </c>
      <c r="AV167" s="40">
        <f>IF(AND(ISNUMBER($AB167),ISNUMBER($AD167),ABS($AB167)&gt;0),$AD167/$AB167,"")</f>
      </c>
      <c r="AW167" s="39">
        <f>IF(ISNUMBER($AD167),MAX(0,(1-0.55-Header!$O$3)*Header!$Q$3*$AQ167),"")</f>
      </c>
      <c r="AX167" s="43">
        <f>IF($A167="","",IF(TRIM(IF($A167="","Missing certificate ref. ","") &amp; IF($C167="","Missing effective date. ","") &amp; IF($D167="","Missing binding status. ","") &amp; IF($E167="","Missing movement type. ","") &amp; IF($I167="","Missing make. ","") &amp; IF($L167="","Missing vehicle class. ","") &amp; IF($M167="","Missing agreed value. ","") &amp; IF($N167="","Missing policy type. ","") &amp; IF($Q167="","Missing garaging state. ","") &amp; IF($R167="","Missing garaging ZIP. ","") &amp; IF($S167="","Missing cat zone. ","") &amp; IF($V167="","Missing valuation basis. ","") &amp; IF($W167="","Missing PD deductible. ","") &amp; IF($X167="","Missing liability limit. ","") &amp; IF($AB167="","Missing technical premium. ","") &amp; IF($AF167="","Missing surplus lines tax %. ",""))="","PASS","FAIL: "&amp;TRIM(IF($A167="","Missing certificate ref. ","") &amp; IF($C167="","Missing effective date. ","") &amp; IF($D167="","Missing binding status. ","") &amp; IF($E167="","Missing movement type. ","") &amp; IF($I167="","Missing make. ","") &amp; IF($L167="","Missing vehicle class. ","") &amp; IF($M167="","Missing agreed value. ","") &amp; IF($N167="","Missing policy type. ","") &amp; IF($Q167="","Missing garaging state. ","") &amp; IF($R167="","Missing garaging ZIP. ","") &amp; IF($S167="","Missing cat zone. ","") &amp; IF($V167="","Missing valuation basis. ","") &amp; IF($W167="","Missing PD deductible. ","") &amp; IF($X167="","Missing liability limit. ","") &amp; IF($AB167="","Missing technical premium. ","") &amp; IF($AF167="","Missing surplus lines tax %. ",""))))</f>
      </c>
      <c r="AY167" s="44">
        <f>IF($M167="","",IF(ISNUMBER($M167),IF($M167&gt;=Header!$C$18,"YES — refer","No"),""))</f>
      </c>
      <c r="AZ167" s="44">
        <f>IF($AD167="","",IF(ISNUMBER($AD167),IF($AD167&lt;Header!$C$20,"BELOW MIN PREMIUM","OK"),""))</f>
      </c>
      <c r="BA167" s="32" t="inlineStr">
        <is>
          <t xml:space="preserve">Yes</t>
        </is>
      </c>
      <c r="BB167" s="32" t="inlineStr">
        <is>
          <t xml:space="preserve">Yes</t>
        </is>
      </c>
      <c r="BC167" s="30" t="inlineStr">
        <is>
          <t xml:space="preserve">Synthetic demo data</t>
        </is>
      </c>
      <c r="BE167" s="45">
        <f>IF(OR($A167="",$L167="",$H167=""),"",IF(AND(LEFT($L167,2)="06",$H167&gt;1945),"FAIL - pre-war class, year "&amp;$H167,IF(AND(LEFT($L167,2)="07",OR($H167&lt;1946,$H167&gt;1972)),"FAIL - 1946-72 class, year "&amp;$H167,IF(AND(LEFT($L167,2)="08",OR($H167&lt;1973,$H167&gt;1999)),"FAIL - 1973-99 class, year "&amp;$H167,IF(AND(LEFT($L167,2)="09",OR($H167&lt;2000,$H167&gt;2010)),"FAIL - 2000-10 class, year "&amp;$H167,"OK")))))</f>
      </c>
      <c r="BF167" s="45">
        <f>IF($AD167="","",IF(ROUND($AO167+$AP167+$AQ167-$AD167,2)=0,"OK","FAIL - out by "&amp;TEXT($AO167+$AP167+$AQ167-$AD167,"$0.00")))</f>
      </c>
    </row>
    <row r="168" spans="1:58" ht="18.75" customHeight="1" x14ac:dyDescent="0.25">
      <c r="A168" s="46" t="inlineStr">
        <is>
          <t xml:space="preserve">CANON-202511-002393</t>
        </is>
      </c>
      <c r="B168" s="46" t="inlineStr">
        <is>
          <t xml:space="preserve">Delphine Thistlewood</t>
        </is>
      </c>
      <c r="C168" s="47">
        <v>45975</v>
      </c>
      <c r="D168" s="48" t="inlineStr">
        <is>
          <t xml:space="preserve">Bound - within authority</t>
        </is>
      </c>
      <c r="E168" s="48" t="inlineStr">
        <is>
          <t xml:space="preserve">New business</t>
        </is>
      </c>
      <c r="F168" s="46" t="inlineStr">
        <is>
          <t xml:space="preserve">B1234EXOTIC26</t>
        </is>
      </c>
      <c r="G168" s="33">
        <f>IF($A168="","",IF($C168="","",YEAR($C168)))</f>
      </c>
      <c r="H168" s="49">
        <v>1979</v>
      </c>
      <c r="I168" s="46" t="inlineStr">
        <is>
          <t xml:space="preserve">Bentley</t>
        </is>
      </c>
      <c r="J168" s="46" t="inlineStr">
        <is>
          <t xml:space="preserve">Continental GT</t>
        </is>
      </c>
      <c r="K168" s="46" t="inlineStr">
        <is>
          <t xml:space="preserve">YT0WR6NU7HPZKEN34</t>
        </is>
      </c>
      <c r="L168" s="48" t="inlineStr">
        <is>
          <t xml:space="preserve">02 - Sports / GT</t>
        </is>
      </c>
      <c r="M168" s="50">
        <v>1060000</v>
      </c>
      <c r="N168" s="48" t="inlineStr">
        <is>
          <t xml:space="preserve">Personal</t>
        </is>
      </c>
      <c r="O168" s="46" t="inlineStr">
        <is>
          <t xml:space="preserve">Personal - regular use</t>
        </is>
      </c>
      <c r="P168" s="46" t="inlineStr">
        <is>
          <t xml:space="preserve">2,500 - 5,000</t>
        </is>
      </c>
      <c r="Q168" s="46" t="inlineStr">
        <is>
          <t xml:space="preserve">California</t>
        </is>
      </c>
      <c r="R168" s="46" t="inlineStr">
        <is>
          <t xml:space="preserve">90012</t>
        </is>
      </c>
      <c r="S168" s="48" t="inlineStr">
        <is>
          <t xml:space="preserve">Earthquake - high (CA, Cascadia, New Madrid)</t>
        </is>
      </c>
      <c r="T168" s="36">
        <f>IF($A168="","",IF($S168="","",IFERROR(INDEX('[1]natural catastrophe'!$D$6:$D$17,MATCH($S168,'[1]natural catastrophe'!$B$6:$B$17,0)),"?")))</f>
      </c>
      <c r="U168" s="46" t="inlineStr">
        <is>
          <t xml:space="preserve">$5,000</t>
        </is>
      </c>
      <c r="V168" s="48" t="inlineStr">
        <is>
          <t xml:space="preserve">Agreed Value</t>
        </is>
      </c>
      <c r="W168" s="46" t="inlineStr">
        <is>
          <t xml:space="preserve">$1,000</t>
        </is>
      </c>
      <c r="X168" s="48" t="inlineStr">
        <is>
          <t xml:space="preserve">$1,000,000 CSL</t>
        </is>
      </c>
      <c r="Y168" s="46"/>
      <c r="Z168" s="46"/>
      <c r="AA168" s="48" t="inlineStr">
        <is>
          <t xml:space="preserve">Surplus Lines</t>
        </is>
      </c>
      <c r="AB168" s="50">
        <v>13653.09</v>
      </c>
      <c r="AC168" s="51">
        <v>0</v>
      </c>
      <c r="AD168" s="38">
        <f>IF(ISNUMBER($AB168),$AB168*(1+N($AC168)),"")</f>
      </c>
      <c r="AE168" s="50">
        <v>350</v>
      </c>
      <c r="AF168" s="50">
        <v>250</v>
      </c>
      <c r="AG168" s="51"/>
      <c r="AH168" s="39">
        <f>IF(ISNUMBER($AD168),($AD168+$AE168+$AF168)*$AG168,"")</f>
      </c>
      <c r="AI168" s="50"/>
      <c r="AJ168" s="38">
        <f>IF(ISNUMBER($AD168),SUM($AD168:$AH168),"")</f>
      </c>
      <c r="AK168" s="40">
        <f>IF(AND(ISNUMBER($AB168),ISNUMBER($AD168)),IF($AB168&gt;0,$AD168/$AB168,""),"")</f>
      </c>
      <c r="AL168" s="48" t="inlineStr">
        <is>
          <t xml:space="preserve">At technical</t>
        </is>
      </c>
      <c r="AM168" s="41">
        <f>IF(ISNUMBER($AD168),Header!$I$3,"")</f>
      </c>
      <c r="AN168" s="39">
        <f>IF(ISNUMBER($AD168),$AO168+$AP168,"")</f>
      </c>
      <c r="AO168" s="39">
        <f>IF(ISNUMBER($AD168),ROUND($AD168*Header!$K$3,2),"")</f>
      </c>
      <c r="AP168" s="39">
        <f>IF(ISNUMBER($AD168),ROUND($AD168*Header!$M$3,2),"")</f>
      </c>
      <c r="AQ168" s="38">
        <f>IF(ISNUMBER($AD168),ROUND($AD168,2)-$AO168-$AP168,"")</f>
      </c>
      <c r="AR168" s="39">
        <f>IF(ISNUMBER($AD168),IF(Header!$D$34="","?",$AD168*Header!$D$34),"")</f>
      </c>
      <c r="AS168" s="39">
        <f>IF(ISNUMBER($AB168),IF(Header!$D$34="","?",$AB168*Header!$D$34),"")</f>
      </c>
      <c r="AT168" s="42">
        <f>IF(AND(ISNUMBER($AB168),$M168&gt;0),$AB168/$M168*100,"")</f>
      </c>
      <c r="AU168" s="42">
        <f>IF(AND(ISNUMBER($AD168),$M168&gt;0),$AD168/$M168*100,"")</f>
      </c>
      <c r="AV168" s="40">
        <f>IF(AND(ISNUMBER($AB168),ISNUMBER($AD168),ABS($AB168)&gt;0),$AD168/$AB168,"")</f>
      </c>
      <c r="AW168" s="39">
        <f>IF(ISNUMBER($AD168),MAX(0,(1-0.55-Header!$O$3)*Header!$Q$3*$AQ168),"")</f>
      </c>
      <c r="AX168" s="43">
        <f>IF($A168="","",IF(TRIM(IF($A168="","Missing certificate ref. ","") &amp; IF($C168="","Missing effective date. ","") &amp; IF($D168="","Missing binding status. ","") &amp; IF($E168="","Missing movement type. ","") &amp; IF($I168="","Missing make. ","") &amp; IF($L168="","Missing vehicle class. ","") &amp; IF($M168="","Missing agreed value. ","") &amp; IF($N168="","Missing policy type. ","") &amp; IF($Q168="","Missing garaging state. ","") &amp; IF($R168="","Missing garaging ZIP. ","") &amp; IF($S168="","Missing cat zone. ","") &amp; IF($V168="","Missing valuation basis. ","") &amp; IF($W168="","Missing PD deductible. ","") &amp; IF($X168="","Missing liability limit. ","") &amp; IF($AB168="","Missing technical premium. ","") &amp; IF($AF168="","Missing surplus lines tax %. ",""))="","PASS","FAIL: "&amp;TRIM(IF($A168="","Missing certificate ref. ","") &amp; IF($C168="","Missing effective date. ","") &amp; IF($D168="","Missing binding status. ","") &amp; IF($E168="","Missing movement type. ","") &amp; IF($I168="","Missing make. ","") &amp; IF($L168="","Missing vehicle class. ","") &amp; IF($M168="","Missing agreed value. ","") &amp; IF($N168="","Missing policy type. ","") &amp; IF($Q168="","Missing garaging state. ","") &amp; IF($R168="","Missing garaging ZIP. ","") &amp; IF($S168="","Missing cat zone. ","") &amp; IF($V168="","Missing valuation basis. ","") &amp; IF($W168="","Missing PD deductible. ","") &amp; IF($X168="","Missing liability limit. ","") &amp; IF($AB168="","Missing technical premium. ","") &amp; IF($AF168="","Missing surplus lines tax %. ",""))))</f>
      </c>
      <c r="AY168" s="44">
        <f>IF($M168="","",IF(ISNUMBER($M168),IF($M168&gt;=Header!$C$18,"YES — refer","No"),""))</f>
      </c>
      <c r="AZ168" s="44">
        <f>IF($AD168="","",IF(ISNUMBER($AD168),IF($AD168&lt;Header!$C$20,"BELOW MIN PREMIUM","OK"),""))</f>
      </c>
      <c r="BA168" s="48" t="inlineStr">
        <is>
          <t xml:space="preserve">Yes</t>
        </is>
      </c>
      <c r="BB168" s="48" t="inlineStr">
        <is>
          <t xml:space="preserve">Yes</t>
        </is>
      </c>
      <c r="BC168" s="46" t="inlineStr">
        <is>
          <t xml:space="preserve">Synthetic demo data</t>
        </is>
      </c>
      <c r="BE168" s="45">
        <f>IF(OR($A168="",$L168="",$H168=""),"",IF(AND(LEFT($L168,2)="06",$H168&gt;1945),"FAIL - pre-war class, year "&amp;$H168,IF(AND(LEFT($L168,2)="07",OR($H168&lt;1946,$H168&gt;1972)),"FAIL - 1946-72 class, year "&amp;$H168,IF(AND(LEFT($L168,2)="08",OR($H168&lt;1973,$H168&gt;1999)),"FAIL - 1973-99 class, year "&amp;$H168,IF(AND(LEFT($L168,2)="09",OR($H168&lt;2000,$H168&gt;2010)),"FAIL - 2000-10 class, year "&amp;$H168,"OK")))))</f>
      </c>
      <c r="BF168" s="45">
        <f>IF($AD168="","",IF(ROUND($AO168+$AP168+$AQ168-$AD168,2)=0,"OK","FAIL - out by "&amp;TEXT($AO168+$AP168+$AQ168-$AD168,"$0.00")))</f>
      </c>
    </row>
    <row r="169" spans="1:58" ht="18.75" customHeight="1" x14ac:dyDescent="0.25">
      <c r="A169" s="30" t="inlineStr">
        <is>
          <t xml:space="preserve">CANON-202511-002394</t>
        </is>
      </c>
      <c r="B169" s="30" t="inlineStr">
        <is>
          <t xml:space="preserve">Thaddeus Pennington</t>
        </is>
      </c>
      <c r="C169" s="31">
        <v>45987</v>
      </c>
      <c r="D169" s="32" t="inlineStr">
        <is>
          <t xml:space="preserve">Bound - within authority</t>
        </is>
      </c>
      <c r="E169" s="32" t="inlineStr">
        <is>
          <t xml:space="preserve">New business</t>
        </is>
      </c>
      <c r="F169" s="30" t="inlineStr">
        <is>
          <t xml:space="preserve">B1234EXOTIC26</t>
        </is>
      </c>
      <c r="G169" s="33">
        <f>IF($A169="","",IF($C169="","",YEAR($C169)))</f>
      </c>
      <c r="H169" s="34">
        <v>1980</v>
      </c>
      <c r="I169" s="30" t="inlineStr">
        <is>
          <t xml:space="preserve">Alfa Romeo</t>
        </is>
      </c>
      <c r="J169" s="30" t="inlineStr">
        <is>
          <t xml:space="preserve">8C 2900</t>
        </is>
      </c>
      <c r="K169" s="30" t="inlineStr">
        <is>
          <t xml:space="preserve">5RDFCV64ECD51YVF4</t>
        </is>
      </c>
      <c r="L169" s="32" t="inlineStr">
        <is>
          <t xml:space="preserve">08 - Modern Classic (1973-1999)</t>
        </is>
      </c>
      <c r="M169" s="35">
        <v>1950000</v>
      </c>
      <c r="N169" s="32" t="inlineStr">
        <is>
          <t xml:space="preserve">Personal</t>
        </is>
      </c>
      <c r="O169" s="30" t="inlineStr">
        <is>
          <t xml:space="preserve">Personal - regular use</t>
        </is>
      </c>
      <c r="P169" s="30" t="inlineStr">
        <is>
          <t xml:space="preserve">Under 1,000</t>
        </is>
      </c>
      <c r="Q169" s="30" t="inlineStr">
        <is>
          <t xml:space="preserve">Texas</t>
        </is>
      </c>
      <c r="R169" s="30" t="inlineStr">
        <is>
          <t xml:space="preserve">75201</t>
        </is>
      </c>
      <c r="S169" s="32" t="inlineStr">
        <is>
          <t xml:space="preserve">Tier 2 - Coastal wind (1-25 miles)</t>
        </is>
      </c>
      <c r="T169" s="36">
        <f>IF($A169="","",IF($S169="","",IFERROR(INDEX('[1]natural catastrophe'!$D$6:$D$17,MATCH($S169,'[1]natural catastrophe'!$B$6:$B$17,0)),"?")))</f>
      </c>
      <c r="U169" s="30" t="inlineStr">
        <is>
          <t xml:space="preserve">2% of agreed value, minimum $10,000</t>
        </is>
      </c>
      <c r="V169" s="32" t="inlineStr">
        <is>
          <t xml:space="preserve">Agreed Value</t>
        </is>
      </c>
      <c r="W169" s="30" t="inlineStr">
        <is>
          <t xml:space="preserve">$1,000</t>
        </is>
      </c>
      <c r="X169" s="32" t="inlineStr">
        <is>
          <t xml:space="preserve">$1,000,000 CSL</t>
        </is>
      </c>
      <c r="Y169" s="30"/>
      <c r="Z169" s="30"/>
      <c r="AA169" s="32" t="inlineStr">
        <is>
          <t xml:space="preserve">Surplus Lines</t>
        </is>
      </c>
      <c r="AB169" s="35">
        <v>13226.35</v>
      </c>
      <c r="AC169" s="37">
        <v>0</v>
      </c>
      <c r="AD169" s="38">
        <f>IF(ISNUMBER($AB169),$AB169*(1+N($AC169)),"")</f>
      </c>
      <c r="AE169" s="35">
        <v>350</v>
      </c>
      <c r="AF169" s="35">
        <v>250</v>
      </c>
      <c r="AG169" s="37"/>
      <c r="AH169" s="39">
        <f>IF(ISNUMBER($AD169),($AD169+$AE169+$AF169)*$AG169,"")</f>
      </c>
      <c r="AI169" s="35"/>
      <c r="AJ169" s="38">
        <f>IF(ISNUMBER($AD169),SUM($AD169:$AH169),"")</f>
      </c>
      <c r="AK169" s="40">
        <f>IF(AND(ISNUMBER($AB169),ISNUMBER($AD169)),IF($AB169&gt;0,$AD169/$AB169,""),"")</f>
      </c>
      <c r="AL169" s="32" t="inlineStr">
        <is>
          <t xml:space="preserve">At technical</t>
        </is>
      </c>
      <c r="AM169" s="41">
        <f>IF(ISNUMBER($AD169),Header!$I$3,"")</f>
      </c>
      <c r="AN169" s="39">
        <f>IF(ISNUMBER($AD169),$AO169+$AP169,"")</f>
      </c>
      <c r="AO169" s="39">
        <f>IF(ISNUMBER($AD169),ROUND($AD169*Header!$K$3,2),"")</f>
      </c>
      <c r="AP169" s="39">
        <f>IF(ISNUMBER($AD169),ROUND($AD169*Header!$M$3,2),"")</f>
      </c>
      <c r="AQ169" s="38">
        <f>IF(ISNUMBER($AD169),ROUND($AD169,2)-$AO169-$AP169,"")</f>
      </c>
      <c r="AR169" s="39">
        <f>IF(ISNUMBER($AD169),IF(Header!$D$34="","?",$AD169*Header!$D$34),"")</f>
      </c>
      <c r="AS169" s="39">
        <f>IF(ISNUMBER($AB169),IF(Header!$D$34="","?",$AB169*Header!$D$34),"")</f>
      </c>
      <c r="AT169" s="42">
        <f>IF(AND(ISNUMBER($AB169),$M169&gt;0),$AB169/$M169*100,"")</f>
      </c>
      <c r="AU169" s="42">
        <f>IF(AND(ISNUMBER($AD169),$M169&gt;0),$AD169/$M169*100,"")</f>
      </c>
      <c r="AV169" s="40">
        <f>IF(AND(ISNUMBER($AB169),ISNUMBER($AD169),ABS($AB169)&gt;0),$AD169/$AB169,"")</f>
      </c>
      <c r="AW169" s="39">
        <f>IF(ISNUMBER($AD169),MAX(0,(1-0.55-Header!$O$3)*Header!$Q$3*$AQ169),"")</f>
      </c>
      <c r="AX169" s="43">
        <f>IF($A169="","",IF(TRIM(IF($A169="","Missing certificate ref. ","") &amp; IF($C169="","Missing effective date. ","") &amp; IF($D169="","Missing binding status. ","") &amp; IF($E169="","Missing movement type. ","") &amp; IF($I169="","Missing make. ","") &amp; IF($L169="","Missing vehicle class. ","") &amp; IF($M169="","Missing agreed value. ","") &amp; IF($N169="","Missing policy type. ","") &amp; IF($Q169="","Missing garaging state. ","") &amp; IF($R169="","Missing garaging ZIP. ","") &amp; IF($S169="","Missing cat zone. ","") &amp; IF($V169="","Missing valuation basis. ","") &amp; IF($W169="","Missing PD deductible. ","") &amp; IF($X169="","Missing liability limit. ","") &amp; IF($AB169="","Missing technical premium. ","") &amp; IF($AF169="","Missing surplus lines tax %. ",""))="","PASS","FAIL: "&amp;TRIM(IF($A169="","Missing certificate ref. ","") &amp; IF($C169="","Missing effective date. ","") &amp; IF($D169="","Missing binding status. ","") &amp; IF($E169="","Missing movement type. ","") &amp; IF($I169="","Missing make. ","") &amp; IF($L169="","Missing vehicle class. ","") &amp; IF($M169="","Missing agreed value. ","") &amp; IF($N169="","Missing policy type. ","") &amp; IF($Q169="","Missing garaging state. ","") &amp; IF($R169="","Missing garaging ZIP. ","") &amp; IF($S169="","Missing cat zone. ","") &amp; IF($V169="","Missing valuation basis. ","") &amp; IF($W169="","Missing PD deductible. ","") &amp; IF($X169="","Missing liability limit. ","") &amp; IF($AB169="","Missing technical premium. ","") &amp; IF($AF169="","Missing surplus lines tax %. ",""))))</f>
      </c>
      <c r="AY169" s="44">
        <f>IF($M169="","",IF(ISNUMBER($M169),IF($M169&gt;=Header!$C$18,"YES — refer","No"),""))</f>
      </c>
      <c r="AZ169" s="44">
        <f>IF($AD169="","",IF(ISNUMBER($AD169),IF($AD169&lt;Header!$C$20,"BELOW MIN PREMIUM","OK"),""))</f>
      </c>
      <c r="BA169" s="32" t="inlineStr">
        <is>
          <t xml:space="preserve">Yes</t>
        </is>
      </c>
      <c r="BB169" s="32" t="inlineStr">
        <is>
          <t xml:space="preserve">Yes</t>
        </is>
      </c>
      <c r="BC169" s="30" t="inlineStr">
        <is>
          <t xml:space="preserve">Synthetic demo data</t>
        </is>
      </c>
      <c r="BE169" s="45">
        <f>IF(OR($A169="",$L169="",$H169=""),"",IF(AND(LEFT($L169,2)="06",$H169&gt;1945),"FAIL - pre-war class, year "&amp;$H169,IF(AND(LEFT($L169,2)="07",OR($H169&lt;1946,$H169&gt;1972)),"FAIL - 1946-72 class, year "&amp;$H169,IF(AND(LEFT($L169,2)="08",OR($H169&lt;1973,$H169&gt;1999)),"FAIL - 1973-99 class, year "&amp;$H169,IF(AND(LEFT($L169,2)="09",OR($H169&lt;2000,$H169&gt;2010)),"FAIL - 2000-10 class, year "&amp;$H169,"OK")))))</f>
      </c>
      <c r="BF169" s="45">
        <f>IF($AD169="","",IF(ROUND($AO169+$AP169+$AQ169-$AD169,2)=0,"OK","FAIL - out by "&amp;TEXT($AO169+$AP169+$AQ169-$AD169,"$0.00")))</f>
      </c>
    </row>
    <row r="170" spans="1:58" ht="18.75" customHeight="1" x14ac:dyDescent="0.25">
      <c r="A170" s="46" t="inlineStr">
        <is>
          <t xml:space="preserve">CANON-202511-002395</t>
        </is>
      </c>
      <c r="B170" s="46" t="inlineStr">
        <is>
          <t xml:space="preserve">Ingrid Harrington</t>
        </is>
      </c>
      <c r="C170" s="47">
        <v>45982</v>
      </c>
      <c r="D170" s="48" t="inlineStr">
        <is>
          <t xml:space="preserve">Bound - within authority</t>
        </is>
      </c>
      <c r="E170" s="48" t="inlineStr">
        <is>
          <t xml:space="preserve">New business</t>
        </is>
      </c>
      <c r="F170" s="46" t="inlineStr">
        <is>
          <t xml:space="preserve">B1234EXOTIC26</t>
        </is>
      </c>
      <c r="G170" s="33">
        <f>IF($A170="","",IF($C170="","",YEAR($C170)))</f>
      </c>
      <c r="H170" s="49">
        <v>2013</v>
      </c>
      <c r="I170" s="46" t="inlineStr">
        <is>
          <t xml:space="preserve">BMW</t>
        </is>
      </c>
      <c r="J170" s="46" t="inlineStr">
        <is>
          <t xml:space="preserve">M8 Competition</t>
        </is>
      </c>
      <c r="K170" s="46" t="inlineStr">
        <is>
          <t xml:space="preserve">LAUW3HEA082TBKT1K</t>
        </is>
      </c>
      <c r="L170" s="48" t="inlineStr">
        <is>
          <t xml:space="preserve">02 - Sports / GT</t>
        </is>
      </c>
      <c r="M170" s="50">
        <v>1070000</v>
      </c>
      <c r="N170" s="48" t="inlineStr">
        <is>
          <t xml:space="preserve">Personal</t>
        </is>
      </c>
      <c r="O170" s="46" t="inlineStr">
        <is>
          <t xml:space="preserve">Personal - regular use</t>
        </is>
      </c>
      <c r="P170" s="46" t="inlineStr">
        <is>
          <t xml:space="preserve">Under 1,000</t>
        </is>
      </c>
      <c r="Q170" s="46" t="inlineStr">
        <is>
          <t xml:space="preserve">California</t>
        </is>
      </c>
      <c r="R170" s="46" t="inlineStr">
        <is>
          <t xml:space="preserve">90012</t>
        </is>
      </c>
      <c r="S170" s="48" t="inlineStr">
        <is>
          <t xml:space="preserve">Earthquake - high (CA, Cascadia, New Madrid)</t>
        </is>
      </c>
      <c r="T170" s="36">
        <f>IF($A170="","",IF($S170="","",IFERROR(INDEX('[1]natural catastrophe'!$D$6:$D$17,MATCH($S170,'[1]natural catastrophe'!$B$6:$B$17,0)),"?")))</f>
      </c>
      <c r="U170" s="46" t="inlineStr">
        <is>
          <t xml:space="preserve">$5,000</t>
        </is>
      </c>
      <c r="V170" s="48" t="inlineStr">
        <is>
          <t xml:space="preserve">Agreed Value</t>
        </is>
      </c>
      <c r="W170" s="46" t="inlineStr">
        <is>
          <t xml:space="preserve">$1,000</t>
        </is>
      </c>
      <c r="X170" s="48" t="inlineStr">
        <is>
          <t xml:space="preserve">$1,000,000 CSL</t>
        </is>
      </c>
      <c r="Y170" s="46"/>
      <c r="Z170" s="46"/>
      <c r="AA170" s="48" t="inlineStr">
        <is>
          <t xml:space="preserve">Surplus Lines</t>
        </is>
      </c>
      <c r="AB170" s="50">
        <v>13781.89</v>
      </c>
      <c r="AC170" s="51">
        <v>0</v>
      </c>
      <c r="AD170" s="38">
        <f>IF(ISNUMBER($AB170),$AB170*(1+N($AC170)),"")</f>
      </c>
      <c r="AE170" s="50">
        <v>350</v>
      </c>
      <c r="AF170" s="50">
        <v>250</v>
      </c>
      <c r="AG170" s="51"/>
      <c r="AH170" s="39">
        <f>IF(ISNUMBER($AD170),($AD170+$AE170+$AF170)*$AG170,"")</f>
      </c>
      <c r="AI170" s="50"/>
      <c r="AJ170" s="38">
        <f>IF(ISNUMBER($AD170),SUM($AD170:$AH170),"")</f>
      </c>
      <c r="AK170" s="40">
        <f>IF(AND(ISNUMBER($AB170),ISNUMBER($AD170)),IF($AB170&gt;0,$AD170/$AB170,""),"")</f>
      </c>
      <c r="AL170" s="48" t="inlineStr">
        <is>
          <t xml:space="preserve">At technical</t>
        </is>
      </c>
      <c r="AM170" s="41">
        <f>IF(ISNUMBER($AD170),Header!$I$3,"")</f>
      </c>
      <c r="AN170" s="39">
        <f>IF(ISNUMBER($AD170),$AO170+$AP170,"")</f>
      </c>
      <c r="AO170" s="39">
        <f>IF(ISNUMBER($AD170),ROUND($AD170*Header!$K$3,2),"")</f>
      </c>
      <c r="AP170" s="39">
        <f>IF(ISNUMBER($AD170),ROUND($AD170*Header!$M$3,2),"")</f>
      </c>
      <c r="AQ170" s="38">
        <f>IF(ISNUMBER($AD170),ROUND($AD170,2)-$AO170-$AP170,"")</f>
      </c>
      <c r="AR170" s="39">
        <f>IF(ISNUMBER($AD170),IF(Header!$D$34="","?",$AD170*Header!$D$34),"")</f>
      </c>
      <c r="AS170" s="39">
        <f>IF(ISNUMBER($AB170),IF(Header!$D$34="","?",$AB170*Header!$D$34),"")</f>
      </c>
      <c r="AT170" s="42">
        <f>IF(AND(ISNUMBER($AB170),$M170&gt;0),$AB170/$M170*100,"")</f>
      </c>
      <c r="AU170" s="42">
        <f>IF(AND(ISNUMBER($AD170),$M170&gt;0),$AD170/$M170*100,"")</f>
      </c>
      <c r="AV170" s="40">
        <f>IF(AND(ISNUMBER($AB170),ISNUMBER($AD170),ABS($AB170)&gt;0),$AD170/$AB170,"")</f>
      </c>
      <c r="AW170" s="39">
        <f>IF(ISNUMBER($AD170),MAX(0,(1-0.55-Header!$O$3)*Header!$Q$3*$AQ170),"")</f>
      </c>
      <c r="AX170" s="43">
        <f>IF($A170="","",IF(TRIM(IF($A170="","Missing certificate ref. ","") &amp; IF($C170="","Missing effective date. ","") &amp; IF($D170="","Missing binding status. ","") &amp; IF($E170="","Missing movement type. ","") &amp; IF($I170="","Missing make. ","") &amp; IF($L170="","Missing vehicle class. ","") &amp; IF($M170="","Missing agreed value. ","") &amp; IF($N170="","Missing policy type. ","") &amp; IF($Q170="","Missing garaging state. ","") &amp; IF($R170="","Missing garaging ZIP. ","") &amp; IF($S170="","Missing cat zone. ","") &amp; IF($V170="","Missing valuation basis. ","") &amp; IF($W170="","Missing PD deductible. ","") &amp; IF($X170="","Missing liability limit. ","") &amp; IF($AB170="","Missing technical premium. ","") &amp; IF($AF170="","Missing surplus lines tax %. ",""))="","PASS","FAIL: "&amp;TRIM(IF($A170="","Missing certificate ref. ","") &amp; IF($C170="","Missing effective date. ","") &amp; IF($D170="","Missing binding status. ","") &amp; IF($E170="","Missing movement type. ","") &amp; IF($I170="","Missing make. ","") &amp; IF($L170="","Missing vehicle class. ","") &amp; IF($M170="","Missing agreed value. ","") &amp; IF($N170="","Missing policy type. ","") &amp; IF($Q170="","Missing garaging state. ","") &amp; IF($R170="","Missing garaging ZIP. ","") &amp; IF($S170="","Missing cat zone. ","") &amp; IF($V170="","Missing valuation basis. ","") &amp; IF($W170="","Missing PD deductible. ","") &amp; IF($X170="","Missing liability limit. ","") &amp; IF($AB170="","Missing technical premium. ","") &amp; IF($AF170="","Missing surplus lines tax %. ",""))))</f>
      </c>
      <c r="AY170" s="44">
        <f>IF($M170="","",IF(ISNUMBER($M170),IF($M170&gt;=Header!$C$18,"YES — refer","No"),""))</f>
      </c>
      <c r="AZ170" s="44">
        <f>IF($AD170="","",IF(ISNUMBER($AD170),IF($AD170&lt;Header!$C$20,"BELOW MIN PREMIUM","OK"),""))</f>
      </c>
      <c r="BA170" s="48" t="inlineStr">
        <is>
          <t xml:space="preserve">Yes</t>
        </is>
      </c>
      <c r="BB170" s="48" t="inlineStr">
        <is>
          <t xml:space="preserve">Yes</t>
        </is>
      </c>
      <c r="BC170" s="46" t="inlineStr">
        <is>
          <t xml:space="preserve">Synthetic demo data</t>
        </is>
      </c>
      <c r="BE170" s="45">
        <f>IF(OR($A170="",$L170="",$H170=""),"",IF(AND(LEFT($L170,2)="06",$H170&gt;1945),"FAIL - pre-war class, year "&amp;$H170,IF(AND(LEFT($L170,2)="07",OR($H170&lt;1946,$H170&gt;1972)),"FAIL - 1946-72 class, year "&amp;$H170,IF(AND(LEFT($L170,2)="08",OR($H170&lt;1973,$H170&gt;1999)),"FAIL - 1973-99 class, year "&amp;$H170,IF(AND(LEFT($L170,2)="09",OR($H170&lt;2000,$H170&gt;2010)),"FAIL - 2000-10 class, year "&amp;$H170,"OK")))))</f>
      </c>
      <c r="BF170" s="45">
        <f>IF($AD170="","",IF(ROUND($AO170+$AP170+$AQ170-$AD170,2)=0,"OK","FAIL - out by "&amp;TEXT($AO170+$AP170+$AQ170-$AD170,"$0.00")))</f>
      </c>
    </row>
    <row r="171" spans="1:58" ht="18.75" customHeight="1" x14ac:dyDescent="0.25">
      <c r="A171" s="30" t="inlineStr">
        <is>
          <t xml:space="preserve">CANON-202511-002397</t>
        </is>
      </c>
      <c r="B171" s="30" t="inlineStr">
        <is>
          <t xml:space="preserve">Cassius Nakashima</t>
        </is>
      </c>
      <c r="C171" s="31">
        <v>45981</v>
      </c>
      <c r="D171" s="32" t="inlineStr">
        <is>
          <t xml:space="preserve">Bound - within authority</t>
        </is>
      </c>
      <c r="E171" s="32" t="inlineStr">
        <is>
          <t xml:space="preserve">New business</t>
        </is>
      </c>
      <c r="F171" s="30" t="inlineStr">
        <is>
          <t xml:space="preserve">B1234EXOTIC26</t>
        </is>
      </c>
      <c r="G171" s="33">
        <f>IF($A171="","",IF($C171="","",YEAR($C171)))</f>
      </c>
      <c r="H171" s="34">
        <v>2009</v>
      </c>
      <c r="I171" s="30" t="inlineStr">
        <is>
          <t xml:space="preserve">BMW</t>
        </is>
      </c>
      <c r="J171" s="30" t="inlineStr">
        <is>
          <t xml:space="preserve">M8 Competition</t>
        </is>
      </c>
      <c r="K171" s="30" t="inlineStr">
        <is>
          <t xml:space="preserve">FC49207P6CRYZXLJE</t>
        </is>
      </c>
      <c r="L171" s="32" t="inlineStr">
        <is>
          <t xml:space="preserve">02 - Sports / GT</t>
        </is>
      </c>
      <c r="M171" s="35">
        <v>355000</v>
      </c>
      <c r="N171" s="32" t="inlineStr">
        <is>
          <t xml:space="preserve">Personal</t>
        </is>
      </c>
      <c r="O171" s="30" t="inlineStr">
        <is>
          <t xml:space="preserve">Personal - regular use</t>
        </is>
      </c>
      <c r="P171" s="30" t="inlineStr">
        <is>
          <t xml:space="preserve">1,000 - 2,500</t>
        </is>
      </c>
      <c r="Q171" s="30" t="inlineStr">
        <is>
          <t xml:space="preserve">California</t>
        </is>
      </c>
      <c r="R171" s="30" t="inlineStr">
        <is>
          <t xml:space="preserve">90012</t>
        </is>
      </c>
      <c r="S171" s="32" t="inlineStr">
        <is>
          <t xml:space="preserve">Earthquake - high (CA, Cascadia, New Madrid)</t>
        </is>
      </c>
      <c r="T171" s="36">
        <f>IF($A171="","",IF($S171="","",IFERROR(INDEX('[1]natural catastrophe'!$D$6:$D$17,MATCH($S171,'[1]natural catastrophe'!$B$6:$B$17,0)),"?")))</f>
      </c>
      <c r="U171" s="30" t="inlineStr">
        <is>
          <t xml:space="preserve">$5,000</t>
        </is>
      </c>
      <c r="V171" s="32" t="inlineStr">
        <is>
          <t xml:space="preserve">Agreed Value</t>
        </is>
      </c>
      <c r="W171" s="30" t="inlineStr">
        <is>
          <t xml:space="preserve">$1,000</t>
        </is>
      </c>
      <c r="X171" s="32" t="inlineStr">
        <is>
          <t xml:space="preserve">$1,000,000 CSL</t>
        </is>
      </c>
      <c r="Y171" s="30"/>
      <c r="Z171" s="30"/>
      <c r="AA171" s="32" t="inlineStr">
        <is>
          <t xml:space="preserve">Surplus Lines</t>
        </is>
      </c>
      <c r="AB171" s="35">
        <v>6235.22</v>
      </c>
      <c r="AC171" s="37">
        <v>0</v>
      </c>
      <c r="AD171" s="38">
        <f>IF(ISNUMBER($AB171),$AB171*(1+N($AC171)),"")</f>
      </c>
      <c r="AE171" s="35">
        <v>350</v>
      </c>
      <c r="AF171" s="35">
        <v>0</v>
      </c>
      <c r="AG171" s="37"/>
      <c r="AH171" s="39">
        <f>IF(ISNUMBER($AD171),($AD171+$AE171+$AF171)*$AG171,"")</f>
      </c>
      <c r="AI171" s="35"/>
      <c r="AJ171" s="38">
        <f>IF(ISNUMBER($AD171),SUM($AD171:$AH171),"")</f>
      </c>
      <c r="AK171" s="40">
        <f>IF(AND(ISNUMBER($AB171),ISNUMBER($AD171)),IF($AB171&gt;0,$AD171/$AB171,""),"")</f>
      </c>
      <c r="AL171" s="32" t="inlineStr">
        <is>
          <t xml:space="preserve">At technical</t>
        </is>
      </c>
      <c r="AM171" s="41">
        <f>IF(ISNUMBER($AD171),Header!$I$3,"")</f>
      </c>
      <c r="AN171" s="39">
        <f>IF(ISNUMBER($AD171),$AO171+$AP171,"")</f>
      </c>
      <c r="AO171" s="39">
        <f>IF(ISNUMBER($AD171),ROUND($AD171*Header!$K$3,2),"")</f>
      </c>
      <c r="AP171" s="39">
        <f>IF(ISNUMBER($AD171),ROUND($AD171*Header!$M$3,2),"")</f>
      </c>
      <c r="AQ171" s="38">
        <f>IF(ISNUMBER($AD171),ROUND($AD171,2)-$AO171-$AP171,"")</f>
      </c>
      <c r="AR171" s="39">
        <f>IF(ISNUMBER($AD171),IF(Header!$D$34="","?",$AD171*Header!$D$34),"")</f>
      </c>
      <c r="AS171" s="39">
        <f>IF(ISNUMBER($AB171),IF(Header!$D$34="","?",$AB171*Header!$D$34),"")</f>
      </c>
      <c r="AT171" s="42">
        <f>IF(AND(ISNUMBER($AB171),$M171&gt;0),$AB171/$M171*100,"")</f>
      </c>
      <c r="AU171" s="42">
        <f>IF(AND(ISNUMBER($AD171),$M171&gt;0),$AD171/$M171*100,"")</f>
      </c>
      <c r="AV171" s="40">
        <f>IF(AND(ISNUMBER($AB171),ISNUMBER($AD171),ABS($AB171)&gt;0),$AD171/$AB171,"")</f>
      </c>
      <c r="AW171" s="39">
        <f>IF(ISNUMBER($AD171),MAX(0,(1-0.55-Header!$O$3)*Header!$Q$3*$AQ171),"")</f>
      </c>
      <c r="AX171" s="43">
        <f>IF($A171="","",IF(TRIM(IF($A171="","Missing certificate ref. ","") &amp; IF($C171="","Missing effective date. ","") &amp; IF($D171="","Missing binding status. ","") &amp; IF($E171="","Missing movement type. ","") &amp; IF($I171="","Missing make. ","") &amp; IF($L171="","Missing vehicle class. ","") &amp; IF($M171="","Missing agreed value. ","") &amp; IF($N171="","Missing policy type. ","") &amp; IF($Q171="","Missing garaging state. ","") &amp; IF($R171="","Missing garaging ZIP. ","") &amp; IF($S171="","Missing cat zone. ","") &amp; IF($V171="","Missing valuation basis. ","") &amp; IF($W171="","Missing PD deductible. ","") &amp; IF($X171="","Missing liability limit. ","") &amp; IF($AB171="","Missing technical premium. ","") &amp; IF($AF171="","Missing surplus lines tax %. ",""))="","PASS","FAIL: "&amp;TRIM(IF($A171="","Missing certificate ref. ","") &amp; IF($C171="","Missing effective date. ","") &amp; IF($D171="","Missing binding status. ","") &amp; IF($E171="","Missing movement type. ","") &amp; IF($I171="","Missing make. ","") &amp; IF($L171="","Missing vehicle class. ","") &amp; IF($M171="","Missing agreed value. ","") &amp; IF($N171="","Missing policy type. ","") &amp; IF($Q171="","Missing garaging state. ","") &amp; IF($R171="","Missing garaging ZIP. ","") &amp; IF($S171="","Missing cat zone. ","") &amp; IF($V171="","Missing valuation basis. ","") &amp; IF($W171="","Missing PD deductible. ","") &amp; IF($X171="","Missing liability limit. ","") &amp; IF($AB171="","Missing technical premium. ","") &amp; IF($AF171="","Missing surplus lines tax %. ",""))))</f>
      </c>
      <c r="AY171" s="44">
        <f>IF($M171="","",IF(ISNUMBER($M171),IF($M171&gt;=Header!$C$18,"YES — refer","No"),""))</f>
      </c>
      <c r="AZ171" s="44">
        <f>IF($AD171="","",IF(ISNUMBER($AD171),IF($AD171&lt;Header!$C$20,"BELOW MIN PREMIUM","OK"),""))</f>
      </c>
      <c r="BA171" s="32" t="inlineStr">
        <is>
          <t xml:space="preserve">Yes</t>
        </is>
      </c>
      <c r="BB171" s="32" t="inlineStr">
        <is>
          <t xml:space="preserve">Yes</t>
        </is>
      </c>
      <c r="BC171" s="30" t="inlineStr">
        <is>
          <t xml:space="preserve">Synthetic demo data</t>
        </is>
      </c>
      <c r="BE171" s="45">
        <f>IF(OR($A171="",$L171="",$H171=""),"",IF(AND(LEFT($L171,2)="06",$H171&gt;1945),"FAIL - pre-war class, year "&amp;$H171,IF(AND(LEFT($L171,2)="07",OR($H171&lt;1946,$H171&gt;1972)),"FAIL - 1946-72 class, year "&amp;$H171,IF(AND(LEFT($L171,2)="08",OR($H171&lt;1973,$H171&gt;1999)),"FAIL - 1973-99 class, year "&amp;$H171,IF(AND(LEFT($L171,2)="09",OR($H171&lt;2000,$H171&gt;2010)),"FAIL - 2000-10 class, year "&amp;$H171,"OK")))))</f>
      </c>
      <c r="BF171" s="45">
        <f>IF($AD171="","",IF(ROUND($AO171+$AP171+$AQ171-$AD171,2)=0,"OK","FAIL - out by "&amp;TEXT($AO171+$AP171+$AQ171-$AD171,"$0.00")))</f>
      </c>
    </row>
    <row r="172" spans="1:58" ht="18.75" customHeight="1" x14ac:dyDescent="0.25">
      <c r="A172" s="46" t="inlineStr">
        <is>
          <t xml:space="preserve">CANON-202511-002398</t>
        </is>
      </c>
      <c r="B172" s="46" t="inlineStr">
        <is>
          <t xml:space="preserve">Lorenzo Thistlewood</t>
        </is>
      </c>
      <c r="C172" s="47">
        <v>45969</v>
      </c>
      <c r="D172" s="48" t="inlineStr">
        <is>
          <t xml:space="preserve">Bound - within authority</t>
        </is>
      </c>
      <c r="E172" s="48" t="inlineStr">
        <is>
          <t xml:space="preserve">New business</t>
        </is>
      </c>
      <c r="F172" s="46" t="inlineStr">
        <is>
          <t xml:space="preserve">B1234EXOTIC26</t>
        </is>
      </c>
      <c r="G172" s="33">
        <f>IF($A172="","",IF($C172="","",YEAR($C172)))</f>
      </c>
      <c r="H172" s="49">
        <v>1977</v>
      </c>
      <c r="I172" s="46" t="inlineStr">
        <is>
          <t xml:space="preserve">McLaren</t>
        </is>
      </c>
      <c r="J172" s="46" t="inlineStr">
        <is>
          <t xml:space="preserve">750S</t>
        </is>
      </c>
      <c r="K172" s="46" t="inlineStr">
        <is>
          <t xml:space="preserve">YJ1PAHXPSJ00T00BN</t>
        </is>
      </c>
      <c r="L172" s="48" t="inlineStr">
        <is>
          <t xml:space="preserve">03 - Supercar</t>
        </is>
      </c>
      <c r="M172" s="50">
        <v>1150000</v>
      </c>
      <c r="N172" s="48" t="inlineStr">
        <is>
          <t xml:space="preserve">Personal</t>
        </is>
      </c>
      <c r="O172" s="46" t="inlineStr">
        <is>
          <t xml:space="preserve">Personal - regular use</t>
        </is>
      </c>
      <c r="P172" s="46" t="inlineStr">
        <is>
          <t xml:space="preserve">1,000 - 2,500</t>
        </is>
      </c>
      <c r="Q172" s="46" t="inlineStr">
        <is>
          <t xml:space="preserve">New Mexico</t>
        </is>
      </c>
      <c r="R172" s="46" t="inlineStr">
        <is>
          <t xml:space="preserve">87501</t>
        </is>
      </c>
      <c r="S172" s="48" t="inlineStr">
        <is>
          <t xml:space="preserve">Wildfire - WUI high hazard</t>
        </is>
      </c>
      <c r="T172" s="36">
        <f>IF($A172="","",IF($S172="","",IFERROR(INDEX('[1]natural catastrophe'!$D$6:$D$17,MATCH($S172,'[1]natural catastrophe'!$B$6:$B$17,0)),"?")))</f>
      </c>
      <c r="U172" s="46" t="inlineStr">
        <is>
          <t xml:space="preserve">$5,000</t>
        </is>
      </c>
      <c r="V172" s="48" t="inlineStr">
        <is>
          <t xml:space="preserve">Agreed Value</t>
        </is>
      </c>
      <c r="W172" s="46" t="inlineStr">
        <is>
          <t xml:space="preserve">$1,000</t>
        </is>
      </c>
      <c r="X172" s="48" t="inlineStr">
        <is>
          <t xml:space="preserve">$1,000,000 CSL</t>
        </is>
      </c>
      <c r="Y172" s="46"/>
      <c r="Z172" s="46"/>
      <c r="AA172" s="48" t="inlineStr">
        <is>
          <t xml:space="preserve">Surplus Lines</t>
        </is>
      </c>
      <c r="AB172" s="50">
        <v>20428.03</v>
      </c>
      <c r="AC172" s="51">
        <v>0</v>
      </c>
      <c r="AD172" s="38">
        <f>IF(ISNUMBER($AB172),$AB172*(1+N($AC172)),"")</f>
      </c>
      <c r="AE172" s="50">
        <v>350</v>
      </c>
      <c r="AF172" s="50">
        <v>250</v>
      </c>
      <c r="AG172" s="51"/>
      <c r="AH172" s="39">
        <f>IF(ISNUMBER($AD172),($AD172+$AE172+$AF172)*$AG172,"")</f>
      </c>
      <c r="AI172" s="50"/>
      <c r="AJ172" s="38">
        <f>IF(ISNUMBER($AD172),SUM($AD172:$AH172),"")</f>
      </c>
      <c r="AK172" s="40">
        <f>IF(AND(ISNUMBER($AB172),ISNUMBER($AD172)),IF($AB172&gt;0,$AD172/$AB172,""),"")</f>
      </c>
      <c r="AL172" s="48" t="inlineStr">
        <is>
          <t xml:space="preserve">At technical</t>
        </is>
      </c>
      <c r="AM172" s="41">
        <f>IF(ISNUMBER($AD172),Header!$I$3,"")</f>
      </c>
      <c r="AN172" s="39">
        <f>IF(ISNUMBER($AD172),$AO172+$AP172,"")</f>
      </c>
      <c r="AO172" s="39">
        <f>IF(ISNUMBER($AD172),ROUND($AD172*Header!$K$3,2),"")</f>
      </c>
      <c r="AP172" s="39">
        <f>IF(ISNUMBER($AD172),ROUND($AD172*Header!$M$3,2),"")</f>
      </c>
      <c r="AQ172" s="38">
        <f>IF(ISNUMBER($AD172),ROUND($AD172,2)-$AO172-$AP172,"")</f>
      </c>
      <c r="AR172" s="39">
        <f>IF(ISNUMBER($AD172),IF(Header!$D$34="","?",$AD172*Header!$D$34),"")</f>
      </c>
      <c r="AS172" s="39">
        <f>IF(ISNUMBER($AB172),IF(Header!$D$34="","?",$AB172*Header!$D$34),"")</f>
      </c>
      <c r="AT172" s="42">
        <f>IF(AND(ISNUMBER($AB172),$M172&gt;0),$AB172/$M172*100,"")</f>
      </c>
      <c r="AU172" s="42">
        <f>IF(AND(ISNUMBER($AD172),$M172&gt;0),$AD172/$M172*100,"")</f>
      </c>
      <c r="AV172" s="40">
        <f>IF(AND(ISNUMBER($AB172),ISNUMBER($AD172),ABS($AB172)&gt;0),$AD172/$AB172,"")</f>
      </c>
      <c r="AW172" s="39">
        <f>IF(ISNUMBER($AD172),MAX(0,(1-0.55-Header!$O$3)*Header!$Q$3*$AQ172),"")</f>
      </c>
      <c r="AX172" s="43">
        <f>IF($A172="","",IF(TRIM(IF($A172="","Missing certificate ref. ","") &amp; IF($C172="","Missing effective date. ","") &amp; IF($D172="","Missing binding status. ","") &amp; IF($E172="","Missing movement type. ","") &amp; IF($I172="","Missing make. ","") &amp; IF($L172="","Missing vehicle class. ","") &amp; IF($M172="","Missing agreed value. ","") &amp; IF($N172="","Missing policy type. ","") &amp; IF($Q172="","Missing garaging state. ","") &amp; IF($R172="","Missing garaging ZIP. ","") &amp; IF($S172="","Missing cat zone. ","") &amp; IF($V172="","Missing valuation basis. ","") &amp; IF($W172="","Missing PD deductible. ","") &amp; IF($X172="","Missing liability limit. ","") &amp; IF($AB172="","Missing technical premium. ","") &amp; IF($AF172="","Missing surplus lines tax %. ",""))="","PASS","FAIL: "&amp;TRIM(IF($A172="","Missing certificate ref. ","") &amp; IF($C172="","Missing effective date. ","") &amp; IF($D172="","Missing binding status. ","") &amp; IF($E172="","Missing movement type. ","") &amp; IF($I172="","Missing make. ","") &amp; IF($L172="","Missing vehicle class. ","") &amp; IF($M172="","Missing agreed value. ","") &amp; IF($N172="","Missing policy type. ","") &amp; IF($Q172="","Missing garaging state. ","") &amp; IF($R172="","Missing garaging ZIP. ","") &amp; IF($S172="","Missing cat zone. ","") &amp; IF($V172="","Missing valuation basis. ","") &amp; IF($W172="","Missing PD deductible. ","") &amp; IF($X172="","Missing liability limit. ","") &amp; IF($AB172="","Missing technical premium. ","") &amp; IF($AF172="","Missing surplus lines tax %. ",""))))</f>
      </c>
      <c r="AY172" s="44">
        <f>IF($M172="","",IF(ISNUMBER($M172),IF($M172&gt;=Header!$C$18,"YES — refer","No"),""))</f>
      </c>
      <c r="AZ172" s="44">
        <f>IF($AD172="","",IF(ISNUMBER($AD172),IF($AD172&lt;Header!$C$20,"BELOW MIN PREMIUM","OK"),""))</f>
      </c>
      <c r="BA172" s="48" t="inlineStr">
        <is>
          <t xml:space="preserve">Yes</t>
        </is>
      </c>
      <c r="BB172" s="48" t="inlineStr">
        <is>
          <t xml:space="preserve">Yes</t>
        </is>
      </c>
      <c r="BC172" s="46" t="inlineStr">
        <is>
          <t xml:space="preserve">Synthetic demo data</t>
        </is>
      </c>
      <c r="BE172" s="45">
        <f>IF(OR($A172="",$L172="",$H172=""),"",IF(AND(LEFT($L172,2)="06",$H172&gt;1945),"FAIL - pre-war class, year "&amp;$H172,IF(AND(LEFT($L172,2)="07",OR($H172&lt;1946,$H172&gt;1972)),"FAIL - 1946-72 class, year "&amp;$H172,IF(AND(LEFT($L172,2)="08",OR($H172&lt;1973,$H172&gt;1999)),"FAIL - 1973-99 class, year "&amp;$H172,IF(AND(LEFT($L172,2)="09",OR($H172&lt;2000,$H172&gt;2010)),"FAIL - 2000-10 class, year "&amp;$H172,"OK")))))</f>
      </c>
      <c r="BF172" s="45">
        <f>IF($AD172="","",IF(ROUND($AO172+$AP172+$AQ172-$AD172,2)=0,"OK","FAIL - out by "&amp;TEXT($AO172+$AP172+$AQ172-$AD172,"$0.00")))</f>
      </c>
    </row>
    <row r="173" spans="1:58" ht="18.75" customHeight="1" x14ac:dyDescent="0.25">
      <c r="A173" s="30" t="inlineStr">
        <is>
          <t xml:space="preserve">CANON-202511-002399</t>
        </is>
      </c>
      <c r="B173" s="30" t="inlineStr">
        <is>
          <t xml:space="preserve">Ottilie Larsson</t>
        </is>
      </c>
      <c r="C173" s="31">
        <v>45985</v>
      </c>
      <c r="D173" s="32" t="inlineStr">
        <is>
          <t xml:space="preserve">Bound - within authority</t>
        </is>
      </c>
      <c r="E173" s="32" t="inlineStr">
        <is>
          <t xml:space="preserve">New business</t>
        </is>
      </c>
      <c r="F173" s="30" t="inlineStr">
        <is>
          <t xml:space="preserve">B1234EXOTIC26</t>
        </is>
      </c>
      <c r="G173" s="33">
        <f>IF($A173="","",IF($C173="","",YEAR($C173)))</f>
      </c>
      <c r="H173" s="34">
        <v>1994</v>
      </c>
      <c r="I173" s="30" t="inlineStr">
        <is>
          <t xml:space="preserve">Bentley</t>
        </is>
      </c>
      <c r="J173" s="30" t="inlineStr">
        <is>
          <t xml:space="preserve">Continental GT</t>
        </is>
      </c>
      <c r="K173" s="30" t="inlineStr">
        <is>
          <t xml:space="preserve">42CSD95S7Z3M0D814</t>
        </is>
      </c>
      <c r="L173" s="32" t="inlineStr">
        <is>
          <t xml:space="preserve">02 - Sports / GT</t>
        </is>
      </c>
      <c r="M173" s="35">
        <v>205000</v>
      </c>
      <c r="N173" s="32" t="inlineStr">
        <is>
          <t xml:space="preserve">Personal</t>
        </is>
      </c>
      <c r="O173" s="30" t="inlineStr">
        <is>
          <t xml:space="preserve">Personal - regular use</t>
        </is>
      </c>
      <c r="P173" s="30" t="inlineStr">
        <is>
          <t xml:space="preserve">2,500 - 5,000</t>
        </is>
      </c>
      <c r="Q173" s="30" t="inlineStr">
        <is>
          <t xml:space="preserve">Maryland</t>
        </is>
      </c>
      <c r="R173" s="30" t="inlineStr">
        <is>
          <t xml:space="preserve">21201</t>
        </is>
      </c>
      <c r="S173" s="32" t="inlineStr">
        <is>
          <t xml:space="preserve">Tier 3 - Coastal wind (25-100 miles)</t>
        </is>
      </c>
      <c r="T173" s="36">
        <f>IF($A173="","",IF($S173="","",IFERROR(INDEX('[1]natural catastrophe'!$D$6:$D$17,MATCH($S173,'[1]natural catastrophe'!$B$6:$B$17,0)),"?")))</f>
      </c>
      <c r="U173" s="30" t="inlineStr">
        <is>
          <t xml:space="preserve">2% of agreed value, minimum $10,000</t>
        </is>
      </c>
      <c r="V173" s="32" t="inlineStr">
        <is>
          <t xml:space="preserve">Agreed Value</t>
        </is>
      </c>
      <c r="W173" s="30" t="inlineStr">
        <is>
          <t xml:space="preserve">$1,000</t>
        </is>
      </c>
      <c r="X173" s="32" t="inlineStr">
        <is>
          <t xml:space="preserve">$1,000,000 CSL</t>
        </is>
      </c>
      <c r="Y173" s="30"/>
      <c r="Z173" s="30"/>
      <c r="AA173" s="32" t="inlineStr">
        <is>
          <t xml:space="preserve">Surplus Lines</t>
        </is>
      </c>
      <c r="AB173" s="35">
        <v>3108.1</v>
      </c>
      <c r="AC173" s="37">
        <v>0</v>
      </c>
      <c r="AD173" s="38">
        <f>IF(ISNUMBER($AB173),$AB173*(1+N($AC173)),"")</f>
      </c>
      <c r="AE173" s="35">
        <v>350</v>
      </c>
      <c r="AF173" s="35">
        <v>0</v>
      </c>
      <c r="AG173" s="37"/>
      <c r="AH173" s="39">
        <f>IF(ISNUMBER($AD173),($AD173+$AE173+$AF173)*$AG173,"")</f>
      </c>
      <c r="AI173" s="35"/>
      <c r="AJ173" s="38">
        <f>IF(ISNUMBER($AD173),SUM($AD173:$AH173),"")</f>
      </c>
      <c r="AK173" s="40">
        <f>IF(AND(ISNUMBER($AB173),ISNUMBER($AD173)),IF($AB173&gt;0,$AD173/$AB173,""),"")</f>
      </c>
      <c r="AL173" s="32" t="inlineStr">
        <is>
          <t xml:space="preserve">At technical</t>
        </is>
      </c>
      <c r="AM173" s="41">
        <f>IF(ISNUMBER($AD173),Header!$I$3,"")</f>
      </c>
      <c r="AN173" s="39">
        <f>IF(ISNUMBER($AD173),$AO173+$AP173,"")</f>
      </c>
      <c r="AO173" s="39">
        <f>IF(ISNUMBER($AD173),ROUND($AD173*Header!$K$3,2),"")</f>
      </c>
      <c r="AP173" s="39">
        <f>IF(ISNUMBER($AD173),ROUND($AD173*Header!$M$3,2),"")</f>
      </c>
      <c r="AQ173" s="38">
        <f>IF(ISNUMBER($AD173),ROUND($AD173,2)-$AO173-$AP173,"")</f>
      </c>
      <c r="AR173" s="39">
        <f>IF(ISNUMBER($AD173),IF(Header!$D$34="","?",$AD173*Header!$D$34),"")</f>
      </c>
      <c r="AS173" s="39">
        <f>IF(ISNUMBER($AB173),IF(Header!$D$34="","?",$AB173*Header!$D$34),"")</f>
      </c>
      <c r="AT173" s="42">
        <f>IF(AND(ISNUMBER($AB173),$M173&gt;0),$AB173/$M173*100,"")</f>
      </c>
      <c r="AU173" s="42">
        <f>IF(AND(ISNUMBER($AD173),$M173&gt;0),$AD173/$M173*100,"")</f>
      </c>
      <c r="AV173" s="40">
        <f>IF(AND(ISNUMBER($AB173),ISNUMBER($AD173),ABS($AB173)&gt;0),$AD173/$AB173,"")</f>
      </c>
      <c r="AW173" s="39">
        <f>IF(ISNUMBER($AD173),MAX(0,(1-0.55-Header!$O$3)*Header!$Q$3*$AQ173),"")</f>
      </c>
      <c r="AX173" s="43">
        <f>IF($A173="","",IF(TRIM(IF($A173="","Missing certificate ref. ","") &amp; IF($C173="","Missing effective date. ","") &amp; IF($D173="","Missing binding status. ","") &amp; IF($E173="","Missing movement type. ","") &amp; IF($I173="","Missing make. ","") &amp; IF($L173="","Missing vehicle class. ","") &amp; IF($M173="","Missing agreed value. ","") &amp; IF($N173="","Missing policy type. ","") &amp; IF($Q173="","Missing garaging state. ","") &amp; IF($R173="","Missing garaging ZIP. ","") &amp; IF($S173="","Missing cat zone. ","") &amp; IF($V173="","Missing valuation basis. ","") &amp; IF($W173="","Missing PD deductible. ","") &amp; IF($X173="","Missing liability limit. ","") &amp; IF($AB173="","Missing technical premium. ","") &amp; IF($AF173="","Missing surplus lines tax %. ",""))="","PASS","FAIL: "&amp;TRIM(IF($A173="","Missing certificate ref. ","") &amp; IF($C173="","Missing effective date. ","") &amp; IF($D173="","Missing binding status. ","") &amp; IF($E173="","Missing movement type. ","") &amp; IF($I173="","Missing make. ","") &amp; IF($L173="","Missing vehicle class. ","") &amp; IF($M173="","Missing agreed value. ","") &amp; IF($N173="","Missing policy type. ","") &amp; IF($Q173="","Missing garaging state. ","") &amp; IF($R173="","Missing garaging ZIP. ","") &amp; IF($S173="","Missing cat zone. ","") &amp; IF($V173="","Missing valuation basis. ","") &amp; IF($W173="","Missing PD deductible. ","") &amp; IF($X173="","Missing liability limit. ","") &amp; IF($AB173="","Missing technical premium. ","") &amp; IF($AF173="","Missing surplus lines tax %. ",""))))</f>
      </c>
      <c r="AY173" s="44">
        <f>IF($M173="","",IF(ISNUMBER($M173),IF($M173&gt;=Header!$C$18,"YES — refer","No"),""))</f>
      </c>
      <c r="AZ173" s="44">
        <f>IF($AD173="","",IF(ISNUMBER($AD173),IF($AD173&lt;Header!$C$20,"BELOW MIN PREMIUM","OK"),""))</f>
      </c>
      <c r="BA173" s="32" t="inlineStr">
        <is>
          <t xml:space="preserve">Yes</t>
        </is>
      </c>
      <c r="BB173" s="32" t="inlineStr">
        <is>
          <t xml:space="preserve">Yes</t>
        </is>
      </c>
      <c r="BC173" s="30" t="inlineStr">
        <is>
          <t xml:space="preserve">Synthetic demo data</t>
        </is>
      </c>
      <c r="BE173" s="45">
        <f>IF(OR($A173="",$L173="",$H173=""),"",IF(AND(LEFT($L173,2)="06",$H173&gt;1945),"FAIL - pre-war class, year "&amp;$H173,IF(AND(LEFT($L173,2)="07",OR($H173&lt;1946,$H173&gt;1972)),"FAIL - 1946-72 class, year "&amp;$H173,IF(AND(LEFT($L173,2)="08",OR($H173&lt;1973,$H173&gt;1999)),"FAIL - 1973-99 class, year "&amp;$H173,IF(AND(LEFT($L173,2)="09",OR($H173&lt;2000,$H173&gt;2010)),"FAIL - 2000-10 class, year "&amp;$H173,"OK")))))</f>
      </c>
      <c r="BF173" s="45">
        <f>IF($AD173="","",IF(ROUND($AO173+$AP173+$AQ173-$AD173,2)=0,"OK","FAIL - out by "&amp;TEXT($AO173+$AP173+$AQ173-$AD173,"$0.00")))</f>
      </c>
    </row>
    <row r="174" spans="1:58" ht="18.75" customHeight="1" x14ac:dyDescent="0.25">
      <c r="A174" s="46" t="inlineStr">
        <is>
          <t xml:space="preserve">CANON-202511-002401</t>
        </is>
      </c>
      <c r="B174" s="46" t="inlineStr">
        <is>
          <t xml:space="preserve">Everett Montoya</t>
        </is>
      </c>
      <c r="C174" s="47">
        <v>45968</v>
      </c>
      <c r="D174" s="48" t="inlineStr">
        <is>
          <t xml:space="preserve">Bound - within authority</t>
        </is>
      </c>
      <c r="E174" s="48" t="inlineStr">
        <is>
          <t xml:space="preserve">New business</t>
        </is>
      </c>
      <c r="F174" s="46" t="inlineStr">
        <is>
          <t xml:space="preserve">B1234EXOTIC26</t>
        </is>
      </c>
      <c r="G174" s="33">
        <f>IF($A174="","",IF($C174="","",YEAR($C174)))</f>
      </c>
      <c r="H174" s="49">
        <v>1960</v>
      </c>
      <c r="I174" s="46" t="inlineStr">
        <is>
          <t xml:space="preserve">Ferrari</t>
        </is>
      </c>
      <c r="J174" s="46" t="inlineStr">
        <is>
          <t xml:space="preserve">296 GTB</t>
        </is>
      </c>
      <c r="K174" s="46" t="inlineStr">
        <is>
          <t xml:space="preserve">ZJPP91WMT90WNNLMC</t>
        </is>
      </c>
      <c r="L174" s="48" t="inlineStr">
        <is>
          <t xml:space="preserve">03 - Supercar</t>
        </is>
      </c>
      <c r="M174" s="50">
        <v>650000</v>
      </c>
      <c r="N174" s="48" t="inlineStr">
        <is>
          <t xml:space="preserve">Personal</t>
        </is>
      </c>
      <c r="O174" s="46" t="inlineStr">
        <is>
          <t xml:space="preserve">Personal - regular use</t>
        </is>
      </c>
      <c r="P174" s="46" t="inlineStr">
        <is>
          <t xml:space="preserve">1,000 - 2,500</t>
        </is>
      </c>
      <c r="Q174" s="46" t="inlineStr">
        <is>
          <t xml:space="preserve">Ohio</t>
        </is>
      </c>
      <c r="R174" s="46" t="inlineStr">
        <is>
          <t xml:space="preserve">43215</t>
        </is>
      </c>
      <c r="S174" s="48" t="inlineStr">
        <is>
          <t xml:space="preserve">Severe convective - hail / tornado (moderate)</t>
        </is>
      </c>
      <c r="T174" s="36">
        <f>IF($A174="","",IF($S174="","",IFERROR(INDEX('[1]natural catastrophe'!$D$6:$D$17,MATCH($S174,'[1]natural catastrophe'!$B$6:$B$17,0)),"?")))</f>
      </c>
      <c r="U174" s="46" t="inlineStr">
        <is>
          <t xml:space="preserve">$5,000</t>
        </is>
      </c>
      <c r="V174" s="48" t="inlineStr">
        <is>
          <t xml:space="preserve">Agreed Value</t>
        </is>
      </c>
      <c r="W174" s="46" t="inlineStr">
        <is>
          <t xml:space="preserve">$1,000</t>
        </is>
      </c>
      <c r="X174" s="48" t="inlineStr">
        <is>
          <t xml:space="preserve">$1,000,000 CSL</t>
        </is>
      </c>
      <c r="Y174" s="46"/>
      <c r="Z174" s="46"/>
      <c r="AA174" s="48" t="inlineStr">
        <is>
          <t xml:space="preserve">Surplus Lines</t>
        </is>
      </c>
      <c r="AB174" s="50">
        <v>14889.51</v>
      </c>
      <c r="AC174" s="51">
        <v>0</v>
      </c>
      <c r="AD174" s="38">
        <f>IF(ISNUMBER($AB174),$AB174*(1+N($AC174)),"")</f>
      </c>
      <c r="AE174" s="50">
        <v>350</v>
      </c>
      <c r="AF174" s="50">
        <v>0</v>
      </c>
      <c r="AG174" s="51"/>
      <c r="AH174" s="39">
        <f>IF(ISNUMBER($AD174),($AD174+$AE174+$AF174)*$AG174,"")</f>
      </c>
      <c r="AI174" s="50"/>
      <c r="AJ174" s="38">
        <f>IF(ISNUMBER($AD174),SUM($AD174:$AH174),"")</f>
      </c>
      <c r="AK174" s="40">
        <f>IF(AND(ISNUMBER($AB174),ISNUMBER($AD174)),IF($AB174&gt;0,$AD174/$AB174,""),"")</f>
      </c>
      <c r="AL174" s="48" t="inlineStr">
        <is>
          <t xml:space="preserve">At technical</t>
        </is>
      </c>
      <c r="AM174" s="41">
        <f>IF(ISNUMBER($AD174),Header!$I$3,"")</f>
      </c>
      <c r="AN174" s="39">
        <f>IF(ISNUMBER($AD174),$AO174+$AP174,"")</f>
      </c>
      <c r="AO174" s="39">
        <f>IF(ISNUMBER($AD174),ROUND($AD174*Header!$K$3,2),"")</f>
      </c>
      <c r="AP174" s="39">
        <f>IF(ISNUMBER($AD174),ROUND($AD174*Header!$M$3,2),"")</f>
      </c>
      <c r="AQ174" s="38">
        <f>IF(ISNUMBER($AD174),ROUND($AD174,2)-$AO174-$AP174,"")</f>
      </c>
      <c r="AR174" s="39">
        <f>IF(ISNUMBER($AD174),IF(Header!$D$34="","?",$AD174*Header!$D$34),"")</f>
      </c>
      <c r="AS174" s="39">
        <f>IF(ISNUMBER($AB174),IF(Header!$D$34="","?",$AB174*Header!$D$34),"")</f>
      </c>
      <c r="AT174" s="42">
        <f>IF(AND(ISNUMBER($AB174),$M174&gt;0),$AB174/$M174*100,"")</f>
      </c>
      <c r="AU174" s="42">
        <f>IF(AND(ISNUMBER($AD174),$M174&gt;0),$AD174/$M174*100,"")</f>
      </c>
      <c r="AV174" s="40">
        <f>IF(AND(ISNUMBER($AB174),ISNUMBER($AD174),ABS($AB174)&gt;0),$AD174/$AB174,"")</f>
      </c>
      <c r="AW174" s="39">
        <f>IF(ISNUMBER($AD174),MAX(0,(1-0.55-Header!$O$3)*Header!$Q$3*$AQ174),"")</f>
      </c>
      <c r="AX174" s="43">
        <f>IF($A174="","",IF(TRIM(IF($A174="","Missing certificate ref. ","") &amp; IF($C174="","Missing effective date. ","") &amp; IF($D174="","Missing binding status. ","") &amp; IF($E174="","Missing movement type. ","") &amp; IF($I174="","Missing make. ","") &amp; IF($L174="","Missing vehicle class. ","") &amp; IF($M174="","Missing agreed value. ","") &amp; IF($N174="","Missing policy type. ","") &amp; IF($Q174="","Missing garaging state. ","") &amp; IF($R174="","Missing garaging ZIP. ","") &amp; IF($S174="","Missing cat zone. ","") &amp; IF($V174="","Missing valuation basis. ","") &amp; IF($W174="","Missing PD deductible. ","") &amp; IF($X174="","Missing liability limit. ","") &amp; IF($AB174="","Missing technical premium. ","") &amp; IF($AF174="","Missing surplus lines tax %. ",""))="","PASS","FAIL: "&amp;TRIM(IF($A174="","Missing certificate ref. ","") &amp; IF($C174="","Missing effective date. ","") &amp; IF($D174="","Missing binding status. ","") &amp; IF($E174="","Missing movement type. ","") &amp; IF($I174="","Missing make. ","") &amp; IF($L174="","Missing vehicle class. ","") &amp; IF($M174="","Missing agreed value. ","") &amp; IF($N174="","Missing policy type. ","") &amp; IF($Q174="","Missing garaging state. ","") &amp; IF($R174="","Missing garaging ZIP. ","") &amp; IF($S174="","Missing cat zone. ","") &amp; IF($V174="","Missing valuation basis. ","") &amp; IF($W174="","Missing PD deductible. ","") &amp; IF($X174="","Missing liability limit. ","") &amp; IF($AB174="","Missing technical premium. ","") &amp; IF($AF174="","Missing surplus lines tax %. ",""))))</f>
      </c>
      <c r="AY174" s="44">
        <f>IF($M174="","",IF(ISNUMBER($M174),IF($M174&gt;=Header!$C$18,"YES — refer","No"),""))</f>
      </c>
      <c r="AZ174" s="44">
        <f>IF($AD174="","",IF(ISNUMBER($AD174),IF($AD174&lt;Header!$C$20,"BELOW MIN PREMIUM","OK"),""))</f>
      </c>
      <c r="BA174" s="48" t="inlineStr">
        <is>
          <t xml:space="preserve">Yes</t>
        </is>
      </c>
      <c r="BB174" s="48" t="inlineStr">
        <is>
          <t xml:space="preserve">Yes</t>
        </is>
      </c>
      <c r="BC174" s="46" t="inlineStr">
        <is>
          <t xml:space="preserve">Synthetic demo data</t>
        </is>
      </c>
      <c r="BE174" s="45">
        <f>IF(OR($A174="",$L174="",$H174=""),"",IF(AND(LEFT($L174,2)="06",$H174&gt;1945),"FAIL - pre-war class, year "&amp;$H174,IF(AND(LEFT($L174,2)="07",OR($H174&lt;1946,$H174&gt;1972)),"FAIL - 1946-72 class, year "&amp;$H174,IF(AND(LEFT($L174,2)="08",OR($H174&lt;1973,$H174&gt;1999)),"FAIL - 1973-99 class, year "&amp;$H174,IF(AND(LEFT($L174,2)="09",OR($H174&lt;2000,$H174&gt;2010)),"FAIL - 2000-10 class, year "&amp;$H174,"OK")))))</f>
      </c>
      <c r="BF174" s="45">
        <f>IF($AD174="","",IF(ROUND($AO174+$AP174+$AQ174-$AD174,2)=0,"OK","FAIL - out by "&amp;TEXT($AO174+$AP174+$AQ174-$AD174,"$0.00")))</f>
      </c>
    </row>
    <row r="175" spans="1:58" ht="18.75" customHeight="1" x14ac:dyDescent="0.25">
      <c r="A175" s="30" t="inlineStr">
        <is>
          <t xml:space="preserve">CANON-202511-002402</t>
        </is>
      </c>
      <c r="B175" s="30" t="inlineStr">
        <is>
          <t xml:space="preserve">Emiliano Vandermeer</t>
        </is>
      </c>
      <c r="C175" s="31">
        <v>45986</v>
      </c>
      <c r="D175" s="32" t="inlineStr">
        <is>
          <t xml:space="preserve">Bound - within authority</t>
        </is>
      </c>
      <c r="E175" s="32" t="inlineStr">
        <is>
          <t xml:space="preserve">New business</t>
        </is>
      </c>
      <c r="F175" s="30" t="inlineStr">
        <is>
          <t xml:space="preserve">B1234EXOTIC26</t>
        </is>
      </c>
      <c r="G175" s="33">
        <f>IF($A175="","",IF($C175="","",YEAR($C175)))</f>
      </c>
      <c r="H175" s="34">
        <v>2019</v>
      </c>
      <c r="I175" s="30" t="inlineStr">
        <is>
          <t xml:space="preserve">Mercedes-Benz</t>
        </is>
      </c>
      <c r="J175" s="30" t="inlineStr">
        <is>
          <t xml:space="preserve">AMG GT</t>
        </is>
      </c>
      <c r="K175" s="30" t="inlineStr">
        <is>
          <t xml:space="preserve">10LZA2YS0D78ENAZA</t>
        </is>
      </c>
      <c r="L175" s="32" t="inlineStr">
        <is>
          <t xml:space="preserve">02 - Sports / GT</t>
        </is>
      </c>
      <c r="M175" s="35">
        <v>240000</v>
      </c>
      <c r="N175" s="32" t="inlineStr">
        <is>
          <t xml:space="preserve">Personal</t>
        </is>
      </c>
      <c r="O175" s="30" t="inlineStr">
        <is>
          <t xml:space="preserve">Personal - regular use</t>
        </is>
      </c>
      <c r="P175" s="30" t="inlineStr">
        <is>
          <t xml:space="preserve">2,500 - 5,000</t>
        </is>
      </c>
      <c r="Q175" s="30" t="inlineStr">
        <is>
          <t xml:space="preserve">Wyoming</t>
        </is>
      </c>
      <c r="R175" s="30" t="inlineStr">
        <is>
          <t xml:space="preserve">82001</t>
        </is>
      </c>
      <c r="S175" s="32" t="inlineStr">
        <is>
          <t xml:space="preserve">Severe convective - hail alley (high)</t>
        </is>
      </c>
      <c r="T175" s="36">
        <f>IF($A175="","",IF($S175="","",IFERROR(INDEX('[1]natural catastrophe'!$D$6:$D$17,MATCH($S175,'[1]natural catastrophe'!$B$6:$B$17,0)),"?")))</f>
      </c>
      <c r="U175" s="30" t="inlineStr">
        <is>
          <t xml:space="preserve">$5,000</t>
        </is>
      </c>
      <c r="V175" s="32" t="inlineStr">
        <is>
          <t xml:space="preserve">Agreed Value</t>
        </is>
      </c>
      <c r="W175" s="30" t="inlineStr">
        <is>
          <t xml:space="preserve">$1,000</t>
        </is>
      </c>
      <c r="X175" s="32" t="inlineStr">
        <is>
          <t xml:space="preserve">$1,000,000 CSL</t>
        </is>
      </c>
      <c r="Y175" s="30"/>
      <c r="Z175" s="30"/>
      <c r="AA175" s="32" t="inlineStr">
        <is>
          <t xml:space="preserve">Surplus Lines</t>
        </is>
      </c>
      <c r="AB175" s="35">
        <v>4098.37</v>
      </c>
      <c r="AC175" s="37">
        <v>0</v>
      </c>
      <c r="AD175" s="38">
        <f>IF(ISNUMBER($AB175),$AB175*(1+N($AC175)),"")</f>
      </c>
      <c r="AE175" s="35">
        <v>350</v>
      </c>
      <c r="AF175" s="35">
        <v>0</v>
      </c>
      <c r="AG175" s="37"/>
      <c r="AH175" s="39">
        <f>IF(ISNUMBER($AD175),($AD175+$AE175+$AF175)*$AG175,"")</f>
      </c>
      <c r="AI175" s="35"/>
      <c r="AJ175" s="38">
        <f>IF(ISNUMBER($AD175),SUM($AD175:$AH175),"")</f>
      </c>
      <c r="AK175" s="40">
        <f>IF(AND(ISNUMBER($AB175),ISNUMBER($AD175)),IF($AB175&gt;0,$AD175/$AB175,""),"")</f>
      </c>
      <c r="AL175" s="32" t="inlineStr">
        <is>
          <t xml:space="preserve">At technical</t>
        </is>
      </c>
      <c r="AM175" s="41">
        <f>IF(ISNUMBER($AD175),Header!$I$3,"")</f>
      </c>
      <c r="AN175" s="39">
        <f>IF(ISNUMBER($AD175),$AO175+$AP175,"")</f>
      </c>
      <c r="AO175" s="39">
        <f>IF(ISNUMBER($AD175),ROUND($AD175*Header!$K$3,2),"")</f>
      </c>
      <c r="AP175" s="39">
        <f>IF(ISNUMBER($AD175),ROUND($AD175*Header!$M$3,2),"")</f>
      </c>
      <c r="AQ175" s="38">
        <f>IF(ISNUMBER($AD175),ROUND($AD175,2)-$AO175-$AP175,"")</f>
      </c>
      <c r="AR175" s="39">
        <f>IF(ISNUMBER($AD175),IF(Header!$D$34="","?",$AD175*Header!$D$34),"")</f>
      </c>
      <c r="AS175" s="39">
        <f>IF(ISNUMBER($AB175),IF(Header!$D$34="","?",$AB175*Header!$D$34),"")</f>
      </c>
      <c r="AT175" s="42">
        <f>IF(AND(ISNUMBER($AB175),$M175&gt;0),$AB175/$M175*100,"")</f>
      </c>
      <c r="AU175" s="42">
        <f>IF(AND(ISNUMBER($AD175),$M175&gt;0),$AD175/$M175*100,"")</f>
      </c>
      <c r="AV175" s="40">
        <f>IF(AND(ISNUMBER($AB175),ISNUMBER($AD175),ABS($AB175)&gt;0),$AD175/$AB175,"")</f>
      </c>
      <c r="AW175" s="39">
        <f>IF(ISNUMBER($AD175),MAX(0,(1-0.55-Header!$O$3)*Header!$Q$3*$AQ175),"")</f>
      </c>
      <c r="AX175" s="43">
        <f>IF($A175="","",IF(TRIM(IF($A175="","Missing certificate ref. ","") &amp; IF($C175="","Missing effective date. ","") &amp; IF($D175="","Missing binding status. ","") &amp; IF($E175="","Missing movement type. ","") &amp; IF($I175="","Missing make. ","") &amp; IF($L175="","Missing vehicle class. ","") &amp; IF($M175="","Missing agreed value. ","") &amp; IF($N175="","Missing policy type. ","") &amp; IF($Q175="","Missing garaging state. ","") &amp; IF($R175="","Missing garaging ZIP. ","") &amp; IF($S175="","Missing cat zone. ","") &amp; IF($V175="","Missing valuation basis. ","") &amp; IF($W175="","Missing PD deductible. ","") &amp; IF($X175="","Missing liability limit. ","") &amp; IF($AB175="","Missing technical premium. ","") &amp; IF($AF175="","Missing surplus lines tax %. ",""))="","PASS","FAIL: "&amp;TRIM(IF($A175="","Missing certificate ref. ","") &amp; IF($C175="","Missing effective date. ","") &amp; IF($D175="","Missing binding status. ","") &amp; IF($E175="","Missing movement type. ","") &amp; IF($I175="","Missing make. ","") &amp; IF($L175="","Missing vehicle class. ","") &amp; IF($M175="","Missing agreed value. ","") &amp; IF($N175="","Missing policy type. ","") &amp; IF($Q175="","Missing garaging state. ","") &amp; IF($R175="","Missing garaging ZIP. ","") &amp; IF($S175="","Missing cat zone. ","") &amp; IF($V175="","Missing valuation basis. ","") &amp; IF($W175="","Missing PD deductible. ","") &amp; IF($X175="","Missing liability limit. ","") &amp; IF($AB175="","Missing technical premium. ","") &amp; IF($AF175="","Missing surplus lines tax %. ",""))))</f>
      </c>
      <c r="AY175" s="44">
        <f>IF($M175="","",IF(ISNUMBER($M175),IF($M175&gt;=Header!$C$18,"YES — refer","No"),""))</f>
      </c>
      <c r="AZ175" s="44">
        <f>IF($AD175="","",IF(ISNUMBER($AD175),IF($AD175&lt;Header!$C$20,"BELOW MIN PREMIUM","OK"),""))</f>
      </c>
      <c r="BA175" s="32" t="inlineStr">
        <is>
          <t xml:space="preserve">Yes</t>
        </is>
      </c>
      <c r="BB175" s="32" t="inlineStr">
        <is>
          <t xml:space="preserve">Yes</t>
        </is>
      </c>
      <c r="BC175" s="30" t="inlineStr">
        <is>
          <t xml:space="preserve">Synthetic demo data</t>
        </is>
      </c>
      <c r="BE175" s="45">
        <f>IF(OR($A175="",$L175="",$H175=""),"",IF(AND(LEFT($L175,2)="06",$H175&gt;1945),"FAIL - pre-war class, year "&amp;$H175,IF(AND(LEFT($L175,2)="07",OR($H175&lt;1946,$H175&gt;1972)),"FAIL - 1946-72 class, year "&amp;$H175,IF(AND(LEFT($L175,2)="08",OR($H175&lt;1973,$H175&gt;1999)),"FAIL - 1973-99 class, year "&amp;$H175,IF(AND(LEFT($L175,2)="09",OR($H175&lt;2000,$H175&gt;2010)),"FAIL - 2000-10 class, year "&amp;$H175,"OK")))))</f>
      </c>
      <c r="BF175" s="45">
        <f>IF($AD175="","",IF(ROUND($AO175+$AP175+$AQ175-$AD175,2)=0,"OK","FAIL - out by "&amp;TEXT($AO175+$AP175+$AQ175-$AD175,"$0.00")))</f>
      </c>
    </row>
    <row r="176" spans="1:58" ht="18.75" customHeight="1" x14ac:dyDescent="0.25">
      <c r="A176" s="46" t="inlineStr">
        <is>
          <t xml:space="preserve">CANON-202511-002403</t>
        </is>
      </c>
      <c r="B176" s="46" t="inlineStr">
        <is>
          <t xml:space="preserve">Fenwick Pennington</t>
        </is>
      </c>
      <c r="C176" s="47">
        <v>45965</v>
      </c>
      <c r="D176" s="48" t="inlineStr">
        <is>
          <t xml:space="preserve">Bound - within authority</t>
        </is>
      </c>
      <c r="E176" s="48" t="inlineStr">
        <is>
          <t xml:space="preserve">New business</t>
        </is>
      </c>
      <c r="F176" s="46" t="inlineStr">
        <is>
          <t xml:space="preserve">B1234EXOTIC26</t>
        </is>
      </c>
      <c r="G176" s="33">
        <f>IF($A176="","",IF($C176="","",YEAR($C176)))</f>
      </c>
      <c r="H176" s="49">
        <v>1976</v>
      </c>
      <c r="I176" s="46" t="inlineStr">
        <is>
          <t xml:space="preserve">Mercedes-Benz</t>
        </is>
      </c>
      <c r="J176" s="46" t="inlineStr">
        <is>
          <t xml:space="preserve">AMG GT</t>
        </is>
      </c>
      <c r="K176" s="46" t="inlineStr">
        <is>
          <t xml:space="preserve">D7PNXX59NE1VK3T34</t>
        </is>
      </c>
      <c r="L176" s="48" t="inlineStr">
        <is>
          <t xml:space="preserve">02 - Sports / GT</t>
        </is>
      </c>
      <c r="M176" s="50">
        <v>220000</v>
      </c>
      <c r="N176" s="48" t="inlineStr">
        <is>
          <t xml:space="preserve">Personal</t>
        </is>
      </c>
      <c r="O176" s="46" t="inlineStr">
        <is>
          <t xml:space="preserve">Personal - regular use</t>
        </is>
      </c>
      <c r="P176" s="46" t="inlineStr">
        <is>
          <t xml:space="preserve">1,000 - 2,500</t>
        </is>
      </c>
      <c r="Q176" s="46" t="inlineStr">
        <is>
          <t xml:space="preserve">New York</t>
        </is>
      </c>
      <c r="R176" s="46" t="inlineStr">
        <is>
          <t xml:space="preserve">10022</t>
        </is>
      </c>
      <c r="S176" s="48" t="inlineStr">
        <is>
          <t xml:space="preserve">Tier 3 - Coastal wind (25-100 miles)</t>
        </is>
      </c>
      <c r="T176" s="36">
        <f>IF($A176="","",IF($S176="","",IFERROR(INDEX('[1]natural catastrophe'!$D$6:$D$17,MATCH($S176,'[1]natural catastrophe'!$B$6:$B$17,0)),"?")))</f>
      </c>
      <c r="U176" s="46" t="inlineStr">
        <is>
          <t xml:space="preserve">2% of agreed value, minimum $10,000</t>
        </is>
      </c>
      <c r="V176" s="48" t="inlineStr">
        <is>
          <t xml:space="preserve">Agreed Value</t>
        </is>
      </c>
      <c r="W176" s="46" t="inlineStr">
        <is>
          <t xml:space="preserve">$1,000</t>
        </is>
      </c>
      <c r="X176" s="48" t="inlineStr">
        <is>
          <t xml:space="preserve">$1,000,000 CSL</t>
        </is>
      </c>
      <c r="Y176" s="46"/>
      <c r="Z176" s="46"/>
      <c r="AA176" s="48" t="inlineStr">
        <is>
          <t xml:space="preserve">Surplus Lines</t>
        </is>
      </c>
      <c r="AB176" s="50">
        <v>4494.17</v>
      </c>
      <c r="AC176" s="51">
        <v>0</v>
      </c>
      <c r="AD176" s="38">
        <f>IF(ISNUMBER($AB176),$AB176*(1+N($AC176)),"")</f>
      </c>
      <c r="AE176" s="50">
        <v>350</v>
      </c>
      <c r="AF176" s="50">
        <v>0</v>
      </c>
      <c r="AG176" s="51"/>
      <c r="AH176" s="39">
        <f>IF(ISNUMBER($AD176),($AD176+$AE176+$AF176)*$AG176,"")</f>
      </c>
      <c r="AI176" s="50"/>
      <c r="AJ176" s="38">
        <f>IF(ISNUMBER($AD176),SUM($AD176:$AH176),"")</f>
      </c>
      <c r="AK176" s="40">
        <f>IF(AND(ISNUMBER($AB176),ISNUMBER($AD176)),IF($AB176&gt;0,$AD176/$AB176,""),"")</f>
      </c>
      <c r="AL176" s="48" t="inlineStr">
        <is>
          <t xml:space="preserve">At technical</t>
        </is>
      </c>
      <c r="AM176" s="41">
        <f>IF(ISNUMBER($AD176),Header!$I$3,"")</f>
      </c>
      <c r="AN176" s="39">
        <f>IF(ISNUMBER($AD176),$AO176+$AP176,"")</f>
      </c>
      <c r="AO176" s="39">
        <f>IF(ISNUMBER($AD176),ROUND($AD176*Header!$K$3,2),"")</f>
      </c>
      <c r="AP176" s="39">
        <f>IF(ISNUMBER($AD176),ROUND($AD176*Header!$M$3,2),"")</f>
      </c>
      <c r="AQ176" s="38">
        <f>IF(ISNUMBER($AD176),ROUND($AD176,2)-$AO176-$AP176,"")</f>
      </c>
      <c r="AR176" s="39">
        <f>IF(ISNUMBER($AD176),IF(Header!$D$34="","?",$AD176*Header!$D$34),"")</f>
      </c>
      <c r="AS176" s="39">
        <f>IF(ISNUMBER($AB176),IF(Header!$D$34="","?",$AB176*Header!$D$34),"")</f>
      </c>
      <c r="AT176" s="42">
        <f>IF(AND(ISNUMBER($AB176),$M176&gt;0),$AB176/$M176*100,"")</f>
      </c>
      <c r="AU176" s="42">
        <f>IF(AND(ISNUMBER($AD176),$M176&gt;0),$AD176/$M176*100,"")</f>
      </c>
      <c r="AV176" s="40">
        <f>IF(AND(ISNUMBER($AB176),ISNUMBER($AD176),ABS($AB176)&gt;0),$AD176/$AB176,"")</f>
      </c>
      <c r="AW176" s="39">
        <f>IF(ISNUMBER($AD176),MAX(0,(1-0.55-Header!$O$3)*Header!$Q$3*$AQ176),"")</f>
      </c>
      <c r="AX176" s="43">
        <f>IF($A176="","",IF(TRIM(IF($A176="","Missing certificate ref. ","") &amp; IF($C176="","Missing effective date. ","") &amp; IF($D176="","Missing binding status. ","") &amp; IF($E176="","Missing movement type. ","") &amp; IF($I176="","Missing make. ","") &amp; IF($L176="","Missing vehicle class. ","") &amp; IF($M176="","Missing agreed value. ","") &amp; IF($N176="","Missing policy type. ","") &amp; IF($Q176="","Missing garaging state. ","") &amp; IF($R176="","Missing garaging ZIP. ","") &amp; IF($S176="","Missing cat zone. ","") &amp; IF($V176="","Missing valuation basis. ","") &amp; IF($W176="","Missing PD deductible. ","") &amp; IF($X176="","Missing liability limit. ","") &amp; IF($AB176="","Missing technical premium. ","") &amp; IF($AF176="","Missing surplus lines tax %. ",""))="","PASS","FAIL: "&amp;TRIM(IF($A176="","Missing certificate ref. ","") &amp; IF($C176="","Missing effective date. ","") &amp; IF($D176="","Missing binding status. ","") &amp; IF($E176="","Missing movement type. ","") &amp; IF($I176="","Missing make. ","") &amp; IF($L176="","Missing vehicle class. ","") &amp; IF($M176="","Missing agreed value. ","") &amp; IF($N176="","Missing policy type. ","") &amp; IF($Q176="","Missing garaging state. ","") &amp; IF($R176="","Missing garaging ZIP. ","") &amp; IF($S176="","Missing cat zone. ","") &amp; IF($V176="","Missing valuation basis. ","") &amp; IF($W176="","Missing PD deductible. ","") &amp; IF($X176="","Missing liability limit. ","") &amp; IF($AB176="","Missing technical premium. ","") &amp; IF($AF176="","Missing surplus lines tax %. ",""))))</f>
      </c>
      <c r="AY176" s="44">
        <f>IF($M176="","",IF(ISNUMBER($M176),IF($M176&gt;=Header!$C$18,"YES — refer","No"),""))</f>
      </c>
      <c r="AZ176" s="44">
        <f>IF($AD176="","",IF(ISNUMBER($AD176),IF($AD176&lt;Header!$C$20,"BELOW MIN PREMIUM","OK"),""))</f>
      </c>
      <c r="BA176" s="48" t="inlineStr">
        <is>
          <t xml:space="preserve">Yes</t>
        </is>
      </c>
      <c r="BB176" s="48" t="inlineStr">
        <is>
          <t xml:space="preserve">Yes</t>
        </is>
      </c>
      <c r="BC176" s="46" t="inlineStr">
        <is>
          <t xml:space="preserve">Synthetic demo data</t>
        </is>
      </c>
      <c r="BE176" s="45">
        <f>IF(OR($A176="",$L176="",$H176=""),"",IF(AND(LEFT($L176,2)="06",$H176&gt;1945),"FAIL - pre-war class, year "&amp;$H176,IF(AND(LEFT($L176,2)="07",OR($H176&lt;1946,$H176&gt;1972)),"FAIL - 1946-72 class, year "&amp;$H176,IF(AND(LEFT($L176,2)="08",OR($H176&lt;1973,$H176&gt;1999)),"FAIL - 1973-99 class, year "&amp;$H176,IF(AND(LEFT($L176,2)="09",OR($H176&lt;2000,$H176&gt;2010)),"FAIL - 2000-10 class, year "&amp;$H176,"OK")))))</f>
      </c>
      <c r="BF176" s="45">
        <f>IF($AD176="","",IF(ROUND($AO176+$AP176+$AQ176-$AD176,2)=0,"OK","FAIL - out by "&amp;TEXT($AO176+$AP176+$AQ176-$AD176,"$0.00")))</f>
      </c>
    </row>
    <row r="177" spans="1:58" ht="18.75" customHeight="1" x14ac:dyDescent="0.25">
      <c r="A177" s="30" t="inlineStr">
        <is>
          <t xml:space="preserve">CANON-202511-002405</t>
        </is>
      </c>
      <c r="B177" s="30" t="inlineStr">
        <is>
          <t xml:space="preserve">Wilhelmina Underwood</t>
        </is>
      </c>
      <c r="C177" s="31">
        <v>45982</v>
      </c>
      <c r="D177" s="32" t="inlineStr">
        <is>
          <t xml:space="preserve">Bound - within authority</t>
        </is>
      </c>
      <c r="E177" s="32" t="inlineStr">
        <is>
          <t xml:space="preserve">New business</t>
        </is>
      </c>
      <c r="F177" s="30" t="inlineStr">
        <is>
          <t xml:space="preserve">B1234EXOTIC26</t>
        </is>
      </c>
      <c r="G177" s="33">
        <f>IF($A177="","",IF($C177="","",YEAR($C177)))</f>
      </c>
      <c r="H177" s="34">
        <v>2011</v>
      </c>
      <c r="I177" s="30" t="inlineStr">
        <is>
          <t xml:space="preserve">Maserati</t>
        </is>
      </c>
      <c r="J177" s="30" t="inlineStr">
        <is>
          <t xml:space="preserve">GranTurismo</t>
        </is>
      </c>
      <c r="K177" s="30" t="inlineStr">
        <is>
          <t xml:space="preserve">8KFHWX04HJMKJTJ0X</t>
        </is>
      </c>
      <c r="L177" s="32" t="inlineStr">
        <is>
          <t xml:space="preserve">02 - Sports / GT</t>
        </is>
      </c>
      <c r="M177" s="35">
        <v>520000</v>
      </c>
      <c r="N177" s="32" t="inlineStr">
        <is>
          <t xml:space="preserve">Personal</t>
        </is>
      </c>
      <c r="O177" s="30" t="inlineStr">
        <is>
          <t xml:space="preserve">Personal - regular use</t>
        </is>
      </c>
      <c r="P177" s="30" t="inlineStr">
        <is>
          <t xml:space="preserve">1,000 - 2,500</t>
        </is>
      </c>
      <c r="Q177" s="30" t="inlineStr">
        <is>
          <t xml:space="preserve">Pennsylvania</t>
        </is>
      </c>
      <c r="R177" s="30" t="inlineStr">
        <is>
          <t xml:space="preserve">19103</t>
        </is>
      </c>
      <c r="S177" s="32" t="inlineStr">
        <is>
          <t xml:space="preserve">Low hazard - inland benign</t>
        </is>
      </c>
      <c r="T177" s="36">
        <f>IF($A177="","",IF($S177="","",IFERROR(INDEX('[1]natural catastrophe'!$D$6:$D$17,MATCH($S177,'[1]natural catastrophe'!$B$6:$B$17,0)),"?")))</f>
      </c>
      <c r="U177" s="30" t="inlineStr">
        <is>
          <t xml:space="preserve">$5,000</t>
        </is>
      </c>
      <c r="V177" s="32" t="inlineStr">
        <is>
          <t xml:space="preserve">Agreed Value</t>
        </is>
      </c>
      <c r="W177" s="30" t="inlineStr">
        <is>
          <t xml:space="preserve">$1,000</t>
        </is>
      </c>
      <c r="X177" s="32" t="inlineStr">
        <is>
          <t xml:space="preserve">$1,000,000 CSL</t>
        </is>
      </c>
      <c r="Y177" s="30"/>
      <c r="Z177" s="30"/>
      <c r="AA177" s="32" t="inlineStr">
        <is>
          <t xml:space="preserve">Surplus Lines</t>
        </is>
      </c>
      <c r="AB177" s="35">
        <v>5863.34</v>
      </c>
      <c r="AC177" s="37">
        <v>0</v>
      </c>
      <c r="AD177" s="38">
        <f>IF(ISNUMBER($AB177),$AB177*(1+N($AC177)),"")</f>
      </c>
      <c r="AE177" s="35">
        <v>350</v>
      </c>
      <c r="AF177" s="35">
        <v>0</v>
      </c>
      <c r="AG177" s="37"/>
      <c r="AH177" s="39">
        <f>IF(ISNUMBER($AD177),($AD177+$AE177+$AF177)*$AG177,"")</f>
      </c>
      <c r="AI177" s="35"/>
      <c r="AJ177" s="38">
        <f>IF(ISNUMBER($AD177),SUM($AD177:$AH177),"")</f>
      </c>
      <c r="AK177" s="40">
        <f>IF(AND(ISNUMBER($AB177),ISNUMBER($AD177)),IF($AB177&gt;0,$AD177/$AB177,""),"")</f>
      </c>
      <c r="AL177" s="32" t="inlineStr">
        <is>
          <t xml:space="preserve">At technical</t>
        </is>
      </c>
      <c r="AM177" s="41">
        <f>IF(ISNUMBER($AD177),Header!$I$3,"")</f>
      </c>
      <c r="AN177" s="39">
        <f>IF(ISNUMBER($AD177),$AO177+$AP177,"")</f>
      </c>
      <c r="AO177" s="39">
        <f>IF(ISNUMBER($AD177),ROUND($AD177*Header!$K$3,2),"")</f>
      </c>
      <c r="AP177" s="39">
        <f>IF(ISNUMBER($AD177),ROUND($AD177*Header!$M$3,2),"")</f>
      </c>
      <c r="AQ177" s="38">
        <f>IF(ISNUMBER($AD177),ROUND($AD177,2)-$AO177-$AP177,"")</f>
      </c>
      <c r="AR177" s="39">
        <f>IF(ISNUMBER($AD177),IF(Header!$D$34="","?",$AD177*Header!$D$34),"")</f>
      </c>
      <c r="AS177" s="39">
        <f>IF(ISNUMBER($AB177),IF(Header!$D$34="","?",$AB177*Header!$D$34),"")</f>
      </c>
      <c r="AT177" s="42">
        <f>IF(AND(ISNUMBER($AB177),$M177&gt;0),$AB177/$M177*100,"")</f>
      </c>
      <c r="AU177" s="42">
        <f>IF(AND(ISNUMBER($AD177),$M177&gt;0),$AD177/$M177*100,"")</f>
      </c>
      <c r="AV177" s="40">
        <f>IF(AND(ISNUMBER($AB177),ISNUMBER($AD177),ABS($AB177)&gt;0),$AD177/$AB177,"")</f>
      </c>
      <c r="AW177" s="39">
        <f>IF(ISNUMBER($AD177),MAX(0,(1-0.55-Header!$O$3)*Header!$Q$3*$AQ177),"")</f>
      </c>
      <c r="AX177" s="43">
        <f>IF($A177="","",IF(TRIM(IF($A177="","Missing certificate ref. ","") &amp; IF($C177="","Missing effective date. ","") &amp; IF($D177="","Missing binding status. ","") &amp; IF($E177="","Missing movement type. ","") &amp; IF($I177="","Missing make. ","") &amp; IF($L177="","Missing vehicle class. ","") &amp; IF($M177="","Missing agreed value. ","") &amp; IF($N177="","Missing policy type. ","") &amp; IF($Q177="","Missing garaging state. ","") &amp; IF($R177="","Missing garaging ZIP. ","") &amp; IF($S177="","Missing cat zone. ","") &amp; IF($V177="","Missing valuation basis. ","") &amp; IF($W177="","Missing PD deductible. ","") &amp; IF($X177="","Missing liability limit. ","") &amp; IF($AB177="","Missing technical premium. ","") &amp; IF($AF177="","Missing surplus lines tax %. ",""))="","PASS","FAIL: "&amp;TRIM(IF($A177="","Missing certificate ref. ","") &amp; IF($C177="","Missing effective date. ","") &amp; IF($D177="","Missing binding status. ","") &amp; IF($E177="","Missing movement type. ","") &amp; IF($I177="","Missing make. ","") &amp; IF($L177="","Missing vehicle class. ","") &amp; IF($M177="","Missing agreed value. ","") &amp; IF($N177="","Missing policy type. ","") &amp; IF($Q177="","Missing garaging state. ","") &amp; IF($R177="","Missing garaging ZIP. ","") &amp; IF($S177="","Missing cat zone. ","") &amp; IF($V177="","Missing valuation basis. ","") &amp; IF($W177="","Missing PD deductible. ","") &amp; IF($X177="","Missing liability limit. ","") &amp; IF($AB177="","Missing technical premium. ","") &amp; IF($AF177="","Missing surplus lines tax %. ",""))))</f>
      </c>
      <c r="AY177" s="44">
        <f>IF($M177="","",IF(ISNUMBER($M177),IF($M177&gt;=Header!$C$18,"YES — refer","No"),""))</f>
      </c>
      <c r="AZ177" s="44">
        <f>IF($AD177="","",IF(ISNUMBER($AD177),IF($AD177&lt;Header!$C$20,"BELOW MIN PREMIUM","OK"),""))</f>
      </c>
      <c r="BA177" s="32" t="inlineStr">
        <is>
          <t xml:space="preserve">Yes</t>
        </is>
      </c>
      <c r="BB177" s="32" t="inlineStr">
        <is>
          <t xml:space="preserve">Yes</t>
        </is>
      </c>
      <c r="BC177" s="30" t="inlineStr">
        <is>
          <t xml:space="preserve">Synthetic demo data</t>
        </is>
      </c>
      <c r="BE177" s="45">
        <f>IF(OR($A177="",$L177="",$H177=""),"",IF(AND(LEFT($L177,2)="06",$H177&gt;1945),"FAIL - pre-war class, year "&amp;$H177,IF(AND(LEFT($L177,2)="07",OR($H177&lt;1946,$H177&gt;1972)),"FAIL - 1946-72 class, year "&amp;$H177,IF(AND(LEFT($L177,2)="08",OR($H177&lt;1973,$H177&gt;1999)),"FAIL - 1973-99 class, year "&amp;$H177,IF(AND(LEFT($L177,2)="09",OR($H177&lt;2000,$H177&gt;2010)),"FAIL - 2000-10 class, year "&amp;$H177,"OK")))))</f>
      </c>
      <c r="BF177" s="45">
        <f>IF($AD177="","",IF(ROUND($AO177+$AP177+$AQ177-$AD177,2)=0,"OK","FAIL - out by "&amp;TEXT($AO177+$AP177+$AQ177-$AD177,"$0.00")))</f>
      </c>
    </row>
    <row r="178" spans="1:58" ht="18.75" customHeight="1" x14ac:dyDescent="0.25">
      <c r="A178" s="46" t="inlineStr">
        <is>
          <t xml:space="preserve">CANON-202511-002407</t>
        </is>
      </c>
      <c r="B178" s="46" t="inlineStr">
        <is>
          <t xml:space="preserve">Saoirse Blackwood</t>
        </is>
      </c>
      <c r="C178" s="47">
        <v>45975</v>
      </c>
      <c r="D178" s="48" t="inlineStr">
        <is>
          <t xml:space="preserve">Bound - within authority</t>
        </is>
      </c>
      <c r="E178" s="48" t="inlineStr">
        <is>
          <t xml:space="preserve">New business</t>
        </is>
      </c>
      <c r="F178" s="46" t="inlineStr">
        <is>
          <t xml:space="preserve">B1234EXOTIC26</t>
        </is>
      </c>
      <c r="G178" s="33">
        <f>IF($A178="","",IF($C178="","",YEAR($C178)))</f>
      </c>
      <c r="H178" s="49">
        <v>1994</v>
      </c>
      <c r="I178" s="46" t="inlineStr">
        <is>
          <t xml:space="preserve">Ringbrothers</t>
        </is>
      </c>
      <c r="J178" s="46" t="inlineStr">
        <is>
          <t xml:space="preserve">Mustang</t>
        </is>
      </c>
      <c r="K178" s="46" t="inlineStr">
        <is>
          <t xml:space="preserve">3GGF1RA3UP0EK6XVH</t>
        </is>
      </c>
      <c r="L178" s="48" t="inlineStr">
        <is>
          <t xml:space="preserve">11 - Restomod / Coachbuilt / Bespoke</t>
        </is>
      </c>
      <c r="M178" s="50">
        <v>280000</v>
      </c>
      <c r="N178" s="48" t="inlineStr">
        <is>
          <t xml:space="preserve">Personal</t>
        </is>
      </c>
      <c r="O178" s="46" t="inlineStr">
        <is>
          <t xml:space="preserve">Personal - regular use</t>
        </is>
      </c>
      <c r="P178" s="46" t="inlineStr">
        <is>
          <t xml:space="preserve">Under 1,000</t>
        </is>
      </c>
      <c r="Q178" s="46" t="inlineStr">
        <is>
          <t xml:space="preserve">Rhode Island</t>
        </is>
      </c>
      <c r="R178" s="46" t="inlineStr">
        <is>
          <t xml:space="preserve">02903</t>
        </is>
      </c>
      <c r="S178" s="48" t="inlineStr">
        <is>
          <t xml:space="preserve">Tier 3 - Coastal wind (25-100 miles)</t>
        </is>
      </c>
      <c r="T178" s="36">
        <f>IF($A178="","",IF($S178="","",IFERROR(INDEX('[1]natural catastrophe'!$D$6:$D$17,MATCH($S178,'[1]natural catastrophe'!$B$6:$B$17,0)),"?")))</f>
      </c>
      <c r="U178" s="46" t="inlineStr">
        <is>
          <t xml:space="preserve">2% of agreed value, minimum $10,000</t>
        </is>
      </c>
      <c r="V178" s="48" t="inlineStr">
        <is>
          <t xml:space="preserve">Agreed Value</t>
        </is>
      </c>
      <c r="W178" s="46" t="inlineStr">
        <is>
          <t xml:space="preserve">$1,000</t>
        </is>
      </c>
      <c r="X178" s="48" t="inlineStr">
        <is>
          <t xml:space="preserve">$1,000,000 CSL</t>
        </is>
      </c>
      <c r="Y178" s="46"/>
      <c r="Z178" s="46"/>
      <c r="AA178" s="48" t="inlineStr">
        <is>
          <t xml:space="preserve">Surplus Lines</t>
        </is>
      </c>
      <c r="AB178" s="50">
        <v>5855.85</v>
      </c>
      <c r="AC178" s="51">
        <v>0</v>
      </c>
      <c r="AD178" s="38">
        <f>IF(ISNUMBER($AB178),$AB178*(1+N($AC178)),"")</f>
      </c>
      <c r="AE178" s="50">
        <v>350</v>
      </c>
      <c r="AF178" s="50">
        <v>0</v>
      </c>
      <c r="AG178" s="51"/>
      <c r="AH178" s="39">
        <f>IF(ISNUMBER($AD178),($AD178+$AE178+$AF178)*$AG178,"")</f>
      </c>
      <c r="AI178" s="50"/>
      <c r="AJ178" s="38">
        <f>IF(ISNUMBER($AD178),SUM($AD178:$AH178),"")</f>
      </c>
      <c r="AK178" s="40">
        <f>IF(AND(ISNUMBER($AB178),ISNUMBER($AD178)),IF($AB178&gt;0,$AD178/$AB178,""),"")</f>
      </c>
      <c r="AL178" s="48" t="inlineStr">
        <is>
          <t xml:space="preserve">At technical</t>
        </is>
      </c>
      <c r="AM178" s="41">
        <f>IF(ISNUMBER($AD178),Header!$I$3,"")</f>
      </c>
      <c r="AN178" s="39">
        <f>IF(ISNUMBER($AD178),$AO178+$AP178,"")</f>
      </c>
      <c r="AO178" s="39">
        <f>IF(ISNUMBER($AD178),ROUND($AD178*Header!$K$3,2),"")</f>
      </c>
      <c r="AP178" s="39">
        <f>IF(ISNUMBER($AD178),ROUND($AD178*Header!$M$3,2),"")</f>
      </c>
      <c r="AQ178" s="38">
        <f>IF(ISNUMBER($AD178),ROUND($AD178,2)-$AO178-$AP178,"")</f>
      </c>
      <c r="AR178" s="39">
        <f>IF(ISNUMBER($AD178),IF(Header!$D$34="","?",$AD178*Header!$D$34),"")</f>
      </c>
      <c r="AS178" s="39">
        <f>IF(ISNUMBER($AB178),IF(Header!$D$34="","?",$AB178*Header!$D$34),"")</f>
      </c>
      <c r="AT178" s="42">
        <f>IF(AND(ISNUMBER($AB178),$M178&gt;0),$AB178/$M178*100,"")</f>
      </c>
      <c r="AU178" s="42">
        <f>IF(AND(ISNUMBER($AD178),$M178&gt;0),$AD178/$M178*100,"")</f>
      </c>
      <c r="AV178" s="40">
        <f>IF(AND(ISNUMBER($AB178),ISNUMBER($AD178),ABS($AB178)&gt;0),$AD178/$AB178,"")</f>
      </c>
      <c r="AW178" s="39">
        <f>IF(ISNUMBER($AD178),MAX(0,(1-0.55-Header!$O$3)*Header!$Q$3*$AQ178),"")</f>
      </c>
      <c r="AX178" s="43">
        <f>IF($A178="","",IF(TRIM(IF($A178="","Missing certificate ref. ","") &amp; IF($C178="","Missing effective date. ","") &amp; IF($D178="","Missing binding status. ","") &amp; IF($E178="","Missing movement type. ","") &amp; IF($I178="","Missing make. ","") &amp; IF($L178="","Missing vehicle class. ","") &amp; IF($M178="","Missing agreed value. ","") &amp; IF($N178="","Missing policy type. ","") &amp; IF($Q178="","Missing garaging state. ","") &amp; IF($R178="","Missing garaging ZIP. ","") &amp; IF($S178="","Missing cat zone. ","") &amp; IF($V178="","Missing valuation basis. ","") &amp; IF($W178="","Missing PD deductible. ","") &amp; IF($X178="","Missing liability limit. ","") &amp; IF($AB178="","Missing technical premium. ","") &amp; IF($AF178="","Missing surplus lines tax %. ",""))="","PASS","FAIL: "&amp;TRIM(IF($A178="","Missing certificate ref. ","") &amp; IF($C178="","Missing effective date. ","") &amp; IF($D178="","Missing binding status. ","") &amp; IF($E178="","Missing movement type. ","") &amp; IF($I178="","Missing make. ","") &amp; IF($L178="","Missing vehicle class. ","") &amp; IF($M178="","Missing agreed value. ","") &amp; IF($N178="","Missing policy type. ","") &amp; IF($Q178="","Missing garaging state. ","") &amp; IF($R178="","Missing garaging ZIP. ","") &amp; IF($S178="","Missing cat zone. ","") &amp; IF($V178="","Missing valuation basis. ","") &amp; IF($W178="","Missing PD deductible. ","") &amp; IF($X178="","Missing liability limit. ","") &amp; IF($AB178="","Missing technical premium. ","") &amp; IF($AF178="","Missing surplus lines tax %. ",""))))</f>
      </c>
      <c r="AY178" s="44">
        <f>IF($M178="","",IF(ISNUMBER($M178),IF($M178&gt;=Header!$C$18,"YES — refer","No"),""))</f>
      </c>
      <c r="AZ178" s="44">
        <f>IF($AD178="","",IF(ISNUMBER($AD178),IF($AD178&lt;Header!$C$20,"BELOW MIN PREMIUM","OK"),""))</f>
      </c>
      <c r="BA178" s="48" t="inlineStr">
        <is>
          <t xml:space="preserve">Yes</t>
        </is>
      </c>
      <c r="BB178" s="48" t="inlineStr">
        <is>
          <t xml:space="preserve">Yes</t>
        </is>
      </c>
      <c r="BC178" s="46" t="inlineStr">
        <is>
          <t xml:space="preserve">Synthetic demo data</t>
        </is>
      </c>
      <c r="BE178" s="45">
        <f>IF(OR($A178="",$L178="",$H178=""),"",IF(AND(LEFT($L178,2)="06",$H178&gt;1945),"FAIL - pre-war class, year "&amp;$H178,IF(AND(LEFT($L178,2)="07",OR($H178&lt;1946,$H178&gt;1972)),"FAIL - 1946-72 class, year "&amp;$H178,IF(AND(LEFT($L178,2)="08",OR($H178&lt;1973,$H178&gt;1999)),"FAIL - 1973-99 class, year "&amp;$H178,IF(AND(LEFT($L178,2)="09",OR($H178&lt;2000,$H178&gt;2010)),"FAIL - 2000-10 class, year "&amp;$H178,"OK")))))</f>
      </c>
      <c r="BF178" s="45">
        <f>IF($AD178="","",IF(ROUND($AO178+$AP178+$AQ178-$AD178,2)=0,"OK","FAIL - out by "&amp;TEXT($AO178+$AP178+$AQ178-$AD178,"$0.00")))</f>
      </c>
    </row>
    <row r="179" spans="1:58" ht="18.75" customHeight="1" x14ac:dyDescent="0.25">
      <c r="A179" s="30" t="inlineStr">
        <is>
          <t xml:space="preserve">CANON-202511-002408</t>
        </is>
      </c>
      <c r="B179" s="30" t="inlineStr">
        <is>
          <t xml:space="preserve">Delphine Nakashima</t>
        </is>
      </c>
      <c r="C179" s="31">
        <v>45990</v>
      </c>
      <c r="D179" s="32" t="inlineStr">
        <is>
          <t xml:space="preserve">Bound - within authority</t>
        </is>
      </c>
      <c r="E179" s="32" t="inlineStr">
        <is>
          <t xml:space="preserve">New business</t>
        </is>
      </c>
      <c r="F179" s="30" t="inlineStr">
        <is>
          <t xml:space="preserve">B1234EXOTIC26</t>
        </is>
      </c>
      <c r="G179" s="33">
        <f>IF($A179="","",IF($C179="","",YEAR($C179)))</f>
      </c>
      <c r="H179" s="34">
        <v>2004</v>
      </c>
      <c r="I179" s="30" t="inlineStr">
        <is>
          <t xml:space="preserve">Bentley</t>
        </is>
      </c>
      <c r="J179" s="30" t="inlineStr">
        <is>
          <t xml:space="preserve">Continental GT</t>
        </is>
      </c>
      <c r="K179" s="30" t="inlineStr">
        <is>
          <t xml:space="preserve">VVX96M1400XRU3HY9</t>
        </is>
      </c>
      <c r="L179" s="32" t="inlineStr">
        <is>
          <t xml:space="preserve">02 - Sports / GT</t>
        </is>
      </c>
      <c r="M179" s="35">
        <v>750000</v>
      </c>
      <c r="N179" s="32" t="inlineStr">
        <is>
          <t xml:space="preserve">Personal</t>
        </is>
      </c>
      <c r="O179" s="30" t="inlineStr">
        <is>
          <t xml:space="preserve">Personal - regular use</t>
        </is>
      </c>
      <c r="P179" s="30" t="inlineStr">
        <is>
          <t xml:space="preserve">1,000 - 2,500</t>
        </is>
      </c>
      <c r="Q179" s="30" t="inlineStr">
        <is>
          <t xml:space="preserve">Kentucky</t>
        </is>
      </c>
      <c r="R179" s="30" t="inlineStr">
        <is>
          <t xml:space="preserve">40202</t>
        </is>
      </c>
      <c r="S179" s="32" t="inlineStr">
        <is>
          <t xml:space="preserve">Severe convective - hail / tornado (moderate)</t>
        </is>
      </c>
      <c r="T179" s="36">
        <f>IF($A179="","",IF($S179="","",IFERROR(INDEX('[1]natural catastrophe'!$D$6:$D$17,MATCH($S179,'[1]natural catastrophe'!$B$6:$B$17,0)),"?")))</f>
      </c>
      <c r="U179" s="30" t="inlineStr">
        <is>
          <t xml:space="preserve">$5,000</t>
        </is>
      </c>
      <c r="V179" s="32" t="inlineStr">
        <is>
          <t xml:space="preserve">Agreed Value</t>
        </is>
      </c>
      <c r="W179" s="30" t="inlineStr">
        <is>
          <t xml:space="preserve">$1,000</t>
        </is>
      </c>
      <c r="X179" s="32" t="inlineStr">
        <is>
          <t xml:space="preserve">$1,000,000 CSL</t>
        </is>
      </c>
      <c r="Y179" s="30"/>
      <c r="Z179" s="30"/>
      <c r="AA179" s="32" t="inlineStr">
        <is>
          <t xml:space="preserve">Surplus Lines</t>
        </is>
      </c>
      <c r="AB179" s="35">
        <v>11332.04</v>
      </c>
      <c r="AC179" s="37">
        <v>0</v>
      </c>
      <c r="AD179" s="38">
        <f>IF(ISNUMBER($AB179),$AB179*(1+N($AC179)),"")</f>
      </c>
      <c r="AE179" s="35">
        <v>350</v>
      </c>
      <c r="AF179" s="35">
        <v>0</v>
      </c>
      <c r="AG179" s="37"/>
      <c r="AH179" s="39">
        <f>IF(ISNUMBER($AD179),($AD179+$AE179+$AF179)*$AG179,"")</f>
      </c>
      <c r="AI179" s="35"/>
      <c r="AJ179" s="38">
        <f>IF(ISNUMBER($AD179),SUM($AD179:$AH179),"")</f>
      </c>
      <c r="AK179" s="40">
        <f>IF(AND(ISNUMBER($AB179),ISNUMBER($AD179)),IF($AB179&gt;0,$AD179/$AB179,""),"")</f>
      </c>
      <c r="AL179" s="32" t="inlineStr">
        <is>
          <t xml:space="preserve">At technical</t>
        </is>
      </c>
      <c r="AM179" s="41">
        <f>IF(ISNUMBER($AD179),Header!$I$3,"")</f>
      </c>
      <c r="AN179" s="39">
        <f>IF(ISNUMBER($AD179),$AO179+$AP179,"")</f>
      </c>
      <c r="AO179" s="39">
        <f>IF(ISNUMBER($AD179),ROUND($AD179*Header!$K$3,2),"")</f>
      </c>
      <c r="AP179" s="39">
        <f>IF(ISNUMBER($AD179),ROUND($AD179*Header!$M$3,2),"")</f>
      </c>
      <c r="AQ179" s="38">
        <f>IF(ISNUMBER($AD179),ROUND($AD179,2)-$AO179-$AP179,"")</f>
      </c>
      <c r="AR179" s="39">
        <f>IF(ISNUMBER($AD179),IF(Header!$D$34="","?",$AD179*Header!$D$34),"")</f>
      </c>
      <c r="AS179" s="39">
        <f>IF(ISNUMBER($AB179),IF(Header!$D$34="","?",$AB179*Header!$D$34),"")</f>
      </c>
      <c r="AT179" s="42">
        <f>IF(AND(ISNUMBER($AB179),$M179&gt;0),$AB179/$M179*100,"")</f>
      </c>
      <c r="AU179" s="42">
        <f>IF(AND(ISNUMBER($AD179),$M179&gt;0),$AD179/$M179*100,"")</f>
      </c>
      <c r="AV179" s="40">
        <f>IF(AND(ISNUMBER($AB179),ISNUMBER($AD179),ABS($AB179)&gt;0),$AD179/$AB179,"")</f>
      </c>
      <c r="AW179" s="39">
        <f>IF(ISNUMBER($AD179),MAX(0,(1-0.55-Header!$O$3)*Header!$Q$3*$AQ179),"")</f>
      </c>
      <c r="AX179" s="43">
        <f>IF($A179="","",IF(TRIM(IF($A179="","Missing certificate ref. ","") &amp; IF($C179="","Missing effective date. ","") &amp; IF($D179="","Missing binding status. ","") &amp; IF($E179="","Missing movement type. ","") &amp; IF($I179="","Missing make. ","") &amp; IF($L179="","Missing vehicle class. ","") &amp; IF($M179="","Missing agreed value. ","") &amp; IF($N179="","Missing policy type. ","") &amp; IF($Q179="","Missing garaging state. ","") &amp; IF($R179="","Missing garaging ZIP. ","") &amp; IF($S179="","Missing cat zone. ","") &amp; IF($V179="","Missing valuation basis. ","") &amp; IF($W179="","Missing PD deductible. ","") &amp; IF($X179="","Missing liability limit. ","") &amp; IF($AB179="","Missing technical premium. ","") &amp; IF($AF179="","Missing surplus lines tax %. ",""))="","PASS","FAIL: "&amp;TRIM(IF($A179="","Missing certificate ref. ","") &amp; IF($C179="","Missing effective date. ","") &amp; IF($D179="","Missing binding status. ","") &amp; IF($E179="","Missing movement type. ","") &amp; IF($I179="","Missing make. ","") &amp; IF($L179="","Missing vehicle class. ","") &amp; IF($M179="","Missing agreed value. ","") &amp; IF($N179="","Missing policy type. ","") &amp; IF($Q179="","Missing garaging state. ","") &amp; IF($R179="","Missing garaging ZIP. ","") &amp; IF($S179="","Missing cat zone. ","") &amp; IF($V179="","Missing valuation basis. ","") &amp; IF($W179="","Missing PD deductible. ","") &amp; IF($X179="","Missing liability limit. ","") &amp; IF($AB179="","Missing technical premium. ","") &amp; IF($AF179="","Missing surplus lines tax %. ",""))))</f>
      </c>
      <c r="AY179" s="44">
        <f>IF($M179="","",IF(ISNUMBER($M179),IF($M179&gt;=Header!$C$18,"YES — refer","No"),""))</f>
      </c>
      <c r="AZ179" s="44">
        <f>IF($AD179="","",IF(ISNUMBER($AD179),IF($AD179&lt;Header!$C$20,"BELOW MIN PREMIUM","OK"),""))</f>
      </c>
      <c r="BA179" s="32" t="inlineStr">
        <is>
          <t xml:space="preserve">Yes</t>
        </is>
      </c>
      <c r="BB179" s="32" t="inlineStr">
        <is>
          <t xml:space="preserve">Yes</t>
        </is>
      </c>
      <c r="BC179" s="30" t="inlineStr">
        <is>
          <t xml:space="preserve">Synthetic demo data</t>
        </is>
      </c>
      <c r="BE179" s="45">
        <f>IF(OR($A179="",$L179="",$H179=""),"",IF(AND(LEFT($L179,2)="06",$H179&gt;1945),"FAIL - pre-war class, year "&amp;$H179,IF(AND(LEFT($L179,2)="07",OR($H179&lt;1946,$H179&gt;1972)),"FAIL - 1946-72 class, year "&amp;$H179,IF(AND(LEFT($L179,2)="08",OR($H179&lt;1973,$H179&gt;1999)),"FAIL - 1973-99 class, year "&amp;$H179,IF(AND(LEFT($L179,2)="09",OR($H179&lt;2000,$H179&gt;2010)),"FAIL - 2000-10 class, year "&amp;$H179,"OK")))))</f>
      </c>
      <c r="BF179" s="45">
        <f>IF($AD179="","",IF(ROUND($AO179+$AP179+$AQ179-$AD179,2)=0,"OK","FAIL - out by "&amp;TEXT($AO179+$AP179+$AQ179-$AD179,"$0.00")))</f>
      </c>
    </row>
    <row r="180" spans="1:58" ht="18.75" customHeight="1" x14ac:dyDescent="0.25">
      <c r="A180" s="46" t="inlineStr">
        <is>
          <t xml:space="preserve">CANON-202511-002409</t>
        </is>
      </c>
      <c r="B180" s="46" t="inlineStr">
        <is>
          <t xml:space="preserve">Fitzgerald Ashcombe</t>
        </is>
      </c>
      <c r="C180" s="47">
        <v>45983</v>
      </c>
      <c r="D180" s="48" t="inlineStr">
        <is>
          <t xml:space="preserve">Bound - within authority</t>
        </is>
      </c>
      <c r="E180" s="48" t="inlineStr">
        <is>
          <t xml:space="preserve">New business</t>
        </is>
      </c>
      <c r="F180" s="46" t="inlineStr">
        <is>
          <t xml:space="preserve">B1234EXOTIC26</t>
        </is>
      </c>
      <c r="G180" s="33">
        <f>IF($A180="","",IF($C180="","",YEAR($C180)))</f>
      </c>
      <c r="H180" s="49">
        <v>2011</v>
      </c>
      <c r="I180" s="46" t="inlineStr">
        <is>
          <t xml:space="preserve">Bentley</t>
        </is>
      </c>
      <c r="J180" s="46" t="inlineStr">
        <is>
          <t xml:space="preserve">Continental GT</t>
        </is>
      </c>
      <c r="K180" s="46" t="inlineStr">
        <is>
          <t xml:space="preserve">LU032YM1E0JLA8FKE</t>
        </is>
      </c>
      <c r="L180" s="48" t="inlineStr">
        <is>
          <t xml:space="preserve">02 - Sports / GT</t>
        </is>
      </c>
      <c r="M180" s="50">
        <v>215000</v>
      </c>
      <c r="N180" s="48" t="inlineStr">
        <is>
          <t xml:space="preserve">Personal</t>
        </is>
      </c>
      <c r="O180" s="46" t="inlineStr">
        <is>
          <t xml:space="preserve">Personal - regular use</t>
        </is>
      </c>
      <c r="P180" s="46" t="inlineStr">
        <is>
          <t xml:space="preserve">1,000 - 2,500</t>
        </is>
      </c>
      <c r="Q180" s="46" t="inlineStr">
        <is>
          <t xml:space="preserve">Louisiana</t>
        </is>
      </c>
      <c r="R180" s="46" t="inlineStr">
        <is>
          <t xml:space="preserve">70112</t>
        </is>
      </c>
      <c r="S180" s="48" t="inlineStr">
        <is>
          <t xml:space="preserve">Tier 2 - Coastal wind (1-25 miles)</t>
        </is>
      </c>
      <c r="T180" s="36">
        <f>IF($A180="","",IF($S180="","",IFERROR(INDEX('[1]natural catastrophe'!$D$6:$D$17,MATCH($S180,'[1]natural catastrophe'!$B$6:$B$17,0)),"?")))</f>
      </c>
      <c r="U180" s="46" t="inlineStr">
        <is>
          <t xml:space="preserve">2% of agreed value, minimum $10,000</t>
        </is>
      </c>
      <c r="V180" s="48" t="inlineStr">
        <is>
          <t xml:space="preserve">Agreed Value</t>
        </is>
      </c>
      <c r="W180" s="46" t="inlineStr">
        <is>
          <t xml:space="preserve">$1,000</t>
        </is>
      </c>
      <c r="X180" s="48" t="inlineStr">
        <is>
          <t xml:space="preserve">$1,000,000 CSL</t>
        </is>
      </c>
      <c r="Y180" s="46"/>
      <c r="Z180" s="46"/>
      <c r="AA180" s="48" t="inlineStr">
        <is>
          <t xml:space="preserve">Surplus Lines</t>
        </is>
      </c>
      <c r="AB180" s="50">
        <v>4151.84</v>
      </c>
      <c r="AC180" s="51">
        <v>0</v>
      </c>
      <c r="AD180" s="38">
        <f>IF(ISNUMBER($AB180),$AB180*(1+N($AC180)),"")</f>
      </c>
      <c r="AE180" s="50">
        <v>350</v>
      </c>
      <c r="AF180" s="50">
        <v>0</v>
      </c>
      <c r="AG180" s="51"/>
      <c r="AH180" s="39">
        <f>IF(ISNUMBER($AD180),($AD180+$AE180+$AF180)*$AG180,"")</f>
      </c>
      <c r="AI180" s="50"/>
      <c r="AJ180" s="38">
        <f>IF(ISNUMBER($AD180),SUM($AD180:$AH180),"")</f>
      </c>
      <c r="AK180" s="40">
        <f>IF(AND(ISNUMBER($AB180),ISNUMBER($AD180)),IF($AB180&gt;0,$AD180/$AB180,""),"")</f>
      </c>
      <c r="AL180" s="48" t="inlineStr">
        <is>
          <t xml:space="preserve">At technical</t>
        </is>
      </c>
      <c r="AM180" s="41">
        <f>IF(ISNUMBER($AD180),Header!$I$3,"")</f>
      </c>
      <c r="AN180" s="39">
        <f>IF(ISNUMBER($AD180),$AO180+$AP180,"")</f>
      </c>
      <c r="AO180" s="39">
        <f>IF(ISNUMBER($AD180),ROUND($AD180*Header!$K$3,2),"")</f>
      </c>
      <c r="AP180" s="39">
        <f>IF(ISNUMBER($AD180),ROUND($AD180*Header!$M$3,2),"")</f>
      </c>
      <c r="AQ180" s="38">
        <f>IF(ISNUMBER($AD180),ROUND($AD180,2)-$AO180-$AP180,"")</f>
      </c>
      <c r="AR180" s="39">
        <f>IF(ISNUMBER($AD180),IF(Header!$D$34="","?",$AD180*Header!$D$34),"")</f>
      </c>
      <c r="AS180" s="39">
        <f>IF(ISNUMBER($AB180),IF(Header!$D$34="","?",$AB180*Header!$D$34),"")</f>
      </c>
      <c r="AT180" s="42">
        <f>IF(AND(ISNUMBER($AB180),$M180&gt;0),$AB180/$M180*100,"")</f>
      </c>
      <c r="AU180" s="42">
        <f>IF(AND(ISNUMBER($AD180),$M180&gt;0),$AD180/$M180*100,"")</f>
      </c>
      <c r="AV180" s="40">
        <f>IF(AND(ISNUMBER($AB180),ISNUMBER($AD180),ABS($AB180)&gt;0),$AD180/$AB180,"")</f>
      </c>
      <c r="AW180" s="39">
        <f>IF(ISNUMBER($AD180),MAX(0,(1-0.55-Header!$O$3)*Header!$Q$3*$AQ180),"")</f>
      </c>
      <c r="AX180" s="43">
        <f>IF($A180="","",IF(TRIM(IF($A180="","Missing certificate ref. ","") &amp; IF($C180="","Missing effective date. ","") &amp; IF($D180="","Missing binding status. ","") &amp; IF($E180="","Missing movement type. ","") &amp; IF($I180="","Missing make. ","") &amp; IF($L180="","Missing vehicle class. ","") &amp; IF($M180="","Missing agreed value. ","") &amp; IF($N180="","Missing policy type. ","") &amp; IF($Q180="","Missing garaging state. ","") &amp; IF($R180="","Missing garaging ZIP. ","") &amp; IF($S180="","Missing cat zone. ","") &amp; IF($V180="","Missing valuation basis. ","") &amp; IF($W180="","Missing PD deductible. ","") &amp; IF($X180="","Missing liability limit. ","") &amp; IF($AB180="","Missing technical premium. ","") &amp; IF($AF180="","Missing surplus lines tax %. ",""))="","PASS","FAIL: "&amp;TRIM(IF($A180="","Missing certificate ref. ","") &amp; IF($C180="","Missing effective date. ","") &amp; IF($D180="","Missing binding status. ","") &amp; IF($E180="","Missing movement type. ","") &amp; IF($I180="","Missing make. ","") &amp; IF($L180="","Missing vehicle class. ","") &amp; IF($M180="","Missing agreed value. ","") &amp; IF($N180="","Missing policy type. ","") &amp; IF($Q180="","Missing garaging state. ","") &amp; IF($R180="","Missing garaging ZIP. ","") &amp; IF($S180="","Missing cat zone. ","") &amp; IF($V180="","Missing valuation basis. ","") &amp; IF($W180="","Missing PD deductible. ","") &amp; IF($X180="","Missing liability limit. ","") &amp; IF($AB180="","Missing technical premium. ","") &amp; IF($AF180="","Missing surplus lines tax %. ",""))))</f>
      </c>
      <c r="AY180" s="44">
        <f>IF($M180="","",IF(ISNUMBER($M180),IF($M180&gt;=Header!$C$18,"YES — refer","No"),""))</f>
      </c>
      <c r="AZ180" s="44">
        <f>IF($AD180="","",IF(ISNUMBER($AD180),IF($AD180&lt;Header!$C$20,"BELOW MIN PREMIUM","OK"),""))</f>
      </c>
      <c r="BA180" s="48" t="inlineStr">
        <is>
          <t xml:space="preserve">Yes</t>
        </is>
      </c>
      <c r="BB180" s="48" t="inlineStr">
        <is>
          <t xml:space="preserve">Yes</t>
        </is>
      </c>
      <c r="BC180" s="46" t="inlineStr">
        <is>
          <t xml:space="preserve">Synthetic demo data</t>
        </is>
      </c>
      <c r="BE180" s="45">
        <f>IF(OR($A180="",$L180="",$H180=""),"",IF(AND(LEFT($L180,2)="06",$H180&gt;1945),"FAIL - pre-war class, year "&amp;$H180,IF(AND(LEFT($L180,2)="07",OR($H180&lt;1946,$H180&gt;1972)),"FAIL - 1946-72 class, year "&amp;$H180,IF(AND(LEFT($L180,2)="08",OR($H180&lt;1973,$H180&gt;1999)),"FAIL - 1973-99 class, year "&amp;$H180,IF(AND(LEFT($L180,2)="09",OR($H180&lt;2000,$H180&gt;2010)),"FAIL - 2000-10 class, year "&amp;$H180,"OK")))))</f>
      </c>
      <c r="BF180" s="45">
        <f>IF($AD180="","",IF(ROUND($AO180+$AP180+$AQ180-$AD180,2)=0,"OK","FAIL - out by "&amp;TEXT($AO180+$AP180+$AQ180-$AD180,"$0.00")))</f>
      </c>
    </row>
    <row r="181" spans="1:58" ht="18.75" customHeight="1" x14ac:dyDescent="0.25">
      <c r="A181" s="30" t="inlineStr">
        <is>
          <t xml:space="preserve">CANON-202511-002410</t>
        </is>
      </c>
      <c r="B181" s="30" t="inlineStr">
        <is>
          <t xml:space="preserve">Wilhelmina Fairweather</t>
        </is>
      </c>
      <c r="C181" s="31">
        <v>45983</v>
      </c>
      <c r="D181" s="32" t="inlineStr">
        <is>
          <t xml:space="preserve">Bound - within authority</t>
        </is>
      </c>
      <c r="E181" s="32" t="inlineStr">
        <is>
          <t xml:space="preserve">New business</t>
        </is>
      </c>
      <c r="F181" s="30" t="inlineStr">
        <is>
          <t xml:space="preserve">B1234EXOTIC26</t>
        </is>
      </c>
      <c r="G181" s="33">
        <f>IF($A181="","",IF($C181="","",YEAR($C181)))</f>
      </c>
      <c r="H181" s="34">
        <v>2010</v>
      </c>
      <c r="I181" s="30" t="inlineStr">
        <is>
          <t xml:space="preserve">Ferrari</t>
        </is>
      </c>
      <c r="J181" s="30" t="inlineStr">
        <is>
          <t xml:space="preserve">275 GTB/4</t>
        </is>
      </c>
      <c r="K181" s="30" t="inlineStr">
        <is>
          <t xml:space="preserve">5U4EK4BCDH1HPTAVH</t>
        </is>
      </c>
      <c r="L181" s="32" t="inlineStr">
        <is>
          <t xml:space="preserve">09 - Youngtimer / Collectible (2000-2010)</t>
        </is>
      </c>
      <c r="M181" s="35">
        <v>380000</v>
      </c>
      <c r="N181" s="32" t="inlineStr">
        <is>
          <t xml:space="preserve">Personal</t>
        </is>
      </c>
      <c r="O181" s="30" t="inlineStr">
        <is>
          <t xml:space="preserve">Personal - regular use</t>
        </is>
      </c>
      <c r="P181" s="30" t="inlineStr">
        <is>
          <t xml:space="preserve">Under 1,000</t>
        </is>
      </c>
      <c r="Q181" s="30" t="inlineStr">
        <is>
          <t xml:space="preserve">Georgia</t>
        </is>
      </c>
      <c r="R181" s="30" t="inlineStr">
        <is>
          <t xml:space="preserve">30303</t>
        </is>
      </c>
      <c r="S181" s="32" t="inlineStr">
        <is>
          <t xml:space="preserve">Tier 2 - Coastal wind (1-25 miles)</t>
        </is>
      </c>
      <c r="T181" s="36">
        <f>IF($A181="","",IF($S181="","",IFERROR(INDEX('[1]natural catastrophe'!$D$6:$D$17,MATCH($S181,'[1]natural catastrophe'!$B$6:$B$17,0)),"?")))</f>
      </c>
      <c r="U181" s="30" t="inlineStr">
        <is>
          <t xml:space="preserve">2% of agreed value, minimum $10,000</t>
        </is>
      </c>
      <c r="V181" s="32" t="inlineStr">
        <is>
          <t xml:space="preserve">Agreed Value</t>
        </is>
      </c>
      <c r="W181" s="30" t="inlineStr">
        <is>
          <t xml:space="preserve">$1,000</t>
        </is>
      </c>
      <c r="X181" s="32" t="inlineStr">
        <is>
          <t xml:space="preserve">$1,000,000 CSL</t>
        </is>
      </c>
      <c r="Y181" s="30"/>
      <c r="Z181" s="30"/>
      <c r="AA181" s="32" t="inlineStr">
        <is>
          <t xml:space="preserve">Surplus Lines</t>
        </is>
      </c>
      <c r="AB181" s="35">
        <v>3543.82</v>
      </c>
      <c r="AC181" s="37">
        <v>0</v>
      </c>
      <c r="AD181" s="38">
        <f>IF(ISNUMBER($AB181),$AB181*(1+N($AC181)),"")</f>
      </c>
      <c r="AE181" s="35">
        <v>350</v>
      </c>
      <c r="AF181" s="35">
        <v>0</v>
      </c>
      <c r="AG181" s="37"/>
      <c r="AH181" s="39">
        <f>IF(ISNUMBER($AD181),($AD181+$AE181+$AF181)*$AG181,"")</f>
      </c>
      <c r="AI181" s="35"/>
      <c r="AJ181" s="38">
        <f>IF(ISNUMBER($AD181),SUM($AD181:$AH181),"")</f>
      </c>
      <c r="AK181" s="40">
        <f>IF(AND(ISNUMBER($AB181),ISNUMBER($AD181)),IF($AB181&gt;0,$AD181/$AB181,""),"")</f>
      </c>
      <c r="AL181" s="32" t="inlineStr">
        <is>
          <t xml:space="preserve">At technical</t>
        </is>
      </c>
      <c r="AM181" s="41">
        <f>IF(ISNUMBER($AD181),Header!$I$3,"")</f>
      </c>
      <c r="AN181" s="39">
        <f>IF(ISNUMBER($AD181),$AO181+$AP181,"")</f>
      </c>
      <c r="AO181" s="39">
        <f>IF(ISNUMBER($AD181),ROUND($AD181*Header!$K$3,2),"")</f>
      </c>
      <c r="AP181" s="39">
        <f>IF(ISNUMBER($AD181),ROUND($AD181*Header!$M$3,2),"")</f>
      </c>
      <c r="AQ181" s="38">
        <f>IF(ISNUMBER($AD181),ROUND($AD181,2)-$AO181-$AP181,"")</f>
      </c>
      <c r="AR181" s="39">
        <f>IF(ISNUMBER($AD181),IF(Header!$D$34="","?",$AD181*Header!$D$34),"")</f>
      </c>
      <c r="AS181" s="39">
        <f>IF(ISNUMBER($AB181),IF(Header!$D$34="","?",$AB181*Header!$D$34),"")</f>
      </c>
      <c r="AT181" s="42">
        <f>IF(AND(ISNUMBER($AB181),$M181&gt;0),$AB181/$M181*100,"")</f>
      </c>
      <c r="AU181" s="42">
        <f>IF(AND(ISNUMBER($AD181),$M181&gt;0),$AD181/$M181*100,"")</f>
      </c>
      <c r="AV181" s="40">
        <f>IF(AND(ISNUMBER($AB181),ISNUMBER($AD181),ABS($AB181)&gt;0),$AD181/$AB181,"")</f>
      </c>
      <c r="AW181" s="39">
        <f>IF(ISNUMBER($AD181),MAX(0,(1-0.55-Header!$O$3)*Header!$Q$3*$AQ181),"")</f>
      </c>
      <c r="AX181" s="43">
        <f>IF($A181="","",IF(TRIM(IF($A181="","Missing certificate ref. ","") &amp; IF($C181="","Missing effective date. ","") &amp; IF($D181="","Missing binding status. ","") &amp; IF($E181="","Missing movement type. ","") &amp; IF($I181="","Missing make. ","") &amp; IF($L181="","Missing vehicle class. ","") &amp; IF($M181="","Missing agreed value. ","") &amp; IF($N181="","Missing policy type. ","") &amp; IF($Q181="","Missing garaging state. ","") &amp; IF($R181="","Missing garaging ZIP. ","") &amp; IF($S181="","Missing cat zone. ","") &amp; IF($V181="","Missing valuation basis. ","") &amp; IF($W181="","Missing PD deductible. ","") &amp; IF($X181="","Missing liability limit. ","") &amp; IF($AB181="","Missing technical premium. ","") &amp; IF($AF181="","Missing surplus lines tax %. ",""))="","PASS","FAIL: "&amp;TRIM(IF($A181="","Missing certificate ref. ","") &amp; IF($C181="","Missing effective date. ","") &amp; IF($D181="","Missing binding status. ","") &amp; IF($E181="","Missing movement type. ","") &amp; IF($I181="","Missing make. ","") &amp; IF($L181="","Missing vehicle class. ","") &amp; IF($M181="","Missing agreed value. ","") &amp; IF($N181="","Missing policy type. ","") &amp; IF($Q181="","Missing garaging state. ","") &amp; IF($R181="","Missing garaging ZIP. ","") &amp; IF($S181="","Missing cat zone. ","") &amp; IF($V181="","Missing valuation basis. ","") &amp; IF($W181="","Missing PD deductible. ","") &amp; IF($X181="","Missing liability limit. ","") &amp; IF($AB181="","Missing technical premium. ","") &amp; IF($AF181="","Missing surplus lines tax %. ",""))))</f>
      </c>
      <c r="AY181" s="44">
        <f>IF($M181="","",IF(ISNUMBER($M181),IF($M181&gt;=Header!$C$18,"YES — refer","No"),""))</f>
      </c>
      <c r="AZ181" s="44">
        <f>IF($AD181="","",IF(ISNUMBER($AD181),IF($AD181&lt;Header!$C$20,"BELOW MIN PREMIUM","OK"),""))</f>
      </c>
      <c r="BA181" s="32" t="inlineStr">
        <is>
          <t xml:space="preserve">Yes</t>
        </is>
      </c>
      <c r="BB181" s="32" t="inlineStr">
        <is>
          <t xml:space="preserve">Yes</t>
        </is>
      </c>
      <c r="BC181" s="30" t="inlineStr">
        <is>
          <t xml:space="preserve">Synthetic demo data</t>
        </is>
      </c>
      <c r="BE181" s="45">
        <f>IF(OR($A181="",$L181="",$H181=""),"",IF(AND(LEFT($L181,2)="06",$H181&gt;1945),"FAIL - pre-war class, year "&amp;$H181,IF(AND(LEFT($L181,2)="07",OR($H181&lt;1946,$H181&gt;1972)),"FAIL - 1946-72 class, year "&amp;$H181,IF(AND(LEFT($L181,2)="08",OR($H181&lt;1973,$H181&gt;1999)),"FAIL - 1973-99 class, year "&amp;$H181,IF(AND(LEFT($L181,2)="09",OR($H181&lt;2000,$H181&gt;2010)),"FAIL - 2000-10 class, year "&amp;$H181,"OK")))))</f>
      </c>
      <c r="BF181" s="45">
        <f>IF($AD181="","",IF(ROUND($AO181+$AP181+$AQ181-$AD181,2)=0,"OK","FAIL - out by "&amp;TEXT($AO181+$AP181+$AQ181-$AD181,"$0.00")))</f>
      </c>
    </row>
    <row r="182" spans="1:58" ht="18.75" customHeight="1" x14ac:dyDescent="0.25">
      <c r="A182" s="46" t="inlineStr">
        <is>
          <t xml:space="preserve">CANON-202511-002411</t>
        </is>
      </c>
      <c r="B182" s="46" t="inlineStr">
        <is>
          <t xml:space="preserve">Ottilie Merriweather</t>
        </is>
      </c>
      <c r="C182" s="47">
        <v>45974</v>
      </c>
      <c r="D182" s="48" t="inlineStr">
        <is>
          <t xml:space="preserve">Bound - within authority</t>
        </is>
      </c>
      <c r="E182" s="48" t="inlineStr">
        <is>
          <t xml:space="preserve">New business</t>
        </is>
      </c>
      <c r="F182" s="46" t="inlineStr">
        <is>
          <t xml:space="preserve">B1234EXOTIC26</t>
        </is>
      </c>
      <c r="G182" s="33">
        <f>IF($A182="","",IF($C182="","",YEAR($C182)))</f>
      </c>
      <c r="H182" s="49">
        <v>2007</v>
      </c>
      <c r="I182" s="46" t="inlineStr">
        <is>
          <t xml:space="preserve">Maserati</t>
        </is>
      </c>
      <c r="J182" s="46" t="inlineStr">
        <is>
          <t xml:space="preserve">GranTurismo</t>
        </is>
      </c>
      <c r="K182" s="46" t="inlineStr">
        <is>
          <t xml:space="preserve">34AL6SEK091X99MXB</t>
        </is>
      </c>
      <c r="L182" s="48" t="inlineStr">
        <is>
          <t xml:space="preserve">02 - Sports / GT</t>
        </is>
      </c>
      <c r="M182" s="50">
        <v>250000</v>
      </c>
      <c r="N182" s="48" t="inlineStr">
        <is>
          <t xml:space="preserve">Personal</t>
        </is>
      </c>
      <c r="O182" s="46" t="inlineStr">
        <is>
          <t xml:space="preserve">Personal - regular use</t>
        </is>
      </c>
      <c r="P182" s="46" t="inlineStr">
        <is>
          <t xml:space="preserve">1,000 - 2,500</t>
        </is>
      </c>
      <c r="Q182" s="46" t="inlineStr">
        <is>
          <t xml:space="preserve">Texas</t>
        </is>
      </c>
      <c r="R182" s="46" t="inlineStr">
        <is>
          <t xml:space="preserve">75201</t>
        </is>
      </c>
      <c r="S182" s="48" t="inlineStr">
        <is>
          <t xml:space="preserve">Tier 2 - Coastal wind (1-25 miles)</t>
        </is>
      </c>
      <c r="T182" s="36">
        <f>IF($A182="","",IF($S182="","",IFERROR(INDEX('[1]natural catastrophe'!$D$6:$D$17,MATCH($S182,'[1]natural catastrophe'!$B$6:$B$17,0)),"?")))</f>
      </c>
      <c r="U182" s="46" t="inlineStr">
        <is>
          <t xml:space="preserve">2% of agreed value, minimum $10,000</t>
        </is>
      </c>
      <c r="V182" s="48" t="inlineStr">
        <is>
          <t xml:space="preserve">Agreed Value</t>
        </is>
      </c>
      <c r="W182" s="46" t="inlineStr">
        <is>
          <t xml:space="preserve">$1,000</t>
        </is>
      </c>
      <c r="X182" s="48" t="inlineStr">
        <is>
          <t xml:space="preserve">$1,000,000 CSL</t>
        </is>
      </c>
      <c r="Y182" s="46"/>
      <c r="Z182" s="46"/>
      <c r="AA182" s="48" t="inlineStr">
        <is>
          <t xml:space="preserve">Surplus Lines</t>
        </is>
      </c>
      <c r="AB182" s="50">
        <v>3740.49</v>
      </c>
      <c r="AC182" s="51">
        <v>0</v>
      </c>
      <c r="AD182" s="38">
        <f>IF(ISNUMBER($AB182),$AB182*(1+N($AC182)),"")</f>
      </c>
      <c r="AE182" s="50">
        <v>350</v>
      </c>
      <c r="AF182" s="50">
        <v>0</v>
      </c>
      <c r="AG182" s="51"/>
      <c r="AH182" s="39">
        <f>IF(ISNUMBER($AD182),($AD182+$AE182+$AF182)*$AG182,"")</f>
      </c>
      <c r="AI182" s="50"/>
      <c r="AJ182" s="38">
        <f>IF(ISNUMBER($AD182),SUM($AD182:$AH182),"")</f>
      </c>
      <c r="AK182" s="40">
        <f>IF(AND(ISNUMBER($AB182),ISNUMBER($AD182)),IF($AB182&gt;0,$AD182/$AB182,""),"")</f>
      </c>
      <c r="AL182" s="48" t="inlineStr">
        <is>
          <t xml:space="preserve">At technical</t>
        </is>
      </c>
      <c r="AM182" s="41">
        <f>IF(ISNUMBER($AD182),Header!$I$3,"")</f>
      </c>
      <c r="AN182" s="39">
        <f>IF(ISNUMBER($AD182),$AO182+$AP182,"")</f>
      </c>
      <c r="AO182" s="39">
        <f>IF(ISNUMBER($AD182),ROUND($AD182*Header!$K$3,2),"")</f>
      </c>
      <c r="AP182" s="39">
        <f>IF(ISNUMBER($AD182),ROUND($AD182*Header!$M$3,2),"")</f>
      </c>
      <c r="AQ182" s="38">
        <f>IF(ISNUMBER($AD182),ROUND($AD182,2)-$AO182-$AP182,"")</f>
      </c>
      <c r="AR182" s="39">
        <f>IF(ISNUMBER($AD182),IF(Header!$D$34="","?",$AD182*Header!$D$34),"")</f>
      </c>
      <c r="AS182" s="39">
        <f>IF(ISNUMBER($AB182),IF(Header!$D$34="","?",$AB182*Header!$D$34),"")</f>
      </c>
      <c r="AT182" s="42">
        <f>IF(AND(ISNUMBER($AB182),$M182&gt;0),$AB182/$M182*100,"")</f>
      </c>
      <c r="AU182" s="42">
        <f>IF(AND(ISNUMBER($AD182),$M182&gt;0),$AD182/$M182*100,"")</f>
      </c>
      <c r="AV182" s="40">
        <f>IF(AND(ISNUMBER($AB182),ISNUMBER($AD182),ABS($AB182)&gt;0),$AD182/$AB182,"")</f>
      </c>
      <c r="AW182" s="39">
        <f>IF(ISNUMBER($AD182),MAX(0,(1-0.55-Header!$O$3)*Header!$Q$3*$AQ182),"")</f>
      </c>
      <c r="AX182" s="43">
        <f>IF($A182="","",IF(TRIM(IF($A182="","Missing certificate ref. ","") &amp; IF($C182="","Missing effective date. ","") &amp; IF($D182="","Missing binding status. ","") &amp; IF($E182="","Missing movement type. ","") &amp; IF($I182="","Missing make. ","") &amp; IF($L182="","Missing vehicle class. ","") &amp; IF($M182="","Missing agreed value. ","") &amp; IF($N182="","Missing policy type. ","") &amp; IF($Q182="","Missing garaging state. ","") &amp; IF($R182="","Missing garaging ZIP. ","") &amp; IF($S182="","Missing cat zone. ","") &amp; IF($V182="","Missing valuation basis. ","") &amp; IF($W182="","Missing PD deductible. ","") &amp; IF($X182="","Missing liability limit. ","") &amp; IF($AB182="","Missing technical premium. ","") &amp; IF($AF182="","Missing surplus lines tax %. ",""))="","PASS","FAIL: "&amp;TRIM(IF($A182="","Missing certificate ref. ","") &amp; IF($C182="","Missing effective date. ","") &amp; IF($D182="","Missing binding status. ","") &amp; IF($E182="","Missing movement type. ","") &amp; IF($I182="","Missing make. ","") &amp; IF($L182="","Missing vehicle class. ","") &amp; IF($M182="","Missing agreed value. ","") &amp; IF($N182="","Missing policy type. ","") &amp; IF($Q182="","Missing garaging state. ","") &amp; IF($R182="","Missing garaging ZIP. ","") &amp; IF($S182="","Missing cat zone. ","") &amp; IF($V182="","Missing valuation basis. ","") &amp; IF($W182="","Missing PD deductible. ","") &amp; IF($X182="","Missing liability limit. ","") &amp; IF($AB182="","Missing technical premium. ","") &amp; IF($AF182="","Missing surplus lines tax %. ",""))))</f>
      </c>
      <c r="AY182" s="44">
        <f>IF($M182="","",IF(ISNUMBER($M182),IF($M182&gt;=Header!$C$18,"YES — refer","No"),""))</f>
      </c>
      <c r="AZ182" s="44">
        <f>IF($AD182="","",IF(ISNUMBER($AD182),IF($AD182&lt;Header!$C$20,"BELOW MIN PREMIUM","OK"),""))</f>
      </c>
      <c r="BA182" s="48" t="inlineStr">
        <is>
          <t xml:space="preserve">Yes</t>
        </is>
      </c>
      <c r="BB182" s="48" t="inlineStr">
        <is>
          <t xml:space="preserve">Yes</t>
        </is>
      </c>
      <c r="BC182" s="46" t="inlineStr">
        <is>
          <t xml:space="preserve">Synthetic demo data</t>
        </is>
      </c>
      <c r="BE182" s="45">
        <f>IF(OR($A182="",$L182="",$H182=""),"",IF(AND(LEFT($L182,2)="06",$H182&gt;1945),"FAIL - pre-war class, year "&amp;$H182,IF(AND(LEFT($L182,2)="07",OR($H182&lt;1946,$H182&gt;1972)),"FAIL - 1946-72 class, year "&amp;$H182,IF(AND(LEFT($L182,2)="08",OR($H182&lt;1973,$H182&gt;1999)),"FAIL - 1973-99 class, year "&amp;$H182,IF(AND(LEFT($L182,2)="09",OR($H182&lt;2000,$H182&gt;2010)),"FAIL - 2000-10 class, year "&amp;$H182,"OK")))))</f>
      </c>
      <c r="BF182" s="45">
        <f>IF($AD182="","",IF(ROUND($AO182+$AP182+$AQ182-$AD182,2)=0,"OK","FAIL - out by "&amp;TEXT($AO182+$AP182+$AQ182-$AD182,"$0.00")))</f>
      </c>
    </row>
    <row r="183" spans="1:58" ht="18.75" customHeight="1" x14ac:dyDescent="0.25">
      <c r="A183" s="30" t="inlineStr">
        <is>
          <t xml:space="preserve">CANON-202511-002414</t>
        </is>
      </c>
      <c r="B183" s="30" t="inlineStr">
        <is>
          <t xml:space="preserve">Leopold Blackwood</t>
        </is>
      </c>
      <c r="C183" s="31">
        <v>45964</v>
      </c>
      <c r="D183" s="32" t="inlineStr">
        <is>
          <t xml:space="preserve">Bound - within authority</t>
        </is>
      </c>
      <c r="E183" s="32" t="inlineStr">
        <is>
          <t xml:space="preserve">New business</t>
        </is>
      </c>
      <c r="F183" s="30" t="inlineStr">
        <is>
          <t xml:space="preserve">B1234EXOTIC26</t>
        </is>
      </c>
      <c r="G183" s="33">
        <f>IF($A183="","",IF($C183="","",YEAR($C183)))</f>
      </c>
      <c r="H183" s="34">
        <v>1976</v>
      </c>
      <c r="I183" s="30" t="inlineStr">
        <is>
          <t xml:space="preserve">Maserati</t>
        </is>
      </c>
      <c r="J183" s="30" t="inlineStr">
        <is>
          <t xml:space="preserve">GranTurismo</t>
        </is>
      </c>
      <c r="K183" s="30" t="inlineStr">
        <is>
          <t xml:space="preserve">52V031KLYG6ESJGX9</t>
        </is>
      </c>
      <c r="L183" s="32" t="inlineStr">
        <is>
          <t xml:space="preserve">02 - Sports / GT</t>
        </is>
      </c>
      <c r="M183" s="35">
        <v>810000</v>
      </c>
      <c r="N183" s="32" t="inlineStr">
        <is>
          <t xml:space="preserve">Personal</t>
        </is>
      </c>
      <c r="O183" s="30" t="inlineStr">
        <is>
          <t xml:space="preserve">Personal - regular use</t>
        </is>
      </c>
      <c r="P183" s="30" t="inlineStr">
        <is>
          <t xml:space="preserve">Under 1,000</t>
        </is>
      </c>
      <c r="Q183" s="30" t="inlineStr">
        <is>
          <t xml:space="preserve">Colorado</t>
        </is>
      </c>
      <c r="R183" s="30" t="inlineStr">
        <is>
          <t xml:space="preserve">80202</t>
        </is>
      </c>
      <c r="S183" s="32" t="inlineStr">
        <is>
          <t xml:space="preserve">Severe convective - hail alley (high)</t>
        </is>
      </c>
      <c r="T183" s="36">
        <f>IF($A183="","",IF($S183="","",IFERROR(INDEX('[1]natural catastrophe'!$D$6:$D$17,MATCH($S183,'[1]natural catastrophe'!$B$6:$B$17,0)),"?")))</f>
      </c>
      <c r="U183" s="30" t="inlineStr">
        <is>
          <t xml:space="preserve">$5,000</t>
        </is>
      </c>
      <c r="V183" s="32" t="inlineStr">
        <is>
          <t xml:space="preserve">Agreed Value</t>
        </is>
      </c>
      <c r="W183" s="30" t="inlineStr">
        <is>
          <t xml:space="preserve">$1,000</t>
        </is>
      </c>
      <c r="X183" s="32" t="inlineStr">
        <is>
          <t xml:space="preserve">$1,000,000 CSL</t>
        </is>
      </c>
      <c r="Y183" s="30"/>
      <c r="Z183" s="30"/>
      <c r="AA183" s="32" t="inlineStr">
        <is>
          <t xml:space="preserve">Surplus Lines</t>
        </is>
      </c>
      <c r="AB183" s="35">
        <v>10046.61</v>
      </c>
      <c r="AC183" s="37">
        <v>0</v>
      </c>
      <c r="AD183" s="38">
        <f>IF(ISNUMBER($AB183),$AB183*(1+N($AC183)),"")</f>
      </c>
      <c r="AE183" s="35">
        <v>350</v>
      </c>
      <c r="AF183" s="35">
        <v>0</v>
      </c>
      <c r="AG183" s="37"/>
      <c r="AH183" s="39">
        <f>IF(ISNUMBER($AD183),($AD183+$AE183+$AF183)*$AG183,"")</f>
      </c>
      <c r="AI183" s="35"/>
      <c r="AJ183" s="38">
        <f>IF(ISNUMBER($AD183),SUM($AD183:$AH183),"")</f>
      </c>
      <c r="AK183" s="40">
        <f>IF(AND(ISNUMBER($AB183),ISNUMBER($AD183)),IF($AB183&gt;0,$AD183/$AB183,""),"")</f>
      </c>
      <c r="AL183" s="32" t="inlineStr">
        <is>
          <t xml:space="preserve">At technical</t>
        </is>
      </c>
      <c r="AM183" s="41">
        <f>IF(ISNUMBER($AD183),Header!$I$3,"")</f>
      </c>
      <c r="AN183" s="39">
        <f>IF(ISNUMBER($AD183),$AO183+$AP183,"")</f>
      </c>
      <c r="AO183" s="39">
        <f>IF(ISNUMBER($AD183),ROUND($AD183*Header!$K$3,2),"")</f>
      </c>
      <c r="AP183" s="39">
        <f>IF(ISNUMBER($AD183),ROUND($AD183*Header!$M$3,2),"")</f>
      </c>
      <c r="AQ183" s="38">
        <f>IF(ISNUMBER($AD183),ROUND($AD183,2)-$AO183-$AP183,"")</f>
      </c>
      <c r="AR183" s="39">
        <f>IF(ISNUMBER($AD183),IF(Header!$D$34="","?",$AD183*Header!$D$34),"")</f>
      </c>
      <c r="AS183" s="39">
        <f>IF(ISNUMBER($AB183),IF(Header!$D$34="","?",$AB183*Header!$D$34),"")</f>
      </c>
      <c r="AT183" s="42">
        <f>IF(AND(ISNUMBER($AB183),$M183&gt;0),$AB183/$M183*100,"")</f>
      </c>
      <c r="AU183" s="42">
        <f>IF(AND(ISNUMBER($AD183),$M183&gt;0),$AD183/$M183*100,"")</f>
      </c>
      <c r="AV183" s="40">
        <f>IF(AND(ISNUMBER($AB183),ISNUMBER($AD183),ABS($AB183)&gt;0),$AD183/$AB183,"")</f>
      </c>
      <c r="AW183" s="39">
        <f>IF(ISNUMBER($AD183),MAX(0,(1-0.55-Header!$O$3)*Header!$Q$3*$AQ183),"")</f>
      </c>
      <c r="AX183" s="43">
        <f>IF($A183="","",IF(TRIM(IF($A183="","Missing certificate ref. ","") &amp; IF($C183="","Missing effective date. ","") &amp; IF($D183="","Missing binding status. ","") &amp; IF($E183="","Missing movement type. ","") &amp; IF($I183="","Missing make. ","") &amp; IF($L183="","Missing vehicle class. ","") &amp; IF($M183="","Missing agreed value. ","") &amp; IF($N183="","Missing policy type. ","") &amp; IF($Q183="","Missing garaging state. ","") &amp; IF($R183="","Missing garaging ZIP. ","") &amp; IF($S183="","Missing cat zone. ","") &amp; IF($V183="","Missing valuation basis. ","") &amp; IF($W183="","Missing PD deductible. ","") &amp; IF($X183="","Missing liability limit. ","") &amp; IF($AB183="","Missing technical premium. ","") &amp; IF($AF183="","Missing surplus lines tax %. ",""))="","PASS","FAIL: "&amp;TRIM(IF($A183="","Missing certificate ref. ","") &amp; IF($C183="","Missing effective date. ","") &amp; IF($D183="","Missing binding status. ","") &amp; IF($E183="","Missing movement type. ","") &amp; IF($I183="","Missing make. ","") &amp; IF($L183="","Missing vehicle class. ","") &amp; IF($M183="","Missing agreed value. ","") &amp; IF($N183="","Missing policy type. ","") &amp; IF($Q183="","Missing garaging state. ","") &amp; IF($R183="","Missing garaging ZIP. ","") &amp; IF($S183="","Missing cat zone. ","") &amp; IF($V183="","Missing valuation basis. ","") &amp; IF($W183="","Missing PD deductible. ","") &amp; IF($X183="","Missing liability limit. ","") &amp; IF($AB183="","Missing technical premium. ","") &amp; IF($AF183="","Missing surplus lines tax %. ",""))))</f>
      </c>
      <c r="AY183" s="44">
        <f>IF($M183="","",IF(ISNUMBER($M183),IF($M183&gt;=Header!$C$18,"YES — refer","No"),""))</f>
      </c>
      <c r="AZ183" s="44">
        <f>IF($AD183="","",IF(ISNUMBER($AD183),IF($AD183&lt;Header!$C$20,"BELOW MIN PREMIUM","OK"),""))</f>
      </c>
      <c r="BA183" s="32" t="inlineStr">
        <is>
          <t xml:space="preserve">Yes</t>
        </is>
      </c>
      <c r="BB183" s="32" t="inlineStr">
        <is>
          <t xml:space="preserve">Yes</t>
        </is>
      </c>
      <c r="BC183" s="30" t="inlineStr">
        <is>
          <t xml:space="preserve">Synthetic demo data</t>
        </is>
      </c>
      <c r="BE183" s="45">
        <f>IF(OR($A183="",$L183="",$H183=""),"",IF(AND(LEFT($L183,2)="06",$H183&gt;1945),"FAIL - pre-war class, year "&amp;$H183,IF(AND(LEFT($L183,2)="07",OR($H183&lt;1946,$H183&gt;1972)),"FAIL - 1946-72 class, year "&amp;$H183,IF(AND(LEFT($L183,2)="08",OR($H183&lt;1973,$H183&gt;1999)),"FAIL - 1973-99 class, year "&amp;$H183,IF(AND(LEFT($L183,2)="09",OR($H183&lt;2000,$H183&gt;2010)),"FAIL - 2000-10 class, year "&amp;$H183,"OK")))))</f>
      </c>
      <c r="BF183" s="45">
        <f>IF($AD183="","",IF(ROUND($AO183+$AP183+$AQ183-$AD183,2)=0,"OK","FAIL - out by "&amp;TEXT($AO183+$AP183+$AQ183-$AD183,"$0.00")))</f>
      </c>
    </row>
    <row r="184" spans="1:58" ht="18.75" customHeight="1" x14ac:dyDescent="0.25">
      <c r="A184" s="46" t="inlineStr">
        <is>
          <t xml:space="preserve">CANON-202511-002415</t>
        </is>
      </c>
      <c r="B184" s="46" t="inlineStr">
        <is>
          <t xml:space="preserve">Wilhelmina Vandermeer</t>
        </is>
      </c>
      <c r="C184" s="47">
        <v>45991</v>
      </c>
      <c r="D184" s="48" t="inlineStr">
        <is>
          <t xml:space="preserve">Bound - within authority</t>
        </is>
      </c>
      <c r="E184" s="48" t="inlineStr">
        <is>
          <t xml:space="preserve">New business</t>
        </is>
      </c>
      <c r="F184" s="46" t="inlineStr">
        <is>
          <t xml:space="preserve">B1234EXOTIC26</t>
        </is>
      </c>
      <c r="G184" s="33">
        <f>IF($A184="","",IF($C184="","",YEAR($C184)))</f>
      </c>
      <c r="H184" s="49">
        <v>1980</v>
      </c>
      <c r="I184" s="46" t="inlineStr">
        <is>
          <t xml:space="preserve">BMW</t>
        </is>
      </c>
      <c r="J184" s="46" t="inlineStr">
        <is>
          <t xml:space="preserve">M8 Competition</t>
        </is>
      </c>
      <c r="K184" s="46" t="inlineStr">
        <is>
          <t xml:space="preserve">RF1939U2F2N014Y2M</t>
        </is>
      </c>
      <c r="L184" s="48" t="inlineStr">
        <is>
          <t xml:space="preserve">02 - Sports / GT</t>
        </is>
      </c>
      <c r="M184" s="50">
        <v>545000</v>
      </c>
      <c r="N184" s="48" t="inlineStr">
        <is>
          <t xml:space="preserve">Personal</t>
        </is>
      </c>
      <c r="O184" s="46" t="inlineStr">
        <is>
          <t xml:space="preserve">Personal - regular use</t>
        </is>
      </c>
      <c r="P184" s="46" t="inlineStr">
        <is>
          <t xml:space="preserve">Under 1,000</t>
        </is>
      </c>
      <c r="Q184" s="46" t="inlineStr">
        <is>
          <t xml:space="preserve">Alaska</t>
        </is>
      </c>
      <c r="R184" s="46" t="inlineStr">
        <is>
          <t xml:space="preserve">99501</t>
        </is>
      </c>
      <c r="S184" s="48" t="inlineStr">
        <is>
          <t xml:space="preserve">Earthquake - high (CA, Cascadia, New Madrid)</t>
        </is>
      </c>
      <c r="T184" s="36">
        <f>IF($A184="","",IF($S184="","",IFERROR(INDEX('[1]natural catastrophe'!$D$6:$D$17,MATCH($S184,'[1]natural catastrophe'!$B$6:$B$17,0)),"?")))</f>
      </c>
      <c r="U184" s="46" t="inlineStr">
        <is>
          <t xml:space="preserve">$5,000</t>
        </is>
      </c>
      <c r="V184" s="48" t="inlineStr">
        <is>
          <t xml:space="preserve">Agreed Value</t>
        </is>
      </c>
      <c r="W184" s="46" t="inlineStr">
        <is>
          <t xml:space="preserve">$1,000</t>
        </is>
      </c>
      <c r="X184" s="48" t="inlineStr">
        <is>
          <t xml:space="preserve">$1,000,000 CSL</t>
        </is>
      </c>
      <c r="Y184" s="46"/>
      <c r="Z184" s="46"/>
      <c r="AA184" s="48" t="inlineStr">
        <is>
          <t xml:space="preserve">Surplus Lines</t>
        </is>
      </c>
      <c r="AB184" s="50">
        <v>7005.57</v>
      </c>
      <c r="AC184" s="51">
        <v>0</v>
      </c>
      <c r="AD184" s="38">
        <f>IF(ISNUMBER($AB184),$AB184*(1+N($AC184)),"")</f>
      </c>
      <c r="AE184" s="50">
        <v>350</v>
      </c>
      <c r="AF184" s="50">
        <v>0</v>
      </c>
      <c r="AG184" s="51"/>
      <c r="AH184" s="39">
        <f>IF(ISNUMBER($AD184),($AD184+$AE184+$AF184)*$AG184,"")</f>
      </c>
      <c r="AI184" s="50"/>
      <c r="AJ184" s="38">
        <f>IF(ISNUMBER($AD184),SUM($AD184:$AH184),"")</f>
      </c>
      <c r="AK184" s="40">
        <f>IF(AND(ISNUMBER($AB184),ISNUMBER($AD184)),IF($AB184&gt;0,$AD184/$AB184,""),"")</f>
      </c>
      <c r="AL184" s="48" t="inlineStr">
        <is>
          <t xml:space="preserve">At technical</t>
        </is>
      </c>
      <c r="AM184" s="41">
        <f>IF(ISNUMBER($AD184),Header!$I$3,"")</f>
      </c>
      <c r="AN184" s="39">
        <f>IF(ISNUMBER($AD184),$AO184+$AP184,"")</f>
      </c>
      <c r="AO184" s="39">
        <f>IF(ISNUMBER($AD184),ROUND($AD184*Header!$K$3,2),"")</f>
      </c>
      <c r="AP184" s="39">
        <f>IF(ISNUMBER($AD184),ROUND($AD184*Header!$M$3,2),"")</f>
      </c>
      <c r="AQ184" s="38">
        <f>IF(ISNUMBER($AD184),ROUND($AD184,2)-$AO184-$AP184,"")</f>
      </c>
      <c r="AR184" s="39">
        <f>IF(ISNUMBER($AD184),IF(Header!$D$34="","?",$AD184*Header!$D$34),"")</f>
      </c>
      <c r="AS184" s="39">
        <f>IF(ISNUMBER($AB184),IF(Header!$D$34="","?",$AB184*Header!$D$34),"")</f>
      </c>
      <c r="AT184" s="42">
        <f>IF(AND(ISNUMBER($AB184),$M184&gt;0),$AB184/$M184*100,"")</f>
      </c>
      <c r="AU184" s="42">
        <f>IF(AND(ISNUMBER($AD184),$M184&gt;0),$AD184/$M184*100,"")</f>
      </c>
      <c r="AV184" s="40">
        <f>IF(AND(ISNUMBER($AB184),ISNUMBER($AD184),ABS($AB184)&gt;0),$AD184/$AB184,"")</f>
      </c>
      <c r="AW184" s="39">
        <f>IF(ISNUMBER($AD184),MAX(0,(1-0.55-Header!$O$3)*Header!$Q$3*$AQ184),"")</f>
      </c>
      <c r="AX184" s="43">
        <f>IF($A184="","",IF(TRIM(IF($A184="","Missing certificate ref. ","") &amp; IF($C184="","Missing effective date. ","") &amp; IF($D184="","Missing binding status. ","") &amp; IF($E184="","Missing movement type. ","") &amp; IF($I184="","Missing make. ","") &amp; IF($L184="","Missing vehicle class. ","") &amp; IF($M184="","Missing agreed value. ","") &amp; IF($N184="","Missing policy type. ","") &amp; IF($Q184="","Missing garaging state. ","") &amp; IF($R184="","Missing garaging ZIP. ","") &amp; IF($S184="","Missing cat zone. ","") &amp; IF($V184="","Missing valuation basis. ","") &amp; IF($W184="","Missing PD deductible. ","") &amp; IF($X184="","Missing liability limit. ","") &amp; IF($AB184="","Missing technical premium. ","") &amp; IF($AF184="","Missing surplus lines tax %. ",""))="","PASS","FAIL: "&amp;TRIM(IF($A184="","Missing certificate ref. ","") &amp; IF($C184="","Missing effective date. ","") &amp; IF($D184="","Missing binding status. ","") &amp; IF($E184="","Missing movement type. ","") &amp; IF($I184="","Missing make. ","") &amp; IF($L184="","Missing vehicle class. ","") &amp; IF($M184="","Missing agreed value. ","") &amp; IF($N184="","Missing policy type. ","") &amp; IF($Q184="","Missing garaging state. ","") &amp; IF($R184="","Missing garaging ZIP. ","") &amp; IF($S184="","Missing cat zone. ","") &amp; IF($V184="","Missing valuation basis. ","") &amp; IF($W184="","Missing PD deductible. ","") &amp; IF($X184="","Missing liability limit. ","") &amp; IF($AB184="","Missing technical premium. ","") &amp; IF($AF184="","Missing surplus lines tax %. ",""))))</f>
      </c>
      <c r="AY184" s="44">
        <f>IF($M184="","",IF(ISNUMBER($M184),IF($M184&gt;=Header!$C$18,"YES — refer","No"),""))</f>
      </c>
      <c r="AZ184" s="44">
        <f>IF($AD184="","",IF(ISNUMBER($AD184),IF($AD184&lt;Header!$C$20,"BELOW MIN PREMIUM","OK"),""))</f>
      </c>
      <c r="BA184" s="48" t="inlineStr">
        <is>
          <t xml:space="preserve">Yes</t>
        </is>
      </c>
      <c r="BB184" s="48" t="inlineStr">
        <is>
          <t xml:space="preserve">Yes</t>
        </is>
      </c>
      <c r="BC184" s="46" t="inlineStr">
        <is>
          <t xml:space="preserve">Synthetic demo data</t>
        </is>
      </c>
      <c r="BE184" s="45">
        <f>IF(OR($A184="",$L184="",$H184=""),"",IF(AND(LEFT($L184,2)="06",$H184&gt;1945),"FAIL - pre-war class, year "&amp;$H184,IF(AND(LEFT($L184,2)="07",OR($H184&lt;1946,$H184&gt;1972)),"FAIL - 1946-72 class, year "&amp;$H184,IF(AND(LEFT($L184,2)="08",OR($H184&lt;1973,$H184&gt;1999)),"FAIL - 1973-99 class, year "&amp;$H184,IF(AND(LEFT($L184,2)="09",OR($H184&lt;2000,$H184&gt;2010)),"FAIL - 2000-10 class, year "&amp;$H184,"OK")))))</f>
      </c>
      <c r="BF184" s="45">
        <f>IF($AD184="","",IF(ROUND($AO184+$AP184+$AQ184-$AD184,2)=0,"OK","FAIL - out by "&amp;TEXT($AO184+$AP184+$AQ184-$AD184,"$0.00")))</f>
      </c>
    </row>
    <row r="185" spans="1:58" ht="18.75" customHeight="1" x14ac:dyDescent="0.25">
      <c r="A185" s="30" t="inlineStr">
        <is>
          <t xml:space="preserve">CANON-202511-002418</t>
        </is>
      </c>
      <c r="B185" s="30" t="inlineStr">
        <is>
          <t xml:space="preserve">Wilhelmina Underwood</t>
        </is>
      </c>
      <c r="C185" s="31">
        <v>45984</v>
      </c>
      <c r="D185" s="32" t="inlineStr">
        <is>
          <t xml:space="preserve">Bound - within authority</t>
        </is>
      </c>
      <c r="E185" s="32" t="inlineStr">
        <is>
          <t xml:space="preserve">New business</t>
        </is>
      </c>
      <c r="F185" s="30" t="inlineStr">
        <is>
          <t xml:space="preserve">B1234EXOTIC26</t>
        </is>
      </c>
      <c r="G185" s="33">
        <f>IF($A185="","",IF($C185="","",YEAR($C185)))</f>
      </c>
      <c r="H185" s="34">
        <v>1982</v>
      </c>
      <c r="I185" s="30" t="inlineStr">
        <is>
          <t xml:space="preserve">McLaren</t>
        </is>
      </c>
      <c r="J185" s="30" t="inlineStr">
        <is>
          <t xml:space="preserve">750S</t>
        </is>
      </c>
      <c r="K185" s="30" t="inlineStr">
        <is>
          <t xml:space="preserve">5EGEG8EBGYWGLNBWK</t>
        </is>
      </c>
      <c r="L185" s="32" t="inlineStr">
        <is>
          <t xml:space="preserve">03 - Supercar</t>
        </is>
      </c>
      <c r="M185" s="35">
        <v>1135000</v>
      </c>
      <c r="N185" s="32" t="inlineStr">
        <is>
          <t xml:space="preserve">Personal</t>
        </is>
      </c>
      <c r="O185" s="30" t="inlineStr">
        <is>
          <t xml:space="preserve">Personal - regular use</t>
        </is>
      </c>
      <c r="P185" s="30" t="inlineStr">
        <is>
          <t xml:space="preserve">Under 1,000</t>
        </is>
      </c>
      <c r="Q185" s="30" t="inlineStr">
        <is>
          <t xml:space="preserve">Virginia</t>
        </is>
      </c>
      <c r="R185" s="30" t="inlineStr">
        <is>
          <t xml:space="preserve">23219</t>
        </is>
      </c>
      <c r="S185" s="32" t="inlineStr">
        <is>
          <t xml:space="preserve">Tier 3 - Coastal wind (25-100 miles)</t>
        </is>
      </c>
      <c r="T185" s="36">
        <f>IF($A185="","",IF($S185="","",IFERROR(INDEX('[1]natural catastrophe'!$D$6:$D$17,MATCH($S185,'[1]natural catastrophe'!$B$6:$B$17,0)),"?")))</f>
      </c>
      <c r="U185" s="30" t="inlineStr">
        <is>
          <t xml:space="preserve">2% of agreed value, minimum $10,000</t>
        </is>
      </c>
      <c r="V185" s="32" t="inlineStr">
        <is>
          <t xml:space="preserve">Agreed Value</t>
        </is>
      </c>
      <c r="W185" s="30" t="inlineStr">
        <is>
          <t xml:space="preserve">$1,000</t>
        </is>
      </c>
      <c r="X185" s="32" t="inlineStr">
        <is>
          <t xml:space="preserve">$1,000,000 CSL</t>
        </is>
      </c>
      <c r="Y185" s="30"/>
      <c r="Z185" s="30"/>
      <c r="AA185" s="32" t="inlineStr">
        <is>
          <t xml:space="preserve">Surplus Lines</t>
        </is>
      </c>
      <c r="AB185" s="35">
        <v>17168.84</v>
      </c>
      <c r="AC185" s="37">
        <v>0</v>
      </c>
      <c r="AD185" s="38">
        <f>IF(ISNUMBER($AB185),$AB185*(1+N($AC185)),"")</f>
      </c>
      <c r="AE185" s="35">
        <v>350</v>
      </c>
      <c r="AF185" s="35">
        <v>250</v>
      </c>
      <c r="AG185" s="37"/>
      <c r="AH185" s="39">
        <f>IF(ISNUMBER($AD185),($AD185+$AE185+$AF185)*$AG185,"")</f>
      </c>
      <c r="AI185" s="35"/>
      <c r="AJ185" s="38">
        <f>IF(ISNUMBER($AD185),SUM($AD185:$AH185),"")</f>
      </c>
      <c r="AK185" s="40">
        <f>IF(AND(ISNUMBER($AB185),ISNUMBER($AD185)),IF($AB185&gt;0,$AD185/$AB185,""),"")</f>
      </c>
      <c r="AL185" s="32" t="inlineStr">
        <is>
          <t xml:space="preserve">At technical</t>
        </is>
      </c>
      <c r="AM185" s="41">
        <f>IF(ISNUMBER($AD185),Header!$I$3,"")</f>
      </c>
      <c r="AN185" s="39">
        <f>IF(ISNUMBER($AD185),$AO185+$AP185,"")</f>
      </c>
      <c r="AO185" s="39">
        <f>IF(ISNUMBER($AD185),ROUND($AD185*Header!$K$3,2),"")</f>
      </c>
      <c r="AP185" s="39">
        <f>IF(ISNUMBER($AD185),ROUND($AD185*Header!$M$3,2),"")</f>
      </c>
      <c r="AQ185" s="38">
        <f>IF(ISNUMBER($AD185),ROUND($AD185,2)-$AO185-$AP185,"")</f>
      </c>
      <c r="AR185" s="39">
        <f>IF(ISNUMBER($AD185),IF(Header!$D$34="","?",$AD185*Header!$D$34),"")</f>
      </c>
      <c r="AS185" s="39">
        <f>IF(ISNUMBER($AB185),IF(Header!$D$34="","?",$AB185*Header!$D$34),"")</f>
      </c>
      <c r="AT185" s="42">
        <f>IF(AND(ISNUMBER($AB185),$M185&gt;0),$AB185/$M185*100,"")</f>
      </c>
      <c r="AU185" s="42">
        <f>IF(AND(ISNUMBER($AD185),$M185&gt;0),$AD185/$M185*100,"")</f>
      </c>
      <c r="AV185" s="40">
        <f>IF(AND(ISNUMBER($AB185),ISNUMBER($AD185),ABS($AB185)&gt;0),$AD185/$AB185,"")</f>
      </c>
      <c r="AW185" s="39">
        <f>IF(ISNUMBER($AD185),MAX(0,(1-0.55-Header!$O$3)*Header!$Q$3*$AQ185),"")</f>
      </c>
      <c r="AX185" s="43">
        <f>IF($A185="","",IF(TRIM(IF($A185="","Missing certificate ref. ","") &amp; IF($C185="","Missing effective date. ","") &amp; IF($D185="","Missing binding status. ","") &amp; IF($E185="","Missing movement type. ","") &amp; IF($I185="","Missing make. ","") &amp; IF($L185="","Missing vehicle class. ","") &amp; IF($M185="","Missing agreed value. ","") &amp; IF($N185="","Missing policy type. ","") &amp; IF($Q185="","Missing garaging state. ","") &amp; IF($R185="","Missing garaging ZIP. ","") &amp; IF($S185="","Missing cat zone. ","") &amp; IF($V185="","Missing valuation basis. ","") &amp; IF($W185="","Missing PD deductible. ","") &amp; IF($X185="","Missing liability limit. ","") &amp; IF($AB185="","Missing technical premium. ","") &amp; IF($AF185="","Missing surplus lines tax %. ",""))="","PASS","FAIL: "&amp;TRIM(IF($A185="","Missing certificate ref. ","") &amp; IF($C185="","Missing effective date. ","") &amp; IF($D185="","Missing binding status. ","") &amp; IF($E185="","Missing movement type. ","") &amp; IF($I185="","Missing make. ","") &amp; IF($L185="","Missing vehicle class. ","") &amp; IF($M185="","Missing agreed value. ","") &amp; IF($N185="","Missing policy type. ","") &amp; IF($Q185="","Missing garaging state. ","") &amp; IF($R185="","Missing garaging ZIP. ","") &amp; IF($S185="","Missing cat zone. ","") &amp; IF($V185="","Missing valuation basis. ","") &amp; IF($W185="","Missing PD deductible. ","") &amp; IF($X185="","Missing liability limit. ","") &amp; IF($AB185="","Missing technical premium. ","") &amp; IF($AF185="","Missing surplus lines tax %. ",""))))</f>
      </c>
      <c r="AY185" s="44">
        <f>IF($M185="","",IF(ISNUMBER($M185),IF($M185&gt;=Header!$C$18,"YES — refer","No"),""))</f>
      </c>
      <c r="AZ185" s="44">
        <f>IF($AD185="","",IF(ISNUMBER($AD185),IF($AD185&lt;Header!$C$20,"BELOW MIN PREMIUM","OK"),""))</f>
      </c>
      <c r="BA185" s="32" t="inlineStr">
        <is>
          <t xml:space="preserve">Yes</t>
        </is>
      </c>
      <c r="BB185" s="32" t="inlineStr">
        <is>
          <t xml:space="preserve">Yes</t>
        </is>
      </c>
      <c r="BC185" s="30" t="inlineStr">
        <is>
          <t xml:space="preserve">Synthetic demo data</t>
        </is>
      </c>
      <c r="BE185" s="45">
        <f>IF(OR($A185="",$L185="",$H185=""),"",IF(AND(LEFT($L185,2)="06",$H185&gt;1945),"FAIL - pre-war class, year "&amp;$H185,IF(AND(LEFT($L185,2)="07",OR($H185&lt;1946,$H185&gt;1972)),"FAIL - 1946-72 class, year "&amp;$H185,IF(AND(LEFT($L185,2)="08",OR($H185&lt;1973,$H185&gt;1999)),"FAIL - 1973-99 class, year "&amp;$H185,IF(AND(LEFT($L185,2)="09",OR($H185&lt;2000,$H185&gt;2010)),"FAIL - 2000-10 class, year "&amp;$H185,"OK")))))</f>
      </c>
      <c r="BF185" s="45">
        <f>IF($AD185="","",IF(ROUND($AO185+$AP185+$AQ185-$AD185,2)=0,"OK","FAIL - out by "&amp;TEXT($AO185+$AP185+$AQ185-$AD185,"$0.00")))</f>
      </c>
    </row>
    <row r="186" spans="1:58" ht="18.75" customHeight="1" x14ac:dyDescent="0.25">
      <c r="A186" s="46" t="inlineStr">
        <is>
          <t xml:space="preserve">CANON-202511-002421</t>
        </is>
      </c>
      <c r="B186" s="46" t="inlineStr">
        <is>
          <t xml:space="preserve">Thaddeus Larsson</t>
        </is>
      </c>
      <c r="C186" s="47">
        <v>45987</v>
      </c>
      <c r="D186" s="48" t="inlineStr">
        <is>
          <t xml:space="preserve">Bound - within authority</t>
        </is>
      </c>
      <c r="E186" s="48" t="inlineStr">
        <is>
          <t xml:space="preserve">New business</t>
        </is>
      </c>
      <c r="F186" s="46" t="inlineStr">
        <is>
          <t xml:space="preserve">B1234EXOTIC26</t>
        </is>
      </c>
      <c r="G186" s="33">
        <f>IF($A186="","",IF($C186="","",YEAR($C186)))</f>
      </c>
      <c r="H186" s="49">
        <v>2002</v>
      </c>
      <c r="I186" s="46" t="inlineStr">
        <is>
          <t xml:space="preserve">BMW</t>
        </is>
      </c>
      <c r="J186" s="46" t="inlineStr">
        <is>
          <t xml:space="preserve">M8 Competition</t>
        </is>
      </c>
      <c r="K186" s="46" t="inlineStr">
        <is>
          <t xml:space="preserve">117U0AVA22XKMVCUW</t>
        </is>
      </c>
      <c r="L186" s="48" t="inlineStr">
        <is>
          <t xml:space="preserve">02 - Sports / GT</t>
        </is>
      </c>
      <c r="M186" s="50">
        <v>425000</v>
      </c>
      <c r="N186" s="48" t="inlineStr">
        <is>
          <t xml:space="preserve">Personal</t>
        </is>
      </c>
      <c r="O186" s="46" t="inlineStr">
        <is>
          <t xml:space="preserve">Personal - regular use</t>
        </is>
      </c>
      <c r="P186" s="46" t="inlineStr">
        <is>
          <t xml:space="preserve">Under 1,000</t>
        </is>
      </c>
      <c r="Q186" s="46" t="inlineStr">
        <is>
          <t xml:space="preserve">Florida</t>
        </is>
      </c>
      <c r="R186" s="46" t="inlineStr">
        <is>
          <t xml:space="preserve">33139</t>
        </is>
      </c>
      <c r="S186" s="48" t="inlineStr">
        <is>
          <t xml:space="preserve">Tier 2 - Coastal wind (1-25 miles)</t>
        </is>
      </c>
      <c r="T186" s="36">
        <f>IF($A186="","",IF($S186="","",IFERROR(INDEX('[1]natural catastrophe'!$D$6:$D$17,MATCH($S186,'[1]natural catastrophe'!$B$6:$B$17,0)),"?")))</f>
      </c>
      <c r="U186" s="46" t="inlineStr">
        <is>
          <t xml:space="preserve">2% of agreed value, minimum $10,000</t>
        </is>
      </c>
      <c r="V186" s="48" t="inlineStr">
        <is>
          <t xml:space="preserve">Agreed Value</t>
        </is>
      </c>
      <c r="W186" s="46" t="inlineStr">
        <is>
          <t xml:space="preserve">$1,000</t>
        </is>
      </c>
      <c r="X186" s="48" t="inlineStr">
        <is>
          <t xml:space="preserve">$1,000,000 CSL</t>
        </is>
      </c>
      <c r="Y186" s="46"/>
      <c r="Z186" s="46"/>
      <c r="AA186" s="48" t="inlineStr">
        <is>
          <t xml:space="preserve">Surplus Lines</t>
        </is>
      </c>
      <c r="AB186" s="50">
        <v>7851.76</v>
      </c>
      <c r="AC186" s="51">
        <v>0</v>
      </c>
      <c r="AD186" s="38">
        <f>IF(ISNUMBER($AB186),$AB186*(1+N($AC186)),"")</f>
      </c>
      <c r="AE186" s="50">
        <v>350</v>
      </c>
      <c r="AF186" s="50">
        <v>0</v>
      </c>
      <c r="AG186" s="51"/>
      <c r="AH186" s="39">
        <f>IF(ISNUMBER($AD186),($AD186+$AE186+$AF186)*$AG186,"")</f>
      </c>
      <c r="AI186" s="50"/>
      <c r="AJ186" s="38">
        <f>IF(ISNUMBER($AD186),SUM($AD186:$AH186),"")</f>
      </c>
      <c r="AK186" s="40">
        <f>IF(AND(ISNUMBER($AB186),ISNUMBER($AD186)),IF($AB186&gt;0,$AD186/$AB186,""),"")</f>
      </c>
      <c r="AL186" s="48" t="inlineStr">
        <is>
          <t xml:space="preserve">At technical</t>
        </is>
      </c>
      <c r="AM186" s="41">
        <f>IF(ISNUMBER($AD186),Header!$I$3,"")</f>
      </c>
      <c r="AN186" s="39">
        <f>IF(ISNUMBER($AD186),$AO186+$AP186,"")</f>
      </c>
      <c r="AO186" s="39">
        <f>IF(ISNUMBER($AD186),ROUND($AD186*Header!$K$3,2),"")</f>
      </c>
      <c r="AP186" s="39">
        <f>IF(ISNUMBER($AD186),ROUND($AD186*Header!$M$3,2),"")</f>
      </c>
      <c r="AQ186" s="38">
        <f>IF(ISNUMBER($AD186),ROUND($AD186,2)-$AO186-$AP186,"")</f>
      </c>
      <c r="AR186" s="39">
        <f>IF(ISNUMBER($AD186),IF(Header!$D$34="","?",$AD186*Header!$D$34),"")</f>
      </c>
      <c r="AS186" s="39">
        <f>IF(ISNUMBER($AB186),IF(Header!$D$34="","?",$AB186*Header!$D$34),"")</f>
      </c>
      <c r="AT186" s="42">
        <f>IF(AND(ISNUMBER($AB186),$M186&gt;0),$AB186/$M186*100,"")</f>
      </c>
      <c r="AU186" s="42">
        <f>IF(AND(ISNUMBER($AD186),$M186&gt;0),$AD186/$M186*100,"")</f>
      </c>
      <c r="AV186" s="40">
        <f>IF(AND(ISNUMBER($AB186),ISNUMBER($AD186),ABS($AB186)&gt;0),$AD186/$AB186,"")</f>
      </c>
      <c r="AW186" s="39">
        <f>IF(ISNUMBER($AD186),MAX(0,(1-0.55-Header!$O$3)*Header!$Q$3*$AQ186),"")</f>
      </c>
      <c r="AX186" s="43">
        <f>IF($A186="","",IF(TRIM(IF($A186="","Missing certificate ref. ","") &amp; IF($C186="","Missing effective date. ","") &amp; IF($D186="","Missing binding status. ","") &amp; IF($E186="","Missing movement type. ","") &amp; IF($I186="","Missing make. ","") &amp; IF($L186="","Missing vehicle class. ","") &amp; IF($M186="","Missing agreed value. ","") &amp; IF($N186="","Missing policy type. ","") &amp; IF($Q186="","Missing garaging state. ","") &amp; IF($R186="","Missing garaging ZIP. ","") &amp; IF($S186="","Missing cat zone. ","") &amp; IF($V186="","Missing valuation basis. ","") &amp; IF($W186="","Missing PD deductible. ","") &amp; IF($X186="","Missing liability limit. ","") &amp; IF($AB186="","Missing technical premium. ","") &amp; IF($AF186="","Missing surplus lines tax %. ",""))="","PASS","FAIL: "&amp;TRIM(IF($A186="","Missing certificate ref. ","") &amp; IF($C186="","Missing effective date. ","") &amp; IF($D186="","Missing binding status. ","") &amp; IF($E186="","Missing movement type. ","") &amp; IF($I186="","Missing make. ","") &amp; IF($L186="","Missing vehicle class. ","") &amp; IF($M186="","Missing agreed value. ","") &amp; IF($N186="","Missing policy type. ","") &amp; IF($Q186="","Missing garaging state. ","") &amp; IF($R186="","Missing garaging ZIP. ","") &amp; IF($S186="","Missing cat zone. ","") &amp; IF($V186="","Missing valuation basis. ","") &amp; IF($W186="","Missing PD deductible. ","") &amp; IF($X186="","Missing liability limit. ","") &amp; IF($AB186="","Missing technical premium. ","") &amp; IF($AF186="","Missing surplus lines tax %. ",""))))</f>
      </c>
      <c r="AY186" s="44">
        <f>IF($M186="","",IF(ISNUMBER($M186),IF($M186&gt;=Header!$C$18,"YES — refer","No"),""))</f>
      </c>
      <c r="AZ186" s="44">
        <f>IF($AD186="","",IF(ISNUMBER($AD186),IF($AD186&lt;Header!$C$20,"BELOW MIN PREMIUM","OK"),""))</f>
      </c>
      <c r="BA186" s="48" t="inlineStr">
        <is>
          <t xml:space="preserve">Yes</t>
        </is>
      </c>
      <c r="BB186" s="48" t="inlineStr">
        <is>
          <t xml:space="preserve">Yes</t>
        </is>
      </c>
      <c r="BC186" s="46" t="inlineStr">
        <is>
          <t xml:space="preserve">Synthetic demo data</t>
        </is>
      </c>
      <c r="BE186" s="45">
        <f>IF(OR($A186="",$L186="",$H186=""),"",IF(AND(LEFT($L186,2)="06",$H186&gt;1945),"FAIL - pre-war class, year "&amp;$H186,IF(AND(LEFT($L186,2)="07",OR($H186&lt;1946,$H186&gt;1972)),"FAIL - 1946-72 class, year "&amp;$H186,IF(AND(LEFT($L186,2)="08",OR($H186&lt;1973,$H186&gt;1999)),"FAIL - 1973-99 class, year "&amp;$H186,IF(AND(LEFT($L186,2)="09",OR($H186&lt;2000,$H186&gt;2010)),"FAIL - 2000-10 class, year "&amp;$H186,"OK")))))</f>
      </c>
      <c r="BF186" s="45">
        <f>IF($AD186="","",IF(ROUND($AO186+$AP186+$AQ186-$AD186,2)=0,"OK","FAIL - out by "&amp;TEXT($AO186+$AP186+$AQ186-$AD186,"$0.00")))</f>
      </c>
    </row>
    <row r="187" spans="1:58" ht="18.75" customHeight="1" x14ac:dyDescent="0.25">
      <c r="A187" s="30" t="inlineStr">
        <is>
          <t xml:space="preserve">CANON-202511-002422</t>
        </is>
      </c>
      <c r="B187" s="30" t="inlineStr">
        <is>
          <t xml:space="preserve">Everett Vandermeer</t>
        </is>
      </c>
      <c r="C187" s="31">
        <v>45977</v>
      </c>
      <c r="D187" s="32" t="inlineStr">
        <is>
          <t xml:space="preserve">Bound - within authority</t>
        </is>
      </c>
      <c r="E187" s="32" t="inlineStr">
        <is>
          <t xml:space="preserve">New business</t>
        </is>
      </c>
      <c r="F187" s="30" t="inlineStr">
        <is>
          <t xml:space="preserve">B1234EXOTIC26</t>
        </is>
      </c>
      <c r="G187" s="33">
        <f>IF($A187="","",IF($C187="","",YEAR($C187)))</f>
      </c>
      <c r="H187" s="34">
        <v>1979</v>
      </c>
      <c r="I187" s="30" t="inlineStr">
        <is>
          <t xml:space="preserve">Mercedes-Benz</t>
        </is>
      </c>
      <c r="J187" s="30" t="inlineStr">
        <is>
          <t xml:space="preserve">AMG GT</t>
        </is>
      </c>
      <c r="K187" s="30" t="inlineStr">
        <is>
          <t xml:space="preserve">1HNE434VXMJKE6UB8</t>
        </is>
      </c>
      <c r="L187" s="32" t="inlineStr">
        <is>
          <t xml:space="preserve">02 - Sports / GT</t>
        </is>
      </c>
      <c r="M187" s="35">
        <v>635000</v>
      </c>
      <c r="N187" s="32" t="inlineStr">
        <is>
          <t xml:space="preserve">Personal</t>
        </is>
      </c>
      <c r="O187" s="30" t="inlineStr">
        <is>
          <t xml:space="preserve">Personal - regular use</t>
        </is>
      </c>
      <c r="P187" s="30" t="inlineStr">
        <is>
          <t xml:space="preserve">1,000 - 2,500</t>
        </is>
      </c>
      <c r="Q187" s="30" t="inlineStr">
        <is>
          <t xml:space="preserve">Nebraska</t>
        </is>
      </c>
      <c r="R187" s="30" t="inlineStr">
        <is>
          <t xml:space="preserve">68102</t>
        </is>
      </c>
      <c r="S187" s="32" t="inlineStr">
        <is>
          <t xml:space="preserve">Severe convective - hail alley (high)</t>
        </is>
      </c>
      <c r="T187" s="36">
        <f>IF($A187="","",IF($S187="","",IFERROR(INDEX('[1]natural catastrophe'!$D$6:$D$17,MATCH($S187,'[1]natural catastrophe'!$B$6:$B$17,0)),"?")))</f>
      </c>
      <c r="U187" s="30" t="inlineStr">
        <is>
          <t xml:space="preserve">$5,000</t>
        </is>
      </c>
      <c r="V187" s="32" t="inlineStr">
        <is>
          <t xml:space="preserve">Agreed Value</t>
        </is>
      </c>
      <c r="W187" s="30" t="inlineStr">
        <is>
          <t xml:space="preserve">$1,000</t>
        </is>
      </c>
      <c r="X187" s="32" t="inlineStr">
        <is>
          <t xml:space="preserve">$1,000,000 CSL</t>
        </is>
      </c>
      <c r="Y187" s="30"/>
      <c r="Z187" s="30"/>
      <c r="AA187" s="32" t="inlineStr">
        <is>
          <t xml:space="preserve">Surplus Lines</t>
        </is>
      </c>
      <c r="AB187" s="35">
        <v>9308.06</v>
      </c>
      <c r="AC187" s="37">
        <v>0</v>
      </c>
      <c r="AD187" s="38">
        <f>IF(ISNUMBER($AB187),$AB187*(1+N($AC187)),"")</f>
      </c>
      <c r="AE187" s="35">
        <v>350</v>
      </c>
      <c r="AF187" s="35">
        <v>0</v>
      </c>
      <c r="AG187" s="37"/>
      <c r="AH187" s="39">
        <f>IF(ISNUMBER($AD187),($AD187+$AE187+$AF187)*$AG187,"")</f>
      </c>
      <c r="AI187" s="35"/>
      <c r="AJ187" s="38">
        <f>IF(ISNUMBER($AD187),SUM($AD187:$AH187),"")</f>
      </c>
      <c r="AK187" s="40">
        <f>IF(AND(ISNUMBER($AB187),ISNUMBER($AD187)),IF($AB187&gt;0,$AD187/$AB187,""),"")</f>
      </c>
      <c r="AL187" s="32" t="inlineStr">
        <is>
          <t xml:space="preserve">At technical</t>
        </is>
      </c>
      <c r="AM187" s="41">
        <f>IF(ISNUMBER($AD187),Header!$I$3,"")</f>
      </c>
      <c r="AN187" s="39">
        <f>IF(ISNUMBER($AD187),$AO187+$AP187,"")</f>
      </c>
      <c r="AO187" s="39">
        <f>IF(ISNUMBER($AD187),ROUND($AD187*Header!$K$3,2),"")</f>
      </c>
      <c r="AP187" s="39">
        <f>IF(ISNUMBER($AD187),ROUND($AD187*Header!$M$3,2),"")</f>
      </c>
      <c r="AQ187" s="38">
        <f>IF(ISNUMBER($AD187),ROUND($AD187,2)-$AO187-$AP187,"")</f>
      </c>
      <c r="AR187" s="39">
        <f>IF(ISNUMBER($AD187),IF(Header!$D$34="","?",$AD187*Header!$D$34),"")</f>
      </c>
      <c r="AS187" s="39">
        <f>IF(ISNUMBER($AB187),IF(Header!$D$34="","?",$AB187*Header!$D$34),"")</f>
      </c>
      <c r="AT187" s="42">
        <f>IF(AND(ISNUMBER($AB187),$M187&gt;0),$AB187/$M187*100,"")</f>
      </c>
      <c r="AU187" s="42">
        <f>IF(AND(ISNUMBER($AD187),$M187&gt;0),$AD187/$M187*100,"")</f>
      </c>
      <c r="AV187" s="40">
        <f>IF(AND(ISNUMBER($AB187),ISNUMBER($AD187),ABS($AB187)&gt;0),$AD187/$AB187,"")</f>
      </c>
      <c r="AW187" s="39">
        <f>IF(ISNUMBER($AD187),MAX(0,(1-0.55-Header!$O$3)*Header!$Q$3*$AQ187),"")</f>
      </c>
      <c r="AX187" s="43">
        <f>IF($A187="","",IF(TRIM(IF($A187="","Missing certificate ref. ","") &amp; IF($C187="","Missing effective date. ","") &amp; IF($D187="","Missing binding status. ","") &amp; IF($E187="","Missing movement type. ","") &amp; IF($I187="","Missing make. ","") &amp; IF($L187="","Missing vehicle class. ","") &amp; IF($M187="","Missing agreed value. ","") &amp; IF($N187="","Missing policy type. ","") &amp; IF($Q187="","Missing garaging state. ","") &amp; IF($R187="","Missing garaging ZIP. ","") &amp; IF($S187="","Missing cat zone. ","") &amp; IF($V187="","Missing valuation basis. ","") &amp; IF($W187="","Missing PD deductible. ","") &amp; IF($X187="","Missing liability limit. ","") &amp; IF($AB187="","Missing technical premium. ","") &amp; IF($AF187="","Missing surplus lines tax %. ",""))="","PASS","FAIL: "&amp;TRIM(IF($A187="","Missing certificate ref. ","") &amp; IF($C187="","Missing effective date. ","") &amp; IF($D187="","Missing binding status. ","") &amp; IF($E187="","Missing movement type. ","") &amp; IF($I187="","Missing make. ","") &amp; IF($L187="","Missing vehicle class. ","") &amp; IF($M187="","Missing agreed value. ","") &amp; IF($N187="","Missing policy type. ","") &amp; IF($Q187="","Missing garaging state. ","") &amp; IF($R187="","Missing garaging ZIP. ","") &amp; IF($S187="","Missing cat zone. ","") &amp; IF($V187="","Missing valuation basis. ","") &amp; IF($W187="","Missing PD deductible. ","") &amp; IF($X187="","Missing liability limit. ","") &amp; IF($AB187="","Missing technical premium. ","") &amp; IF($AF187="","Missing surplus lines tax %. ",""))))</f>
      </c>
      <c r="AY187" s="44">
        <f>IF($M187="","",IF(ISNUMBER($M187),IF($M187&gt;=Header!$C$18,"YES — refer","No"),""))</f>
      </c>
      <c r="AZ187" s="44">
        <f>IF($AD187="","",IF(ISNUMBER($AD187),IF($AD187&lt;Header!$C$20,"BELOW MIN PREMIUM","OK"),""))</f>
      </c>
      <c r="BA187" s="32" t="inlineStr">
        <is>
          <t xml:space="preserve">Yes</t>
        </is>
      </c>
      <c r="BB187" s="32" t="inlineStr">
        <is>
          <t xml:space="preserve">Yes</t>
        </is>
      </c>
      <c r="BC187" s="30" t="inlineStr">
        <is>
          <t xml:space="preserve">Synthetic demo data</t>
        </is>
      </c>
      <c r="BE187" s="45">
        <f>IF(OR($A187="",$L187="",$H187=""),"",IF(AND(LEFT($L187,2)="06",$H187&gt;1945),"FAIL - pre-war class, year "&amp;$H187,IF(AND(LEFT($L187,2)="07",OR($H187&lt;1946,$H187&gt;1972)),"FAIL - 1946-72 class, year "&amp;$H187,IF(AND(LEFT($L187,2)="08",OR($H187&lt;1973,$H187&gt;1999)),"FAIL - 1973-99 class, year "&amp;$H187,IF(AND(LEFT($L187,2)="09",OR($H187&lt;2000,$H187&gt;2010)),"FAIL - 2000-10 class, year "&amp;$H187,"OK")))))</f>
      </c>
      <c r="BF187" s="45">
        <f>IF($AD187="","",IF(ROUND($AO187+$AP187+$AQ187-$AD187,2)=0,"OK","FAIL - out by "&amp;TEXT($AO187+$AP187+$AQ187-$AD187,"$0.00")))</f>
      </c>
    </row>
    <row r="188" spans="1:58" ht="18.75" customHeight="1" x14ac:dyDescent="0.25">
      <c r="A188" s="46" t="inlineStr">
        <is>
          <t xml:space="preserve">CANON-202511-002423</t>
        </is>
      </c>
      <c r="B188" s="46" t="inlineStr">
        <is>
          <t xml:space="preserve">Lorenzo Pennington</t>
        </is>
      </c>
      <c r="C188" s="47">
        <v>45966</v>
      </c>
      <c r="D188" s="48" t="inlineStr">
        <is>
          <t xml:space="preserve">Bound - within authority</t>
        </is>
      </c>
      <c r="E188" s="48" t="inlineStr">
        <is>
          <t xml:space="preserve">New business</t>
        </is>
      </c>
      <c r="F188" s="46" t="inlineStr">
        <is>
          <t xml:space="preserve">B1234EXOTIC26</t>
        </is>
      </c>
      <c r="G188" s="33">
        <f>IF($A188="","",IF($C188="","",YEAR($C188)))</f>
      </c>
      <c r="H188" s="49">
        <v>1973</v>
      </c>
      <c r="I188" s="46" t="inlineStr">
        <is>
          <t xml:space="preserve">Aston Martin</t>
        </is>
      </c>
      <c r="J188" s="46" t="inlineStr">
        <is>
          <t xml:space="preserve">DB12</t>
        </is>
      </c>
      <c r="K188" s="46" t="inlineStr">
        <is>
          <t xml:space="preserve">S10U15K8FTE5H0F4U</t>
        </is>
      </c>
      <c r="L188" s="48" t="inlineStr">
        <is>
          <t xml:space="preserve">02 - Sports / GT</t>
        </is>
      </c>
      <c r="M188" s="50">
        <v>515000</v>
      </c>
      <c r="N188" s="48" t="inlineStr">
        <is>
          <t xml:space="preserve">Personal</t>
        </is>
      </c>
      <c r="O188" s="46" t="inlineStr">
        <is>
          <t xml:space="preserve">Personal - regular use</t>
        </is>
      </c>
      <c r="P188" s="46" t="inlineStr">
        <is>
          <t xml:space="preserve">2,500 - 5,000</t>
        </is>
      </c>
      <c r="Q188" s="46" t="inlineStr">
        <is>
          <t xml:space="preserve">Florida</t>
        </is>
      </c>
      <c r="R188" s="46" t="inlineStr">
        <is>
          <t xml:space="preserve">33139</t>
        </is>
      </c>
      <c r="S188" s="48" t="inlineStr">
        <is>
          <t xml:space="preserve">Tier 2 - Coastal wind (1-25 miles)</t>
        </is>
      </c>
      <c r="T188" s="36">
        <f>IF($A188="","",IF($S188="","",IFERROR(INDEX('[1]natural catastrophe'!$D$6:$D$17,MATCH($S188,'[1]natural catastrophe'!$B$6:$B$17,0)),"?")))</f>
      </c>
      <c r="U188" s="46" t="inlineStr">
        <is>
          <t xml:space="preserve">2% of agreed value, minimum $10,000</t>
        </is>
      </c>
      <c r="V188" s="48" t="inlineStr">
        <is>
          <t xml:space="preserve">Agreed Value</t>
        </is>
      </c>
      <c r="W188" s="46" t="inlineStr">
        <is>
          <t xml:space="preserve">$1,000</t>
        </is>
      </c>
      <c r="X188" s="48" t="inlineStr">
        <is>
          <t xml:space="preserve">$1,000,000 CSL</t>
        </is>
      </c>
      <c r="Y188" s="46"/>
      <c r="Z188" s="46"/>
      <c r="AA188" s="48" t="inlineStr">
        <is>
          <t xml:space="preserve">Surplus Lines</t>
        </is>
      </c>
      <c r="AB188" s="50">
        <v>8245.89</v>
      </c>
      <c r="AC188" s="51">
        <v>0</v>
      </c>
      <c r="AD188" s="38">
        <f>IF(ISNUMBER($AB188),$AB188*(1+N($AC188)),"")</f>
      </c>
      <c r="AE188" s="50">
        <v>350</v>
      </c>
      <c r="AF188" s="50">
        <v>0</v>
      </c>
      <c r="AG188" s="51"/>
      <c r="AH188" s="39">
        <f>IF(ISNUMBER($AD188),($AD188+$AE188+$AF188)*$AG188,"")</f>
      </c>
      <c r="AI188" s="50"/>
      <c r="AJ188" s="38">
        <f>IF(ISNUMBER($AD188),SUM($AD188:$AH188),"")</f>
      </c>
      <c r="AK188" s="40">
        <f>IF(AND(ISNUMBER($AB188),ISNUMBER($AD188)),IF($AB188&gt;0,$AD188/$AB188,""),"")</f>
      </c>
      <c r="AL188" s="48" t="inlineStr">
        <is>
          <t xml:space="preserve">At technical</t>
        </is>
      </c>
      <c r="AM188" s="41">
        <f>IF(ISNUMBER($AD188),Header!$I$3,"")</f>
      </c>
      <c r="AN188" s="39">
        <f>IF(ISNUMBER($AD188),$AO188+$AP188,"")</f>
      </c>
      <c r="AO188" s="39">
        <f>IF(ISNUMBER($AD188),ROUND($AD188*Header!$K$3,2),"")</f>
      </c>
      <c r="AP188" s="39">
        <f>IF(ISNUMBER($AD188),ROUND($AD188*Header!$M$3,2),"")</f>
      </c>
      <c r="AQ188" s="38">
        <f>IF(ISNUMBER($AD188),ROUND($AD188,2)-$AO188-$AP188,"")</f>
      </c>
      <c r="AR188" s="39">
        <f>IF(ISNUMBER($AD188),IF(Header!$D$34="","?",$AD188*Header!$D$34),"")</f>
      </c>
      <c r="AS188" s="39">
        <f>IF(ISNUMBER($AB188),IF(Header!$D$34="","?",$AB188*Header!$D$34),"")</f>
      </c>
      <c r="AT188" s="42">
        <f>IF(AND(ISNUMBER($AB188),$M188&gt;0),$AB188/$M188*100,"")</f>
      </c>
      <c r="AU188" s="42">
        <f>IF(AND(ISNUMBER($AD188),$M188&gt;0),$AD188/$M188*100,"")</f>
      </c>
      <c r="AV188" s="40">
        <f>IF(AND(ISNUMBER($AB188),ISNUMBER($AD188),ABS($AB188)&gt;0),$AD188/$AB188,"")</f>
      </c>
      <c r="AW188" s="39">
        <f>IF(ISNUMBER($AD188),MAX(0,(1-0.55-Header!$O$3)*Header!$Q$3*$AQ188),"")</f>
      </c>
      <c r="AX188" s="43">
        <f>IF($A188="","",IF(TRIM(IF($A188="","Missing certificate ref. ","") &amp; IF($C188="","Missing effective date. ","") &amp; IF($D188="","Missing binding status. ","") &amp; IF($E188="","Missing movement type. ","") &amp; IF($I188="","Missing make. ","") &amp; IF($L188="","Missing vehicle class. ","") &amp; IF($M188="","Missing agreed value. ","") &amp; IF($N188="","Missing policy type. ","") &amp; IF($Q188="","Missing garaging state. ","") &amp; IF($R188="","Missing garaging ZIP. ","") &amp; IF($S188="","Missing cat zone. ","") &amp; IF($V188="","Missing valuation basis. ","") &amp; IF($W188="","Missing PD deductible. ","") &amp; IF($X188="","Missing liability limit. ","") &amp; IF($AB188="","Missing technical premium. ","") &amp; IF($AF188="","Missing surplus lines tax %. ",""))="","PASS","FAIL: "&amp;TRIM(IF($A188="","Missing certificate ref. ","") &amp; IF($C188="","Missing effective date. ","") &amp; IF($D188="","Missing binding status. ","") &amp; IF($E188="","Missing movement type. ","") &amp; IF($I188="","Missing make. ","") &amp; IF($L188="","Missing vehicle class. ","") &amp; IF($M188="","Missing agreed value. ","") &amp; IF($N188="","Missing policy type. ","") &amp; IF($Q188="","Missing garaging state. ","") &amp; IF($R188="","Missing garaging ZIP. ","") &amp; IF($S188="","Missing cat zone. ","") &amp; IF($V188="","Missing valuation basis. ","") &amp; IF($W188="","Missing PD deductible. ","") &amp; IF($X188="","Missing liability limit. ","") &amp; IF($AB188="","Missing technical premium. ","") &amp; IF($AF188="","Missing surplus lines tax %. ",""))))</f>
      </c>
      <c r="AY188" s="44">
        <f>IF($M188="","",IF(ISNUMBER($M188),IF($M188&gt;=Header!$C$18,"YES — refer","No"),""))</f>
      </c>
      <c r="AZ188" s="44">
        <f>IF($AD188="","",IF(ISNUMBER($AD188),IF($AD188&lt;Header!$C$20,"BELOW MIN PREMIUM","OK"),""))</f>
      </c>
      <c r="BA188" s="48" t="inlineStr">
        <is>
          <t xml:space="preserve">Yes</t>
        </is>
      </c>
      <c r="BB188" s="48" t="inlineStr">
        <is>
          <t xml:space="preserve">Yes</t>
        </is>
      </c>
      <c r="BC188" s="46" t="inlineStr">
        <is>
          <t xml:space="preserve">Synthetic demo data</t>
        </is>
      </c>
      <c r="BE188" s="45">
        <f>IF(OR($A188="",$L188="",$H188=""),"",IF(AND(LEFT($L188,2)="06",$H188&gt;1945),"FAIL - pre-war class, year "&amp;$H188,IF(AND(LEFT($L188,2)="07",OR($H188&lt;1946,$H188&gt;1972)),"FAIL - 1946-72 class, year "&amp;$H188,IF(AND(LEFT($L188,2)="08",OR($H188&lt;1973,$H188&gt;1999)),"FAIL - 1973-99 class, year "&amp;$H188,IF(AND(LEFT($L188,2)="09",OR($H188&lt;2000,$H188&gt;2010)),"FAIL - 2000-10 class, year "&amp;$H188,"OK")))))</f>
      </c>
      <c r="BF188" s="45">
        <f>IF($AD188="","",IF(ROUND($AO188+$AP188+$AQ188-$AD188,2)=0,"OK","FAIL - out by "&amp;TEXT($AO188+$AP188+$AQ188-$AD188,"$0.00")))</f>
      </c>
    </row>
    <row r="189" spans="1:58" ht="18.75" customHeight="1" x14ac:dyDescent="0.25">
      <c r="A189" s="30" t="inlineStr">
        <is>
          <t xml:space="preserve">CANON-202511-002424</t>
        </is>
      </c>
      <c r="B189" s="30" t="inlineStr">
        <is>
          <t xml:space="preserve">Beatrix Vandermeer</t>
        </is>
      </c>
      <c r="C189" s="31">
        <v>45971</v>
      </c>
      <c r="D189" s="32" t="inlineStr">
        <is>
          <t xml:space="preserve">Bound - within authority</t>
        </is>
      </c>
      <c r="E189" s="32" t="inlineStr">
        <is>
          <t xml:space="preserve">New business</t>
        </is>
      </c>
      <c r="F189" s="30" t="inlineStr">
        <is>
          <t xml:space="preserve">B1234EXOTIC26</t>
        </is>
      </c>
      <c r="G189" s="33">
        <f>IF($A189="","",IF($C189="","",YEAR($C189)))</f>
      </c>
      <c r="H189" s="34">
        <v>1970</v>
      </c>
      <c r="I189" s="30" t="inlineStr">
        <is>
          <t xml:space="preserve">Bentley</t>
        </is>
      </c>
      <c r="J189" s="30" t="inlineStr">
        <is>
          <t xml:space="preserve">Continental GT</t>
        </is>
      </c>
      <c r="K189" s="30" t="inlineStr">
        <is>
          <t xml:space="preserve">N67EJLG6MW5SBKBED</t>
        </is>
      </c>
      <c r="L189" s="32" t="inlineStr">
        <is>
          <t xml:space="preserve">02 - Sports / GT</t>
        </is>
      </c>
      <c r="M189" s="35">
        <v>380000</v>
      </c>
      <c r="N189" s="32" t="inlineStr">
        <is>
          <t xml:space="preserve">Personal</t>
        </is>
      </c>
      <c r="O189" s="30" t="inlineStr">
        <is>
          <t xml:space="preserve">Personal - regular use</t>
        </is>
      </c>
      <c r="P189" s="30" t="inlineStr">
        <is>
          <t xml:space="preserve">Under 1,000</t>
        </is>
      </c>
      <c r="Q189" s="30" t="inlineStr">
        <is>
          <t xml:space="preserve">Florida</t>
        </is>
      </c>
      <c r="R189" s="30" t="inlineStr">
        <is>
          <t xml:space="preserve">33139</t>
        </is>
      </c>
      <c r="S189" s="32" t="inlineStr">
        <is>
          <t xml:space="preserve">Tier 2 - Coastal wind (1-25 miles)</t>
        </is>
      </c>
      <c r="T189" s="36">
        <f>IF($A189="","",IF($S189="","",IFERROR(INDEX('[1]natural catastrophe'!$D$6:$D$17,MATCH($S189,'[1]natural catastrophe'!$B$6:$B$17,0)),"?")))</f>
      </c>
      <c r="U189" s="30" t="inlineStr">
        <is>
          <t xml:space="preserve">2% of agreed value, minimum $10,000</t>
        </is>
      </c>
      <c r="V189" s="32" t="inlineStr">
        <is>
          <t xml:space="preserve">Agreed Value</t>
        </is>
      </c>
      <c r="W189" s="30" t="inlineStr">
        <is>
          <t xml:space="preserve">$1,000</t>
        </is>
      </c>
      <c r="X189" s="32" t="inlineStr">
        <is>
          <t xml:space="preserve">$1,000,000 CSL</t>
        </is>
      </c>
      <c r="Y189" s="30"/>
      <c r="Z189" s="30"/>
      <c r="AA189" s="32" t="inlineStr">
        <is>
          <t xml:space="preserve">Surplus Lines</t>
        </is>
      </c>
      <c r="AB189" s="35">
        <v>7020.4</v>
      </c>
      <c r="AC189" s="37">
        <v>0</v>
      </c>
      <c r="AD189" s="38">
        <f>IF(ISNUMBER($AB189),$AB189*(1+N($AC189)),"")</f>
      </c>
      <c r="AE189" s="35">
        <v>350</v>
      </c>
      <c r="AF189" s="35">
        <v>0</v>
      </c>
      <c r="AG189" s="37"/>
      <c r="AH189" s="39">
        <f>IF(ISNUMBER($AD189),($AD189+$AE189+$AF189)*$AG189,"")</f>
      </c>
      <c r="AI189" s="35"/>
      <c r="AJ189" s="38">
        <f>IF(ISNUMBER($AD189),SUM($AD189:$AH189),"")</f>
      </c>
      <c r="AK189" s="40">
        <f>IF(AND(ISNUMBER($AB189),ISNUMBER($AD189)),IF($AB189&gt;0,$AD189/$AB189,""),"")</f>
      </c>
      <c r="AL189" s="32" t="inlineStr">
        <is>
          <t xml:space="preserve">At technical</t>
        </is>
      </c>
      <c r="AM189" s="41">
        <f>IF(ISNUMBER($AD189),Header!$I$3,"")</f>
      </c>
      <c r="AN189" s="39">
        <f>IF(ISNUMBER($AD189),$AO189+$AP189,"")</f>
      </c>
      <c r="AO189" s="39">
        <f>IF(ISNUMBER($AD189),ROUND($AD189*Header!$K$3,2),"")</f>
      </c>
      <c r="AP189" s="39">
        <f>IF(ISNUMBER($AD189),ROUND($AD189*Header!$M$3,2),"")</f>
      </c>
      <c r="AQ189" s="38">
        <f>IF(ISNUMBER($AD189),ROUND($AD189,2)-$AO189-$AP189,"")</f>
      </c>
      <c r="AR189" s="39">
        <f>IF(ISNUMBER($AD189),IF(Header!$D$34="","?",$AD189*Header!$D$34),"")</f>
      </c>
      <c r="AS189" s="39">
        <f>IF(ISNUMBER($AB189),IF(Header!$D$34="","?",$AB189*Header!$D$34),"")</f>
      </c>
      <c r="AT189" s="42">
        <f>IF(AND(ISNUMBER($AB189),$M189&gt;0),$AB189/$M189*100,"")</f>
      </c>
      <c r="AU189" s="42">
        <f>IF(AND(ISNUMBER($AD189),$M189&gt;0),$AD189/$M189*100,"")</f>
      </c>
      <c r="AV189" s="40">
        <f>IF(AND(ISNUMBER($AB189),ISNUMBER($AD189),ABS($AB189)&gt;0),$AD189/$AB189,"")</f>
      </c>
      <c r="AW189" s="39">
        <f>IF(ISNUMBER($AD189),MAX(0,(1-0.55-Header!$O$3)*Header!$Q$3*$AQ189),"")</f>
      </c>
      <c r="AX189" s="43">
        <f>IF($A189="","",IF(TRIM(IF($A189="","Missing certificate ref. ","") &amp; IF($C189="","Missing effective date. ","") &amp; IF($D189="","Missing binding status. ","") &amp; IF($E189="","Missing movement type. ","") &amp; IF($I189="","Missing make. ","") &amp; IF($L189="","Missing vehicle class. ","") &amp; IF($M189="","Missing agreed value. ","") &amp; IF($N189="","Missing policy type. ","") &amp; IF($Q189="","Missing garaging state. ","") &amp; IF($R189="","Missing garaging ZIP. ","") &amp; IF($S189="","Missing cat zone. ","") &amp; IF($V189="","Missing valuation basis. ","") &amp; IF($W189="","Missing PD deductible. ","") &amp; IF($X189="","Missing liability limit. ","") &amp; IF($AB189="","Missing technical premium. ","") &amp; IF($AF189="","Missing surplus lines tax %. ",""))="","PASS","FAIL: "&amp;TRIM(IF($A189="","Missing certificate ref. ","") &amp; IF($C189="","Missing effective date. ","") &amp; IF($D189="","Missing binding status. ","") &amp; IF($E189="","Missing movement type. ","") &amp; IF($I189="","Missing make. ","") &amp; IF($L189="","Missing vehicle class. ","") &amp; IF($M189="","Missing agreed value. ","") &amp; IF($N189="","Missing policy type. ","") &amp; IF($Q189="","Missing garaging state. ","") &amp; IF($R189="","Missing garaging ZIP. ","") &amp; IF($S189="","Missing cat zone. ","") &amp; IF($V189="","Missing valuation basis. ","") &amp; IF($W189="","Missing PD deductible. ","") &amp; IF($X189="","Missing liability limit. ","") &amp; IF($AB189="","Missing technical premium. ","") &amp; IF($AF189="","Missing surplus lines tax %. ",""))))</f>
      </c>
      <c r="AY189" s="44">
        <f>IF($M189="","",IF(ISNUMBER($M189),IF($M189&gt;=Header!$C$18,"YES — refer","No"),""))</f>
      </c>
      <c r="AZ189" s="44">
        <f>IF($AD189="","",IF(ISNUMBER($AD189),IF($AD189&lt;Header!$C$20,"BELOW MIN PREMIUM","OK"),""))</f>
      </c>
      <c r="BA189" s="32" t="inlineStr">
        <is>
          <t xml:space="preserve">Yes</t>
        </is>
      </c>
      <c r="BB189" s="32" t="inlineStr">
        <is>
          <t xml:space="preserve">Yes</t>
        </is>
      </c>
      <c r="BC189" s="30" t="inlineStr">
        <is>
          <t xml:space="preserve">Synthetic demo data</t>
        </is>
      </c>
      <c r="BE189" s="45">
        <f>IF(OR($A189="",$L189="",$H189=""),"",IF(AND(LEFT($L189,2)="06",$H189&gt;1945),"FAIL - pre-war class, year "&amp;$H189,IF(AND(LEFT($L189,2)="07",OR($H189&lt;1946,$H189&gt;1972)),"FAIL - 1946-72 class, year "&amp;$H189,IF(AND(LEFT($L189,2)="08",OR($H189&lt;1973,$H189&gt;1999)),"FAIL - 1973-99 class, year "&amp;$H189,IF(AND(LEFT($L189,2)="09",OR($H189&lt;2000,$H189&gt;2010)),"FAIL - 2000-10 class, year "&amp;$H189,"OK")))))</f>
      </c>
      <c r="BF189" s="45">
        <f>IF($AD189="","",IF(ROUND($AO189+$AP189+$AQ189-$AD189,2)=0,"OK","FAIL - out by "&amp;TEXT($AO189+$AP189+$AQ189-$AD189,"$0.00")))</f>
      </c>
    </row>
    <row r="190" spans="1:58" ht="18.75" customHeight="1" x14ac:dyDescent="0.25">
      <c r="A190" s="46" t="inlineStr">
        <is>
          <t xml:space="preserve">CANON-202511-002425</t>
        </is>
      </c>
      <c r="B190" s="46" t="inlineStr">
        <is>
          <t xml:space="preserve">Anouk Fairweather</t>
        </is>
      </c>
      <c r="C190" s="47">
        <v>45977</v>
      </c>
      <c r="D190" s="48" t="inlineStr">
        <is>
          <t xml:space="preserve">Bound - within authority</t>
        </is>
      </c>
      <c r="E190" s="48" t="inlineStr">
        <is>
          <t xml:space="preserve">New business</t>
        </is>
      </c>
      <c r="F190" s="46" t="inlineStr">
        <is>
          <t xml:space="preserve">B1234EXOTIC26</t>
        </is>
      </c>
      <c r="G190" s="33">
        <f>IF($A190="","",IF($C190="","",YEAR($C190)))</f>
      </c>
      <c r="H190" s="49">
        <v>1963</v>
      </c>
      <c r="I190" s="46" t="inlineStr">
        <is>
          <t xml:space="preserve">BMW</t>
        </is>
      </c>
      <c r="J190" s="46" t="inlineStr">
        <is>
          <t xml:space="preserve">M8 Competition</t>
        </is>
      </c>
      <c r="K190" s="46" t="inlineStr">
        <is>
          <t xml:space="preserve">4MSKEK5KCNP7BVMUB</t>
        </is>
      </c>
      <c r="L190" s="48" t="inlineStr">
        <is>
          <t xml:space="preserve">02 - Sports / GT</t>
        </is>
      </c>
      <c r="M190" s="50">
        <v>710000</v>
      </c>
      <c r="N190" s="48" t="inlineStr">
        <is>
          <t xml:space="preserve">Personal</t>
        </is>
      </c>
      <c r="O190" s="46" t="inlineStr">
        <is>
          <t xml:space="preserve">Personal - regular use</t>
        </is>
      </c>
      <c r="P190" s="46" t="inlineStr">
        <is>
          <t xml:space="preserve">2,500 - 5,000</t>
        </is>
      </c>
      <c r="Q190" s="46" t="inlineStr">
        <is>
          <t xml:space="preserve">Indiana</t>
        </is>
      </c>
      <c r="R190" s="46" t="inlineStr">
        <is>
          <t xml:space="preserve">46204</t>
        </is>
      </c>
      <c r="S190" s="48" t="inlineStr">
        <is>
          <t xml:space="preserve">Severe convective - hail / tornado (moderate)</t>
        </is>
      </c>
      <c r="T190" s="36">
        <f>IF($A190="","",IF($S190="","",IFERROR(INDEX('[1]natural catastrophe'!$D$6:$D$17,MATCH($S190,'[1]natural catastrophe'!$B$6:$B$17,0)),"?")))</f>
      </c>
      <c r="U190" s="46" t="inlineStr">
        <is>
          <t xml:space="preserve">$5,000</t>
        </is>
      </c>
      <c r="V190" s="48" t="inlineStr">
        <is>
          <t xml:space="preserve">Agreed Value</t>
        </is>
      </c>
      <c r="W190" s="46" t="inlineStr">
        <is>
          <t xml:space="preserve">$1,000</t>
        </is>
      </c>
      <c r="X190" s="48" t="inlineStr">
        <is>
          <t xml:space="preserve">$1,000,000 CSL</t>
        </is>
      </c>
      <c r="Y190" s="46"/>
      <c r="Z190" s="46"/>
      <c r="AA190" s="48" t="inlineStr">
        <is>
          <t xml:space="preserve">Surplus Lines</t>
        </is>
      </c>
      <c r="AB190" s="50">
        <v>9847.03</v>
      </c>
      <c r="AC190" s="51">
        <v>0</v>
      </c>
      <c r="AD190" s="38">
        <f>IF(ISNUMBER($AB190),$AB190*(1+N($AC190)),"")</f>
      </c>
      <c r="AE190" s="50">
        <v>350</v>
      </c>
      <c r="AF190" s="50">
        <v>0</v>
      </c>
      <c r="AG190" s="51"/>
      <c r="AH190" s="39">
        <f>IF(ISNUMBER($AD190),($AD190+$AE190+$AF190)*$AG190,"")</f>
      </c>
      <c r="AI190" s="50"/>
      <c r="AJ190" s="38">
        <f>IF(ISNUMBER($AD190),SUM($AD190:$AH190),"")</f>
      </c>
      <c r="AK190" s="40">
        <f>IF(AND(ISNUMBER($AB190),ISNUMBER($AD190)),IF($AB190&gt;0,$AD190/$AB190,""),"")</f>
      </c>
      <c r="AL190" s="48" t="inlineStr">
        <is>
          <t xml:space="preserve">At technical</t>
        </is>
      </c>
      <c r="AM190" s="41">
        <f>IF(ISNUMBER($AD190),Header!$I$3,"")</f>
      </c>
      <c r="AN190" s="39">
        <f>IF(ISNUMBER($AD190),$AO190+$AP190,"")</f>
      </c>
      <c r="AO190" s="39">
        <f>IF(ISNUMBER($AD190),ROUND($AD190*Header!$K$3,2),"")</f>
      </c>
      <c r="AP190" s="39">
        <f>IF(ISNUMBER($AD190),ROUND($AD190*Header!$M$3,2),"")</f>
      </c>
      <c r="AQ190" s="38">
        <f>IF(ISNUMBER($AD190),ROUND($AD190,2)-$AO190-$AP190,"")</f>
      </c>
      <c r="AR190" s="39">
        <f>IF(ISNUMBER($AD190),IF(Header!$D$34="","?",$AD190*Header!$D$34),"")</f>
      </c>
      <c r="AS190" s="39">
        <f>IF(ISNUMBER($AB190),IF(Header!$D$34="","?",$AB190*Header!$D$34),"")</f>
      </c>
      <c r="AT190" s="42">
        <f>IF(AND(ISNUMBER($AB190),$M190&gt;0),$AB190/$M190*100,"")</f>
      </c>
      <c r="AU190" s="42">
        <f>IF(AND(ISNUMBER($AD190),$M190&gt;0),$AD190/$M190*100,"")</f>
      </c>
      <c r="AV190" s="40">
        <f>IF(AND(ISNUMBER($AB190),ISNUMBER($AD190),ABS($AB190)&gt;0),$AD190/$AB190,"")</f>
      </c>
      <c r="AW190" s="39">
        <f>IF(ISNUMBER($AD190),MAX(0,(1-0.55-Header!$O$3)*Header!$Q$3*$AQ190),"")</f>
      </c>
      <c r="AX190" s="43">
        <f>IF($A190="","",IF(TRIM(IF($A190="","Missing certificate ref. ","") &amp; IF($C190="","Missing effective date. ","") &amp; IF($D190="","Missing binding status. ","") &amp; IF($E190="","Missing movement type. ","") &amp; IF($I190="","Missing make. ","") &amp; IF($L190="","Missing vehicle class. ","") &amp; IF($M190="","Missing agreed value. ","") &amp; IF($N190="","Missing policy type. ","") &amp; IF($Q190="","Missing garaging state. ","") &amp; IF($R190="","Missing garaging ZIP. ","") &amp; IF($S190="","Missing cat zone. ","") &amp; IF($V190="","Missing valuation basis. ","") &amp; IF($W190="","Missing PD deductible. ","") &amp; IF($X190="","Missing liability limit. ","") &amp; IF($AB190="","Missing technical premium. ","") &amp; IF($AF190="","Missing surplus lines tax %. ",""))="","PASS","FAIL: "&amp;TRIM(IF($A190="","Missing certificate ref. ","") &amp; IF($C190="","Missing effective date. ","") &amp; IF($D190="","Missing binding status. ","") &amp; IF($E190="","Missing movement type. ","") &amp; IF($I190="","Missing make. ","") &amp; IF($L190="","Missing vehicle class. ","") &amp; IF($M190="","Missing agreed value. ","") &amp; IF($N190="","Missing policy type. ","") &amp; IF($Q190="","Missing garaging state. ","") &amp; IF($R190="","Missing garaging ZIP. ","") &amp; IF($S190="","Missing cat zone. ","") &amp; IF($V190="","Missing valuation basis. ","") &amp; IF($W190="","Missing PD deductible. ","") &amp; IF($X190="","Missing liability limit. ","") &amp; IF($AB190="","Missing technical premium. ","") &amp; IF($AF190="","Missing surplus lines tax %. ",""))))</f>
      </c>
      <c r="AY190" s="44">
        <f>IF($M190="","",IF(ISNUMBER($M190),IF($M190&gt;=Header!$C$18,"YES — refer","No"),""))</f>
      </c>
      <c r="AZ190" s="44">
        <f>IF($AD190="","",IF(ISNUMBER($AD190),IF($AD190&lt;Header!$C$20,"BELOW MIN PREMIUM","OK"),""))</f>
      </c>
      <c r="BA190" s="48" t="inlineStr">
        <is>
          <t xml:space="preserve">Yes</t>
        </is>
      </c>
      <c r="BB190" s="48" t="inlineStr">
        <is>
          <t xml:space="preserve">Yes</t>
        </is>
      </c>
      <c r="BC190" s="46" t="inlineStr">
        <is>
          <t xml:space="preserve">Synthetic demo data</t>
        </is>
      </c>
      <c r="BE190" s="45">
        <f>IF(OR($A190="",$L190="",$H190=""),"",IF(AND(LEFT($L190,2)="06",$H190&gt;1945),"FAIL - pre-war class, year "&amp;$H190,IF(AND(LEFT($L190,2)="07",OR($H190&lt;1946,$H190&gt;1972)),"FAIL - 1946-72 class, year "&amp;$H190,IF(AND(LEFT($L190,2)="08",OR($H190&lt;1973,$H190&gt;1999)),"FAIL - 1973-99 class, year "&amp;$H190,IF(AND(LEFT($L190,2)="09",OR($H190&lt;2000,$H190&gt;2010)),"FAIL - 2000-10 class, year "&amp;$H190,"OK")))))</f>
      </c>
      <c r="BF190" s="45">
        <f>IF($AD190="","",IF(ROUND($AO190+$AP190+$AQ190-$AD190,2)=0,"OK","FAIL - out by "&amp;TEXT($AO190+$AP190+$AQ190-$AD190,"$0.00")))</f>
      </c>
    </row>
    <row r="191" spans="1:58" ht="18.75" customHeight="1" x14ac:dyDescent="0.25">
      <c r="A191" s="30" t="inlineStr">
        <is>
          <t xml:space="preserve">CANON-202511-002426</t>
        </is>
      </c>
      <c r="B191" s="30" t="inlineStr">
        <is>
          <t xml:space="preserve">Marisol Okonkwo</t>
        </is>
      </c>
      <c r="C191" s="31">
        <v>45964</v>
      </c>
      <c r="D191" s="32" t="inlineStr">
        <is>
          <t xml:space="preserve">Bound - within authority</t>
        </is>
      </c>
      <c r="E191" s="32" t="inlineStr">
        <is>
          <t xml:space="preserve">New business</t>
        </is>
      </c>
      <c r="F191" s="30" t="inlineStr">
        <is>
          <t xml:space="preserve">B1234EXOTIC26</t>
        </is>
      </c>
      <c r="G191" s="33">
        <f>IF($A191="","",IF($C191="","",YEAR($C191)))</f>
      </c>
      <c r="H191" s="34">
        <v>1965</v>
      </c>
      <c r="I191" s="30" t="inlineStr">
        <is>
          <t xml:space="preserve">Aston Martin</t>
        </is>
      </c>
      <c r="J191" s="30" t="inlineStr">
        <is>
          <t xml:space="preserve">DB12</t>
        </is>
      </c>
      <c r="K191" s="30" t="inlineStr">
        <is>
          <t xml:space="preserve">J7LLP04R0ZVG8ACRJ</t>
        </is>
      </c>
      <c r="L191" s="32" t="inlineStr">
        <is>
          <t xml:space="preserve">02 - Sports / GT</t>
        </is>
      </c>
      <c r="M191" s="35">
        <v>375000</v>
      </c>
      <c r="N191" s="32" t="inlineStr">
        <is>
          <t xml:space="preserve">Personal</t>
        </is>
      </c>
      <c r="O191" s="30" t="inlineStr">
        <is>
          <t xml:space="preserve">Personal - regular use</t>
        </is>
      </c>
      <c r="P191" s="30" t="inlineStr">
        <is>
          <t xml:space="preserve">1,000 - 2,500</t>
        </is>
      </c>
      <c r="Q191" s="30" t="inlineStr">
        <is>
          <t xml:space="preserve">Massachusetts</t>
        </is>
      </c>
      <c r="R191" s="30" t="inlineStr">
        <is>
          <t xml:space="preserve">02108</t>
        </is>
      </c>
      <c r="S191" s="32" t="inlineStr">
        <is>
          <t xml:space="preserve">Tier 3 - Coastal wind (25-100 miles)</t>
        </is>
      </c>
      <c r="T191" s="36">
        <f>IF($A191="","",IF($S191="","",IFERROR(INDEX('[1]natural catastrophe'!$D$6:$D$17,MATCH($S191,'[1]natural catastrophe'!$B$6:$B$17,0)),"?")))</f>
      </c>
      <c r="U191" s="30" t="inlineStr">
        <is>
          <t xml:space="preserve">2% of agreed value, minimum $10,000</t>
        </is>
      </c>
      <c r="V191" s="32" t="inlineStr">
        <is>
          <t xml:space="preserve">Agreed Value</t>
        </is>
      </c>
      <c r="W191" s="30" t="inlineStr">
        <is>
          <t xml:space="preserve">$1,000</t>
        </is>
      </c>
      <c r="X191" s="32" t="inlineStr">
        <is>
          <t xml:space="preserve">$1,000,000 CSL</t>
        </is>
      </c>
      <c r="Y191" s="30"/>
      <c r="Z191" s="30"/>
      <c r="AA191" s="32" t="inlineStr">
        <is>
          <t xml:space="preserve">Surplus Lines</t>
        </is>
      </c>
      <c r="AB191" s="35">
        <v>6098.61</v>
      </c>
      <c r="AC191" s="37">
        <v>0</v>
      </c>
      <c r="AD191" s="38">
        <f>IF(ISNUMBER($AB191),$AB191*(1+N($AC191)),"")</f>
      </c>
      <c r="AE191" s="35">
        <v>350</v>
      </c>
      <c r="AF191" s="35">
        <v>0</v>
      </c>
      <c r="AG191" s="37"/>
      <c r="AH191" s="39">
        <f>IF(ISNUMBER($AD191),($AD191+$AE191+$AF191)*$AG191,"")</f>
      </c>
      <c r="AI191" s="35"/>
      <c r="AJ191" s="38">
        <f>IF(ISNUMBER($AD191),SUM($AD191:$AH191),"")</f>
      </c>
      <c r="AK191" s="40">
        <f>IF(AND(ISNUMBER($AB191),ISNUMBER($AD191)),IF($AB191&gt;0,$AD191/$AB191,""),"")</f>
      </c>
      <c r="AL191" s="32" t="inlineStr">
        <is>
          <t xml:space="preserve">At technical</t>
        </is>
      </c>
      <c r="AM191" s="41">
        <f>IF(ISNUMBER($AD191),Header!$I$3,"")</f>
      </c>
      <c r="AN191" s="39">
        <f>IF(ISNUMBER($AD191),$AO191+$AP191,"")</f>
      </c>
      <c r="AO191" s="39">
        <f>IF(ISNUMBER($AD191),ROUND($AD191*Header!$K$3,2),"")</f>
      </c>
      <c r="AP191" s="39">
        <f>IF(ISNUMBER($AD191),ROUND($AD191*Header!$M$3,2),"")</f>
      </c>
      <c r="AQ191" s="38">
        <f>IF(ISNUMBER($AD191),ROUND($AD191,2)-$AO191-$AP191,"")</f>
      </c>
      <c r="AR191" s="39">
        <f>IF(ISNUMBER($AD191),IF(Header!$D$34="","?",$AD191*Header!$D$34),"")</f>
      </c>
      <c r="AS191" s="39">
        <f>IF(ISNUMBER($AB191),IF(Header!$D$34="","?",$AB191*Header!$D$34),"")</f>
      </c>
      <c r="AT191" s="42">
        <f>IF(AND(ISNUMBER($AB191),$M191&gt;0),$AB191/$M191*100,"")</f>
      </c>
      <c r="AU191" s="42">
        <f>IF(AND(ISNUMBER($AD191),$M191&gt;0),$AD191/$M191*100,"")</f>
      </c>
      <c r="AV191" s="40">
        <f>IF(AND(ISNUMBER($AB191),ISNUMBER($AD191),ABS($AB191)&gt;0),$AD191/$AB191,"")</f>
      </c>
      <c r="AW191" s="39">
        <f>IF(ISNUMBER($AD191),MAX(0,(1-0.55-Header!$O$3)*Header!$Q$3*$AQ191),"")</f>
      </c>
      <c r="AX191" s="43">
        <f>IF($A191="","",IF(TRIM(IF($A191="","Missing certificate ref. ","") &amp; IF($C191="","Missing effective date. ","") &amp; IF($D191="","Missing binding status. ","") &amp; IF($E191="","Missing movement type. ","") &amp; IF($I191="","Missing make. ","") &amp; IF($L191="","Missing vehicle class. ","") &amp; IF($M191="","Missing agreed value. ","") &amp; IF($N191="","Missing policy type. ","") &amp; IF($Q191="","Missing garaging state. ","") &amp; IF($R191="","Missing garaging ZIP. ","") &amp; IF($S191="","Missing cat zone. ","") &amp; IF($V191="","Missing valuation basis. ","") &amp; IF($W191="","Missing PD deductible. ","") &amp; IF($X191="","Missing liability limit. ","") &amp; IF($AB191="","Missing technical premium. ","") &amp; IF($AF191="","Missing surplus lines tax %. ",""))="","PASS","FAIL: "&amp;TRIM(IF($A191="","Missing certificate ref. ","") &amp; IF($C191="","Missing effective date. ","") &amp; IF($D191="","Missing binding status. ","") &amp; IF($E191="","Missing movement type. ","") &amp; IF($I191="","Missing make. ","") &amp; IF($L191="","Missing vehicle class. ","") &amp; IF($M191="","Missing agreed value. ","") &amp; IF($N191="","Missing policy type. ","") &amp; IF($Q191="","Missing garaging state. ","") &amp; IF($R191="","Missing garaging ZIP. ","") &amp; IF($S191="","Missing cat zone. ","") &amp; IF($V191="","Missing valuation basis. ","") &amp; IF($W191="","Missing PD deductible. ","") &amp; IF($X191="","Missing liability limit. ","") &amp; IF($AB191="","Missing technical premium. ","") &amp; IF($AF191="","Missing surplus lines tax %. ",""))))</f>
      </c>
      <c r="AY191" s="44">
        <f>IF($M191="","",IF(ISNUMBER($M191),IF($M191&gt;=Header!$C$18,"YES — refer","No"),""))</f>
      </c>
      <c r="AZ191" s="44">
        <f>IF($AD191="","",IF(ISNUMBER($AD191),IF($AD191&lt;Header!$C$20,"BELOW MIN PREMIUM","OK"),""))</f>
      </c>
      <c r="BA191" s="32" t="inlineStr">
        <is>
          <t xml:space="preserve">Yes</t>
        </is>
      </c>
      <c r="BB191" s="32" t="inlineStr">
        <is>
          <t xml:space="preserve">Yes</t>
        </is>
      </c>
      <c r="BC191" s="30" t="inlineStr">
        <is>
          <t xml:space="preserve">Synthetic demo data</t>
        </is>
      </c>
      <c r="BE191" s="45">
        <f>IF(OR($A191="",$L191="",$H191=""),"",IF(AND(LEFT($L191,2)="06",$H191&gt;1945),"FAIL - pre-war class, year "&amp;$H191,IF(AND(LEFT($L191,2)="07",OR($H191&lt;1946,$H191&gt;1972)),"FAIL - 1946-72 class, year "&amp;$H191,IF(AND(LEFT($L191,2)="08",OR($H191&lt;1973,$H191&gt;1999)),"FAIL - 1973-99 class, year "&amp;$H191,IF(AND(LEFT($L191,2)="09",OR($H191&lt;2000,$H191&gt;2010)),"FAIL - 2000-10 class, year "&amp;$H191,"OK")))))</f>
      </c>
      <c r="BF191" s="45">
        <f>IF($AD191="","",IF(ROUND($AO191+$AP191+$AQ191-$AD191,2)=0,"OK","FAIL - out by "&amp;TEXT($AO191+$AP191+$AQ191-$AD191,"$0.00")))</f>
      </c>
    </row>
    <row r="192" spans="1:58" ht="18.75" customHeight="1" x14ac:dyDescent="0.25">
      <c r="A192" s="46" t="inlineStr">
        <is>
          <t xml:space="preserve">CANON-202511-002428</t>
        </is>
      </c>
      <c r="B192" s="46" t="inlineStr">
        <is>
          <t xml:space="preserve">Beatrix Vandermeer</t>
        </is>
      </c>
      <c r="C192" s="47">
        <v>45966</v>
      </c>
      <c r="D192" s="48" t="inlineStr">
        <is>
          <t xml:space="preserve">Bound - within authority</t>
        </is>
      </c>
      <c r="E192" s="48" t="inlineStr">
        <is>
          <t xml:space="preserve">New business</t>
        </is>
      </c>
      <c r="F192" s="46" t="inlineStr">
        <is>
          <t xml:space="preserve">B1234EXOTIC26</t>
        </is>
      </c>
      <c r="G192" s="33">
        <f>IF($A192="","",IF($C192="","",YEAR($C192)))</f>
      </c>
      <c r="H192" s="49">
        <v>1989</v>
      </c>
      <c r="I192" s="46" t="inlineStr">
        <is>
          <t xml:space="preserve">Porsche</t>
        </is>
      </c>
      <c r="J192" s="46" t="inlineStr">
        <is>
          <t xml:space="preserve">911 Turbo S</t>
        </is>
      </c>
      <c r="K192" s="46" t="inlineStr">
        <is>
          <t xml:space="preserve">04VEHNYXUD9N12B20</t>
        </is>
      </c>
      <c r="L192" s="48" t="inlineStr">
        <is>
          <t xml:space="preserve">02 - Sports / GT</t>
        </is>
      </c>
      <c r="M192" s="50">
        <v>350000</v>
      </c>
      <c r="N192" s="48" t="inlineStr">
        <is>
          <t xml:space="preserve">Personal</t>
        </is>
      </c>
      <c r="O192" s="46" t="inlineStr">
        <is>
          <t xml:space="preserve">Personal - regular use</t>
        </is>
      </c>
      <c r="P192" s="46" t="inlineStr">
        <is>
          <t xml:space="preserve">1,000 - 2,500</t>
        </is>
      </c>
      <c r="Q192" s="46" t="inlineStr">
        <is>
          <t xml:space="preserve">Texas</t>
        </is>
      </c>
      <c r="R192" s="46" t="inlineStr">
        <is>
          <t xml:space="preserve">75201</t>
        </is>
      </c>
      <c r="S192" s="48" t="inlineStr">
        <is>
          <t xml:space="preserve">Tier 2 - Coastal wind (1-25 miles)</t>
        </is>
      </c>
      <c r="T192" s="36">
        <f>IF($A192="","",IF($S192="","",IFERROR(INDEX('[1]natural catastrophe'!$D$6:$D$17,MATCH($S192,'[1]natural catastrophe'!$B$6:$B$17,0)),"?")))</f>
      </c>
      <c r="U192" s="46" t="inlineStr">
        <is>
          <t xml:space="preserve">2% of agreed value, minimum $10,000</t>
        </is>
      </c>
      <c r="V192" s="48" t="inlineStr">
        <is>
          <t xml:space="preserve">Agreed Value</t>
        </is>
      </c>
      <c r="W192" s="46" t="inlineStr">
        <is>
          <t xml:space="preserve">$1,000</t>
        </is>
      </c>
      <c r="X192" s="48" t="inlineStr">
        <is>
          <t xml:space="preserve">$1,000,000 CSL</t>
        </is>
      </c>
      <c r="Y192" s="46"/>
      <c r="Z192" s="46"/>
      <c r="AA192" s="48" t="inlineStr">
        <is>
          <t xml:space="preserve">Surplus Lines</t>
        </is>
      </c>
      <c r="AB192" s="50">
        <v>5236.67</v>
      </c>
      <c r="AC192" s="51">
        <v>0</v>
      </c>
      <c r="AD192" s="38">
        <f>IF(ISNUMBER($AB192),$AB192*(1+N($AC192)),"")</f>
      </c>
      <c r="AE192" s="50">
        <v>350</v>
      </c>
      <c r="AF192" s="50">
        <v>0</v>
      </c>
      <c r="AG192" s="51"/>
      <c r="AH192" s="39">
        <f>IF(ISNUMBER($AD192),($AD192+$AE192+$AF192)*$AG192,"")</f>
      </c>
      <c r="AI192" s="50"/>
      <c r="AJ192" s="38">
        <f>IF(ISNUMBER($AD192),SUM($AD192:$AH192),"")</f>
      </c>
      <c r="AK192" s="40">
        <f>IF(AND(ISNUMBER($AB192),ISNUMBER($AD192)),IF($AB192&gt;0,$AD192/$AB192,""),"")</f>
      </c>
      <c r="AL192" s="48" t="inlineStr">
        <is>
          <t xml:space="preserve">At technical</t>
        </is>
      </c>
      <c r="AM192" s="41">
        <f>IF(ISNUMBER($AD192),Header!$I$3,"")</f>
      </c>
      <c r="AN192" s="39">
        <f>IF(ISNUMBER($AD192),$AO192+$AP192,"")</f>
      </c>
      <c r="AO192" s="39">
        <f>IF(ISNUMBER($AD192),ROUND($AD192*Header!$K$3,2),"")</f>
      </c>
      <c r="AP192" s="39">
        <f>IF(ISNUMBER($AD192),ROUND($AD192*Header!$M$3,2),"")</f>
      </c>
      <c r="AQ192" s="38">
        <f>IF(ISNUMBER($AD192),ROUND($AD192,2)-$AO192-$AP192,"")</f>
      </c>
      <c r="AR192" s="39">
        <f>IF(ISNUMBER($AD192),IF(Header!$D$34="","?",$AD192*Header!$D$34),"")</f>
      </c>
      <c r="AS192" s="39">
        <f>IF(ISNUMBER($AB192),IF(Header!$D$34="","?",$AB192*Header!$D$34),"")</f>
      </c>
      <c r="AT192" s="42">
        <f>IF(AND(ISNUMBER($AB192),$M192&gt;0),$AB192/$M192*100,"")</f>
      </c>
      <c r="AU192" s="42">
        <f>IF(AND(ISNUMBER($AD192),$M192&gt;0),$AD192/$M192*100,"")</f>
      </c>
      <c r="AV192" s="40">
        <f>IF(AND(ISNUMBER($AB192),ISNUMBER($AD192),ABS($AB192)&gt;0),$AD192/$AB192,"")</f>
      </c>
      <c r="AW192" s="39">
        <f>IF(ISNUMBER($AD192),MAX(0,(1-0.55-Header!$O$3)*Header!$Q$3*$AQ192),"")</f>
      </c>
      <c r="AX192" s="43">
        <f>IF($A192="","",IF(TRIM(IF($A192="","Missing certificate ref. ","") &amp; IF($C192="","Missing effective date. ","") &amp; IF($D192="","Missing binding status. ","") &amp; IF($E192="","Missing movement type. ","") &amp; IF($I192="","Missing make. ","") &amp; IF($L192="","Missing vehicle class. ","") &amp; IF($M192="","Missing agreed value. ","") &amp; IF($N192="","Missing policy type. ","") &amp; IF($Q192="","Missing garaging state. ","") &amp; IF($R192="","Missing garaging ZIP. ","") &amp; IF($S192="","Missing cat zone. ","") &amp; IF($V192="","Missing valuation basis. ","") &amp; IF($W192="","Missing PD deductible. ","") &amp; IF($X192="","Missing liability limit. ","") &amp; IF($AB192="","Missing technical premium. ","") &amp; IF($AF192="","Missing surplus lines tax %. ",""))="","PASS","FAIL: "&amp;TRIM(IF($A192="","Missing certificate ref. ","") &amp; IF($C192="","Missing effective date. ","") &amp; IF($D192="","Missing binding status. ","") &amp; IF($E192="","Missing movement type. ","") &amp; IF($I192="","Missing make. ","") &amp; IF($L192="","Missing vehicle class. ","") &amp; IF($M192="","Missing agreed value. ","") &amp; IF($N192="","Missing policy type. ","") &amp; IF($Q192="","Missing garaging state. ","") &amp; IF($R192="","Missing garaging ZIP. ","") &amp; IF($S192="","Missing cat zone. ","") &amp; IF($V192="","Missing valuation basis. ","") &amp; IF($W192="","Missing PD deductible. ","") &amp; IF($X192="","Missing liability limit. ","") &amp; IF($AB192="","Missing technical premium. ","") &amp; IF($AF192="","Missing surplus lines tax %. ",""))))</f>
      </c>
      <c r="AY192" s="44">
        <f>IF($M192="","",IF(ISNUMBER($M192),IF($M192&gt;=Header!$C$18,"YES — refer","No"),""))</f>
      </c>
      <c r="AZ192" s="44">
        <f>IF($AD192="","",IF(ISNUMBER($AD192),IF($AD192&lt;Header!$C$20,"BELOW MIN PREMIUM","OK"),""))</f>
      </c>
      <c r="BA192" s="48" t="inlineStr">
        <is>
          <t xml:space="preserve">Yes</t>
        </is>
      </c>
      <c r="BB192" s="48" t="inlineStr">
        <is>
          <t xml:space="preserve">Yes</t>
        </is>
      </c>
      <c r="BC192" s="46" t="inlineStr">
        <is>
          <t xml:space="preserve">Synthetic demo data</t>
        </is>
      </c>
      <c r="BE192" s="45">
        <f>IF(OR($A192="",$L192="",$H192=""),"",IF(AND(LEFT($L192,2)="06",$H192&gt;1945),"FAIL - pre-war class, year "&amp;$H192,IF(AND(LEFT($L192,2)="07",OR($H192&lt;1946,$H192&gt;1972)),"FAIL - 1946-72 class, year "&amp;$H192,IF(AND(LEFT($L192,2)="08",OR($H192&lt;1973,$H192&gt;1999)),"FAIL - 1973-99 class, year "&amp;$H192,IF(AND(LEFT($L192,2)="09",OR($H192&lt;2000,$H192&gt;2010)),"FAIL - 2000-10 class, year "&amp;$H192,"OK")))))</f>
      </c>
      <c r="BF192" s="45">
        <f>IF($AD192="","",IF(ROUND($AO192+$AP192+$AQ192-$AD192,2)=0,"OK","FAIL - out by "&amp;TEXT($AO192+$AP192+$AQ192-$AD192,"$0.00")))</f>
      </c>
    </row>
    <row r="193" spans="1:58" ht="18.75" customHeight="1" x14ac:dyDescent="0.25">
      <c r="A193" s="30" t="inlineStr">
        <is>
          <t xml:space="preserve">CANON-202511-002429</t>
        </is>
      </c>
      <c r="B193" s="30" t="inlineStr">
        <is>
          <t xml:space="preserve">Aurelio Fairweather</t>
        </is>
      </c>
      <c r="C193" s="31">
        <v>45965</v>
      </c>
      <c r="D193" s="32" t="inlineStr">
        <is>
          <t xml:space="preserve">Bound - within authority</t>
        </is>
      </c>
      <c r="E193" s="32" t="inlineStr">
        <is>
          <t xml:space="preserve">New business</t>
        </is>
      </c>
      <c r="F193" s="30" t="inlineStr">
        <is>
          <t xml:space="preserve">B1234EXOTIC26</t>
        </is>
      </c>
      <c r="G193" s="33">
        <f>IF($A193="","",IF($C193="","",YEAR($C193)))</f>
      </c>
      <c r="H193" s="34">
        <v>1969</v>
      </c>
      <c r="I193" s="30" t="inlineStr">
        <is>
          <t xml:space="preserve">Jaguar</t>
        </is>
      </c>
      <c r="J193" s="30" t="inlineStr">
        <is>
          <t xml:space="preserve">E-Type Series 1</t>
        </is>
      </c>
      <c r="K193" s="30" t="inlineStr">
        <is>
          <t xml:space="preserve">W14HNJGZNX29TSPJR</t>
        </is>
      </c>
      <c r="L193" s="32" t="inlineStr">
        <is>
          <t xml:space="preserve">07 - Post-War Classic (1946-1972)</t>
        </is>
      </c>
      <c r="M193" s="35">
        <v>660000</v>
      </c>
      <c r="N193" s="32" t="inlineStr">
        <is>
          <t xml:space="preserve">Personal</t>
        </is>
      </c>
      <c r="O193" s="30" t="inlineStr">
        <is>
          <t xml:space="preserve">Personal - regular use</t>
        </is>
      </c>
      <c r="P193" s="30" t="inlineStr">
        <is>
          <t xml:space="preserve">2,500 - 5,000</t>
        </is>
      </c>
      <c r="Q193" s="30" t="inlineStr">
        <is>
          <t xml:space="preserve">Arizona</t>
        </is>
      </c>
      <c r="R193" s="30" t="inlineStr">
        <is>
          <t xml:space="preserve">85001</t>
        </is>
      </c>
      <c r="S193" s="32" t="inlineStr">
        <is>
          <t xml:space="preserve">Wildfire - WUI high hazard</t>
        </is>
      </c>
      <c r="T193" s="36">
        <f>IF($A193="","",IF($S193="","",IFERROR(INDEX('[1]natural catastrophe'!$D$6:$D$17,MATCH($S193,'[1]natural catastrophe'!$B$6:$B$17,0)),"?")))</f>
      </c>
      <c r="U193" s="30" t="inlineStr">
        <is>
          <t xml:space="preserve">$5,000</t>
        </is>
      </c>
      <c r="V193" s="32" t="inlineStr">
        <is>
          <t xml:space="preserve">Agreed Value</t>
        </is>
      </c>
      <c r="W193" s="30" t="inlineStr">
        <is>
          <t xml:space="preserve">$1,000</t>
        </is>
      </c>
      <c r="X193" s="32" t="inlineStr">
        <is>
          <t xml:space="preserve">$1,000,000 CSL</t>
        </is>
      </c>
      <c r="Y193" s="30"/>
      <c r="Z193" s="30"/>
      <c r="AA193" s="32" t="inlineStr">
        <is>
          <t xml:space="preserve">Surplus Lines</t>
        </is>
      </c>
      <c r="AB193" s="35">
        <v>4972.35</v>
      </c>
      <c r="AC193" s="37">
        <v>0</v>
      </c>
      <c r="AD193" s="38">
        <f>IF(ISNUMBER($AB193),$AB193*(1+N($AC193)),"")</f>
      </c>
      <c r="AE193" s="35">
        <v>350</v>
      </c>
      <c r="AF193" s="35">
        <v>0</v>
      </c>
      <c r="AG193" s="37"/>
      <c r="AH193" s="39">
        <f>IF(ISNUMBER($AD193),($AD193+$AE193+$AF193)*$AG193,"")</f>
      </c>
      <c r="AI193" s="35"/>
      <c r="AJ193" s="38">
        <f>IF(ISNUMBER($AD193),SUM($AD193:$AH193),"")</f>
      </c>
      <c r="AK193" s="40">
        <f>IF(AND(ISNUMBER($AB193),ISNUMBER($AD193)),IF($AB193&gt;0,$AD193/$AB193,""),"")</f>
      </c>
      <c r="AL193" s="32" t="inlineStr">
        <is>
          <t xml:space="preserve">At technical</t>
        </is>
      </c>
      <c r="AM193" s="41">
        <f>IF(ISNUMBER($AD193),Header!$I$3,"")</f>
      </c>
      <c r="AN193" s="39">
        <f>IF(ISNUMBER($AD193),$AO193+$AP193,"")</f>
      </c>
      <c r="AO193" s="39">
        <f>IF(ISNUMBER($AD193),ROUND($AD193*Header!$K$3,2),"")</f>
      </c>
      <c r="AP193" s="39">
        <f>IF(ISNUMBER($AD193),ROUND($AD193*Header!$M$3,2),"")</f>
      </c>
      <c r="AQ193" s="38">
        <f>IF(ISNUMBER($AD193),ROUND($AD193,2)-$AO193-$AP193,"")</f>
      </c>
      <c r="AR193" s="39">
        <f>IF(ISNUMBER($AD193),IF(Header!$D$34="","?",$AD193*Header!$D$34),"")</f>
      </c>
      <c r="AS193" s="39">
        <f>IF(ISNUMBER($AB193),IF(Header!$D$34="","?",$AB193*Header!$D$34),"")</f>
      </c>
      <c r="AT193" s="42">
        <f>IF(AND(ISNUMBER($AB193),$M193&gt;0),$AB193/$M193*100,"")</f>
      </c>
      <c r="AU193" s="42">
        <f>IF(AND(ISNUMBER($AD193),$M193&gt;0),$AD193/$M193*100,"")</f>
      </c>
      <c r="AV193" s="40">
        <f>IF(AND(ISNUMBER($AB193),ISNUMBER($AD193),ABS($AB193)&gt;0),$AD193/$AB193,"")</f>
      </c>
      <c r="AW193" s="39">
        <f>IF(ISNUMBER($AD193),MAX(0,(1-0.55-Header!$O$3)*Header!$Q$3*$AQ193),"")</f>
      </c>
      <c r="AX193" s="43">
        <f>IF($A193="","",IF(TRIM(IF($A193="","Missing certificate ref. ","") &amp; IF($C193="","Missing effective date. ","") &amp; IF($D193="","Missing binding status. ","") &amp; IF($E193="","Missing movement type. ","") &amp; IF($I193="","Missing make. ","") &amp; IF($L193="","Missing vehicle class. ","") &amp; IF($M193="","Missing agreed value. ","") &amp; IF($N193="","Missing policy type. ","") &amp; IF($Q193="","Missing garaging state. ","") &amp; IF($R193="","Missing garaging ZIP. ","") &amp; IF($S193="","Missing cat zone. ","") &amp; IF($V193="","Missing valuation basis. ","") &amp; IF($W193="","Missing PD deductible. ","") &amp; IF($X193="","Missing liability limit. ","") &amp; IF($AB193="","Missing technical premium. ","") &amp; IF($AF193="","Missing surplus lines tax %. ",""))="","PASS","FAIL: "&amp;TRIM(IF($A193="","Missing certificate ref. ","") &amp; IF($C193="","Missing effective date. ","") &amp; IF($D193="","Missing binding status. ","") &amp; IF($E193="","Missing movement type. ","") &amp; IF($I193="","Missing make. ","") &amp; IF($L193="","Missing vehicle class. ","") &amp; IF($M193="","Missing agreed value. ","") &amp; IF($N193="","Missing policy type. ","") &amp; IF($Q193="","Missing garaging state. ","") &amp; IF($R193="","Missing garaging ZIP. ","") &amp; IF($S193="","Missing cat zone. ","") &amp; IF($V193="","Missing valuation basis. ","") &amp; IF($W193="","Missing PD deductible. ","") &amp; IF($X193="","Missing liability limit. ","") &amp; IF($AB193="","Missing technical premium. ","") &amp; IF($AF193="","Missing surplus lines tax %. ",""))))</f>
      </c>
      <c r="AY193" s="44">
        <f>IF($M193="","",IF(ISNUMBER($M193),IF($M193&gt;=Header!$C$18,"YES — refer","No"),""))</f>
      </c>
      <c r="AZ193" s="44">
        <f>IF($AD193="","",IF(ISNUMBER($AD193),IF($AD193&lt;Header!$C$20,"BELOW MIN PREMIUM","OK"),""))</f>
      </c>
      <c r="BA193" s="32" t="inlineStr">
        <is>
          <t xml:space="preserve">Yes</t>
        </is>
      </c>
      <c r="BB193" s="32" t="inlineStr">
        <is>
          <t xml:space="preserve">Yes</t>
        </is>
      </c>
      <c r="BC193" s="30" t="inlineStr">
        <is>
          <t xml:space="preserve">Synthetic demo data</t>
        </is>
      </c>
      <c r="BE193" s="45">
        <f>IF(OR($A193="",$L193="",$H193=""),"",IF(AND(LEFT($L193,2)="06",$H193&gt;1945),"FAIL - pre-war class, year "&amp;$H193,IF(AND(LEFT($L193,2)="07",OR($H193&lt;1946,$H193&gt;1972)),"FAIL - 1946-72 class, year "&amp;$H193,IF(AND(LEFT($L193,2)="08",OR($H193&lt;1973,$H193&gt;1999)),"FAIL - 1973-99 class, year "&amp;$H193,IF(AND(LEFT($L193,2)="09",OR($H193&lt;2000,$H193&gt;2010)),"FAIL - 2000-10 class, year "&amp;$H193,"OK")))))</f>
      </c>
      <c r="BF193" s="45">
        <f>IF($AD193="","",IF(ROUND($AO193+$AP193+$AQ193-$AD193,2)=0,"OK","FAIL - out by "&amp;TEXT($AO193+$AP193+$AQ193-$AD193,"$0.00")))</f>
      </c>
    </row>
    <row r="194" spans="1:58" ht="18.75" customHeight="1" x14ac:dyDescent="0.25">
      <c r="A194" s="46" t="inlineStr">
        <is>
          <t xml:space="preserve">CANON-202511-002430</t>
        </is>
      </c>
      <c r="B194" s="46" t="inlineStr">
        <is>
          <t xml:space="preserve">Priya Larsson</t>
        </is>
      </c>
      <c r="C194" s="47">
        <v>45977</v>
      </c>
      <c r="D194" s="48" t="inlineStr">
        <is>
          <t xml:space="preserve">Bound - within authority</t>
        </is>
      </c>
      <c r="E194" s="48" t="inlineStr">
        <is>
          <t xml:space="preserve">New business</t>
        </is>
      </c>
      <c r="F194" s="46" t="inlineStr">
        <is>
          <t xml:space="preserve">B1234EXOTIC26</t>
        </is>
      </c>
      <c r="G194" s="33">
        <f>IF($A194="","",IF($C194="","",YEAR($C194)))</f>
      </c>
      <c r="H194" s="49">
        <v>1963</v>
      </c>
      <c r="I194" s="46" t="inlineStr">
        <is>
          <t xml:space="preserve">Bentley</t>
        </is>
      </c>
      <c r="J194" s="46" t="inlineStr">
        <is>
          <t xml:space="preserve">Continental GT</t>
        </is>
      </c>
      <c r="K194" s="46" t="inlineStr">
        <is>
          <t xml:space="preserve">K2EYWMU4RZFHDXW1F</t>
        </is>
      </c>
      <c r="L194" s="48" t="inlineStr">
        <is>
          <t xml:space="preserve">02 - Sports / GT</t>
        </is>
      </c>
      <c r="M194" s="50">
        <v>230000</v>
      </c>
      <c r="N194" s="48" t="inlineStr">
        <is>
          <t xml:space="preserve">Personal</t>
        </is>
      </c>
      <c r="O194" s="46" t="inlineStr">
        <is>
          <t xml:space="preserve">Personal - regular use</t>
        </is>
      </c>
      <c r="P194" s="46" t="inlineStr">
        <is>
          <t xml:space="preserve">2,500 - 5,000</t>
        </is>
      </c>
      <c r="Q194" s="46" t="inlineStr">
        <is>
          <t xml:space="preserve">Louisiana</t>
        </is>
      </c>
      <c r="R194" s="46" t="inlineStr">
        <is>
          <t xml:space="preserve">70112</t>
        </is>
      </c>
      <c r="S194" s="48" t="inlineStr">
        <is>
          <t xml:space="preserve">Tier 2 - Coastal wind (1-25 miles)</t>
        </is>
      </c>
      <c r="T194" s="36">
        <f>IF($A194="","",IF($S194="","",IFERROR(INDEX('[1]natural catastrophe'!$D$6:$D$17,MATCH($S194,'[1]natural catastrophe'!$B$6:$B$17,0)),"?")))</f>
      </c>
      <c r="U194" s="46" t="inlineStr">
        <is>
          <t xml:space="preserve">2% of agreed value, minimum $10,000</t>
        </is>
      </c>
      <c r="V194" s="48" t="inlineStr">
        <is>
          <t xml:space="preserve">Agreed Value</t>
        </is>
      </c>
      <c r="W194" s="46" t="inlineStr">
        <is>
          <t xml:space="preserve">$1,000</t>
        </is>
      </c>
      <c r="X194" s="48" t="inlineStr">
        <is>
          <t xml:space="preserve">$1,000,000 CSL</t>
        </is>
      </c>
      <c r="Y194" s="46"/>
      <c r="Z194" s="46"/>
      <c r="AA194" s="48" t="inlineStr">
        <is>
          <t xml:space="preserve">Surplus Lines</t>
        </is>
      </c>
      <c r="AB194" s="50">
        <v>4441.5</v>
      </c>
      <c r="AC194" s="51">
        <v>0</v>
      </c>
      <c r="AD194" s="38">
        <f>IF(ISNUMBER($AB194),$AB194*(1+N($AC194)),"")</f>
      </c>
      <c r="AE194" s="50">
        <v>350</v>
      </c>
      <c r="AF194" s="50">
        <v>0</v>
      </c>
      <c r="AG194" s="51"/>
      <c r="AH194" s="39">
        <f>IF(ISNUMBER($AD194),($AD194+$AE194+$AF194)*$AG194,"")</f>
      </c>
      <c r="AI194" s="50"/>
      <c r="AJ194" s="38">
        <f>IF(ISNUMBER($AD194),SUM($AD194:$AH194),"")</f>
      </c>
      <c r="AK194" s="40">
        <f>IF(AND(ISNUMBER($AB194),ISNUMBER($AD194)),IF($AB194&gt;0,$AD194/$AB194,""),"")</f>
      </c>
      <c r="AL194" s="48" t="inlineStr">
        <is>
          <t xml:space="preserve">At technical</t>
        </is>
      </c>
      <c r="AM194" s="41">
        <f>IF(ISNUMBER($AD194),Header!$I$3,"")</f>
      </c>
      <c r="AN194" s="39">
        <f>IF(ISNUMBER($AD194),$AO194+$AP194,"")</f>
      </c>
      <c r="AO194" s="39">
        <f>IF(ISNUMBER($AD194),ROUND($AD194*Header!$K$3,2),"")</f>
      </c>
      <c r="AP194" s="39">
        <f>IF(ISNUMBER($AD194),ROUND($AD194*Header!$M$3,2),"")</f>
      </c>
      <c r="AQ194" s="38">
        <f>IF(ISNUMBER($AD194),ROUND($AD194,2)-$AO194-$AP194,"")</f>
      </c>
      <c r="AR194" s="39">
        <f>IF(ISNUMBER($AD194),IF(Header!$D$34="","?",$AD194*Header!$D$34),"")</f>
      </c>
      <c r="AS194" s="39">
        <f>IF(ISNUMBER($AB194),IF(Header!$D$34="","?",$AB194*Header!$D$34),"")</f>
      </c>
      <c r="AT194" s="42">
        <f>IF(AND(ISNUMBER($AB194),$M194&gt;0),$AB194/$M194*100,"")</f>
      </c>
      <c r="AU194" s="42">
        <f>IF(AND(ISNUMBER($AD194),$M194&gt;0),$AD194/$M194*100,"")</f>
      </c>
      <c r="AV194" s="40">
        <f>IF(AND(ISNUMBER($AB194),ISNUMBER($AD194),ABS($AB194)&gt;0),$AD194/$AB194,"")</f>
      </c>
      <c r="AW194" s="39">
        <f>IF(ISNUMBER($AD194),MAX(0,(1-0.55-Header!$O$3)*Header!$Q$3*$AQ194),"")</f>
      </c>
      <c r="AX194" s="43">
        <f>IF($A194="","",IF(TRIM(IF($A194="","Missing certificate ref. ","") &amp; IF($C194="","Missing effective date. ","") &amp; IF($D194="","Missing binding status. ","") &amp; IF($E194="","Missing movement type. ","") &amp; IF($I194="","Missing make. ","") &amp; IF($L194="","Missing vehicle class. ","") &amp; IF($M194="","Missing agreed value. ","") &amp; IF($N194="","Missing policy type. ","") &amp; IF($Q194="","Missing garaging state. ","") &amp; IF($R194="","Missing garaging ZIP. ","") &amp; IF($S194="","Missing cat zone. ","") &amp; IF($V194="","Missing valuation basis. ","") &amp; IF($W194="","Missing PD deductible. ","") &amp; IF($X194="","Missing liability limit. ","") &amp; IF($AB194="","Missing technical premium. ","") &amp; IF($AF194="","Missing surplus lines tax %. ",""))="","PASS","FAIL: "&amp;TRIM(IF($A194="","Missing certificate ref. ","") &amp; IF($C194="","Missing effective date. ","") &amp; IF($D194="","Missing binding status. ","") &amp; IF($E194="","Missing movement type. ","") &amp; IF($I194="","Missing make. ","") &amp; IF($L194="","Missing vehicle class. ","") &amp; IF($M194="","Missing agreed value. ","") &amp; IF($N194="","Missing policy type. ","") &amp; IF($Q194="","Missing garaging state. ","") &amp; IF($R194="","Missing garaging ZIP. ","") &amp; IF($S194="","Missing cat zone. ","") &amp; IF($V194="","Missing valuation basis. ","") &amp; IF($W194="","Missing PD deductible. ","") &amp; IF($X194="","Missing liability limit. ","") &amp; IF($AB194="","Missing technical premium. ","") &amp; IF($AF194="","Missing surplus lines tax %. ",""))))</f>
      </c>
      <c r="AY194" s="44">
        <f>IF($M194="","",IF(ISNUMBER($M194),IF($M194&gt;=Header!$C$18,"YES — refer","No"),""))</f>
      </c>
      <c r="AZ194" s="44">
        <f>IF($AD194="","",IF(ISNUMBER($AD194),IF($AD194&lt;Header!$C$20,"BELOW MIN PREMIUM","OK"),""))</f>
      </c>
      <c r="BA194" s="48" t="inlineStr">
        <is>
          <t xml:space="preserve">Yes</t>
        </is>
      </c>
      <c r="BB194" s="48" t="inlineStr">
        <is>
          <t xml:space="preserve">Yes</t>
        </is>
      </c>
      <c r="BC194" s="46" t="inlineStr">
        <is>
          <t xml:space="preserve">Synthetic demo data</t>
        </is>
      </c>
      <c r="BE194" s="45">
        <f>IF(OR($A194="",$L194="",$H194=""),"",IF(AND(LEFT($L194,2)="06",$H194&gt;1945),"FAIL - pre-war class, year "&amp;$H194,IF(AND(LEFT($L194,2)="07",OR($H194&lt;1946,$H194&gt;1972)),"FAIL - 1946-72 class, year "&amp;$H194,IF(AND(LEFT($L194,2)="08",OR($H194&lt;1973,$H194&gt;1999)),"FAIL - 1973-99 class, year "&amp;$H194,IF(AND(LEFT($L194,2)="09",OR($H194&lt;2000,$H194&gt;2010)),"FAIL - 2000-10 class, year "&amp;$H194,"OK")))))</f>
      </c>
      <c r="BF194" s="45">
        <f>IF($AD194="","",IF(ROUND($AO194+$AP194+$AQ194-$AD194,2)=0,"OK","FAIL - out by "&amp;TEXT($AO194+$AP194+$AQ194-$AD194,"$0.00")))</f>
      </c>
    </row>
    <row r="195" spans="1:58" ht="18.75" customHeight="1" x14ac:dyDescent="0.25">
      <c r="A195" s="30" t="inlineStr">
        <is>
          <t xml:space="preserve">CANON-202511-002432</t>
        </is>
      </c>
      <c r="B195" s="30" t="inlineStr">
        <is>
          <t xml:space="preserve">Aurelio Blackwood</t>
        </is>
      </c>
      <c r="C195" s="31">
        <v>45974</v>
      </c>
      <c r="D195" s="32" t="inlineStr">
        <is>
          <t xml:space="preserve">Bound - within authority</t>
        </is>
      </c>
      <c r="E195" s="32" t="inlineStr">
        <is>
          <t xml:space="preserve">New business</t>
        </is>
      </c>
      <c r="F195" s="30" t="inlineStr">
        <is>
          <t xml:space="preserve">B1234EXOTIC26</t>
        </is>
      </c>
      <c r="G195" s="33">
        <f>IF($A195="","",IF($C195="","",YEAR($C195)))</f>
      </c>
      <c r="H195" s="34">
        <v>1986</v>
      </c>
      <c r="I195" s="30" t="inlineStr">
        <is>
          <t xml:space="preserve">Lamborghini</t>
        </is>
      </c>
      <c r="J195" s="30" t="inlineStr">
        <is>
          <t xml:space="preserve">Huracan EVO</t>
        </is>
      </c>
      <c r="K195" s="30" t="inlineStr">
        <is>
          <t xml:space="preserve">KD9WTR466HZ7HJ7AD</t>
        </is>
      </c>
      <c r="L195" s="32" t="inlineStr">
        <is>
          <t xml:space="preserve">03 - Supercar</t>
        </is>
      </c>
      <c r="M195" s="35">
        <v>555000</v>
      </c>
      <c r="N195" s="32" t="inlineStr">
        <is>
          <t xml:space="preserve">Personal</t>
        </is>
      </c>
      <c r="O195" s="30" t="inlineStr">
        <is>
          <t xml:space="preserve">Personal - regular use</t>
        </is>
      </c>
      <c r="P195" s="30" t="inlineStr">
        <is>
          <t xml:space="preserve">1,000 - 2,500</t>
        </is>
      </c>
      <c r="Q195" s="30" t="inlineStr">
        <is>
          <t xml:space="preserve">Indiana</t>
        </is>
      </c>
      <c r="R195" s="30" t="inlineStr">
        <is>
          <t xml:space="preserve">46204</t>
        </is>
      </c>
      <c r="S195" s="32" t="inlineStr">
        <is>
          <t xml:space="preserve">Severe convective - hail / tornado (moderate)</t>
        </is>
      </c>
      <c r="T195" s="36">
        <f>IF($A195="","",IF($S195="","",IFERROR(INDEX('[1]natural catastrophe'!$D$6:$D$17,MATCH($S195,'[1]natural catastrophe'!$B$6:$B$17,0)),"?")))</f>
      </c>
      <c r="U195" s="30" t="inlineStr">
        <is>
          <t xml:space="preserve">$5,000</t>
        </is>
      </c>
      <c r="V195" s="32" t="inlineStr">
        <is>
          <t xml:space="preserve">Agreed Value</t>
        </is>
      </c>
      <c r="W195" s="30" t="inlineStr">
        <is>
          <t xml:space="preserve">$1,000</t>
        </is>
      </c>
      <c r="X195" s="32" t="inlineStr">
        <is>
          <t xml:space="preserve">$1,000,000 CSL</t>
        </is>
      </c>
      <c r="Y195" s="30"/>
      <c r="Z195" s="30"/>
      <c r="AA195" s="32" t="inlineStr">
        <is>
          <t xml:space="preserve">Surplus Lines</t>
        </is>
      </c>
      <c r="AB195" s="35">
        <v>11249.94</v>
      </c>
      <c r="AC195" s="37">
        <v>0</v>
      </c>
      <c r="AD195" s="38">
        <f>IF(ISNUMBER($AB195),$AB195*(1+N($AC195)),"")</f>
      </c>
      <c r="AE195" s="35">
        <v>350</v>
      </c>
      <c r="AF195" s="35">
        <v>0</v>
      </c>
      <c r="AG195" s="37"/>
      <c r="AH195" s="39">
        <f>IF(ISNUMBER($AD195),($AD195+$AE195+$AF195)*$AG195,"")</f>
      </c>
      <c r="AI195" s="35"/>
      <c r="AJ195" s="38">
        <f>IF(ISNUMBER($AD195),SUM($AD195:$AH195),"")</f>
      </c>
      <c r="AK195" s="40">
        <f>IF(AND(ISNUMBER($AB195),ISNUMBER($AD195)),IF($AB195&gt;0,$AD195/$AB195,""),"")</f>
      </c>
      <c r="AL195" s="32" t="inlineStr">
        <is>
          <t xml:space="preserve">At technical</t>
        </is>
      </c>
      <c r="AM195" s="41">
        <f>IF(ISNUMBER($AD195),Header!$I$3,"")</f>
      </c>
      <c r="AN195" s="39">
        <f>IF(ISNUMBER($AD195),$AO195+$AP195,"")</f>
      </c>
      <c r="AO195" s="39">
        <f>IF(ISNUMBER($AD195),ROUND($AD195*Header!$K$3,2),"")</f>
      </c>
      <c r="AP195" s="39">
        <f>IF(ISNUMBER($AD195),ROUND($AD195*Header!$M$3,2),"")</f>
      </c>
      <c r="AQ195" s="38">
        <f>IF(ISNUMBER($AD195),ROUND($AD195,2)-$AO195-$AP195,"")</f>
      </c>
      <c r="AR195" s="39">
        <f>IF(ISNUMBER($AD195),IF(Header!$D$34="","?",$AD195*Header!$D$34),"")</f>
      </c>
      <c r="AS195" s="39">
        <f>IF(ISNUMBER($AB195),IF(Header!$D$34="","?",$AB195*Header!$D$34),"")</f>
      </c>
      <c r="AT195" s="42">
        <f>IF(AND(ISNUMBER($AB195),$M195&gt;0),$AB195/$M195*100,"")</f>
      </c>
      <c r="AU195" s="42">
        <f>IF(AND(ISNUMBER($AD195),$M195&gt;0),$AD195/$M195*100,"")</f>
      </c>
      <c r="AV195" s="40">
        <f>IF(AND(ISNUMBER($AB195),ISNUMBER($AD195),ABS($AB195)&gt;0),$AD195/$AB195,"")</f>
      </c>
      <c r="AW195" s="39">
        <f>IF(ISNUMBER($AD195),MAX(0,(1-0.55-Header!$O$3)*Header!$Q$3*$AQ195),"")</f>
      </c>
      <c r="AX195" s="43">
        <f>IF($A195="","",IF(TRIM(IF($A195="","Missing certificate ref. ","") &amp; IF($C195="","Missing effective date. ","") &amp; IF($D195="","Missing binding status. ","") &amp; IF($E195="","Missing movement type. ","") &amp; IF($I195="","Missing make. ","") &amp; IF($L195="","Missing vehicle class. ","") &amp; IF($M195="","Missing agreed value. ","") &amp; IF($N195="","Missing policy type. ","") &amp; IF($Q195="","Missing garaging state. ","") &amp; IF($R195="","Missing garaging ZIP. ","") &amp; IF($S195="","Missing cat zone. ","") &amp; IF($V195="","Missing valuation basis. ","") &amp; IF($W195="","Missing PD deductible. ","") &amp; IF($X195="","Missing liability limit. ","") &amp; IF($AB195="","Missing technical premium. ","") &amp; IF($AF195="","Missing surplus lines tax %. ",""))="","PASS","FAIL: "&amp;TRIM(IF($A195="","Missing certificate ref. ","") &amp; IF($C195="","Missing effective date. ","") &amp; IF($D195="","Missing binding status. ","") &amp; IF($E195="","Missing movement type. ","") &amp; IF($I195="","Missing make. ","") &amp; IF($L195="","Missing vehicle class. ","") &amp; IF($M195="","Missing agreed value. ","") &amp; IF($N195="","Missing policy type. ","") &amp; IF($Q195="","Missing garaging state. ","") &amp; IF($R195="","Missing garaging ZIP. ","") &amp; IF($S195="","Missing cat zone. ","") &amp; IF($V195="","Missing valuation basis. ","") &amp; IF($W195="","Missing PD deductible. ","") &amp; IF($X195="","Missing liability limit. ","") &amp; IF($AB195="","Missing technical premium. ","") &amp; IF($AF195="","Missing surplus lines tax %. ",""))))</f>
      </c>
      <c r="AY195" s="44">
        <f>IF($M195="","",IF(ISNUMBER($M195),IF($M195&gt;=Header!$C$18,"YES — refer","No"),""))</f>
      </c>
      <c r="AZ195" s="44">
        <f>IF($AD195="","",IF(ISNUMBER($AD195),IF($AD195&lt;Header!$C$20,"BELOW MIN PREMIUM","OK"),""))</f>
      </c>
      <c r="BA195" s="32" t="inlineStr">
        <is>
          <t xml:space="preserve">Yes</t>
        </is>
      </c>
      <c r="BB195" s="32" t="inlineStr">
        <is>
          <t xml:space="preserve">Yes</t>
        </is>
      </c>
      <c r="BC195" s="30" t="inlineStr">
        <is>
          <t xml:space="preserve">Synthetic demo data</t>
        </is>
      </c>
      <c r="BE195" s="45">
        <f>IF(OR($A195="",$L195="",$H195=""),"",IF(AND(LEFT($L195,2)="06",$H195&gt;1945),"FAIL - pre-war class, year "&amp;$H195,IF(AND(LEFT($L195,2)="07",OR($H195&lt;1946,$H195&gt;1972)),"FAIL - 1946-72 class, year "&amp;$H195,IF(AND(LEFT($L195,2)="08",OR($H195&lt;1973,$H195&gt;1999)),"FAIL - 1973-99 class, year "&amp;$H195,IF(AND(LEFT($L195,2)="09",OR($H195&lt;2000,$H195&gt;2010)),"FAIL - 2000-10 class, year "&amp;$H195,"OK")))))</f>
      </c>
      <c r="BF195" s="45">
        <f>IF($AD195="","",IF(ROUND($AO195+$AP195+$AQ195-$AD195,2)=0,"OK","FAIL - out by "&amp;TEXT($AO195+$AP195+$AQ195-$AD195,"$0.00")))</f>
      </c>
    </row>
    <row r="196" spans="1:58" ht="18.75" customHeight="1" x14ac:dyDescent="0.25">
      <c r="A196" s="46" t="inlineStr">
        <is>
          <t xml:space="preserve">CANON-202511-002433</t>
        </is>
      </c>
      <c r="B196" s="46" t="inlineStr">
        <is>
          <t xml:space="preserve">Noor Nakashima</t>
        </is>
      </c>
      <c r="C196" s="47">
        <v>45985</v>
      </c>
      <c r="D196" s="48" t="inlineStr">
        <is>
          <t xml:space="preserve">Bound - within authority</t>
        </is>
      </c>
      <c r="E196" s="48" t="inlineStr">
        <is>
          <t xml:space="preserve">New business</t>
        </is>
      </c>
      <c r="F196" s="46" t="inlineStr">
        <is>
          <t xml:space="preserve">B1234EXOTIC26</t>
        </is>
      </c>
      <c r="G196" s="33">
        <f>IF($A196="","",IF($C196="","",YEAR($C196)))</f>
      </c>
      <c r="H196" s="49">
        <v>2005</v>
      </c>
      <c r="I196" s="46" t="inlineStr">
        <is>
          <t xml:space="preserve">Bentley</t>
        </is>
      </c>
      <c r="J196" s="46" t="inlineStr">
        <is>
          <t xml:space="preserve">Continental GT</t>
        </is>
      </c>
      <c r="K196" s="46" t="inlineStr">
        <is>
          <t xml:space="preserve">1YZ6MUDF20MDRP6SV</t>
        </is>
      </c>
      <c r="L196" s="48" t="inlineStr">
        <is>
          <t xml:space="preserve">02 - Sports / GT</t>
        </is>
      </c>
      <c r="M196" s="50">
        <v>395000</v>
      </c>
      <c r="N196" s="48" t="inlineStr">
        <is>
          <t xml:space="preserve">Personal</t>
        </is>
      </c>
      <c r="O196" s="46" t="inlineStr">
        <is>
          <t xml:space="preserve">Personal - regular use</t>
        </is>
      </c>
      <c r="P196" s="46" t="inlineStr">
        <is>
          <t xml:space="preserve">Under 1,000</t>
        </is>
      </c>
      <c r="Q196" s="46" t="inlineStr">
        <is>
          <t xml:space="preserve">Virginia</t>
        </is>
      </c>
      <c r="R196" s="46" t="inlineStr">
        <is>
          <t xml:space="preserve">23219</t>
        </is>
      </c>
      <c r="S196" s="48" t="inlineStr">
        <is>
          <t xml:space="preserve">Tier 3 - Coastal wind (25-100 miles)</t>
        </is>
      </c>
      <c r="T196" s="36">
        <f>IF($A196="","",IF($S196="","",IFERROR(INDEX('[1]natural catastrophe'!$D$6:$D$17,MATCH($S196,'[1]natural catastrophe'!$B$6:$B$17,0)),"?")))</f>
      </c>
      <c r="U196" s="46" t="inlineStr">
        <is>
          <t xml:space="preserve">2% of agreed value, minimum $10,000</t>
        </is>
      </c>
      <c r="V196" s="48" t="inlineStr">
        <is>
          <t xml:space="preserve">Agreed Value</t>
        </is>
      </c>
      <c r="W196" s="46" t="inlineStr">
        <is>
          <t xml:space="preserve">$1,000</t>
        </is>
      </c>
      <c r="X196" s="48" t="inlineStr">
        <is>
          <t xml:space="preserve">$1,000,000 CSL</t>
        </is>
      </c>
      <c r="Y196" s="46"/>
      <c r="Z196" s="46"/>
      <c r="AA196" s="48" t="inlineStr">
        <is>
          <t xml:space="preserve">Surplus Lines</t>
        </is>
      </c>
      <c r="AB196" s="50">
        <v>5601.62</v>
      </c>
      <c r="AC196" s="51">
        <v>0</v>
      </c>
      <c r="AD196" s="38">
        <f>IF(ISNUMBER($AB196),$AB196*(1+N($AC196)),"")</f>
      </c>
      <c r="AE196" s="50">
        <v>350</v>
      </c>
      <c r="AF196" s="50">
        <v>0</v>
      </c>
      <c r="AG196" s="51"/>
      <c r="AH196" s="39">
        <f>IF(ISNUMBER($AD196),($AD196+$AE196+$AF196)*$AG196,"")</f>
      </c>
      <c r="AI196" s="50"/>
      <c r="AJ196" s="38">
        <f>IF(ISNUMBER($AD196),SUM($AD196:$AH196),"")</f>
      </c>
      <c r="AK196" s="40">
        <f>IF(AND(ISNUMBER($AB196),ISNUMBER($AD196)),IF($AB196&gt;0,$AD196/$AB196,""),"")</f>
      </c>
      <c r="AL196" s="48" t="inlineStr">
        <is>
          <t xml:space="preserve">At technical</t>
        </is>
      </c>
      <c r="AM196" s="41">
        <f>IF(ISNUMBER($AD196),Header!$I$3,"")</f>
      </c>
      <c r="AN196" s="39">
        <f>IF(ISNUMBER($AD196),$AO196+$AP196,"")</f>
      </c>
      <c r="AO196" s="39">
        <f>IF(ISNUMBER($AD196),ROUND($AD196*Header!$K$3,2),"")</f>
      </c>
      <c r="AP196" s="39">
        <f>IF(ISNUMBER($AD196),ROUND($AD196*Header!$M$3,2),"")</f>
      </c>
      <c r="AQ196" s="38">
        <f>IF(ISNUMBER($AD196),ROUND($AD196,2)-$AO196-$AP196,"")</f>
      </c>
      <c r="AR196" s="39">
        <f>IF(ISNUMBER($AD196),IF(Header!$D$34="","?",$AD196*Header!$D$34),"")</f>
      </c>
      <c r="AS196" s="39">
        <f>IF(ISNUMBER($AB196),IF(Header!$D$34="","?",$AB196*Header!$D$34),"")</f>
      </c>
      <c r="AT196" s="42">
        <f>IF(AND(ISNUMBER($AB196),$M196&gt;0),$AB196/$M196*100,"")</f>
      </c>
      <c r="AU196" s="42">
        <f>IF(AND(ISNUMBER($AD196),$M196&gt;0),$AD196/$M196*100,"")</f>
      </c>
      <c r="AV196" s="40">
        <f>IF(AND(ISNUMBER($AB196),ISNUMBER($AD196),ABS($AB196)&gt;0),$AD196/$AB196,"")</f>
      </c>
      <c r="AW196" s="39">
        <f>IF(ISNUMBER($AD196),MAX(0,(1-0.55-Header!$O$3)*Header!$Q$3*$AQ196),"")</f>
      </c>
      <c r="AX196" s="43">
        <f>IF($A196="","",IF(TRIM(IF($A196="","Missing certificate ref. ","") &amp; IF($C196="","Missing effective date. ","") &amp; IF($D196="","Missing binding status. ","") &amp; IF($E196="","Missing movement type. ","") &amp; IF($I196="","Missing make. ","") &amp; IF($L196="","Missing vehicle class. ","") &amp; IF($M196="","Missing agreed value. ","") &amp; IF($N196="","Missing policy type. ","") &amp; IF($Q196="","Missing garaging state. ","") &amp; IF($R196="","Missing garaging ZIP. ","") &amp; IF($S196="","Missing cat zone. ","") &amp; IF($V196="","Missing valuation basis. ","") &amp; IF($W196="","Missing PD deductible. ","") &amp; IF($X196="","Missing liability limit. ","") &amp; IF($AB196="","Missing technical premium. ","") &amp; IF($AF196="","Missing surplus lines tax %. ",""))="","PASS","FAIL: "&amp;TRIM(IF($A196="","Missing certificate ref. ","") &amp; IF($C196="","Missing effective date. ","") &amp; IF($D196="","Missing binding status. ","") &amp; IF($E196="","Missing movement type. ","") &amp; IF($I196="","Missing make. ","") &amp; IF($L196="","Missing vehicle class. ","") &amp; IF($M196="","Missing agreed value. ","") &amp; IF($N196="","Missing policy type. ","") &amp; IF($Q196="","Missing garaging state. ","") &amp; IF($R196="","Missing garaging ZIP. ","") &amp; IF($S196="","Missing cat zone. ","") &amp; IF($V196="","Missing valuation basis. ","") &amp; IF($W196="","Missing PD deductible. ","") &amp; IF($X196="","Missing liability limit. ","") &amp; IF($AB196="","Missing technical premium. ","") &amp; IF($AF196="","Missing surplus lines tax %. ",""))))</f>
      </c>
      <c r="AY196" s="44">
        <f>IF($M196="","",IF(ISNUMBER($M196),IF($M196&gt;=Header!$C$18,"YES — refer","No"),""))</f>
      </c>
      <c r="AZ196" s="44">
        <f>IF($AD196="","",IF(ISNUMBER($AD196),IF($AD196&lt;Header!$C$20,"BELOW MIN PREMIUM","OK"),""))</f>
      </c>
      <c r="BA196" s="48" t="inlineStr">
        <is>
          <t xml:space="preserve">Yes</t>
        </is>
      </c>
      <c r="BB196" s="48" t="inlineStr">
        <is>
          <t xml:space="preserve">Yes</t>
        </is>
      </c>
      <c r="BC196" s="46" t="inlineStr">
        <is>
          <t xml:space="preserve">Synthetic demo data</t>
        </is>
      </c>
      <c r="BE196" s="45">
        <f>IF(OR($A196="",$L196="",$H196=""),"",IF(AND(LEFT($L196,2)="06",$H196&gt;1945),"FAIL - pre-war class, year "&amp;$H196,IF(AND(LEFT($L196,2)="07",OR($H196&lt;1946,$H196&gt;1972)),"FAIL - 1946-72 class, year "&amp;$H196,IF(AND(LEFT($L196,2)="08",OR($H196&lt;1973,$H196&gt;1999)),"FAIL - 1973-99 class, year "&amp;$H196,IF(AND(LEFT($L196,2)="09",OR($H196&lt;2000,$H196&gt;2010)),"FAIL - 2000-10 class, year "&amp;$H196,"OK")))))</f>
      </c>
      <c r="BF196" s="45">
        <f>IF($AD196="","",IF(ROUND($AO196+$AP196+$AQ196-$AD196,2)=0,"OK","FAIL - out by "&amp;TEXT($AO196+$AP196+$AQ196-$AD196,"$0.00")))</f>
      </c>
    </row>
    <row r="197" spans="1:58" ht="18.75" customHeight="1" x14ac:dyDescent="0.25">
      <c r="A197" s="30" t="inlineStr">
        <is>
          <t xml:space="preserve">CANON-202511-002435</t>
        </is>
      </c>
      <c r="B197" s="30" t="inlineStr">
        <is>
          <t xml:space="preserve">Fitzgerald Larsson</t>
        </is>
      </c>
      <c r="C197" s="31">
        <v>45988</v>
      </c>
      <c r="D197" s="32" t="inlineStr">
        <is>
          <t xml:space="preserve">Bound - within authority</t>
        </is>
      </c>
      <c r="E197" s="32" t="inlineStr">
        <is>
          <t xml:space="preserve">New business</t>
        </is>
      </c>
      <c r="F197" s="30" t="inlineStr">
        <is>
          <t xml:space="preserve">B1234EXOTIC26</t>
        </is>
      </c>
      <c r="G197" s="33">
        <f>IF($A197="","",IF($C197="","",YEAR($C197)))</f>
      </c>
      <c r="H197" s="34">
        <v>2015</v>
      </c>
      <c r="I197" s="30" t="inlineStr">
        <is>
          <t xml:space="preserve">Jaguar</t>
        </is>
      </c>
      <c r="J197" s="30" t="inlineStr">
        <is>
          <t xml:space="preserve">E-Type Series 1</t>
        </is>
      </c>
      <c r="K197" s="30" t="inlineStr">
        <is>
          <t xml:space="preserve">M8JKTMJZEPUGG2PMF</t>
        </is>
      </c>
      <c r="L197" s="32" t="inlineStr">
        <is>
          <t xml:space="preserve">02 - Sports / GT</t>
        </is>
      </c>
      <c r="M197" s="35">
        <v>870000</v>
      </c>
      <c r="N197" s="32" t="inlineStr">
        <is>
          <t xml:space="preserve">Personal</t>
        </is>
      </c>
      <c r="O197" s="30" t="inlineStr">
        <is>
          <t xml:space="preserve">Personal - regular use</t>
        </is>
      </c>
      <c r="P197" s="30" t="inlineStr">
        <is>
          <t xml:space="preserve">2,500 - 5,000</t>
        </is>
      </c>
      <c r="Q197" s="30" t="inlineStr">
        <is>
          <t xml:space="preserve">California</t>
        </is>
      </c>
      <c r="R197" s="30" t="inlineStr">
        <is>
          <t xml:space="preserve">90012</t>
        </is>
      </c>
      <c r="S197" s="32" t="inlineStr">
        <is>
          <t xml:space="preserve">Earthquake - high (CA, Cascadia, New Madrid)</t>
        </is>
      </c>
      <c r="T197" s="36">
        <f>IF($A197="","",IF($S197="","",IFERROR(INDEX('[1]natural catastrophe'!$D$6:$D$17,MATCH($S197,'[1]natural catastrophe'!$B$6:$B$17,0)),"?")))</f>
      </c>
      <c r="U197" s="30" t="inlineStr">
        <is>
          <t xml:space="preserve">$5,000</t>
        </is>
      </c>
      <c r="V197" s="32" t="inlineStr">
        <is>
          <t xml:space="preserve">Agreed Value</t>
        </is>
      </c>
      <c r="W197" s="30" t="inlineStr">
        <is>
          <t xml:space="preserve">$1,000</t>
        </is>
      </c>
      <c r="X197" s="32" t="inlineStr">
        <is>
          <t xml:space="preserve">$1,000,000 CSL</t>
        </is>
      </c>
      <c r="Y197" s="30"/>
      <c r="Z197" s="30"/>
      <c r="AA197" s="32" t="inlineStr">
        <is>
          <t xml:space="preserve">Surplus Lines</t>
        </is>
      </c>
      <c r="AB197" s="35">
        <v>8760.93</v>
      </c>
      <c r="AC197" s="37">
        <v>0</v>
      </c>
      <c r="AD197" s="38">
        <f>IF(ISNUMBER($AB197),$AB197*(1+N($AC197)),"")</f>
      </c>
      <c r="AE197" s="35">
        <v>350</v>
      </c>
      <c r="AF197" s="35">
        <v>0</v>
      </c>
      <c r="AG197" s="37"/>
      <c r="AH197" s="39">
        <f>IF(ISNUMBER($AD197),($AD197+$AE197+$AF197)*$AG197,"")</f>
      </c>
      <c r="AI197" s="35"/>
      <c r="AJ197" s="38">
        <f>IF(ISNUMBER($AD197),SUM($AD197:$AH197),"")</f>
      </c>
      <c r="AK197" s="40">
        <f>IF(AND(ISNUMBER($AB197),ISNUMBER($AD197)),IF($AB197&gt;0,$AD197/$AB197,""),"")</f>
      </c>
      <c r="AL197" s="32" t="inlineStr">
        <is>
          <t xml:space="preserve">At technical</t>
        </is>
      </c>
      <c r="AM197" s="41">
        <f>IF(ISNUMBER($AD197),Header!$I$3,"")</f>
      </c>
      <c r="AN197" s="39">
        <f>IF(ISNUMBER($AD197),$AO197+$AP197,"")</f>
      </c>
      <c r="AO197" s="39">
        <f>IF(ISNUMBER($AD197),ROUND($AD197*Header!$K$3,2),"")</f>
      </c>
      <c r="AP197" s="39">
        <f>IF(ISNUMBER($AD197),ROUND($AD197*Header!$M$3,2),"")</f>
      </c>
      <c r="AQ197" s="38">
        <f>IF(ISNUMBER($AD197),ROUND($AD197,2)-$AO197-$AP197,"")</f>
      </c>
      <c r="AR197" s="39">
        <f>IF(ISNUMBER($AD197),IF(Header!$D$34="","?",$AD197*Header!$D$34),"")</f>
      </c>
      <c r="AS197" s="39">
        <f>IF(ISNUMBER($AB197),IF(Header!$D$34="","?",$AB197*Header!$D$34),"")</f>
      </c>
      <c r="AT197" s="42">
        <f>IF(AND(ISNUMBER($AB197),$M197&gt;0),$AB197/$M197*100,"")</f>
      </c>
      <c r="AU197" s="42">
        <f>IF(AND(ISNUMBER($AD197),$M197&gt;0),$AD197/$M197*100,"")</f>
      </c>
      <c r="AV197" s="40">
        <f>IF(AND(ISNUMBER($AB197),ISNUMBER($AD197),ABS($AB197)&gt;0),$AD197/$AB197,"")</f>
      </c>
      <c r="AW197" s="39">
        <f>IF(ISNUMBER($AD197),MAX(0,(1-0.55-Header!$O$3)*Header!$Q$3*$AQ197),"")</f>
      </c>
      <c r="AX197" s="43">
        <f>IF($A197="","",IF(TRIM(IF($A197="","Missing certificate ref. ","") &amp; IF($C197="","Missing effective date. ","") &amp; IF($D197="","Missing binding status. ","") &amp; IF($E197="","Missing movement type. ","") &amp; IF($I197="","Missing make. ","") &amp; IF($L197="","Missing vehicle class. ","") &amp; IF($M197="","Missing agreed value. ","") &amp; IF($N197="","Missing policy type. ","") &amp; IF($Q197="","Missing garaging state. ","") &amp; IF($R197="","Missing garaging ZIP. ","") &amp; IF($S197="","Missing cat zone. ","") &amp; IF($V197="","Missing valuation basis. ","") &amp; IF($W197="","Missing PD deductible. ","") &amp; IF($X197="","Missing liability limit. ","") &amp; IF($AB197="","Missing technical premium. ","") &amp; IF($AF197="","Missing surplus lines tax %. ",""))="","PASS","FAIL: "&amp;TRIM(IF($A197="","Missing certificate ref. ","") &amp; IF($C197="","Missing effective date. ","") &amp; IF($D197="","Missing binding status. ","") &amp; IF($E197="","Missing movement type. ","") &amp; IF($I197="","Missing make. ","") &amp; IF($L197="","Missing vehicle class. ","") &amp; IF($M197="","Missing agreed value. ","") &amp; IF($N197="","Missing policy type. ","") &amp; IF($Q197="","Missing garaging state. ","") &amp; IF($R197="","Missing garaging ZIP. ","") &amp; IF($S197="","Missing cat zone. ","") &amp; IF($V197="","Missing valuation basis. ","") &amp; IF($W197="","Missing PD deductible. ","") &amp; IF($X197="","Missing liability limit. ","") &amp; IF($AB197="","Missing technical premium. ","") &amp; IF($AF197="","Missing surplus lines tax %. ",""))))</f>
      </c>
      <c r="AY197" s="44">
        <f>IF($M197="","",IF(ISNUMBER($M197),IF($M197&gt;=Header!$C$18,"YES — refer","No"),""))</f>
      </c>
      <c r="AZ197" s="44">
        <f>IF($AD197="","",IF(ISNUMBER($AD197),IF($AD197&lt;Header!$C$20,"BELOW MIN PREMIUM","OK"),""))</f>
      </c>
      <c r="BA197" s="32" t="inlineStr">
        <is>
          <t xml:space="preserve">Yes</t>
        </is>
      </c>
      <c r="BB197" s="32" t="inlineStr">
        <is>
          <t xml:space="preserve">Yes</t>
        </is>
      </c>
      <c r="BC197" s="30" t="inlineStr">
        <is>
          <t xml:space="preserve">Synthetic demo data</t>
        </is>
      </c>
      <c r="BE197" s="45">
        <f>IF(OR($A197="",$L197="",$H197=""),"",IF(AND(LEFT($L197,2)="06",$H197&gt;1945),"FAIL - pre-war class, year "&amp;$H197,IF(AND(LEFT($L197,2)="07",OR($H197&lt;1946,$H197&gt;1972)),"FAIL - 1946-72 class, year "&amp;$H197,IF(AND(LEFT($L197,2)="08",OR($H197&lt;1973,$H197&gt;1999)),"FAIL - 1973-99 class, year "&amp;$H197,IF(AND(LEFT($L197,2)="09",OR($H197&lt;2000,$H197&gt;2010)),"FAIL - 2000-10 class, year "&amp;$H197,"OK")))))</f>
      </c>
      <c r="BF197" s="45">
        <f>IF($AD197="","",IF(ROUND($AO197+$AP197+$AQ197-$AD197,2)=0,"OK","FAIL - out by "&amp;TEXT($AO197+$AP197+$AQ197-$AD197,"$0.00")))</f>
      </c>
    </row>
    <row r="198" spans="1:58" ht="18.75" customHeight="1" x14ac:dyDescent="0.25">
      <c r="A198" s="46" t="inlineStr">
        <is>
          <t xml:space="preserve">CANON-202511-002436</t>
        </is>
      </c>
      <c r="B198" s="46" t="inlineStr">
        <is>
          <t xml:space="preserve">Callum Farkas</t>
        </is>
      </c>
      <c r="C198" s="47">
        <v>45977</v>
      </c>
      <c r="D198" s="48" t="inlineStr">
        <is>
          <t xml:space="preserve">Bound - within authority</t>
        </is>
      </c>
      <c r="E198" s="48" t="inlineStr">
        <is>
          <t xml:space="preserve">New business</t>
        </is>
      </c>
      <c r="F198" s="46" t="inlineStr">
        <is>
          <t xml:space="preserve">B1234EXOTIC26</t>
        </is>
      </c>
      <c r="G198" s="33">
        <f>IF($A198="","",IF($C198="","",YEAR($C198)))</f>
      </c>
      <c r="H198" s="49">
        <v>1956</v>
      </c>
      <c r="I198" s="46" t="inlineStr">
        <is>
          <t xml:space="preserve">Mercedes-Benz</t>
        </is>
      </c>
      <c r="J198" s="46" t="inlineStr">
        <is>
          <t xml:space="preserve">280SL Pagoda</t>
        </is>
      </c>
      <c r="K198" s="46" t="inlineStr">
        <is>
          <t xml:space="preserve">8X1780AZDM3YUPWTJ</t>
        </is>
      </c>
      <c r="L198" s="48" t="inlineStr">
        <is>
          <t xml:space="preserve">07 - Post-War Classic (1946-1972)</t>
        </is>
      </c>
      <c r="M198" s="50">
        <v>995000</v>
      </c>
      <c r="N198" s="48" t="inlineStr">
        <is>
          <t xml:space="preserve">Personal</t>
        </is>
      </c>
      <c r="O198" s="46" t="inlineStr">
        <is>
          <t xml:space="preserve">Personal - regular use</t>
        </is>
      </c>
      <c r="P198" s="46" t="inlineStr">
        <is>
          <t xml:space="preserve">2,500 - 5,000</t>
        </is>
      </c>
      <c r="Q198" s="46" t="inlineStr">
        <is>
          <t xml:space="preserve">Oklahoma</t>
        </is>
      </c>
      <c r="R198" s="46" t="inlineStr">
        <is>
          <t xml:space="preserve">73102</t>
        </is>
      </c>
      <c r="S198" s="48" t="inlineStr">
        <is>
          <t xml:space="preserve">Severe convective - hail alley (high)</t>
        </is>
      </c>
      <c r="T198" s="36">
        <f>IF($A198="","",IF($S198="","",IFERROR(INDEX('[1]natural catastrophe'!$D$6:$D$17,MATCH($S198,'[1]natural catastrophe'!$B$6:$B$17,0)),"?")))</f>
      </c>
      <c r="U198" s="46" t="inlineStr">
        <is>
          <t xml:space="preserve">$5,000</t>
        </is>
      </c>
      <c r="V198" s="48" t="inlineStr">
        <is>
          <t xml:space="preserve">Agreed Value</t>
        </is>
      </c>
      <c r="W198" s="46" t="inlineStr">
        <is>
          <t xml:space="preserve">$1,000</t>
        </is>
      </c>
      <c r="X198" s="48" t="inlineStr">
        <is>
          <t xml:space="preserve">$1,000,000 CSL</t>
        </is>
      </c>
      <c r="Y198" s="46"/>
      <c r="Z198" s="46"/>
      <c r="AA198" s="48" t="inlineStr">
        <is>
          <t xml:space="preserve">Surplus Lines</t>
        </is>
      </c>
      <c r="AB198" s="50">
        <v>9351.7</v>
      </c>
      <c r="AC198" s="51">
        <v>0</v>
      </c>
      <c r="AD198" s="38">
        <f>IF(ISNUMBER($AB198),$AB198*(1+N($AC198)),"")</f>
      </c>
      <c r="AE198" s="50">
        <v>350</v>
      </c>
      <c r="AF198" s="50">
        <v>0</v>
      </c>
      <c r="AG198" s="51"/>
      <c r="AH198" s="39">
        <f>IF(ISNUMBER($AD198),($AD198+$AE198+$AF198)*$AG198,"")</f>
      </c>
      <c r="AI198" s="50"/>
      <c r="AJ198" s="38">
        <f>IF(ISNUMBER($AD198),SUM($AD198:$AH198),"")</f>
      </c>
      <c r="AK198" s="40">
        <f>IF(AND(ISNUMBER($AB198),ISNUMBER($AD198)),IF($AB198&gt;0,$AD198/$AB198,""),"")</f>
      </c>
      <c r="AL198" s="48" t="inlineStr">
        <is>
          <t xml:space="preserve">At technical</t>
        </is>
      </c>
      <c r="AM198" s="41">
        <f>IF(ISNUMBER($AD198),Header!$I$3,"")</f>
      </c>
      <c r="AN198" s="39">
        <f>IF(ISNUMBER($AD198),$AO198+$AP198,"")</f>
      </c>
      <c r="AO198" s="39">
        <f>IF(ISNUMBER($AD198),ROUND($AD198*Header!$K$3,2),"")</f>
      </c>
      <c r="AP198" s="39">
        <f>IF(ISNUMBER($AD198),ROUND($AD198*Header!$M$3,2),"")</f>
      </c>
      <c r="AQ198" s="38">
        <f>IF(ISNUMBER($AD198),ROUND($AD198,2)-$AO198-$AP198,"")</f>
      </c>
      <c r="AR198" s="39">
        <f>IF(ISNUMBER($AD198),IF(Header!$D$34="","?",$AD198*Header!$D$34),"")</f>
      </c>
      <c r="AS198" s="39">
        <f>IF(ISNUMBER($AB198),IF(Header!$D$34="","?",$AB198*Header!$D$34),"")</f>
      </c>
      <c r="AT198" s="42">
        <f>IF(AND(ISNUMBER($AB198),$M198&gt;0),$AB198/$M198*100,"")</f>
      </c>
      <c r="AU198" s="42">
        <f>IF(AND(ISNUMBER($AD198),$M198&gt;0),$AD198/$M198*100,"")</f>
      </c>
      <c r="AV198" s="40">
        <f>IF(AND(ISNUMBER($AB198),ISNUMBER($AD198),ABS($AB198)&gt;0),$AD198/$AB198,"")</f>
      </c>
      <c r="AW198" s="39">
        <f>IF(ISNUMBER($AD198),MAX(0,(1-0.55-Header!$O$3)*Header!$Q$3*$AQ198),"")</f>
      </c>
      <c r="AX198" s="43">
        <f>IF($A198="","",IF(TRIM(IF($A198="","Missing certificate ref. ","") &amp; IF($C198="","Missing effective date. ","") &amp; IF($D198="","Missing binding status. ","") &amp; IF($E198="","Missing movement type. ","") &amp; IF($I198="","Missing make. ","") &amp; IF($L198="","Missing vehicle class. ","") &amp; IF($M198="","Missing agreed value. ","") &amp; IF($N198="","Missing policy type. ","") &amp; IF($Q198="","Missing garaging state. ","") &amp; IF($R198="","Missing garaging ZIP. ","") &amp; IF($S198="","Missing cat zone. ","") &amp; IF($V198="","Missing valuation basis. ","") &amp; IF($W198="","Missing PD deductible. ","") &amp; IF($X198="","Missing liability limit. ","") &amp; IF($AB198="","Missing technical premium. ","") &amp; IF($AF198="","Missing surplus lines tax %. ",""))="","PASS","FAIL: "&amp;TRIM(IF($A198="","Missing certificate ref. ","") &amp; IF($C198="","Missing effective date. ","") &amp; IF($D198="","Missing binding status. ","") &amp; IF($E198="","Missing movement type. ","") &amp; IF($I198="","Missing make. ","") &amp; IF($L198="","Missing vehicle class. ","") &amp; IF($M198="","Missing agreed value. ","") &amp; IF($N198="","Missing policy type. ","") &amp; IF($Q198="","Missing garaging state. ","") &amp; IF($R198="","Missing garaging ZIP. ","") &amp; IF($S198="","Missing cat zone. ","") &amp; IF($V198="","Missing valuation basis. ","") &amp; IF($W198="","Missing PD deductible. ","") &amp; IF($X198="","Missing liability limit. ","") &amp; IF($AB198="","Missing technical premium. ","") &amp; IF($AF198="","Missing surplus lines tax %. ",""))))</f>
      </c>
      <c r="AY198" s="44">
        <f>IF($M198="","",IF(ISNUMBER($M198),IF($M198&gt;=Header!$C$18,"YES — refer","No"),""))</f>
      </c>
      <c r="AZ198" s="44">
        <f>IF($AD198="","",IF(ISNUMBER($AD198),IF($AD198&lt;Header!$C$20,"BELOW MIN PREMIUM","OK"),""))</f>
      </c>
      <c r="BA198" s="48" t="inlineStr">
        <is>
          <t xml:space="preserve">Yes</t>
        </is>
      </c>
      <c r="BB198" s="48" t="inlineStr">
        <is>
          <t xml:space="preserve">Yes</t>
        </is>
      </c>
      <c r="BC198" s="46" t="inlineStr">
        <is>
          <t xml:space="preserve">Synthetic demo data</t>
        </is>
      </c>
      <c r="BE198" s="45">
        <f>IF(OR($A198="",$L198="",$H198=""),"",IF(AND(LEFT($L198,2)="06",$H198&gt;1945),"FAIL - pre-war class, year "&amp;$H198,IF(AND(LEFT($L198,2)="07",OR($H198&lt;1946,$H198&gt;1972)),"FAIL - 1946-72 class, year "&amp;$H198,IF(AND(LEFT($L198,2)="08",OR($H198&lt;1973,$H198&gt;1999)),"FAIL - 1973-99 class, year "&amp;$H198,IF(AND(LEFT($L198,2)="09",OR($H198&lt;2000,$H198&gt;2010)),"FAIL - 2000-10 class, year "&amp;$H198,"OK")))))</f>
      </c>
      <c r="BF198" s="45">
        <f>IF($AD198="","",IF(ROUND($AO198+$AP198+$AQ198-$AD198,2)=0,"OK","FAIL - out by "&amp;TEXT($AO198+$AP198+$AQ198-$AD198,"$0.00")))</f>
      </c>
    </row>
    <row r="199" spans="1:58" ht="18.75" customHeight="1" x14ac:dyDescent="0.25">
      <c r="A199" s="30" t="inlineStr">
        <is>
          <t xml:space="preserve">CANON-202511-002437</t>
        </is>
      </c>
      <c r="B199" s="30" t="inlineStr">
        <is>
          <t xml:space="preserve">Saoirse Thistlewood</t>
        </is>
      </c>
      <c r="C199" s="31">
        <v>45978</v>
      </c>
      <c r="D199" s="32" t="inlineStr">
        <is>
          <t xml:space="preserve">Bound - within authority</t>
        </is>
      </c>
      <c r="E199" s="32" t="inlineStr">
        <is>
          <t xml:space="preserve">New business</t>
        </is>
      </c>
      <c r="F199" s="30" t="inlineStr">
        <is>
          <t xml:space="preserve">B1234EXOTIC26</t>
        </is>
      </c>
      <c r="G199" s="33">
        <f>IF($A199="","",IF($C199="","",YEAR($C199)))</f>
      </c>
      <c r="H199" s="34">
        <v>1962</v>
      </c>
      <c r="I199" s="30" t="inlineStr">
        <is>
          <t xml:space="preserve">Aston Martin</t>
        </is>
      </c>
      <c r="J199" s="30" t="inlineStr">
        <is>
          <t xml:space="preserve">DB12</t>
        </is>
      </c>
      <c r="K199" s="30" t="inlineStr">
        <is>
          <t xml:space="preserve">MC86W79GC9JBT37D3</t>
        </is>
      </c>
      <c r="L199" s="32" t="inlineStr">
        <is>
          <t xml:space="preserve">02 - Sports / GT</t>
        </is>
      </c>
      <c r="M199" s="35">
        <v>635000</v>
      </c>
      <c r="N199" s="32" t="inlineStr">
        <is>
          <t xml:space="preserve">Personal</t>
        </is>
      </c>
      <c r="O199" s="30" t="inlineStr">
        <is>
          <t xml:space="preserve">Personal - regular use</t>
        </is>
      </c>
      <c r="P199" s="30" t="inlineStr">
        <is>
          <t xml:space="preserve">1,000 - 2,500</t>
        </is>
      </c>
      <c r="Q199" s="30" t="inlineStr">
        <is>
          <t xml:space="preserve">Nebraska</t>
        </is>
      </c>
      <c r="R199" s="30" t="inlineStr">
        <is>
          <t xml:space="preserve">68102</t>
        </is>
      </c>
      <c r="S199" s="32" t="inlineStr">
        <is>
          <t xml:space="preserve">Severe convective - hail alley (high)</t>
        </is>
      </c>
      <c r="T199" s="36">
        <f>IF($A199="","",IF($S199="","",IFERROR(INDEX('[1]natural catastrophe'!$D$6:$D$17,MATCH($S199,'[1]natural catastrophe'!$B$6:$B$17,0)),"?")))</f>
      </c>
      <c r="U199" s="30" t="inlineStr">
        <is>
          <t xml:space="preserve">$5,000</t>
        </is>
      </c>
      <c r="V199" s="32" t="inlineStr">
        <is>
          <t xml:space="preserve">Agreed Value</t>
        </is>
      </c>
      <c r="W199" s="30" t="inlineStr">
        <is>
          <t xml:space="preserve">$1,000</t>
        </is>
      </c>
      <c r="X199" s="32" t="inlineStr">
        <is>
          <t xml:space="preserve">$1,000,000 CSL</t>
        </is>
      </c>
      <c r="Y199" s="30"/>
      <c r="Z199" s="30"/>
      <c r="AA199" s="32" t="inlineStr">
        <is>
          <t xml:space="preserve">Surplus Lines</t>
        </is>
      </c>
      <c r="AB199" s="35">
        <v>9308.06</v>
      </c>
      <c r="AC199" s="37">
        <v>0</v>
      </c>
      <c r="AD199" s="38">
        <f>IF(ISNUMBER($AB199),$AB199*(1+N($AC199)),"")</f>
      </c>
      <c r="AE199" s="35">
        <v>350</v>
      </c>
      <c r="AF199" s="35">
        <v>0</v>
      </c>
      <c r="AG199" s="37"/>
      <c r="AH199" s="39">
        <f>IF(ISNUMBER($AD199),($AD199+$AE199+$AF199)*$AG199,"")</f>
      </c>
      <c r="AI199" s="35"/>
      <c r="AJ199" s="38">
        <f>IF(ISNUMBER($AD199),SUM($AD199:$AH199),"")</f>
      </c>
      <c r="AK199" s="40">
        <f>IF(AND(ISNUMBER($AB199),ISNUMBER($AD199)),IF($AB199&gt;0,$AD199/$AB199,""),"")</f>
      </c>
      <c r="AL199" s="32" t="inlineStr">
        <is>
          <t xml:space="preserve">At technical</t>
        </is>
      </c>
      <c r="AM199" s="41">
        <f>IF(ISNUMBER($AD199),Header!$I$3,"")</f>
      </c>
      <c r="AN199" s="39">
        <f>IF(ISNUMBER($AD199),$AO199+$AP199,"")</f>
      </c>
      <c r="AO199" s="39">
        <f>IF(ISNUMBER($AD199),ROUND($AD199*Header!$K$3,2),"")</f>
      </c>
      <c r="AP199" s="39">
        <f>IF(ISNUMBER($AD199),ROUND($AD199*Header!$M$3,2),"")</f>
      </c>
      <c r="AQ199" s="38">
        <f>IF(ISNUMBER($AD199),ROUND($AD199,2)-$AO199-$AP199,"")</f>
      </c>
      <c r="AR199" s="39">
        <f>IF(ISNUMBER($AD199),IF(Header!$D$34="","?",$AD199*Header!$D$34),"")</f>
      </c>
      <c r="AS199" s="39">
        <f>IF(ISNUMBER($AB199),IF(Header!$D$34="","?",$AB199*Header!$D$34),"")</f>
      </c>
      <c r="AT199" s="42">
        <f>IF(AND(ISNUMBER($AB199),$M199&gt;0),$AB199/$M199*100,"")</f>
      </c>
      <c r="AU199" s="42">
        <f>IF(AND(ISNUMBER($AD199),$M199&gt;0),$AD199/$M199*100,"")</f>
      </c>
      <c r="AV199" s="40">
        <f>IF(AND(ISNUMBER($AB199),ISNUMBER($AD199),ABS($AB199)&gt;0),$AD199/$AB199,"")</f>
      </c>
      <c r="AW199" s="39">
        <f>IF(ISNUMBER($AD199),MAX(0,(1-0.55-Header!$O$3)*Header!$Q$3*$AQ199),"")</f>
      </c>
      <c r="AX199" s="43">
        <f>IF($A199="","",IF(TRIM(IF($A199="","Missing certificate ref. ","") &amp; IF($C199="","Missing effective date. ","") &amp; IF($D199="","Missing binding status. ","") &amp; IF($E199="","Missing movement type. ","") &amp; IF($I199="","Missing make. ","") &amp; IF($L199="","Missing vehicle class. ","") &amp; IF($M199="","Missing agreed value. ","") &amp; IF($N199="","Missing policy type. ","") &amp; IF($Q199="","Missing garaging state. ","") &amp; IF($R199="","Missing garaging ZIP. ","") &amp; IF($S199="","Missing cat zone. ","") &amp; IF($V199="","Missing valuation basis. ","") &amp; IF($W199="","Missing PD deductible. ","") &amp; IF($X199="","Missing liability limit. ","") &amp; IF($AB199="","Missing technical premium. ","") &amp; IF($AF199="","Missing surplus lines tax %. ",""))="","PASS","FAIL: "&amp;TRIM(IF($A199="","Missing certificate ref. ","") &amp; IF($C199="","Missing effective date. ","") &amp; IF($D199="","Missing binding status. ","") &amp; IF($E199="","Missing movement type. ","") &amp; IF($I199="","Missing make. ","") &amp; IF($L199="","Missing vehicle class. ","") &amp; IF($M199="","Missing agreed value. ","") &amp; IF($N199="","Missing policy type. ","") &amp; IF($Q199="","Missing garaging state. ","") &amp; IF($R199="","Missing garaging ZIP. ","") &amp; IF($S199="","Missing cat zone. ","") &amp; IF($V199="","Missing valuation basis. ","") &amp; IF($W199="","Missing PD deductible. ","") &amp; IF($X199="","Missing liability limit. ","") &amp; IF($AB199="","Missing technical premium. ","") &amp; IF($AF199="","Missing surplus lines tax %. ",""))))</f>
      </c>
      <c r="AY199" s="44">
        <f>IF($M199="","",IF(ISNUMBER($M199),IF($M199&gt;=Header!$C$18,"YES — refer","No"),""))</f>
      </c>
      <c r="AZ199" s="44">
        <f>IF($AD199="","",IF(ISNUMBER($AD199),IF($AD199&lt;Header!$C$20,"BELOW MIN PREMIUM","OK"),""))</f>
      </c>
      <c r="BA199" s="32" t="inlineStr">
        <is>
          <t xml:space="preserve">Yes</t>
        </is>
      </c>
      <c r="BB199" s="32" t="inlineStr">
        <is>
          <t xml:space="preserve">Yes</t>
        </is>
      </c>
      <c r="BC199" s="30" t="inlineStr">
        <is>
          <t xml:space="preserve">Synthetic demo data</t>
        </is>
      </c>
      <c r="BE199" s="45">
        <f>IF(OR($A199="",$L199="",$H199=""),"",IF(AND(LEFT($L199,2)="06",$H199&gt;1945),"FAIL - pre-war class, year "&amp;$H199,IF(AND(LEFT($L199,2)="07",OR($H199&lt;1946,$H199&gt;1972)),"FAIL - 1946-72 class, year "&amp;$H199,IF(AND(LEFT($L199,2)="08",OR($H199&lt;1973,$H199&gt;1999)),"FAIL - 1973-99 class, year "&amp;$H199,IF(AND(LEFT($L199,2)="09",OR($H199&lt;2000,$H199&gt;2010)),"FAIL - 2000-10 class, year "&amp;$H199,"OK")))))</f>
      </c>
      <c r="BF199" s="45">
        <f>IF($AD199="","",IF(ROUND($AO199+$AP199+$AQ199-$AD199,2)=0,"OK","FAIL - out by "&amp;TEXT($AO199+$AP199+$AQ199-$AD199,"$0.00")))</f>
      </c>
    </row>
    <row r="200" spans="1:58" ht="18.75" customHeight="1" x14ac:dyDescent="0.25">
      <c r="A200" s="46" t="inlineStr">
        <is>
          <t xml:space="preserve">CANON-202511-002438</t>
        </is>
      </c>
      <c r="B200" s="46" t="inlineStr">
        <is>
          <t xml:space="preserve">Everett Fairweather</t>
        </is>
      </c>
      <c r="C200" s="47">
        <v>45977</v>
      </c>
      <c r="D200" s="48" t="inlineStr">
        <is>
          <t xml:space="preserve">Bound - within authority</t>
        </is>
      </c>
      <c r="E200" s="48" t="inlineStr">
        <is>
          <t xml:space="preserve">New business</t>
        </is>
      </c>
      <c r="F200" s="46" t="inlineStr">
        <is>
          <t xml:space="preserve">B1234EXOTIC26</t>
        </is>
      </c>
      <c r="G200" s="33">
        <f>IF($A200="","",IF($C200="","",YEAR($C200)))</f>
      </c>
      <c r="H200" s="49">
        <v>1991</v>
      </c>
      <c r="I200" s="46" t="inlineStr">
        <is>
          <t xml:space="preserve">Aston Martin</t>
        </is>
      </c>
      <c r="J200" s="46" t="inlineStr">
        <is>
          <t xml:space="preserve">DB5</t>
        </is>
      </c>
      <c r="K200" s="46" t="inlineStr">
        <is>
          <t xml:space="preserve">JPVUED7MCCNMN9G1M</t>
        </is>
      </c>
      <c r="L200" s="48" t="inlineStr">
        <is>
          <t xml:space="preserve">08 - Modern Classic (1973-1999)</t>
        </is>
      </c>
      <c r="M200" s="50">
        <v>610000</v>
      </c>
      <c r="N200" s="48" t="inlineStr">
        <is>
          <t xml:space="preserve">Personal</t>
        </is>
      </c>
      <c r="O200" s="46" t="inlineStr">
        <is>
          <t xml:space="preserve">Personal - regular use</t>
        </is>
      </c>
      <c r="P200" s="46" t="inlineStr">
        <is>
          <t xml:space="preserve">Under 1,000</t>
        </is>
      </c>
      <c r="Q200" s="46" t="inlineStr">
        <is>
          <t xml:space="preserve">Missouri</t>
        </is>
      </c>
      <c r="R200" s="46" t="inlineStr">
        <is>
          <t xml:space="preserve">63101</t>
        </is>
      </c>
      <c r="S200" s="48" t="inlineStr">
        <is>
          <t xml:space="preserve">Severe convective - hail / tornado (moderate)</t>
        </is>
      </c>
      <c r="T200" s="36">
        <f>IF($A200="","",IF($S200="","",IFERROR(INDEX('[1]natural catastrophe'!$D$6:$D$17,MATCH($S200,'[1]natural catastrophe'!$B$6:$B$17,0)),"?")))</f>
      </c>
      <c r="U200" s="46" t="inlineStr">
        <is>
          <t xml:space="preserve">$5,000</t>
        </is>
      </c>
      <c r="V200" s="48" t="inlineStr">
        <is>
          <t xml:space="preserve">Agreed Value</t>
        </is>
      </c>
      <c r="W200" s="46" t="inlineStr">
        <is>
          <t xml:space="preserve">$1,000</t>
        </is>
      </c>
      <c r="X200" s="48" t="inlineStr">
        <is>
          <t xml:space="preserve">$1,000,000 CSL</t>
        </is>
      </c>
      <c r="Y200" s="46"/>
      <c r="Z200" s="46"/>
      <c r="AA200" s="48" t="inlineStr">
        <is>
          <t xml:space="preserve">Surplus Lines</t>
        </is>
      </c>
      <c r="AB200" s="50">
        <v>4823.17</v>
      </c>
      <c r="AC200" s="51">
        <v>0</v>
      </c>
      <c r="AD200" s="38">
        <f>IF(ISNUMBER($AB200),$AB200*(1+N($AC200)),"")</f>
      </c>
      <c r="AE200" s="50">
        <v>350</v>
      </c>
      <c r="AF200" s="50">
        <v>0</v>
      </c>
      <c r="AG200" s="51"/>
      <c r="AH200" s="39">
        <f>IF(ISNUMBER($AD200),($AD200+$AE200+$AF200)*$AG200,"")</f>
      </c>
      <c r="AI200" s="50"/>
      <c r="AJ200" s="38">
        <f>IF(ISNUMBER($AD200),SUM($AD200:$AH200),"")</f>
      </c>
      <c r="AK200" s="40">
        <f>IF(AND(ISNUMBER($AB200),ISNUMBER($AD200)),IF($AB200&gt;0,$AD200/$AB200,""),"")</f>
      </c>
      <c r="AL200" s="48" t="inlineStr">
        <is>
          <t xml:space="preserve">At technical</t>
        </is>
      </c>
      <c r="AM200" s="41">
        <f>IF(ISNUMBER($AD200),Header!$I$3,"")</f>
      </c>
      <c r="AN200" s="39">
        <f>IF(ISNUMBER($AD200),$AO200+$AP200,"")</f>
      </c>
      <c r="AO200" s="39">
        <f>IF(ISNUMBER($AD200),ROUND($AD200*Header!$K$3,2),"")</f>
      </c>
      <c r="AP200" s="39">
        <f>IF(ISNUMBER($AD200),ROUND($AD200*Header!$M$3,2),"")</f>
      </c>
      <c r="AQ200" s="38">
        <f>IF(ISNUMBER($AD200),ROUND($AD200,2)-$AO200-$AP200,"")</f>
      </c>
      <c r="AR200" s="39">
        <f>IF(ISNUMBER($AD200),IF(Header!$D$34="","?",$AD200*Header!$D$34),"")</f>
      </c>
      <c r="AS200" s="39">
        <f>IF(ISNUMBER($AB200),IF(Header!$D$34="","?",$AB200*Header!$D$34),"")</f>
      </c>
      <c r="AT200" s="42">
        <f>IF(AND(ISNUMBER($AB200),$M200&gt;0),$AB200/$M200*100,"")</f>
      </c>
      <c r="AU200" s="42">
        <f>IF(AND(ISNUMBER($AD200),$M200&gt;0),$AD200/$M200*100,"")</f>
      </c>
      <c r="AV200" s="40">
        <f>IF(AND(ISNUMBER($AB200),ISNUMBER($AD200),ABS($AB200)&gt;0),$AD200/$AB200,"")</f>
      </c>
      <c r="AW200" s="39">
        <f>IF(ISNUMBER($AD200),MAX(0,(1-0.55-Header!$O$3)*Header!$Q$3*$AQ200),"")</f>
      </c>
      <c r="AX200" s="43">
        <f>IF($A200="","",IF(TRIM(IF($A200="","Missing certificate ref. ","") &amp; IF($C200="","Missing effective date. ","") &amp; IF($D200="","Missing binding status. ","") &amp; IF($E200="","Missing movement type. ","") &amp; IF($I200="","Missing make. ","") &amp; IF($L200="","Missing vehicle class. ","") &amp; IF($M200="","Missing agreed value. ","") &amp; IF($N200="","Missing policy type. ","") &amp; IF($Q200="","Missing garaging state. ","") &amp; IF($R200="","Missing garaging ZIP. ","") &amp; IF($S200="","Missing cat zone. ","") &amp; IF($V200="","Missing valuation basis. ","") &amp; IF($W200="","Missing PD deductible. ","") &amp; IF($X200="","Missing liability limit. ","") &amp; IF($AB200="","Missing technical premium. ","") &amp; IF($AF200="","Missing surplus lines tax %. ",""))="","PASS","FAIL: "&amp;TRIM(IF($A200="","Missing certificate ref. ","") &amp; IF($C200="","Missing effective date. ","") &amp; IF($D200="","Missing binding status. ","") &amp; IF($E200="","Missing movement type. ","") &amp; IF($I200="","Missing make. ","") &amp; IF($L200="","Missing vehicle class. ","") &amp; IF($M200="","Missing agreed value. ","") &amp; IF($N200="","Missing policy type. ","") &amp; IF($Q200="","Missing garaging state. ","") &amp; IF($R200="","Missing garaging ZIP. ","") &amp; IF($S200="","Missing cat zone. ","") &amp; IF($V200="","Missing valuation basis. ","") &amp; IF($W200="","Missing PD deductible. ","") &amp; IF($X200="","Missing liability limit. ","") &amp; IF($AB200="","Missing technical premium. ","") &amp; IF($AF200="","Missing surplus lines tax %. ",""))))</f>
      </c>
      <c r="AY200" s="44">
        <f>IF($M200="","",IF(ISNUMBER($M200),IF($M200&gt;=Header!$C$18,"YES — refer","No"),""))</f>
      </c>
      <c r="AZ200" s="44">
        <f>IF($AD200="","",IF(ISNUMBER($AD200),IF($AD200&lt;Header!$C$20,"BELOW MIN PREMIUM","OK"),""))</f>
      </c>
      <c r="BA200" s="48" t="inlineStr">
        <is>
          <t xml:space="preserve">Yes</t>
        </is>
      </c>
      <c r="BB200" s="48" t="inlineStr">
        <is>
          <t xml:space="preserve">Yes</t>
        </is>
      </c>
      <c r="BC200" s="46" t="inlineStr">
        <is>
          <t xml:space="preserve">Synthetic demo data</t>
        </is>
      </c>
      <c r="BE200" s="45">
        <f>IF(OR($A200="",$L200="",$H200=""),"",IF(AND(LEFT($L200,2)="06",$H200&gt;1945),"FAIL - pre-war class, year "&amp;$H200,IF(AND(LEFT($L200,2)="07",OR($H200&lt;1946,$H200&gt;1972)),"FAIL - 1946-72 class, year "&amp;$H200,IF(AND(LEFT($L200,2)="08",OR($H200&lt;1973,$H200&gt;1999)),"FAIL - 1973-99 class, year "&amp;$H200,IF(AND(LEFT($L200,2)="09",OR($H200&lt;2000,$H200&gt;2010)),"FAIL - 2000-10 class, year "&amp;$H200,"OK")))))</f>
      </c>
      <c r="BF200" s="45">
        <f>IF($AD200="","",IF(ROUND($AO200+$AP200+$AQ200-$AD200,2)=0,"OK","FAIL - out by "&amp;TEXT($AO200+$AP200+$AQ200-$AD200,"$0.00")))</f>
      </c>
    </row>
    <row r="201" spans="1:58" ht="18.75" customHeight="1" x14ac:dyDescent="0.25">
      <c r="A201" s="30" t="inlineStr">
        <is>
          <t xml:space="preserve">CANON-202511-002439</t>
        </is>
      </c>
      <c r="B201" s="30" t="inlineStr">
        <is>
          <t xml:space="preserve">Lorenzo Chattopadhyay</t>
        </is>
      </c>
      <c r="C201" s="31">
        <v>45974</v>
      </c>
      <c r="D201" s="32" t="inlineStr">
        <is>
          <t xml:space="preserve">Bound - within authority</t>
        </is>
      </c>
      <c r="E201" s="32" t="inlineStr">
        <is>
          <t xml:space="preserve">New business</t>
        </is>
      </c>
      <c r="F201" s="30" t="inlineStr">
        <is>
          <t xml:space="preserve">B1234EXOTIC26</t>
        </is>
      </c>
      <c r="G201" s="33">
        <f>IF($A201="","",IF($C201="","",YEAR($C201)))</f>
      </c>
      <c r="H201" s="34">
        <v>1965</v>
      </c>
      <c r="I201" s="30" t="inlineStr">
        <is>
          <t xml:space="preserve">Bentley</t>
        </is>
      </c>
      <c r="J201" s="30" t="inlineStr">
        <is>
          <t xml:space="preserve">Continental GT</t>
        </is>
      </c>
      <c r="K201" s="30" t="inlineStr">
        <is>
          <t xml:space="preserve">7BY0GEZNVA3L0EJJF</t>
        </is>
      </c>
      <c r="L201" s="32" t="inlineStr">
        <is>
          <t xml:space="preserve">02 - Sports / GT</t>
        </is>
      </c>
      <c r="M201" s="35">
        <v>400000</v>
      </c>
      <c r="N201" s="32" t="inlineStr">
        <is>
          <t xml:space="preserve">Personal</t>
        </is>
      </c>
      <c r="O201" s="30" t="inlineStr">
        <is>
          <t xml:space="preserve">Personal - regular use</t>
        </is>
      </c>
      <c r="P201" s="30" t="inlineStr">
        <is>
          <t xml:space="preserve">2,500 - 5,000</t>
        </is>
      </c>
      <c r="Q201" s="30" t="inlineStr">
        <is>
          <t xml:space="preserve">Colorado</t>
        </is>
      </c>
      <c r="R201" s="30" t="inlineStr">
        <is>
          <t xml:space="preserve">80202</t>
        </is>
      </c>
      <c r="S201" s="32" t="inlineStr">
        <is>
          <t xml:space="preserve">Severe convective - hail alley (high)</t>
        </is>
      </c>
      <c r="T201" s="36">
        <f>IF($A201="","",IF($S201="","",IFERROR(INDEX('[1]natural catastrophe'!$D$6:$D$17,MATCH($S201,'[1]natural catastrophe'!$B$6:$B$17,0)),"?")))</f>
      </c>
      <c r="U201" s="30" t="inlineStr">
        <is>
          <t xml:space="preserve">$5,000</t>
        </is>
      </c>
      <c r="V201" s="32" t="inlineStr">
        <is>
          <t xml:space="preserve">Agreed Value</t>
        </is>
      </c>
      <c r="W201" s="30" t="inlineStr">
        <is>
          <t xml:space="preserve">$1,000</t>
        </is>
      </c>
      <c r="X201" s="32" t="inlineStr">
        <is>
          <t xml:space="preserve">$1,000,000 CSL</t>
        </is>
      </c>
      <c r="Y201" s="30"/>
      <c r="Z201" s="30"/>
      <c r="AA201" s="32" t="inlineStr">
        <is>
          <t xml:space="preserve">Surplus Lines</t>
        </is>
      </c>
      <c r="AB201" s="35">
        <v>5724.57</v>
      </c>
      <c r="AC201" s="37">
        <v>0</v>
      </c>
      <c r="AD201" s="38">
        <f>IF(ISNUMBER($AB201),$AB201*(1+N($AC201)),"")</f>
      </c>
      <c r="AE201" s="35">
        <v>350</v>
      </c>
      <c r="AF201" s="35">
        <v>0</v>
      </c>
      <c r="AG201" s="37"/>
      <c r="AH201" s="39">
        <f>IF(ISNUMBER($AD201),($AD201+$AE201+$AF201)*$AG201,"")</f>
      </c>
      <c r="AI201" s="35"/>
      <c r="AJ201" s="38">
        <f>IF(ISNUMBER($AD201),SUM($AD201:$AH201),"")</f>
      </c>
      <c r="AK201" s="40">
        <f>IF(AND(ISNUMBER($AB201),ISNUMBER($AD201)),IF($AB201&gt;0,$AD201/$AB201,""),"")</f>
      </c>
      <c r="AL201" s="32" t="inlineStr">
        <is>
          <t xml:space="preserve">At technical</t>
        </is>
      </c>
      <c r="AM201" s="41">
        <f>IF(ISNUMBER($AD201),Header!$I$3,"")</f>
      </c>
      <c r="AN201" s="39">
        <f>IF(ISNUMBER($AD201),$AO201+$AP201,"")</f>
      </c>
      <c r="AO201" s="39">
        <f>IF(ISNUMBER($AD201),ROUND($AD201*Header!$K$3,2),"")</f>
      </c>
      <c r="AP201" s="39">
        <f>IF(ISNUMBER($AD201),ROUND($AD201*Header!$M$3,2),"")</f>
      </c>
      <c r="AQ201" s="38">
        <f>IF(ISNUMBER($AD201),ROUND($AD201,2)-$AO201-$AP201,"")</f>
      </c>
      <c r="AR201" s="39">
        <f>IF(ISNUMBER($AD201),IF(Header!$D$34="","?",$AD201*Header!$D$34),"")</f>
      </c>
      <c r="AS201" s="39">
        <f>IF(ISNUMBER($AB201),IF(Header!$D$34="","?",$AB201*Header!$D$34),"")</f>
      </c>
      <c r="AT201" s="42">
        <f>IF(AND(ISNUMBER($AB201),$M201&gt;0),$AB201/$M201*100,"")</f>
      </c>
      <c r="AU201" s="42">
        <f>IF(AND(ISNUMBER($AD201),$M201&gt;0),$AD201/$M201*100,"")</f>
      </c>
      <c r="AV201" s="40">
        <f>IF(AND(ISNUMBER($AB201),ISNUMBER($AD201),ABS($AB201)&gt;0),$AD201/$AB201,"")</f>
      </c>
      <c r="AW201" s="39">
        <f>IF(ISNUMBER($AD201),MAX(0,(1-0.55-Header!$O$3)*Header!$Q$3*$AQ201),"")</f>
      </c>
      <c r="AX201" s="43">
        <f>IF($A201="","",IF(TRIM(IF($A201="","Missing certificate ref. ","") &amp; IF($C201="","Missing effective date. ","") &amp; IF($D201="","Missing binding status. ","") &amp; IF($E201="","Missing movement type. ","") &amp; IF($I201="","Missing make. ","") &amp; IF($L201="","Missing vehicle class. ","") &amp; IF($M201="","Missing agreed value. ","") &amp; IF($N201="","Missing policy type. ","") &amp; IF($Q201="","Missing garaging state. ","") &amp; IF($R201="","Missing garaging ZIP. ","") &amp; IF($S201="","Missing cat zone. ","") &amp; IF($V201="","Missing valuation basis. ","") &amp; IF($W201="","Missing PD deductible. ","") &amp; IF($X201="","Missing liability limit. ","") &amp; IF($AB201="","Missing technical premium. ","") &amp; IF($AF201="","Missing surplus lines tax %. ",""))="","PASS","FAIL: "&amp;TRIM(IF($A201="","Missing certificate ref. ","") &amp; IF($C201="","Missing effective date. ","") &amp; IF($D201="","Missing binding status. ","") &amp; IF($E201="","Missing movement type. ","") &amp; IF($I201="","Missing make. ","") &amp; IF($L201="","Missing vehicle class. ","") &amp; IF($M201="","Missing agreed value. ","") &amp; IF($N201="","Missing policy type. ","") &amp; IF($Q201="","Missing garaging state. ","") &amp; IF($R201="","Missing garaging ZIP. ","") &amp; IF($S201="","Missing cat zone. ","") &amp; IF($V201="","Missing valuation basis. ","") &amp; IF($W201="","Missing PD deductible. ","") &amp; IF($X201="","Missing liability limit. ","") &amp; IF($AB201="","Missing technical premium. ","") &amp; IF($AF201="","Missing surplus lines tax %. ",""))))</f>
      </c>
      <c r="AY201" s="44">
        <f>IF($M201="","",IF(ISNUMBER($M201),IF($M201&gt;=Header!$C$18,"YES — refer","No"),""))</f>
      </c>
      <c r="AZ201" s="44">
        <f>IF($AD201="","",IF(ISNUMBER($AD201),IF($AD201&lt;Header!$C$20,"BELOW MIN PREMIUM","OK"),""))</f>
      </c>
      <c r="BA201" s="32" t="inlineStr">
        <is>
          <t xml:space="preserve">Yes</t>
        </is>
      </c>
      <c r="BB201" s="32" t="inlineStr">
        <is>
          <t xml:space="preserve">Yes</t>
        </is>
      </c>
      <c r="BC201" s="30" t="inlineStr">
        <is>
          <t xml:space="preserve">Synthetic demo data</t>
        </is>
      </c>
      <c r="BE201" s="45">
        <f>IF(OR($A201="",$L201="",$H201=""),"",IF(AND(LEFT($L201,2)="06",$H201&gt;1945),"FAIL - pre-war class, year "&amp;$H201,IF(AND(LEFT($L201,2)="07",OR($H201&lt;1946,$H201&gt;1972)),"FAIL - 1946-72 class, year "&amp;$H201,IF(AND(LEFT($L201,2)="08",OR($H201&lt;1973,$H201&gt;1999)),"FAIL - 1973-99 class, year "&amp;$H201,IF(AND(LEFT($L201,2)="09",OR($H201&lt;2000,$H201&gt;2010)),"FAIL - 2000-10 class, year "&amp;$H201,"OK")))))</f>
      </c>
      <c r="BF201" s="45">
        <f>IF($AD201="","",IF(ROUND($AO201+$AP201+$AQ201-$AD201,2)=0,"OK","FAIL - out by "&amp;TEXT($AO201+$AP201+$AQ201-$AD201,"$0.00")))</f>
      </c>
    </row>
    <row r="202" spans="1:58" ht="18.75" customHeight="1" x14ac:dyDescent="0.25">
      <c r="A202" s="46" t="inlineStr">
        <is>
          <t xml:space="preserve">CANON-202511-002444</t>
        </is>
      </c>
      <c r="B202" s="46" t="inlineStr">
        <is>
          <t xml:space="preserve">Fitzgerald Blackwood</t>
        </is>
      </c>
      <c r="C202" s="47">
        <v>45972</v>
      </c>
      <c r="D202" s="48" t="inlineStr">
        <is>
          <t xml:space="preserve">Bound - within authority</t>
        </is>
      </c>
      <c r="E202" s="48" t="inlineStr">
        <is>
          <t xml:space="preserve">New business</t>
        </is>
      </c>
      <c r="F202" s="46" t="inlineStr">
        <is>
          <t xml:space="preserve">B1234EXOTIC26</t>
        </is>
      </c>
      <c r="G202" s="33">
        <f>IF($A202="","",IF($C202="","",YEAR($C202)))</f>
      </c>
      <c r="H202" s="49">
        <v>2004</v>
      </c>
      <c r="I202" s="46" t="inlineStr">
        <is>
          <t xml:space="preserve">Bentley</t>
        </is>
      </c>
      <c r="J202" s="46" t="inlineStr">
        <is>
          <t xml:space="preserve">4.5 Litre</t>
        </is>
      </c>
      <c r="K202" s="46" t="inlineStr">
        <is>
          <t xml:space="preserve">RKUYM7H93V03CG1EP</t>
        </is>
      </c>
      <c r="L202" s="48" t="inlineStr">
        <is>
          <t xml:space="preserve">09 - Youngtimer / Collectible (2000-2010)</t>
        </is>
      </c>
      <c r="M202" s="50">
        <v>1250000</v>
      </c>
      <c r="N202" s="48" t="inlineStr">
        <is>
          <t xml:space="preserve">Personal</t>
        </is>
      </c>
      <c r="O202" s="46" t="inlineStr">
        <is>
          <t xml:space="preserve">Personal - regular use</t>
        </is>
      </c>
      <c r="P202" s="46" t="inlineStr">
        <is>
          <t xml:space="preserve">1,000 - 2,500</t>
        </is>
      </c>
      <c r="Q202" s="46" t="inlineStr">
        <is>
          <t xml:space="preserve">Pennsylvania</t>
        </is>
      </c>
      <c r="R202" s="46" t="inlineStr">
        <is>
          <t xml:space="preserve">19103</t>
        </is>
      </c>
      <c r="S202" s="48" t="inlineStr">
        <is>
          <t xml:space="preserve">Low hazard - inland benign</t>
        </is>
      </c>
      <c r="T202" s="36">
        <f>IF($A202="","",IF($S202="","",IFERROR(INDEX('[1]natural catastrophe'!$D$6:$D$17,MATCH($S202,'[1]natural catastrophe'!$B$6:$B$17,0)),"?")))</f>
      </c>
      <c r="U202" s="46" t="inlineStr">
        <is>
          <t xml:space="preserve">$5,000</t>
        </is>
      </c>
      <c r="V202" s="48" t="inlineStr">
        <is>
          <t xml:space="preserve">Agreed Value</t>
        </is>
      </c>
      <c r="W202" s="46" t="inlineStr">
        <is>
          <t xml:space="preserve">$1,000</t>
        </is>
      </c>
      <c r="X202" s="48" t="inlineStr">
        <is>
          <t xml:space="preserve">$1,000,000 CSL</t>
        </is>
      </c>
      <c r="Y202" s="46"/>
      <c r="Z202" s="46"/>
      <c r="AA202" s="48" t="inlineStr">
        <is>
          <t xml:space="preserve">Surplus Lines</t>
        </is>
      </c>
      <c r="AB202" s="50">
        <v>7372.55</v>
      </c>
      <c r="AC202" s="51">
        <v>0</v>
      </c>
      <c r="AD202" s="38">
        <f>IF(ISNUMBER($AB202),$AB202*(1+N($AC202)),"")</f>
      </c>
      <c r="AE202" s="50">
        <v>350</v>
      </c>
      <c r="AF202" s="50">
        <v>250</v>
      </c>
      <c r="AG202" s="51"/>
      <c r="AH202" s="39">
        <f>IF(ISNUMBER($AD202),($AD202+$AE202+$AF202)*$AG202,"")</f>
      </c>
      <c r="AI202" s="50"/>
      <c r="AJ202" s="38">
        <f>IF(ISNUMBER($AD202),SUM($AD202:$AH202),"")</f>
      </c>
      <c r="AK202" s="40">
        <f>IF(AND(ISNUMBER($AB202),ISNUMBER($AD202)),IF($AB202&gt;0,$AD202/$AB202,""),"")</f>
      </c>
      <c r="AL202" s="48" t="inlineStr">
        <is>
          <t xml:space="preserve">At technical</t>
        </is>
      </c>
      <c r="AM202" s="41">
        <f>IF(ISNUMBER($AD202),Header!$I$3,"")</f>
      </c>
      <c r="AN202" s="39">
        <f>IF(ISNUMBER($AD202),$AO202+$AP202,"")</f>
      </c>
      <c r="AO202" s="39">
        <f>IF(ISNUMBER($AD202),ROUND($AD202*Header!$K$3,2),"")</f>
      </c>
      <c r="AP202" s="39">
        <f>IF(ISNUMBER($AD202),ROUND($AD202*Header!$M$3,2),"")</f>
      </c>
      <c r="AQ202" s="38">
        <f>IF(ISNUMBER($AD202),ROUND($AD202,2)-$AO202-$AP202,"")</f>
      </c>
      <c r="AR202" s="39">
        <f>IF(ISNUMBER($AD202),IF(Header!$D$34="","?",$AD202*Header!$D$34),"")</f>
      </c>
      <c r="AS202" s="39">
        <f>IF(ISNUMBER($AB202),IF(Header!$D$34="","?",$AB202*Header!$D$34),"")</f>
      </c>
      <c r="AT202" s="42">
        <f>IF(AND(ISNUMBER($AB202),$M202&gt;0),$AB202/$M202*100,"")</f>
      </c>
      <c r="AU202" s="42">
        <f>IF(AND(ISNUMBER($AD202),$M202&gt;0),$AD202/$M202*100,"")</f>
      </c>
      <c r="AV202" s="40">
        <f>IF(AND(ISNUMBER($AB202),ISNUMBER($AD202),ABS($AB202)&gt;0),$AD202/$AB202,"")</f>
      </c>
      <c r="AW202" s="39">
        <f>IF(ISNUMBER($AD202),MAX(0,(1-0.55-Header!$O$3)*Header!$Q$3*$AQ202),"")</f>
      </c>
      <c r="AX202" s="43">
        <f>IF($A202="","",IF(TRIM(IF($A202="","Missing certificate ref. ","") &amp; IF($C202="","Missing effective date. ","") &amp; IF($D202="","Missing binding status. ","") &amp; IF($E202="","Missing movement type. ","") &amp; IF($I202="","Missing make. ","") &amp; IF($L202="","Missing vehicle class. ","") &amp; IF($M202="","Missing agreed value. ","") &amp; IF($N202="","Missing policy type. ","") &amp; IF($Q202="","Missing garaging state. ","") &amp; IF($R202="","Missing garaging ZIP. ","") &amp; IF($S202="","Missing cat zone. ","") &amp; IF($V202="","Missing valuation basis. ","") &amp; IF($W202="","Missing PD deductible. ","") &amp; IF($X202="","Missing liability limit. ","") &amp; IF($AB202="","Missing technical premium. ","") &amp; IF($AF202="","Missing surplus lines tax %. ",""))="","PASS","FAIL: "&amp;TRIM(IF($A202="","Missing certificate ref. ","") &amp; IF($C202="","Missing effective date. ","") &amp; IF($D202="","Missing binding status. ","") &amp; IF($E202="","Missing movement type. ","") &amp; IF($I202="","Missing make. ","") &amp; IF($L202="","Missing vehicle class. ","") &amp; IF($M202="","Missing agreed value. ","") &amp; IF($N202="","Missing policy type. ","") &amp; IF($Q202="","Missing garaging state. ","") &amp; IF($R202="","Missing garaging ZIP. ","") &amp; IF($S202="","Missing cat zone. ","") &amp; IF($V202="","Missing valuation basis. ","") &amp; IF($W202="","Missing PD deductible. ","") &amp; IF($X202="","Missing liability limit. ","") &amp; IF($AB202="","Missing technical premium. ","") &amp; IF($AF202="","Missing surplus lines tax %. ",""))))</f>
      </c>
      <c r="AY202" s="44">
        <f>IF($M202="","",IF(ISNUMBER($M202),IF($M202&gt;=Header!$C$18,"YES — refer","No"),""))</f>
      </c>
      <c r="AZ202" s="44">
        <f>IF($AD202="","",IF(ISNUMBER($AD202),IF($AD202&lt;Header!$C$20,"BELOW MIN PREMIUM","OK"),""))</f>
      </c>
      <c r="BA202" s="48" t="inlineStr">
        <is>
          <t xml:space="preserve">Yes</t>
        </is>
      </c>
      <c r="BB202" s="48" t="inlineStr">
        <is>
          <t xml:space="preserve">Yes</t>
        </is>
      </c>
      <c r="BC202" s="46" t="inlineStr">
        <is>
          <t xml:space="preserve">Synthetic demo data</t>
        </is>
      </c>
      <c r="BE202" s="45">
        <f>IF(OR($A202="",$L202="",$H202=""),"",IF(AND(LEFT($L202,2)="06",$H202&gt;1945),"FAIL - pre-war class, year "&amp;$H202,IF(AND(LEFT($L202,2)="07",OR($H202&lt;1946,$H202&gt;1972)),"FAIL - 1946-72 class, year "&amp;$H202,IF(AND(LEFT($L202,2)="08",OR($H202&lt;1973,$H202&gt;1999)),"FAIL - 1973-99 class, year "&amp;$H202,IF(AND(LEFT($L202,2)="09",OR($H202&lt;2000,$H202&gt;2010)),"FAIL - 2000-10 class, year "&amp;$H202,"OK")))))</f>
      </c>
      <c r="BF202" s="45">
        <f>IF($AD202="","",IF(ROUND($AO202+$AP202+$AQ202-$AD202,2)=0,"OK","FAIL - out by "&amp;TEXT($AO202+$AP202+$AQ202-$AD202,"$0.00")))</f>
      </c>
    </row>
    <row r="203" spans="1:58" ht="18.75" customHeight="1" x14ac:dyDescent="0.25">
      <c r="A203" s="30" t="inlineStr">
        <is>
          <t xml:space="preserve">CANON-202511-002445</t>
        </is>
      </c>
      <c r="B203" s="30" t="inlineStr">
        <is>
          <t xml:space="preserve">Leopold Kingsford</t>
        </is>
      </c>
      <c r="C203" s="31">
        <v>45963</v>
      </c>
      <c r="D203" s="32" t="inlineStr">
        <is>
          <t xml:space="preserve">Bound - within authority</t>
        </is>
      </c>
      <c r="E203" s="32" t="inlineStr">
        <is>
          <t xml:space="preserve">New business</t>
        </is>
      </c>
      <c r="F203" s="30" t="inlineStr">
        <is>
          <t xml:space="preserve">B1234EXOTIC26</t>
        </is>
      </c>
      <c r="G203" s="33">
        <f>IF($A203="","",IF($C203="","",YEAR($C203)))</f>
      </c>
      <c r="H203" s="34">
        <v>1979</v>
      </c>
      <c r="I203" s="30" t="inlineStr">
        <is>
          <t xml:space="preserve">Jaguar</t>
        </is>
      </c>
      <c r="J203" s="30" t="inlineStr">
        <is>
          <t xml:space="preserve">E-Type Series 1</t>
        </is>
      </c>
      <c r="K203" s="30" t="inlineStr">
        <is>
          <t xml:space="preserve">CNYJBJ0WV5TKTNURD</t>
        </is>
      </c>
      <c r="L203" s="32" t="inlineStr">
        <is>
          <t xml:space="preserve">08 - Modern Classic (1973-1999)</t>
        </is>
      </c>
      <c r="M203" s="35">
        <v>560000</v>
      </c>
      <c r="N203" s="32" t="inlineStr">
        <is>
          <t xml:space="preserve">Personal</t>
        </is>
      </c>
      <c r="O203" s="30" t="inlineStr">
        <is>
          <t xml:space="preserve">Personal - regular use</t>
        </is>
      </c>
      <c r="P203" s="30" t="inlineStr">
        <is>
          <t xml:space="preserve">1,000 - 2,500</t>
        </is>
      </c>
      <c r="Q203" s="30" t="inlineStr">
        <is>
          <t xml:space="preserve">Alaska</t>
        </is>
      </c>
      <c r="R203" s="30" t="inlineStr">
        <is>
          <t xml:space="preserve">99501</t>
        </is>
      </c>
      <c r="S203" s="32" t="inlineStr">
        <is>
          <t xml:space="preserve">Earthquake - high (CA, Cascadia, New Madrid)</t>
        </is>
      </c>
      <c r="T203" s="36">
        <f>IF($A203="","",IF($S203="","",IFERROR(INDEX('[1]natural catastrophe'!$D$6:$D$17,MATCH($S203,'[1]natural catastrophe'!$B$6:$B$17,0)),"?")))</f>
      </c>
      <c r="U203" s="30" t="inlineStr">
        <is>
          <t xml:space="preserve">$5,000</t>
        </is>
      </c>
      <c r="V203" s="32" t="inlineStr">
        <is>
          <t xml:space="preserve">Agreed Value</t>
        </is>
      </c>
      <c r="W203" s="30" t="inlineStr">
        <is>
          <t xml:space="preserve">$1,000</t>
        </is>
      </c>
      <c r="X203" s="32" t="inlineStr">
        <is>
          <t xml:space="preserve">$1,000,000 CSL</t>
        </is>
      </c>
      <c r="Y203" s="30"/>
      <c r="Z203" s="30"/>
      <c r="AA203" s="32" t="inlineStr">
        <is>
          <t xml:space="preserve">Surplus Lines</t>
        </is>
      </c>
      <c r="AB203" s="35">
        <v>4762</v>
      </c>
      <c r="AC203" s="37">
        <v>0</v>
      </c>
      <c r="AD203" s="38">
        <f>IF(ISNUMBER($AB203),$AB203*(1+N($AC203)),"")</f>
      </c>
      <c r="AE203" s="35">
        <v>350</v>
      </c>
      <c r="AF203" s="35">
        <v>0</v>
      </c>
      <c r="AG203" s="37"/>
      <c r="AH203" s="39">
        <f>IF(ISNUMBER($AD203),($AD203+$AE203+$AF203)*$AG203,"")</f>
      </c>
      <c r="AI203" s="35"/>
      <c r="AJ203" s="38">
        <f>IF(ISNUMBER($AD203),SUM($AD203:$AH203),"")</f>
      </c>
      <c r="AK203" s="40">
        <f>IF(AND(ISNUMBER($AB203),ISNUMBER($AD203)),IF($AB203&gt;0,$AD203/$AB203,""),"")</f>
      </c>
      <c r="AL203" s="32" t="inlineStr">
        <is>
          <t xml:space="preserve">At technical</t>
        </is>
      </c>
      <c r="AM203" s="41">
        <f>IF(ISNUMBER($AD203),Header!$I$3,"")</f>
      </c>
      <c r="AN203" s="39">
        <f>IF(ISNUMBER($AD203),$AO203+$AP203,"")</f>
      </c>
      <c r="AO203" s="39">
        <f>IF(ISNUMBER($AD203),ROUND($AD203*Header!$K$3,2),"")</f>
      </c>
      <c r="AP203" s="39">
        <f>IF(ISNUMBER($AD203),ROUND($AD203*Header!$M$3,2),"")</f>
      </c>
      <c r="AQ203" s="38">
        <f>IF(ISNUMBER($AD203),ROUND($AD203,2)-$AO203-$AP203,"")</f>
      </c>
      <c r="AR203" s="39">
        <f>IF(ISNUMBER($AD203),IF(Header!$D$34="","?",$AD203*Header!$D$34),"")</f>
      </c>
      <c r="AS203" s="39">
        <f>IF(ISNUMBER($AB203),IF(Header!$D$34="","?",$AB203*Header!$D$34),"")</f>
      </c>
      <c r="AT203" s="42">
        <f>IF(AND(ISNUMBER($AB203),$M203&gt;0),$AB203/$M203*100,"")</f>
      </c>
      <c r="AU203" s="42">
        <f>IF(AND(ISNUMBER($AD203),$M203&gt;0),$AD203/$M203*100,"")</f>
      </c>
      <c r="AV203" s="40">
        <f>IF(AND(ISNUMBER($AB203),ISNUMBER($AD203),ABS($AB203)&gt;0),$AD203/$AB203,"")</f>
      </c>
      <c r="AW203" s="39">
        <f>IF(ISNUMBER($AD203),MAX(0,(1-0.55-Header!$O$3)*Header!$Q$3*$AQ203),"")</f>
      </c>
      <c r="AX203" s="43">
        <f>IF($A203="","",IF(TRIM(IF($A203="","Missing certificate ref. ","") &amp; IF($C203="","Missing effective date. ","") &amp; IF($D203="","Missing binding status. ","") &amp; IF($E203="","Missing movement type. ","") &amp; IF($I203="","Missing make. ","") &amp; IF($L203="","Missing vehicle class. ","") &amp; IF($M203="","Missing agreed value. ","") &amp; IF($N203="","Missing policy type. ","") &amp; IF($Q203="","Missing garaging state. ","") &amp; IF($R203="","Missing garaging ZIP. ","") &amp; IF($S203="","Missing cat zone. ","") &amp; IF($V203="","Missing valuation basis. ","") &amp; IF($W203="","Missing PD deductible. ","") &amp; IF($X203="","Missing liability limit. ","") &amp; IF($AB203="","Missing technical premium. ","") &amp; IF($AF203="","Missing surplus lines tax %. ",""))="","PASS","FAIL: "&amp;TRIM(IF($A203="","Missing certificate ref. ","") &amp; IF($C203="","Missing effective date. ","") &amp; IF($D203="","Missing binding status. ","") &amp; IF($E203="","Missing movement type. ","") &amp; IF($I203="","Missing make. ","") &amp; IF($L203="","Missing vehicle class. ","") &amp; IF($M203="","Missing agreed value. ","") &amp; IF($N203="","Missing policy type. ","") &amp; IF($Q203="","Missing garaging state. ","") &amp; IF($R203="","Missing garaging ZIP. ","") &amp; IF($S203="","Missing cat zone. ","") &amp; IF($V203="","Missing valuation basis. ","") &amp; IF($W203="","Missing PD deductible. ","") &amp; IF($X203="","Missing liability limit. ","") &amp; IF($AB203="","Missing technical premium. ","") &amp; IF($AF203="","Missing surplus lines tax %. ",""))))</f>
      </c>
      <c r="AY203" s="44">
        <f>IF($M203="","",IF(ISNUMBER($M203),IF($M203&gt;=Header!$C$18,"YES — refer","No"),""))</f>
      </c>
      <c r="AZ203" s="44">
        <f>IF($AD203="","",IF(ISNUMBER($AD203),IF($AD203&lt;Header!$C$20,"BELOW MIN PREMIUM","OK"),""))</f>
      </c>
      <c r="BA203" s="32" t="inlineStr">
        <is>
          <t xml:space="preserve">Yes</t>
        </is>
      </c>
      <c r="BB203" s="32" t="inlineStr">
        <is>
          <t xml:space="preserve">Yes</t>
        </is>
      </c>
      <c r="BC203" s="30" t="inlineStr">
        <is>
          <t xml:space="preserve">Synthetic demo data</t>
        </is>
      </c>
      <c r="BE203" s="45">
        <f>IF(OR($A203="",$L203="",$H203=""),"",IF(AND(LEFT($L203,2)="06",$H203&gt;1945),"FAIL - pre-war class, year "&amp;$H203,IF(AND(LEFT($L203,2)="07",OR($H203&lt;1946,$H203&gt;1972)),"FAIL - 1946-72 class, year "&amp;$H203,IF(AND(LEFT($L203,2)="08",OR($H203&lt;1973,$H203&gt;1999)),"FAIL - 1973-99 class, year "&amp;$H203,IF(AND(LEFT($L203,2)="09",OR($H203&lt;2000,$H203&gt;2010)),"FAIL - 2000-10 class, year "&amp;$H203,"OK")))))</f>
      </c>
      <c r="BF203" s="45">
        <f>IF($AD203="","",IF(ROUND($AO203+$AP203+$AQ203-$AD203,2)=0,"OK","FAIL - out by "&amp;TEXT($AO203+$AP203+$AQ203-$AD203,"$0.00")))</f>
      </c>
    </row>
    <row r="204" spans="1:58" ht="18.75" customHeight="1" x14ac:dyDescent="0.25">
      <c r="A204" s="46" t="inlineStr">
        <is>
          <t xml:space="preserve">CANON-202511-002446</t>
        </is>
      </c>
      <c r="B204" s="46" t="inlineStr">
        <is>
          <t xml:space="preserve">Cassius Larsson</t>
        </is>
      </c>
      <c r="C204" s="47">
        <v>45978</v>
      </c>
      <c r="D204" s="48" t="inlineStr">
        <is>
          <t xml:space="preserve">Bound - within authority</t>
        </is>
      </c>
      <c r="E204" s="48" t="inlineStr">
        <is>
          <t xml:space="preserve">New business</t>
        </is>
      </c>
      <c r="F204" s="46" t="inlineStr">
        <is>
          <t xml:space="preserve">B1234EXOTIC26</t>
        </is>
      </c>
      <c r="G204" s="33">
        <f>IF($A204="","",IF($C204="","",YEAR($C204)))</f>
      </c>
      <c r="H204" s="49">
        <v>2000</v>
      </c>
      <c r="I204" s="46" t="inlineStr">
        <is>
          <t xml:space="preserve">Porsche</t>
        </is>
      </c>
      <c r="J204" s="46" t="inlineStr">
        <is>
          <t xml:space="preserve">911 Turbo S</t>
        </is>
      </c>
      <c r="K204" s="46" t="inlineStr">
        <is>
          <t xml:space="preserve">0Y52UCZS5RDVGJEFW</t>
        </is>
      </c>
      <c r="L204" s="48" t="inlineStr">
        <is>
          <t xml:space="preserve">02 - Sports / GT</t>
        </is>
      </c>
      <c r="M204" s="50">
        <v>625000</v>
      </c>
      <c r="N204" s="48" t="inlineStr">
        <is>
          <t xml:space="preserve">Personal</t>
        </is>
      </c>
      <c r="O204" s="46" t="inlineStr">
        <is>
          <t xml:space="preserve">Personal - regular use</t>
        </is>
      </c>
      <c r="P204" s="46" t="inlineStr">
        <is>
          <t xml:space="preserve">Under 1,000</t>
        </is>
      </c>
      <c r="Q204" s="46" t="inlineStr">
        <is>
          <t xml:space="preserve">Ohio</t>
        </is>
      </c>
      <c r="R204" s="46" t="inlineStr">
        <is>
          <t xml:space="preserve">43215</t>
        </is>
      </c>
      <c r="S204" s="48" t="inlineStr">
        <is>
          <t xml:space="preserve">Severe convective - hail / tornado (moderate)</t>
        </is>
      </c>
      <c r="T204" s="36">
        <f>IF($A204="","",IF($S204="","",IFERROR(INDEX('[1]natural catastrophe'!$D$6:$D$17,MATCH($S204,'[1]natural catastrophe'!$B$6:$B$17,0)),"?")))</f>
      </c>
      <c r="U204" s="46" t="inlineStr">
        <is>
          <t xml:space="preserve">$5,000</t>
        </is>
      </c>
      <c r="V204" s="48" t="inlineStr">
        <is>
          <t xml:space="preserve">Agreed Value</t>
        </is>
      </c>
      <c r="W204" s="46" t="inlineStr">
        <is>
          <t xml:space="preserve">$1,000</t>
        </is>
      </c>
      <c r="X204" s="48" t="inlineStr">
        <is>
          <t xml:space="preserve">$1,000,000 CSL</t>
        </is>
      </c>
      <c r="Y204" s="46"/>
      <c r="Z204" s="46"/>
      <c r="AA204" s="48" t="inlineStr">
        <is>
          <t xml:space="preserve">Surplus Lines</t>
        </is>
      </c>
      <c r="AB204" s="50">
        <v>9795.73</v>
      </c>
      <c r="AC204" s="51">
        <v>0</v>
      </c>
      <c r="AD204" s="38">
        <f>IF(ISNUMBER($AB204),$AB204*(1+N($AC204)),"")</f>
      </c>
      <c r="AE204" s="50">
        <v>350</v>
      </c>
      <c r="AF204" s="50">
        <v>0</v>
      </c>
      <c r="AG204" s="51"/>
      <c r="AH204" s="39">
        <f>IF(ISNUMBER($AD204),($AD204+$AE204+$AF204)*$AG204,"")</f>
      </c>
      <c r="AI204" s="50"/>
      <c r="AJ204" s="38">
        <f>IF(ISNUMBER($AD204),SUM($AD204:$AH204),"")</f>
      </c>
      <c r="AK204" s="40">
        <f>IF(AND(ISNUMBER($AB204),ISNUMBER($AD204)),IF($AB204&gt;0,$AD204/$AB204,""),"")</f>
      </c>
      <c r="AL204" s="48" t="inlineStr">
        <is>
          <t xml:space="preserve">At technical</t>
        </is>
      </c>
      <c r="AM204" s="41">
        <f>IF(ISNUMBER($AD204),Header!$I$3,"")</f>
      </c>
      <c r="AN204" s="39">
        <f>IF(ISNUMBER($AD204),$AO204+$AP204,"")</f>
      </c>
      <c r="AO204" s="39">
        <f>IF(ISNUMBER($AD204),ROUND($AD204*Header!$K$3,2),"")</f>
      </c>
      <c r="AP204" s="39">
        <f>IF(ISNUMBER($AD204),ROUND($AD204*Header!$M$3,2),"")</f>
      </c>
      <c r="AQ204" s="38">
        <f>IF(ISNUMBER($AD204),ROUND($AD204,2)-$AO204-$AP204,"")</f>
      </c>
      <c r="AR204" s="39">
        <f>IF(ISNUMBER($AD204),IF(Header!$D$34="","?",$AD204*Header!$D$34),"")</f>
      </c>
      <c r="AS204" s="39">
        <f>IF(ISNUMBER($AB204),IF(Header!$D$34="","?",$AB204*Header!$D$34),"")</f>
      </c>
      <c r="AT204" s="42">
        <f>IF(AND(ISNUMBER($AB204),$M204&gt;0),$AB204/$M204*100,"")</f>
      </c>
      <c r="AU204" s="42">
        <f>IF(AND(ISNUMBER($AD204),$M204&gt;0),$AD204/$M204*100,"")</f>
      </c>
      <c r="AV204" s="40">
        <f>IF(AND(ISNUMBER($AB204),ISNUMBER($AD204),ABS($AB204)&gt;0),$AD204/$AB204,"")</f>
      </c>
      <c r="AW204" s="39">
        <f>IF(ISNUMBER($AD204),MAX(0,(1-0.55-Header!$O$3)*Header!$Q$3*$AQ204),"")</f>
      </c>
      <c r="AX204" s="43">
        <f>IF($A204="","",IF(TRIM(IF($A204="","Missing certificate ref. ","") &amp; IF($C204="","Missing effective date. ","") &amp; IF($D204="","Missing binding status. ","") &amp; IF($E204="","Missing movement type. ","") &amp; IF($I204="","Missing make. ","") &amp; IF($L204="","Missing vehicle class. ","") &amp; IF($M204="","Missing agreed value. ","") &amp; IF($N204="","Missing policy type. ","") &amp; IF($Q204="","Missing garaging state. ","") &amp; IF($R204="","Missing garaging ZIP. ","") &amp; IF($S204="","Missing cat zone. ","") &amp; IF($V204="","Missing valuation basis. ","") &amp; IF($W204="","Missing PD deductible. ","") &amp; IF($X204="","Missing liability limit. ","") &amp; IF($AB204="","Missing technical premium. ","") &amp; IF($AF204="","Missing surplus lines tax %. ",""))="","PASS","FAIL: "&amp;TRIM(IF($A204="","Missing certificate ref. ","") &amp; IF($C204="","Missing effective date. ","") &amp; IF($D204="","Missing binding status. ","") &amp; IF($E204="","Missing movement type. ","") &amp; IF($I204="","Missing make. ","") &amp; IF($L204="","Missing vehicle class. ","") &amp; IF($M204="","Missing agreed value. ","") &amp; IF($N204="","Missing policy type. ","") &amp; IF($Q204="","Missing garaging state. ","") &amp; IF($R204="","Missing garaging ZIP. ","") &amp; IF($S204="","Missing cat zone. ","") &amp; IF($V204="","Missing valuation basis. ","") &amp; IF($W204="","Missing PD deductible. ","") &amp; IF($X204="","Missing liability limit. ","") &amp; IF($AB204="","Missing technical premium. ","") &amp; IF($AF204="","Missing surplus lines tax %. ",""))))</f>
      </c>
      <c r="AY204" s="44">
        <f>IF($M204="","",IF(ISNUMBER($M204),IF($M204&gt;=Header!$C$18,"YES — refer","No"),""))</f>
      </c>
      <c r="AZ204" s="44">
        <f>IF($AD204="","",IF(ISNUMBER($AD204),IF($AD204&lt;Header!$C$20,"BELOW MIN PREMIUM","OK"),""))</f>
      </c>
      <c r="BA204" s="48" t="inlineStr">
        <is>
          <t xml:space="preserve">Yes</t>
        </is>
      </c>
      <c r="BB204" s="48" t="inlineStr">
        <is>
          <t xml:space="preserve">Yes</t>
        </is>
      </c>
      <c r="BC204" s="46" t="inlineStr">
        <is>
          <t xml:space="preserve">Synthetic demo data</t>
        </is>
      </c>
      <c r="BE204" s="45">
        <f>IF(OR($A204="",$L204="",$H204=""),"",IF(AND(LEFT($L204,2)="06",$H204&gt;1945),"FAIL - pre-war class, year "&amp;$H204,IF(AND(LEFT($L204,2)="07",OR($H204&lt;1946,$H204&gt;1972)),"FAIL - 1946-72 class, year "&amp;$H204,IF(AND(LEFT($L204,2)="08",OR($H204&lt;1973,$H204&gt;1999)),"FAIL - 1973-99 class, year "&amp;$H204,IF(AND(LEFT($L204,2)="09",OR($H204&lt;2000,$H204&gt;2010)),"FAIL - 2000-10 class, year "&amp;$H204,"OK")))))</f>
      </c>
      <c r="BF204" s="45">
        <f>IF($AD204="","",IF(ROUND($AO204+$AP204+$AQ204-$AD204,2)=0,"OK","FAIL - out by "&amp;TEXT($AO204+$AP204+$AQ204-$AD204,"$0.00")))</f>
      </c>
    </row>
    <row r="205" spans="1:58" ht="18.75" customHeight="1" x14ac:dyDescent="0.25">
      <c r="A205" s="30" t="inlineStr">
        <is>
          <t xml:space="preserve">CANON-202511-002447</t>
        </is>
      </c>
      <c r="B205" s="30" t="inlineStr">
        <is>
          <t xml:space="preserve">Fenwick Vandermeer</t>
        </is>
      </c>
      <c r="C205" s="31">
        <v>45978</v>
      </c>
      <c r="D205" s="32" t="inlineStr">
        <is>
          <t xml:space="preserve">Bound - within authority</t>
        </is>
      </c>
      <c r="E205" s="32" t="inlineStr">
        <is>
          <t xml:space="preserve">New business</t>
        </is>
      </c>
      <c r="F205" s="30" t="inlineStr">
        <is>
          <t xml:space="preserve">B1234EXOTIC26</t>
        </is>
      </c>
      <c r="G205" s="33">
        <f>IF($A205="","",IF($C205="","",YEAR($C205)))</f>
      </c>
      <c r="H205" s="34">
        <v>2004</v>
      </c>
      <c r="I205" s="30" t="inlineStr">
        <is>
          <t xml:space="preserve">Mercedes-Benz</t>
        </is>
      </c>
      <c r="J205" s="30" t="inlineStr">
        <is>
          <t xml:space="preserve">AMG GT</t>
        </is>
      </c>
      <c r="K205" s="30" t="inlineStr">
        <is>
          <t xml:space="preserve">X6CKX2X063LTZNUW4</t>
        </is>
      </c>
      <c r="L205" s="32" t="inlineStr">
        <is>
          <t xml:space="preserve">02 - Sports / GT</t>
        </is>
      </c>
      <c r="M205" s="35">
        <v>835000</v>
      </c>
      <c r="N205" s="32" t="inlineStr">
        <is>
          <t xml:space="preserve">Personal</t>
        </is>
      </c>
      <c r="O205" s="30" t="inlineStr">
        <is>
          <t xml:space="preserve">Personal - regular use</t>
        </is>
      </c>
      <c r="P205" s="30" t="inlineStr">
        <is>
          <t xml:space="preserve">Under 1,000</t>
        </is>
      </c>
      <c r="Q205" s="30" t="inlineStr">
        <is>
          <t xml:space="preserve">Mississippi</t>
        </is>
      </c>
      <c r="R205" s="30" t="inlineStr">
        <is>
          <t xml:space="preserve">39201</t>
        </is>
      </c>
      <c r="S205" s="32" t="inlineStr">
        <is>
          <t xml:space="preserve">Tier 2 - Coastal wind (1-25 miles)</t>
        </is>
      </c>
      <c r="T205" s="36">
        <f>IF($A205="","",IF($S205="","",IFERROR(INDEX('[1]natural catastrophe'!$D$6:$D$17,MATCH($S205,'[1]natural catastrophe'!$B$6:$B$17,0)),"?")))</f>
      </c>
      <c r="U205" s="30" t="inlineStr">
        <is>
          <t xml:space="preserve">2% of agreed value, minimum $10,000</t>
        </is>
      </c>
      <c r="V205" s="32" t="inlineStr">
        <is>
          <t xml:space="preserve">Agreed Value</t>
        </is>
      </c>
      <c r="W205" s="30" t="inlineStr">
        <is>
          <t xml:space="preserve">$1,000</t>
        </is>
      </c>
      <c r="X205" s="32" t="inlineStr">
        <is>
          <t xml:space="preserve">$1,000,000 CSL</t>
        </is>
      </c>
      <c r="Y205" s="30"/>
      <c r="Z205" s="30"/>
      <c r="AA205" s="32" t="inlineStr">
        <is>
          <t xml:space="preserve">Surplus Lines</t>
        </is>
      </c>
      <c r="AB205" s="35">
        <v>11204.06</v>
      </c>
      <c r="AC205" s="37">
        <v>0</v>
      </c>
      <c r="AD205" s="38">
        <f>IF(ISNUMBER($AB205),$AB205*(1+N($AC205)),"")</f>
      </c>
      <c r="AE205" s="35">
        <v>350</v>
      </c>
      <c r="AF205" s="35">
        <v>0</v>
      </c>
      <c r="AG205" s="37"/>
      <c r="AH205" s="39">
        <f>IF(ISNUMBER($AD205),($AD205+$AE205+$AF205)*$AG205,"")</f>
      </c>
      <c r="AI205" s="35"/>
      <c r="AJ205" s="38">
        <f>IF(ISNUMBER($AD205),SUM($AD205:$AH205),"")</f>
      </c>
      <c r="AK205" s="40">
        <f>IF(AND(ISNUMBER($AB205),ISNUMBER($AD205)),IF($AB205&gt;0,$AD205/$AB205,""),"")</f>
      </c>
      <c r="AL205" s="32" t="inlineStr">
        <is>
          <t xml:space="preserve">At technical</t>
        </is>
      </c>
      <c r="AM205" s="41">
        <f>IF(ISNUMBER($AD205),Header!$I$3,"")</f>
      </c>
      <c r="AN205" s="39">
        <f>IF(ISNUMBER($AD205),$AO205+$AP205,"")</f>
      </c>
      <c r="AO205" s="39">
        <f>IF(ISNUMBER($AD205),ROUND($AD205*Header!$K$3,2),"")</f>
      </c>
      <c r="AP205" s="39">
        <f>IF(ISNUMBER($AD205),ROUND($AD205*Header!$M$3,2),"")</f>
      </c>
      <c r="AQ205" s="38">
        <f>IF(ISNUMBER($AD205),ROUND($AD205,2)-$AO205-$AP205,"")</f>
      </c>
      <c r="AR205" s="39">
        <f>IF(ISNUMBER($AD205),IF(Header!$D$34="","?",$AD205*Header!$D$34),"")</f>
      </c>
      <c r="AS205" s="39">
        <f>IF(ISNUMBER($AB205),IF(Header!$D$34="","?",$AB205*Header!$D$34),"")</f>
      </c>
      <c r="AT205" s="42">
        <f>IF(AND(ISNUMBER($AB205),$M205&gt;0),$AB205/$M205*100,"")</f>
      </c>
      <c r="AU205" s="42">
        <f>IF(AND(ISNUMBER($AD205),$M205&gt;0),$AD205/$M205*100,"")</f>
      </c>
      <c r="AV205" s="40">
        <f>IF(AND(ISNUMBER($AB205),ISNUMBER($AD205),ABS($AB205)&gt;0),$AD205/$AB205,"")</f>
      </c>
      <c r="AW205" s="39">
        <f>IF(ISNUMBER($AD205),MAX(0,(1-0.55-Header!$O$3)*Header!$Q$3*$AQ205),"")</f>
      </c>
      <c r="AX205" s="43">
        <f>IF($A205="","",IF(TRIM(IF($A205="","Missing certificate ref. ","") &amp; IF($C205="","Missing effective date. ","") &amp; IF($D205="","Missing binding status. ","") &amp; IF($E205="","Missing movement type. ","") &amp; IF($I205="","Missing make. ","") &amp; IF($L205="","Missing vehicle class. ","") &amp; IF($M205="","Missing agreed value. ","") &amp; IF($N205="","Missing policy type. ","") &amp; IF($Q205="","Missing garaging state. ","") &amp; IF($R205="","Missing garaging ZIP. ","") &amp; IF($S205="","Missing cat zone. ","") &amp; IF($V205="","Missing valuation basis. ","") &amp; IF($W205="","Missing PD deductible. ","") &amp; IF($X205="","Missing liability limit. ","") &amp; IF($AB205="","Missing technical premium. ","") &amp; IF($AF205="","Missing surplus lines tax %. ",""))="","PASS","FAIL: "&amp;TRIM(IF($A205="","Missing certificate ref. ","") &amp; IF($C205="","Missing effective date. ","") &amp; IF($D205="","Missing binding status. ","") &amp; IF($E205="","Missing movement type. ","") &amp; IF($I205="","Missing make. ","") &amp; IF($L205="","Missing vehicle class. ","") &amp; IF($M205="","Missing agreed value. ","") &amp; IF($N205="","Missing policy type. ","") &amp; IF($Q205="","Missing garaging state. ","") &amp; IF($R205="","Missing garaging ZIP. ","") &amp; IF($S205="","Missing cat zone. ","") &amp; IF($V205="","Missing valuation basis. ","") &amp; IF($W205="","Missing PD deductible. ","") &amp; IF($X205="","Missing liability limit. ","") &amp; IF($AB205="","Missing technical premium. ","") &amp; IF($AF205="","Missing surplus lines tax %. ",""))))</f>
      </c>
      <c r="AY205" s="44">
        <f>IF($M205="","",IF(ISNUMBER($M205),IF($M205&gt;=Header!$C$18,"YES — refer","No"),""))</f>
      </c>
      <c r="AZ205" s="44">
        <f>IF($AD205="","",IF(ISNUMBER($AD205),IF($AD205&lt;Header!$C$20,"BELOW MIN PREMIUM","OK"),""))</f>
      </c>
      <c r="BA205" s="32" t="inlineStr">
        <is>
          <t xml:space="preserve">Yes</t>
        </is>
      </c>
      <c r="BB205" s="32" t="inlineStr">
        <is>
          <t xml:space="preserve">Yes</t>
        </is>
      </c>
      <c r="BC205" s="30" t="inlineStr">
        <is>
          <t xml:space="preserve">Synthetic demo data</t>
        </is>
      </c>
      <c r="BE205" s="45">
        <f>IF(OR($A205="",$L205="",$H205=""),"",IF(AND(LEFT($L205,2)="06",$H205&gt;1945),"FAIL - pre-war class, year "&amp;$H205,IF(AND(LEFT($L205,2)="07",OR($H205&lt;1946,$H205&gt;1972)),"FAIL - 1946-72 class, year "&amp;$H205,IF(AND(LEFT($L205,2)="08",OR($H205&lt;1973,$H205&gt;1999)),"FAIL - 1973-99 class, year "&amp;$H205,IF(AND(LEFT($L205,2)="09",OR($H205&lt;2000,$H205&gt;2010)),"FAIL - 2000-10 class, year "&amp;$H205,"OK")))))</f>
      </c>
      <c r="BF205" s="45">
        <f>IF($AD205="","",IF(ROUND($AO205+$AP205+$AQ205-$AD205,2)=0,"OK","FAIL - out by "&amp;TEXT($AO205+$AP205+$AQ205-$AD205,"$0.00")))</f>
      </c>
    </row>
    <row r="206" spans="1:58" ht="18.75" customHeight="1" x14ac:dyDescent="0.25">
      <c r="A206" s="46" t="inlineStr">
        <is>
          <t xml:space="preserve">CANON-202511-002448</t>
        </is>
      </c>
      <c r="B206" s="46" t="inlineStr">
        <is>
          <t xml:space="preserve">Ingrid Whitlock</t>
        </is>
      </c>
      <c r="C206" s="47">
        <v>45977</v>
      </c>
      <c r="D206" s="48" t="inlineStr">
        <is>
          <t xml:space="preserve">Bound - within authority</t>
        </is>
      </c>
      <c r="E206" s="48" t="inlineStr">
        <is>
          <t xml:space="preserve">New business</t>
        </is>
      </c>
      <c r="F206" s="46" t="inlineStr">
        <is>
          <t xml:space="preserve">B1234EXOTIC26</t>
        </is>
      </c>
      <c r="G206" s="33">
        <f>IF($A206="","",IF($C206="","",YEAR($C206)))</f>
      </c>
      <c r="H206" s="49">
        <v>1966</v>
      </c>
      <c r="I206" s="46" t="inlineStr">
        <is>
          <t xml:space="preserve">Mercedes-Benz</t>
        </is>
      </c>
      <c r="J206" s="46" t="inlineStr">
        <is>
          <t xml:space="preserve">AMG GT</t>
        </is>
      </c>
      <c r="K206" s="46" t="inlineStr">
        <is>
          <t xml:space="preserve">8YKR1JDPJ9YWD9R4C</t>
        </is>
      </c>
      <c r="L206" s="48" t="inlineStr">
        <is>
          <t xml:space="preserve">02 - Sports / GT</t>
        </is>
      </c>
      <c r="M206" s="50">
        <v>465000</v>
      </c>
      <c r="N206" s="48" t="inlineStr">
        <is>
          <t xml:space="preserve">Personal</t>
        </is>
      </c>
      <c r="O206" s="46" t="inlineStr">
        <is>
          <t xml:space="preserve">Personal - regular use</t>
        </is>
      </c>
      <c r="P206" s="46" t="inlineStr">
        <is>
          <t xml:space="preserve">2,500 - 5,000</t>
        </is>
      </c>
      <c r="Q206" s="46" t="inlineStr">
        <is>
          <t xml:space="preserve">Georgia</t>
        </is>
      </c>
      <c r="R206" s="46" t="inlineStr">
        <is>
          <t xml:space="preserve">30303</t>
        </is>
      </c>
      <c r="S206" s="48" t="inlineStr">
        <is>
          <t xml:space="preserve">Tier 2 - Coastal wind (1-25 miles)</t>
        </is>
      </c>
      <c r="T206" s="36">
        <f>IF($A206="","",IF($S206="","",IFERROR(INDEX('[1]natural catastrophe'!$D$6:$D$17,MATCH($S206,'[1]natural catastrophe'!$B$6:$B$17,0)),"?")))</f>
      </c>
      <c r="U206" s="46" t="inlineStr">
        <is>
          <t xml:space="preserve">2% of agreed value, minimum $10,000</t>
        </is>
      </c>
      <c r="V206" s="48" t="inlineStr">
        <is>
          <t xml:space="preserve">Agreed Value</t>
        </is>
      </c>
      <c r="W206" s="46" t="inlineStr">
        <is>
          <t xml:space="preserve">$1,000</t>
        </is>
      </c>
      <c r="X206" s="48" t="inlineStr">
        <is>
          <t xml:space="preserve">$1,000,000 CSL</t>
        </is>
      </c>
      <c r="Y206" s="46"/>
      <c r="Z206" s="46"/>
      <c r="AA206" s="48" t="inlineStr">
        <is>
          <t xml:space="preserve">Surplus Lines</t>
        </is>
      </c>
      <c r="AB206" s="50">
        <v>6775.8</v>
      </c>
      <c r="AC206" s="51">
        <v>0</v>
      </c>
      <c r="AD206" s="38">
        <f>IF(ISNUMBER($AB206),$AB206*(1+N($AC206)),"")</f>
      </c>
      <c r="AE206" s="50">
        <v>350</v>
      </c>
      <c r="AF206" s="50">
        <v>0</v>
      </c>
      <c r="AG206" s="51"/>
      <c r="AH206" s="39">
        <f>IF(ISNUMBER($AD206),($AD206+$AE206+$AF206)*$AG206,"")</f>
      </c>
      <c r="AI206" s="50"/>
      <c r="AJ206" s="38">
        <f>IF(ISNUMBER($AD206),SUM($AD206:$AH206),"")</f>
      </c>
      <c r="AK206" s="40">
        <f>IF(AND(ISNUMBER($AB206),ISNUMBER($AD206)),IF($AB206&gt;0,$AD206/$AB206,""),"")</f>
      </c>
      <c r="AL206" s="48" t="inlineStr">
        <is>
          <t xml:space="preserve">At technical</t>
        </is>
      </c>
      <c r="AM206" s="41">
        <f>IF(ISNUMBER($AD206),Header!$I$3,"")</f>
      </c>
      <c r="AN206" s="39">
        <f>IF(ISNUMBER($AD206),$AO206+$AP206,"")</f>
      </c>
      <c r="AO206" s="39">
        <f>IF(ISNUMBER($AD206),ROUND($AD206*Header!$K$3,2),"")</f>
      </c>
      <c r="AP206" s="39">
        <f>IF(ISNUMBER($AD206),ROUND($AD206*Header!$M$3,2),"")</f>
      </c>
      <c r="AQ206" s="38">
        <f>IF(ISNUMBER($AD206),ROUND($AD206,2)-$AO206-$AP206,"")</f>
      </c>
      <c r="AR206" s="39">
        <f>IF(ISNUMBER($AD206),IF(Header!$D$34="","?",$AD206*Header!$D$34),"")</f>
      </c>
      <c r="AS206" s="39">
        <f>IF(ISNUMBER($AB206),IF(Header!$D$34="","?",$AB206*Header!$D$34),"")</f>
      </c>
      <c r="AT206" s="42">
        <f>IF(AND(ISNUMBER($AB206),$M206&gt;0),$AB206/$M206*100,"")</f>
      </c>
      <c r="AU206" s="42">
        <f>IF(AND(ISNUMBER($AD206),$M206&gt;0),$AD206/$M206*100,"")</f>
      </c>
      <c r="AV206" s="40">
        <f>IF(AND(ISNUMBER($AB206),ISNUMBER($AD206),ABS($AB206)&gt;0),$AD206/$AB206,"")</f>
      </c>
      <c r="AW206" s="39">
        <f>IF(ISNUMBER($AD206),MAX(0,(1-0.55-Header!$O$3)*Header!$Q$3*$AQ206),"")</f>
      </c>
      <c r="AX206" s="43">
        <f>IF($A206="","",IF(TRIM(IF($A206="","Missing certificate ref. ","") &amp; IF($C206="","Missing effective date. ","") &amp; IF($D206="","Missing binding status. ","") &amp; IF($E206="","Missing movement type. ","") &amp; IF($I206="","Missing make. ","") &amp; IF($L206="","Missing vehicle class. ","") &amp; IF($M206="","Missing agreed value. ","") &amp; IF($N206="","Missing policy type. ","") &amp; IF($Q206="","Missing garaging state. ","") &amp; IF($R206="","Missing garaging ZIP. ","") &amp; IF($S206="","Missing cat zone. ","") &amp; IF($V206="","Missing valuation basis. ","") &amp; IF($W206="","Missing PD deductible. ","") &amp; IF($X206="","Missing liability limit. ","") &amp; IF($AB206="","Missing technical premium. ","") &amp; IF($AF206="","Missing surplus lines tax %. ",""))="","PASS","FAIL: "&amp;TRIM(IF($A206="","Missing certificate ref. ","") &amp; IF($C206="","Missing effective date. ","") &amp; IF($D206="","Missing binding status. ","") &amp; IF($E206="","Missing movement type. ","") &amp; IF($I206="","Missing make. ","") &amp; IF($L206="","Missing vehicle class. ","") &amp; IF($M206="","Missing agreed value. ","") &amp; IF($N206="","Missing policy type. ","") &amp; IF($Q206="","Missing garaging state. ","") &amp; IF($R206="","Missing garaging ZIP. ","") &amp; IF($S206="","Missing cat zone. ","") &amp; IF($V206="","Missing valuation basis. ","") &amp; IF($W206="","Missing PD deductible. ","") &amp; IF($X206="","Missing liability limit. ","") &amp; IF($AB206="","Missing technical premium. ","") &amp; IF($AF206="","Missing surplus lines tax %. ",""))))</f>
      </c>
      <c r="AY206" s="44">
        <f>IF($M206="","",IF(ISNUMBER($M206),IF($M206&gt;=Header!$C$18,"YES — refer","No"),""))</f>
      </c>
      <c r="AZ206" s="44">
        <f>IF($AD206="","",IF(ISNUMBER($AD206),IF($AD206&lt;Header!$C$20,"BELOW MIN PREMIUM","OK"),""))</f>
      </c>
      <c r="BA206" s="48" t="inlineStr">
        <is>
          <t xml:space="preserve">Yes</t>
        </is>
      </c>
      <c r="BB206" s="48" t="inlineStr">
        <is>
          <t xml:space="preserve">Yes</t>
        </is>
      </c>
      <c r="BC206" s="46" t="inlineStr">
        <is>
          <t xml:space="preserve">Synthetic demo data</t>
        </is>
      </c>
      <c r="BE206" s="45">
        <f>IF(OR($A206="",$L206="",$H206=""),"",IF(AND(LEFT($L206,2)="06",$H206&gt;1945),"FAIL - pre-war class, year "&amp;$H206,IF(AND(LEFT($L206,2)="07",OR($H206&lt;1946,$H206&gt;1972)),"FAIL - 1946-72 class, year "&amp;$H206,IF(AND(LEFT($L206,2)="08",OR($H206&lt;1973,$H206&gt;1999)),"FAIL - 1973-99 class, year "&amp;$H206,IF(AND(LEFT($L206,2)="09",OR($H206&lt;2000,$H206&gt;2010)),"FAIL - 2000-10 class, year "&amp;$H206,"OK")))))</f>
      </c>
      <c r="BF206" s="45">
        <f>IF($AD206="","",IF(ROUND($AO206+$AP206+$AQ206-$AD206,2)=0,"OK","FAIL - out by "&amp;TEXT($AO206+$AP206+$AQ206-$AD206,"$0.00")))</f>
      </c>
    </row>
    <row r="207" spans="1:58" ht="18.75" customHeight="1" x14ac:dyDescent="0.25">
      <c r="A207" s="30" t="inlineStr">
        <is>
          <t xml:space="preserve">CANON-202511-002449</t>
        </is>
      </c>
      <c r="B207" s="30" t="inlineStr">
        <is>
          <t xml:space="preserve">Emiliano Nakashima</t>
        </is>
      </c>
      <c r="C207" s="31">
        <v>45978</v>
      </c>
      <c r="D207" s="32" t="inlineStr">
        <is>
          <t xml:space="preserve">Bound - within authority</t>
        </is>
      </c>
      <c r="E207" s="32" t="inlineStr">
        <is>
          <t xml:space="preserve">New business</t>
        </is>
      </c>
      <c r="F207" s="30" t="inlineStr">
        <is>
          <t xml:space="preserve">B1234EXOTIC26</t>
        </is>
      </c>
      <c r="G207" s="33">
        <f>IF($A207="","",IF($C207="","",YEAR($C207)))</f>
      </c>
      <c r="H207" s="34">
        <v>2016</v>
      </c>
      <c r="I207" s="30" t="inlineStr">
        <is>
          <t xml:space="preserve">Bentley</t>
        </is>
      </c>
      <c r="J207" s="30" t="inlineStr">
        <is>
          <t xml:space="preserve">Continental GT</t>
        </is>
      </c>
      <c r="K207" s="30" t="inlineStr">
        <is>
          <t xml:space="preserve">AH5LFE9M0NFJ28JCS</t>
        </is>
      </c>
      <c r="L207" s="32" t="inlineStr">
        <is>
          <t xml:space="preserve">02 - Sports / GT</t>
        </is>
      </c>
      <c r="M207" s="35">
        <v>360000</v>
      </c>
      <c r="N207" s="32" t="inlineStr">
        <is>
          <t xml:space="preserve">Personal</t>
        </is>
      </c>
      <c r="O207" s="30" t="inlineStr">
        <is>
          <t xml:space="preserve">Personal - regular use</t>
        </is>
      </c>
      <c r="P207" s="30" t="inlineStr">
        <is>
          <t xml:space="preserve">1,000 - 2,500</t>
        </is>
      </c>
      <c r="Q207" s="30" t="inlineStr">
        <is>
          <t xml:space="preserve">Iowa</t>
        </is>
      </c>
      <c r="R207" s="30" t="inlineStr">
        <is>
          <t xml:space="preserve">50309</t>
        </is>
      </c>
      <c r="S207" s="32" t="inlineStr">
        <is>
          <t xml:space="preserve">Severe convective - hail alley (high)</t>
        </is>
      </c>
      <c r="T207" s="36">
        <f>IF($A207="","",IF($S207="","",IFERROR(INDEX('[1]natural catastrophe'!$D$6:$D$17,MATCH($S207,'[1]natural catastrophe'!$B$6:$B$17,0)),"?")))</f>
      </c>
      <c r="U207" s="30" t="inlineStr">
        <is>
          <t xml:space="preserve">$5,000</t>
        </is>
      </c>
      <c r="V207" s="32" t="inlineStr">
        <is>
          <t xml:space="preserve">Agreed Value</t>
        </is>
      </c>
      <c r="W207" s="30" t="inlineStr">
        <is>
          <t xml:space="preserve">$1,000</t>
        </is>
      </c>
      <c r="X207" s="32" t="inlineStr">
        <is>
          <t xml:space="preserve">$1,000,000 CSL</t>
        </is>
      </c>
      <c r="Y207" s="30"/>
      <c r="Z207" s="30"/>
      <c r="AA207" s="32" t="inlineStr">
        <is>
          <t xml:space="preserve">Surplus Lines</t>
        </is>
      </c>
      <c r="AB207" s="35">
        <v>5152.11</v>
      </c>
      <c r="AC207" s="37">
        <v>0</v>
      </c>
      <c r="AD207" s="38">
        <f>IF(ISNUMBER($AB207),$AB207*(1+N($AC207)),"")</f>
      </c>
      <c r="AE207" s="35">
        <v>350</v>
      </c>
      <c r="AF207" s="35">
        <v>0</v>
      </c>
      <c r="AG207" s="37"/>
      <c r="AH207" s="39">
        <f>IF(ISNUMBER($AD207),($AD207+$AE207+$AF207)*$AG207,"")</f>
      </c>
      <c r="AI207" s="35"/>
      <c r="AJ207" s="38">
        <f>IF(ISNUMBER($AD207),SUM($AD207:$AH207),"")</f>
      </c>
      <c r="AK207" s="40">
        <f>IF(AND(ISNUMBER($AB207),ISNUMBER($AD207)),IF($AB207&gt;0,$AD207/$AB207,""),"")</f>
      </c>
      <c r="AL207" s="32" t="inlineStr">
        <is>
          <t xml:space="preserve">At technical</t>
        </is>
      </c>
      <c r="AM207" s="41">
        <f>IF(ISNUMBER($AD207),Header!$I$3,"")</f>
      </c>
      <c r="AN207" s="39">
        <f>IF(ISNUMBER($AD207),$AO207+$AP207,"")</f>
      </c>
      <c r="AO207" s="39">
        <f>IF(ISNUMBER($AD207),ROUND($AD207*Header!$K$3,2),"")</f>
      </c>
      <c r="AP207" s="39">
        <f>IF(ISNUMBER($AD207),ROUND($AD207*Header!$M$3,2),"")</f>
      </c>
      <c r="AQ207" s="38">
        <f>IF(ISNUMBER($AD207),ROUND($AD207,2)-$AO207-$AP207,"")</f>
      </c>
      <c r="AR207" s="39">
        <f>IF(ISNUMBER($AD207),IF(Header!$D$34="","?",$AD207*Header!$D$34),"")</f>
      </c>
      <c r="AS207" s="39">
        <f>IF(ISNUMBER($AB207),IF(Header!$D$34="","?",$AB207*Header!$D$34),"")</f>
      </c>
      <c r="AT207" s="42">
        <f>IF(AND(ISNUMBER($AB207),$M207&gt;0),$AB207/$M207*100,"")</f>
      </c>
      <c r="AU207" s="42">
        <f>IF(AND(ISNUMBER($AD207),$M207&gt;0),$AD207/$M207*100,"")</f>
      </c>
      <c r="AV207" s="40">
        <f>IF(AND(ISNUMBER($AB207),ISNUMBER($AD207),ABS($AB207)&gt;0),$AD207/$AB207,"")</f>
      </c>
      <c r="AW207" s="39">
        <f>IF(ISNUMBER($AD207),MAX(0,(1-0.55-Header!$O$3)*Header!$Q$3*$AQ207),"")</f>
      </c>
      <c r="AX207" s="43">
        <f>IF($A207="","",IF(TRIM(IF($A207="","Missing certificate ref. ","") &amp; IF($C207="","Missing effective date. ","") &amp; IF($D207="","Missing binding status. ","") &amp; IF($E207="","Missing movement type. ","") &amp; IF($I207="","Missing make. ","") &amp; IF($L207="","Missing vehicle class. ","") &amp; IF($M207="","Missing agreed value. ","") &amp; IF($N207="","Missing policy type. ","") &amp; IF($Q207="","Missing garaging state. ","") &amp; IF($R207="","Missing garaging ZIP. ","") &amp; IF($S207="","Missing cat zone. ","") &amp; IF($V207="","Missing valuation basis. ","") &amp; IF($W207="","Missing PD deductible. ","") &amp; IF($X207="","Missing liability limit. ","") &amp; IF($AB207="","Missing technical premium. ","") &amp; IF($AF207="","Missing surplus lines tax %. ",""))="","PASS","FAIL: "&amp;TRIM(IF($A207="","Missing certificate ref. ","") &amp; IF($C207="","Missing effective date. ","") &amp; IF($D207="","Missing binding status. ","") &amp; IF($E207="","Missing movement type. ","") &amp; IF($I207="","Missing make. ","") &amp; IF($L207="","Missing vehicle class. ","") &amp; IF($M207="","Missing agreed value. ","") &amp; IF($N207="","Missing policy type. ","") &amp; IF($Q207="","Missing garaging state. ","") &amp; IF($R207="","Missing garaging ZIP. ","") &amp; IF($S207="","Missing cat zone. ","") &amp; IF($V207="","Missing valuation basis. ","") &amp; IF($W207="","Missing PD deductible. ","") &amp; IF($X207="","Missing liability limit. ","") &amp; IF($AB207="","Missing technical premium. ","") &amp; IF($AF207="","Missing surplus lines tax %. ",""))))</f>
      </c>
      <c r="AY207" s="44">
        <f>IF($M207="","",IF(ISNUMBER($M207),IF($M207&gt;=Header!$C$18,"YES — refer","No"),""))</f>
      </c>
      <c r="AZ207" s="44">
        <f>IF($AD207="","",IF(ISNUMBER($AD207),IF($AD207&lt;Header!$C$20,"BELOW MIN PREMIUM","OK"),""))</f>
      </c>
      <c r="BA207" s="32" t="inlineStr">
        <is>
          <t xml:space="preserve">Yes</t>
        </is>
      </c>
      <c r="BB207" s="32" t="inlineStr">
        <is>
          <t xml:space="preserve">Yes</t>
        </is>
      </c>
      <c r="BC207" s="30" t="inlineStr">
        <is>
          <t xml:space="preserve">Synthetic demo data</t>
        </is>
      </c>
      <c r="BE207" s="45">
        <f>IF(OR($A207="",$L207="",$H207=""),"",IF(AND(LEFT($L207,2)="06",$H207&gt;1945),"FAIL - pre-war class, year "&amp;$H207,IF(AND(LEFT($L207,2)="07",OR($H207&lt;1946,$H207&gt;1972)),"FAIL - 1946-72 class, year "&amp;$H207,IF(AND(LEFT($L207,2)="08",OR($H207&lt;1973,$H207&gt;1999)),"FAIL - 1973-99 class, year "&amp;$H207,IF(AND(LEFT($L207,2)="09",OR($H207&lt;2000,$H207&gt;2010)),"FAIL - 2000-10 class, year "&amp;$H207,"OK")))))</f>
      </c>
      <c r="BF207" s="45">
        <f>IF($AD207="","",IF(ROUND($AO207+$AP207+$AQ207-$AD207,2)=0,"OK","FAIL - out by "&amp;TEXT($AO207+$AP207+$AQ207-$AD207,"$0.00")))</f>
      </c>
    </row>
    <row r="208" spans="1:58" ht="18.75" customHeight="1" x14ac:dyDescent="0.25">
      <c r="A208" s="46" t="inlineStr">
        <is>
          <t xml:space="preserve">CANON-202511-002450</t>
        </is>
      </c>
      <c r="B208" s="46" t="inlineStr">
        <is>
          <t xml:space="preserve">Emiliano Montoya</t>
        </is>
      </c>
      <c r="C208" s="47">
        <v>45976</v>
      </c>
      <c r="D208" s="48" t="inlineStr">
        <is>
          <t xml:space="preserve">Bound - within authority</t>
        </is>
      </c>
      <c r="E208" s="48" t="inlineStr">
        <is>
          <t xml:space="preserve">New business</t>
        </is>
      </c>
      <c r="F208" s="46" t="inlineStr">
        <is>
          <t xml:space="preserve">B1234EXOTIC26</t>
        </is>
      </c>
      <c r="G208" s="33">
        <f>IF($A208="","",IF($C208="","",YEAR($C208)))</f>
      </c>
      <c r="H208" s="49">
        <v>1988</v>
      </c>
      <c r="I208" s="46" t="inlineStr">
        <is>
          <t xml:space="preserve">Icon</t>
        </is>
      </c>
      <c r="J208" s="46" t="inlineStr">
        <is>
          <t xml:space="preserve">Derelict</t>
        </is>
      </c>
      <c r="K208" s="46" t="inlineStr">
        <is>
          <t xml:space="preserve">5S06PTH1VAW4XX9SC</t>
        </is>
      </c>
      <c r="L208" s="48" t="inlineStr">
        <is>
          <t xml:space="preserve">11 - Restomod / Coachbuilt / Bespoke</t>
        </is>
      </c>
      <c r="M208" s="50">
        <v>675000</v>
      </c>
      <c r="N208" s="48" t="inlineStr">
        <is>
          <t xml:space="preserve">Personal</t>
        </is>
      </c>
      <c r="O208" s="46" t="inlineStr">
        <is>
          <t xml:space="preserve">Personal - regular use</t>
        </is>
      </c>
      <c r="P208" s="46" t="inlineStr">
        <is>
          <t xml:space="preserve">2,500 - 5,000</t>
        </is>
      </c>
      <c r="Q208" s="46" t="inlineStr">
        <is>
          <t xml:space="preserve">Maine</t>
        </is>
      </c>
      <c r="R208" s="46" t="inlineStr">
        <is>
          <t xml:space="preserve">04101</t>
        </is>
      </c>
      <c r="S208" s="48" t="inlineStr">
        <is>
          <t xml:space="preserve">Tier 3 - Coastal wind (25-100 miles)</t>
        </is>
      </c>
      <c r="T208" s="36">
        <f>IF($A208="","",IF($S208="","",IFERROR(INDEX('[1]natural catastrophe'!$D$6:$D$17,MATCH($S208,'[1]natural catastrophe'!$B$6:$B$17,0)),"?")))</f>
      </c>
      <c r="U208" s="46" t="inlineStr">
        <is>
          <t xml:space="preserve">2% of agreed value, minimum $10,000</t>
        </is>
      </c>
      <c r="V208" s="48" t="inlineStr">
        <is>
          <t xml:space="preserve">Agreed Value</t>
        </is>
      </c>
      <c r="W208" s="46" t="inlineStr">
        <is>
          <t xml:space="preserve">$1,000</t>
        </is>
      </c>
      <c r="X208" s="48" t="inlineStr">
        <is>
          <t xml:space="preserve">$1,000,000 CSL</t>
        </is>
      </c>
      <c r="Y208" s="46"/>
      <c r="Z208" s="46"/>
      <c r="AA208" s="48" t="inlineStr">
        <is>
          <t xml:space="preserve">Surplus Lines</t>
        </is>
      </c>
      <c r="AB208" s="50">
        <v>9863.95</v>
      </c>
      <c r="AC208" s="51">
        <v>0</v>
      </c>
      <c r="AD208" s="38">
        <f>IF(ISNUMBER($AB208),$AB208*(1+N($AC208)),"")</f>
      </c>
      <c r="AE208" s="50">
        <v>350</v>
      </c>
      <c r="AF208" s="50">
        <v>0</v>
      </c>
      <c r="AG208" s="51"/>
      <c r="AH208" s="39">
        <f>IF(ISNUMBER($AD208),($AD208+$AE208+$AF208)*$AG208,"")</f>
      </c>
      <c r="AI208" s="50"/>
      <c r="AJ208" s="38">
        <f>IF(ISNUMBER($AD208),SUM($AD208:$AH208),"")</f>
      </c>
      <c r="AK208" s="40">
        <f>IF(AND(ISNUMBER($AB208),ISNUMBER($AD208)),IF($AB208&gt;0,$AD208/$AB208,""),"")</f>
      </c>
      <c r="AL208" s="48" t="inlineStr">
        <is>
          <t xml:space="preserve">At technical</t>
        </is>
      </c>
      <c r="AM208" s="41">
        <f>IF(ISNUMBER($AD208),Header!$I$3,"")</f>
      </c>
      <c r="AN208" s="39">
        <f>IF(ISNUMBER($AD208),$AO208+$AP208,"")</f>
      </c>
      <c r="AO208" s="39">
        <f>IF(ISNUMBER($AD208),ROUND($AD208*Header!$K$3,2),"")</f>
      </c>
      <c r="AP208" s="39">
        <f>IF(ISNUMBER($AD208),ROUND($AD208*Header!$M$3,2),"")</f>
      </c>
      <c r="AQ208" s="38">
        <f>IF(ISNUMBER($AD208),ROUND($AD208,2)-$AO208-$AP208,"")</f>
      </c>
      <c r="AR208" s="39">
        <f>IF(ISNUMBER($AD208),IF(Header!$D$34="","?",$AD208*Header!$D$34),"")</f>
      </c>
      <c r="AS208" s="39">
        <f>IF(ISNUMBER($AB208),IF(Header!$D$34="","?",$AB208*Header!$D$34),"")</f>
      </c>
      <c r="AT208" s="42">
        <f>IF(AND(ISNUMBER($AB208),$M208&gt;0),$AB208/$M208*100,"")</f>
      </c>
      <c r="AU208" s="42">
        <f>IF(AND(ISNUMBER($AD208),$M208&gt;0),$AD208/$M208*100,"")</f>
      </c>
      <c r="AV208" s="40">
        <f>IF(AND(ISNUMBER($AB208),ISNUMBER($AD208),ABS($AB208)&gt;0),$AD208/$AB208,"")</f>
      </c>
      <c r="AW208" s="39">
        <f>IF(ISNUMBER($AD208),MAX(0,(1-0.55-Header!$O$3)*Header!$Q$3*$AQ208),"")</f>
      </c>
      <c r="AX208" s="43">
        <f>IF($A208="","",IF(TRIM(IF($A208="","Missing certificate ref. ","") &amp; IF($C208="","Missing effective date. ","") &amp; IF($D208="","Missing binding status. ","") &amp; IF($E208="","Missing movement type. ","") &amp; IF($I208="","Missing make. ","") &amp; IF($L208="","Missing vehicle class. ","") &amp; IF($M208="","Missing agreed value. ","") &amp; IF($N208="","Missing policy type. ","") &amp; IF($Q208="","Missing garaging state. ","") &amp; IF($R208="","Missing garaging ZIP. ","") &amp; IF($S208="","Missing cat zone. ","") &amp; IF($V208="","Missing valuation basis. ","") &amp; IF($W208="","Missing PD deductible. ","") &amp; IF($X208="","Missing liability limit. ","") &amp; IF($AB208="","Missing technical premium. ","") &amp; IF($AF208="","Missing surplus lines tax %. ",""))="","PASS","FAIL: "&amp;TRIM(IF($A208="","Missing certificate ref. ","") &amp; IF($C208="","Missing effective date. ","") &amp; IF($D208="","Missing binding status. ","") &amp; IF($E208="","Missing movement type. ","") &amp; IF($I208="","Missing make. ","") &amp; IF($L208="","Missing vehicle class. ","") &amp; IF($M208="","Missing agreed value. ","") &amp; IF($N208="","Missing policy type. ","") &amp; IF($Q208="","Missing garaging state. ","") &amp; IF($R208="","Missing garaging ZIP. ","") &amp; IF($S208="","Missing cat zone. ","") &amp; IF($V208="","Missing valuation basis. ","") &amp; IF($W208="","Missing PD deductible. ","") &amp; IF($X208="","Missing liability limit. ","") &amp; IF($AB208="","Missing technical premium. ","") &amp; IF($AF208="","Missing surplus lines tax %. ",""))))</f>
      </c>
      <c r="AY208" s="44">
        <f>IF($M208="","",IF(ISNUMBER($M208),IF($M208&gt;=Header!$C$18,"YES — refer","No"),""))</f>
      </c>
      <c r="AZ208" s="44">
        <f>IF($AD208="","",IF(ISNUMBER($AD208),IF($AD208&lt;Header!$C$20,"BELOW MIN PREMIUM","OK"),""))</f>
      </c>
      <c r="BA208" s="48" t="inlineStr">
        <is>
          <t xml:space="preserve">Yes</t>
        </is>
      </c>
      <c r="BB208" s="48" t="inlineStr">
        <is>
          <t xml:space="preserve">Yes</t>
        </is>
      </c>
      <c r="BC208" s="46" t="inlineStr">
        <is>
          <t xml:space="preserve">Synthetic demo data</t>
        </is>
      </c>
      <c r="BE208" s="45">
        <f>IF(OR($A208="",$L208="",$H208=""),"",IF(AND(LEFT($L208,2)="06",$H208&gt;1945),"FAIL - pre-war class, year "&amp;$H208,IF(AND(LEFT($L208,2)="07",OR($H208&lt;1946,$H208&gt;1972)),"FAIL - 1946-72 class, year "&amp;$H208,IF(AND(LEFT($L208,2)="08",OR($H208&lt;1973,$H208&gt;1999)),"FAIL - 1973-99 class, year "&amp;$H208,IF(AND(LEFT($L208,2)="09",OR($H208&lt;2000,$H208&gt;2010)),"FAIL - 2000-10 class, year "&amp;$H208,"OK")))))</f>
      </c>
      <c r="BF208" s="45">
        <f>IF($AD208="","",IF(ROUND($AO208+$AP208+$AQ208-$AD208,2)=0,"OK","FAIL - out by "&amp;TEXT($AO208+$AP208+$AQ208-$AD208,"$0.00")))</f>
      </c>
    </row>
    <row r="209" spans="1:58" ht="18.75" customHeight="1" x14ac:dyDescent="0.25">
      <c r="A209" s="30" t="inlineStr">
        <is>
          <t xml:space="preserve">CANON-202511-002451</t>
        </is>
      </c>
      <c r="B209" s="30" t="inlineStr">
        <is>
          <t xml:space="preserve">Emiliano Thistlewood</t>
        </is>
      </c>
      <c r="C209" s="31">
        <v>45962</v>
      </c>
      <c r="D209" s="32" t="inlineStr">
        <is>
          <t xml:space="preserve">Bound - within authority</t>
        </is>
      </c>
      <c r="E209" s="32" t="inlineStr">
        <is>
          <t xml:space="preserve">New business</t>
        </is>
      </c>
      <c r="F209" s="30" t="inlineStr">
        <is>
          <t xml:space="preserve">B1234EXOTIC26</t>
        </is>
      </c>
      <c r="G209" s="33">
        <f>IF($A209="","",IF($C209="","",YEAR($C209)))</f>
      </c>
      <c r="H209" s="34">
        <v>1980</v>
      </c>
      <c r="I209" s="30" t="inlineStr">
        <is>
          <t xml:space="preserve">Maserati</t>
        </is>
      </c>
      <c r="J209" s="30" t="inlineStr">
        <is>
          <t xml:space="preserve">GranTurismo</t>
        </is>
      </c>
      <c r="K209" s="30" t="inlineStr">
        <is>
          <t xml:space="preserve">EP413R3RS88EBUJ5B</t>
        </is>
      </c>
      <c r="L209" s="32" t="inlineStr">
        <is>
          <t xml:space="preserve">02 - Sports / GT</t>
        </is>
      </c>
      <c r="M209" s="35">
        <v>205000</v>
      </c>
      <c r="N209" s="32" t="inlineStr">
        <is>
          <t xml:space="preserve">Personal</t>
        </is>
      </c>
      <c r="O209" s="30" t="inlineStr">
        <is>
          <t xml:space="preserve">Personal - regular use</t>
        </is>
      </c>
      <c r="P209" s="30" t="inlineStr">
        <is>
          <t xml:space="preserve">1,000 - 2,500</t>
        </is>
      </c>
      <c r="Q209" s="30" t="inlineStr">
        <is>
          <t xml:space="preserve">Washington</t>
        </is>
      </c>
      <c r="R209" s="30" t="inlineStr">
        <is>
          <t xml:space="preserve">98101</t>
        </is>
      </c>
      <c r="S209" s="32" t="inlineStr">
        <is>
          <t xml:space="preserve">Earthquake - high (CA, Cascadia, New Madrid)</t>
        </is>
      </c>
      <c r="T209" s="36">
        <f>IF($A209="","",IF($S209="","",IFERROR(INDEX('[1]natural catastrophe'!$D$6:$D$17,MATCH($S209,'[1]natural catastrophe'!$B$6:$B$17,0)),"?")))</f>
      </c>
      <c r="U209" s="30" t="inlineStr">
        <is>
          <t xml:space="preserve">$5,000</t>
        </is>
      </c>
      <c r="V209" s="32" t="inlineStr">
        <is>
          <t xml:space="preserve">Agreed Value</t>
        </is>
      </c>
      <c r="W209" s="30" t="inlineStr">
        <is>
          <t xml:space="preserve">$1,000</t>
        </is>
      </c>
      <c r="X209" s="32" t="inlineStr">
        <is>
          <t xml:space="preserve">$1,000,000 CSL</t>
        </is>
      </c>
      <c r="Y209" s="30"/>
      <c r="Z209" s="30"/>
      <c r="AA209" s="32" t="inlineStr">
        <is>
          <t xml:space="preserve">Surplus Lines</t>
        </is>
      </c>
      <c r="AB209" s="35">
        <v>3140.81</v>
      </c>
      <c r="AC209" s="37">
        <v>0</v>
      </c>
      <c r="AD209" s="38">
        <f>IF(ISNUMBER($AB209),$AB209*(1+N($AC209)),"")</f>
      </c>
      <c r="AE209" s="35">
        <v>350</v>
      </c>
      <c r="AF209" s="35">
        <v>0</v>
      </c>
      <c r="AG209" s="37"/>
      <c r="AH209" s="39">
        <f>IF(ISNUMBER($AD209),($AD209+$AE209+$AF209)*$AG209,"")</f>
      </c>
      <c r="AI209" s="35"/>
      <c r="AJ209" s="38">
        <f>IF(ISNUMBER($AD209),SUM($AD209:$AH209),"")</f>
      </c>
      <c r="AK209" s="40">
        <f>IF(AND(ISNUMBER($AB209),ISNUMBER($AD209)),IF($AB209&gt;0,$AD209/$AB209,""),"")</f>
      </c>
      <c r="AL209" s="32" t="inlineStr">
        <is>
          <t xml:space="preserve">At technical</t>
        </is>
      </c>
      <c r="AM209" s="41">
        <f>IF(ISNUMBER($AD209),Header!$I$3,"")</f>
      </c>
      <c r="AN209" s="39">
        <f>IF(ISNUMBER($AD209),$AO209+$AP209,"")</f>
      </c>
      <c r="AO209" s="39">
        <f>IF(ISNUMBER($AD209),ROUND($AD209*Header!$K$3,2),"")</f>
      </c>
      <c r="AP209" s="39">
        <f>IF(ISNUMBER($AD209),ROUND($AD209*Header!$M$3,2),"")</f>
      </c>
      <c r="AQ209" s="38">
        <f>IF(ISNUMBER($AD209),ROUND($AD209,2)-$AO209-$AP209,"")</f>
      </c>
      <c r="AR209" s="39">
        <f>IF(ISNUMBER($AD209),IF(Header!$D$34="","?",$AD209*Header!$D$34),"")</f>
      </c>
      <c r="AS209" s="39">
        <f>IF(ISNUMBER($AB209),IF(Header!$D$34="","?",$AB209*Header!$D$34),"")</f>
      </c>
      <c r="AT209" s="42">
        <f>IF(AND(ISNUMBER($AB209),$M209&gt;0),$AB209/$M209*100,"")</f>
      </c>
      <c r="AU209" s="42">
        <f>IF(AND(ISNUMBER($AD209),$M209&gt;0),$AD209/$M209*100,"")</f>
      </c>
      <c r="AV209" s="40">
        <f>IF(AND(ISNUMBER($AB209),ISNUMBER($AD209),ABS($AB209)&gt;0),$AD209/$AB209,"")</f>
      </c>
      <c r="AW209" s="39">
        <f>IF(ISNUMBER($AD209),MAX(0,(1-0.55-Header!$O$3)*Header!$Q$3*$AQ209),"")</f>
      </c>
      <c r="AX209" s="43">
        <f>IF($A209="","",IF(TRIM(IF($A209="","Missing certificate ref. ","") &amp; IF($C209="","Missing effective date. ","") &amp; IF($D209="","Missing binding status. ","") &amp; IF($E209="","Missing movement type. ","") &amp; IF($I209="","Missing make. ","") &amp; IF($L209="","Missing vehicle class. ","") &amp; IF($M209="","Missing agreed value. ","") &amp; IF($N209="","Missing policy type. ","") &amp; IF($Q209="","Missing garaging state. ","") &amp; IF($R209="","Missing garaging ZIP. ","") &amp; IF($S209="","Missing cat zone. ","") &amp; IF($V209="","Missing valuation basis. ","") &amp; IF($W209="","Missing PD deductible. ","") &amp; IF($X209="","Missing liability limit. ","") &amp; IF($AB209="","Missing technical premium. ","") &amp; IF($AF209="","Missing surplus lines tax %. ",""))="","PASS","FAIL: "&amp;TRIM(IF($A209="","Missing certificate ref. ","") &amp; IF($C209="","Missing effective date. ","") &amp; IF($D209="","Missing binding status. ","") &amp; IF($E209="","Missing movement type. ","") &amp; IF($I209="","Missing make. ","") &amp; IF($L209="","Missing vehicle class. ","") &amp; IF($M209="","Missing agreed value. ","") &amp; IF($N209="","Missing policy type. ","") &amp; IF($Q209="","Missing garaging state. ","") &amp; IF($R209="","Missing garaging ZIP. ","") &amp; IF($S209="","Missing cat zone. ","") &amp; IF($V209="","Missing valuation basis. ","") &amp; IF($W209="","Missing PD deductible. ","") &amp; IF($X209="","Missing liability limit. ","") &amp; IF($AB209="","Missing technical premium. ","") &amp; IF($AF209="","Missing surplus lines tax %. ",""))))</f>
      </c>
      <c r="AY209" s="44">
        <f>IF($M209="","",IF(ISNUMBER($M209),IF($M209&gt;=Header!$C$18,"YES — refer","No"),""))</f>
      </c>
      <c r="AZ209" s="44">
        <f>IF($AD209="","",IF(ISNUMBER($AD209),IF($AD209&lt;Header!$C$20,"BELOW MIN PREMIUM","OK"),""))</f>
      </c>
      <c r="BA209" s="32" t="inlineStr">
        <is>
          <t xml:space="preserve">Yes</t>
        </is>
      </c>
      <c r="BB209" s="32" t="inlineStr">
        <is>
          <t xml:space="preserve">Yes</t>
        </is>
      </c>
      <c r="BC209" s="30" t="inlineStr">
        <is>
          <t xml:space="preserve">Synthetic demo data</t>
        </is>
      </c>
      <c r="BE209" s="45">
        <f>IF(OR($A209="",$L209="",$H209=""),"",IF(AND(LEFT($L209,2)="06",$H209&gt;1945),"FAIL - pre-war class, year "&amp;$H209,IF(AND(LEFT($L209,2)="07",OR($H209&lt;1946,$H209&gt;1972)),"FAIL - 1946-72 class, year "&amp;$H209,IF(AND(LEFT($L209,2)="08",OR($H209&lt;1973,$H209&gt;1999)),"FAIL - 1973-99 class, year "&amp;$H209,IF(AND(LEFT($L209,2)="09",OR($H209&lt;2000,$H209&gt;2010)),"FAIL - 2000-10 class, year "&amp;$H209,"OK")))))</f>
      </c>
      <c r="BF209" s="45">
        <f>IF($AD209="","",IF(ROUND($AO209+$AP209+$AQ209-$AD209,2)=0,"OK","FAIL - out by "&amp;TEXT($AO209+$AP209+$AQ209-$AD209,"$0.00")))</f>
      </c>
    </row>
    <row r="210" spans="1:58" ht="18.75" customHeight="1" x14ac:dyDescent="0.25">
      <c r="A210" s="46" t="inlineStr">
        <is>
          <t xml:space="preserve">CANON-202511-002452</t>
        </is>
      </c>
      <c r="B210" s="46" t="inlineStr">
        <is>
          <t xml:space="preserve">Everett Okonkwo</t>
        </is>
      </c>
      <c r="C210" s="47">
        <v>45978</v>
      </c>
      <c r="D210" s="48" t="inlineStr">
        <is>
          <t xml:space="preserve">Bound - within authority</t>
        </is>
      </c>
      <c r="E210" s="48" t="inlineStr">
        <is>
          <t xml:space="preserve">New business</t>
        </is>
      </c>
      <c r="F210" s="46" t="inlineStr">
        <is>
          <t xml:space="preserve">B1234EXOTIC26</t>
        </is>
      </c>
      <c r="G210" s="33">
        <f>IF($A210="","",IF($C210="","",YEAR($C210)))</f>
      </c>
      <c r="H210" s="49">
        <v>1964</v>
      </c>
      <c r="I210" s="46" t="inlineStr">
        <is>
          <t xml:space="preserve">Bentley</t>
        </is>
      </c>
      <c r="J210" s="46" t="inlineStr">
        <is>
          <t xml:space="preserve">Continental GT</t>
        </is>
      </c>
      <c r="K210" s="46" t="inlineStr">
        <is>
          <t xml:space="preserve">H35GRL370B1M06NT9</t>
        </is>
      </c>
      <c r="L210" s="48" t="inlineStr">
        <is>
          <t xml:space="preserve">02 - Sports / GT</t>
        </is>
      </c>
      <c r="M210" s="50">
        <v>245000</v>
      </c>
      <c r="N210" s="48" t="inlineStr">
        <is>
          <t xml:space="preserve">Personal</t>
        </is>
      </c>
      <c r="O210" s="46" t="inlineStr">
        <is>
          <t xml:space="preserve">Personal - regular use</t>
        </is>
      </c>
      <c r="P210" s="46" t="inlineStr">
        <is>
          <t xml:space="preserve">1,000 - 2,500</t>
        </is>
      </c>
      <c r="Q210" s="46" t="inlineStr">
        <is>
          <t xml:space="preserve">New Jersey</t>
        </is>
      </c>
      <c r="R210" s="46" t="inlineStr">
        <is>
          <t xml:space="preserve">07102</t>
        </is>
      </c>
      <c r="S210" s="48" t="inlineStr">
        <is>
          <t xml:space="preserve">Tier 3 - Coastal wind (25-100 miles)</t>
        </is>
      </c>
      <c r="T210" s="36">
        <f>IF($A210="","",IF($S210="","",IFERROR(INDEX('[1]natural catastrophe'!$D$6:$D$17,MATCH($S210,'[1]natural catastrophe'!$B$6:$B$17,0)),"?")))</f>
      </c>
      <c r="U210" s="46" t="inlineStr">
        <is>
          <t xml:space="preserve">2% of agreed value, minimum $10,000</t>
        </is>
      </c>
      <c r="V210" s="48" t="inlineStr">
        <is>
          <t xml:space="preserve">Agreed Value</t>
        </is>
      </c>
      <c r="W210" s="46" t="inlineStr">
        <is>
          <t xml:space="preserve">$1,000</t>
        </is>
      </c>
      <c r="X210" s="48" t="inlineStr">
        <is>
          <t xml:space="preserve">$1,000,000 CSL</t>
        </is>
      </c>
      <c r="Y210" s="46"/>
      <c r="Z210" s="46"/>
      <c r="AA210" s="48" t="inlineStr">
        <is>
          <t xml:space="preserve">Surplus Lines</t>
        </is>
      </c>
      <c r="AB210" s="50">
        <v>3558.15</v>
      </c>
      <c r="AC210" s="51">
        <v>0</v>
      </c>
      <c r="AD210" s="38">
        <f>IF(ISNUMBER($AB210),$AB210*(1+N($AC210)),"")</f>
      </c>
      <c r="AE210" s="50">
        <v>350</v>
      </c>
      <c r="AF210" s="50">
        <v>0</v>
      </c>
      <c r="AG210" s="51"/>
      <c r="AH210" s="39">
        <f>IF(ISNUMBER($AD210),($AD210+$AE210+$AF210)*$AG210,"")</f>
      </c>
      <c r="AI210" s="50"/>
      <c r="AJ210" s="38">
        <f>IF(ISNUMBER($AD210),SUM($AD210:$AH210),"")</f>
      </c>
      <c r="AK210" s="40">
        <f>IF(AND(ISNUMBER($AB210),ISNUMBER($AD210)),IF($AB210&gt;0,$AD210/$AB210,""),"")</f>
      </c>
      <c r="AL210" s="48" t="inlineStr">
        <is>
          <t xml:space="preserve">At technical</t>
        </is>
      </c>
      <c r="AM210" s="41">
        <f>IF(ISNUMBER($AD210),Header!$I$3,"")</f>
      </c>
      <c r="AN210" s="39">
        <f>IF(ISNUMBER($AD210),$AO210+$AP210,"")</f>
      </c>
      <c r="AO210" s="39">
        <f>IF(ISNUMBER($AD210),ROUND($AD210*Header!$K$3,2),"")</f>
      </c>
      <c r="AP210" s="39">
        <f>IF(ISNUMBER($AD210),ROUND($AD210*Header!$M$3,2),"")</f>
      </c>
      <c r="AQ210" s="38">
        <f>IF(ISNUMBER($AD210),ROUND($AD210,2)-$AO210-$AP210,"")</f>
      </c>
      <c r="AR210" s="39">
        <f>IF(ISNUMBER($AD210),IF(Header!$D$34="","?",$AD210*Header!$D$34),"")</f>
      </c>
      <c r="AS210" s="39">
        <f>IF(ISNUMBER($AB210),IF(Header!$D$34="","?",$AB210*Header!$D$34),"")</f>
      </c>
      <c r="AT210" s="42">
        <f>IF(AND(ISNUMBER($AB210),$M210&gt;0),$AB210/$M210*100,"")</f>
      </c>
      <c r="AU210" s="42">
        <f>IF(AND(ISNUMBER($AD210),$M210&gt;0),$AD210/$M210*100,"")</f>
      </c>
      <c r="AV210" s="40">
        <f>IF(AND(ISNUMBER($AB210),ISNUMBER($AD210),ABS($AB210)&gt;0),$AD210/$AB210,"")</f>
      </c>
      <c r="AW210" s="39">
        <f>IF(ISNUMBER($AD210),MAX(0,(1-0.55-Header!$O$3)*Header!$Q$3*$AQ210),"")</f>
      </c>
      <c r="AX210" s="43">
        <f>IF($A210="","",IF(TRIM(IF($A210="","Missing certificate ref. ","") &amp; IF($C210="","Missing effective date. ","") &amp; IF($D210="","Missing binding status. ","") &amp; IF($E210="","Missing movement type. ","") &amp; IF($I210="","Missing make. ","") &amp; IF($L210="","Missing vehicle class. ","") &amp; IF($M210="","Missing agreed value. ","") &amp; IF($N210="","Missing policy type. ","") &amp; IF($Q210="","Missing garaging state. ","") &amp; IF($R210="","Missing garaging ZIP. ","") &amp; IF($S210="","Missing cat zone. ","") &amp; IF($V210="","Missing valuation basis. ","") &amp; IF($W210="","Missing PD deductible. ","") &amp; IF($X210="","Missing liability limit. ","") &amp; IF($AB210="","Missing technical premium. ","") &amp; IF($AF210="","Missing surplus lines tax %. ",""))="","PASS","FAIL: "&amp;TRIM(IF($A210="","Missing certificate ref. ","") &amp; IF($C210="","Missing effective date. ","") &amp; IF($D210="","Missing binding status. ","") &amp; IF($E210="","Missing movement type. ","") &amp; IF($I210="","Missing make. ","") &amp; IF($L210="","Missing vehicle class. ","") &amp; IF($M210="","Missing agreed value. ","") &amp; IF($N210="","Missing policy type. ","") &amp; IF($Q210="","Missing garaging state. ","") &amp; IF($R210="","Missing garaging ZIP. ","") &amp; IF($S210="","Missing cat zone. ","") &amp; IF($V210="","Missing valuation basis. ","") &amp; IF($W210="","Missing PD deductible. ","") &amp; IF($X210="","Missing liability limit. ","") &amp; IF($AB210="","Missing technical premium. ","") &amp; IF($AF210="","Missing surplus lines tax %. ",""))))</f>
      </c>
      <c r="AY210" s="44">
        <f>IF($M210="","",IF(ISNUMBER($M210),IF($M210&gt;=Header!$C$18,"YES — refer","No"),""))</f>
      </c>
      <c r="AZ210" s="44">
        <f>IF($AD210="","",IF(ISNUMBER($AD210),IF($AD210&lt;Header!$C$20,"BELOW MIN PREMIUM","OK"),""))</f>
      </c>
      <c r="BA210" s="48" t="inlineStr">
        <is>
          <t xml:space="preserve">Yes</t>
        </is>
      </c>
      <c r="BB210" s="48" t="inlineStr">
        <is>
          <t xml:space="preserve">Yes</t>
        </is>
      </c>
      <c r="BC210" s="46" t="inlineStr">
        <is>
          <t xml:space="preserve">Synthetic demo data</t>
        </is>
      </c>
      <c r="BE210" s="45">
        <f>IF(OR($A210="",$L210="",$H210=""),"",IF(AND(LEFT($L210,2)="06",$H210&gt;1945),"FAIL - pre-war class, year "&amp;$H210,IF(AND(LEFT($L210,2)="07",OR($H210&lt;1946,$H210&gt;1972)),"FAIL - 1946-72 class, year "&amp;$H210,IF(AND(LEFT($L210,2)="08",OR($H210&lt;1973,$H210&gt;1999)),"FAIL - 1973-99 class, year "&amp;$H210,IF(AND(LEFT($L210,2)="09",OR($H210&lt;2000,$H210&gt;2010)),"FAIL - 2000-10 class, year "&amp;$H210,"OK")))))</f>
      </c>
      <c r="BF210" s="45">
        <f>IF($AD210="","",IF(ROUND($AO210+$AP210+$AQ210-$AD210,2)=0,"OK","FAIL - out by "&amp;TEXT($AO210+$AP210+$AQ210-$AD210,"$0.00")))</f>
      </c>
    </row>
    <row r="211" spans="1:58" ht="18.75" customHeight="1" x14ac:dyDescent="0.25">
      <c r="A211" s="30" t="inlineStr">
        <is>
          <t xml:space="preserve">CANON-202511-002453</t>
        </is>
      </c>
      <c r="B211" s="30" t="inlineStr">
        <is>
          <t xml:space="preserve">Wilhelmina Rourke</t>
        </is>
      </c>
      <c r="C211" s="31">
        <v>45976</v>
      </c>
      <c r="D211" s="32" t="inlineStr">
        <is>
          <t xml:space="preserve">Bound - within authority</t>
        </is>
      </c>
      <c r="E211" s="32" t="inlineStr">
        <is>
          <t xml:space="preserve">New business</t>
        </is>
      </c>
      <c r="F211" s="30" t="inlineStr">
        <is>
          <t xml:space="preserve">B1234EXOTIC26</t>
        </is>
      </c>
      <c r="G211" s="33">
        <f>IF($A211="","",IF($C211="","",YEAR($C211)))</f>
      </c>
      <c r="H211" s="34">
        <v>1972</v>
      </c>
      <c r="I211" s="30" t="inlineStr">
        <is>
          <t xml:space="preserve">Mercedes-Benz</t>
        </is>
      </c>
      <c r="J211" s="30" t="inlineStr">
        <is>
          <t xml:space="preserve">AMG GT</t>
        </is>
      </c>
      <c r="K211" s="30" t="inlineStr">
        <is>
          <t xml:space="preserve">9JGTED2THTTBA03DG</t>
        </is>
      </c>
      <c r="L211" s="32" t="inlineStr">
        <is>
          <t xml:space="preserve">02 - Sports / GT</t>
        </is>
      </c>
      <c r="M211" s="35">
        <v>550000</v>
      </c>
      <c r="N211" s="32" t="inlineStr">
        <is>
          <t xml:space="preserve">Personal</t>
        </is>
      </c>
      <c r="O211" s="30" t="inlineStr">
        <is>
          <t xml:space="preserve">Personal - regular use</t>
        </is>
      </c>
      <c r="P211" s="30" t="inlineStr">
        <is>
          <t xml:space="preserve">1,000 - 2,500</t>
        </is>
      </c>
      <c r="Q211" s="30" t="inlineStr">
        <is>
          <t xml:space="preserve">Nevada</t>
        </is>
      </c>
      <c r="R211" s="30" t="inlineStr">
        <is>
          <t xml:space="preserve">89101</t>
        </is>
      </c>
      <c r="S211" s="32" t="inlineStr">
        <is>
          <t xml:space="preserve">Wildfire - WUI high hazard</t>
        </is>
      </c>
      <c r="T211" s="36">
        <f>IF($A211="","",IF($S211="","",IFERROR(INDEX('[1]natural catastrophe'!$D$6:$D$17,MATCH($S211,'[1]natural catastrophe'!$B$6:$B$17,0)),"?")))</f>
      </c>
      <c r="U211" s="30" t="inlineStr">
        <is>
          <t xml:space="preserve">$5,000</t>
        </is>
      </c>
      <c r="V211" s="32" t="inlineStr">
        <is>
          <t xml:space="preserve">Agreed Value</t>
        </is>
      </c>
      <c r="W211" s="30" t="inlineStr">
        <is>
          <t xml:space="preserve">$1,000</t>
        </is>
      </c>
      <c r="X211" s="32" t="inlineStr">
        <is>
          <t xml:space="preserve">$1,000,000 CSL</t>
        </is>
      </c>
      <c r="Y211" s="30"/>
      <c r="Z211" s="30"/>
      <c r="AA211" s="32" t="inlineStr">
        <is>
          <t xml:space="preserve">Surplus Lines</t>
        </is>
      </c>
      <c r="AB211" s="35">
        <v>7255.89</v>
      </c>
      <c r="AC211" s="37">
        <v>0</v>
      </c>
      <c r="AD211" s="38">
        <f>IF(ISNUMBER($AB211),$AB211*(1+N($AC211)),"")</f>
      </c>
      <c r="AE211" s="35">
        <v>350</v>
      </c>
      <c r="AF211" s="35">
        <v>0</v>
      </c>
      <c r="AG211" s="37"/>
      <c r="AH211" s="39">
        <f>IF(ISNUMBER($AD211),($AD211+$AE211+$AF211)*$AG211,"")</f>
      </c>
      <c r="AI211" s="35"/>
      <c r="AJ211" s="38">
        <f>IF(ISNUMBER($AD211),SUM($AD211:$AH211),"")</f>
      </c>
      <c r="AK211" s="40">
        <f>IF(AND(ISNUMBER($AB211),ISNUMBER($AD211)),IF($AB211&gt;0,$AD211/$AB211,""),"")</f>
      </c>
      <c r="AL211" s="32" t="inlineStr">
        <is>
          <t xml:space="preserve">At technical</t>
        </is>
      </c>
      <c r="AM211" s="41">
        <f>IF(ISNUMBER($AD211),Header!$I$3,"")</f>
      </c>
      <c r="AN211" s="39">
        <f>IF(ISNUMBER($AD211),$AO211+$AP211,"")</f>
      </c>
      <c r="AO211" s="39">
        <f>IF(ISNUMBER($AD211),ROUND($AD211*Header!$K$3,2),"")</f>
      </c>
      <c r="AP211" s="39">
        <f>IF(ISNUMBER($AD211),ROUND($AD211*Header!$M$3,2),"")</f>
      </c>
      <c r="AQ211" s="38">
        <f>IF(ISNUMBER($AD211),ROUND($AD211,2)-$AO211-$AP211,"")</f>
      </c>
      <c r="AR211" s="39">
        <f>IF(ISNUMBER($AD211),IF(Header!$D$34="","?",$AD211*Header!$D$34),"")</f>
      </c>
      <c r="AS211" s="39">
        <f>IF(ISNUMBER($AB211),IF(Header!$D$34="","?",$AB211*Header!$D$34),"")</f>
      </c>
      <c r="AT211" s="42">
        <f>IF(AND(ISNUMBER($AB211),$M211&gt;0),$AB211/$M211*100,"")</f>
      </c>
      <c r="AU211" s="42">
        <f>IF(AND(ISNUMBER($AD211),$M211&gt;0),$AD211/$M211*100,"")</f>
      </c>
      <c r="AV211" s="40">
        <f>IF(AND(ISNUMBER($AB211),ISNUMBER($AD211),ABS($AB211)&gt;0),$AD211/$AB211,"")</f>
      </c>
      <c r="AW211" s="39">
        <f>IF(ISNUMBER($AD211),MAX(0,(1-0.55-Header!$O$3)*Header!$Q$3*$AQ211),"")</f>
      </c>
      <c r="AX211" s="43">
        <f>IF($A211="","",IF(TRIM(IF($A211="","Missing certificate ref. ","") &amp; IF($C211="","Missing effective date. ","") &amp; IF($D211="","Missing binding status. ","") &amp; IF($E211="","Missing movement type. ","") &amp; IF($I211="","Missing make. ","") &amp; IF($L211="","Missing vehicle class. ","") &amp; IF($M211="","Missing agreed value. ","") &amp; IF($N211="","Missing policy type. ","") &amp; IF($Q211="","Missing garaging state. ","") &amp; IF($R211="","Missing garaging ZIP. ","") &amp; IF($S211="","Missing cat zone. ","") &amp; IF($V211="","Missing valuation basis. ","") &amp; IF($W211="","Missing PD deductible. ","") &amp; IF($X211="","Missing liability limit. ","") &amp; IF($AB211="","Missing technical premium. ","") &amp; IF($AF211="","Missing surplus lines tax %. ",""))="","PASS","FAIL: "&amp;TRIM(IF($A211="","Missing certificate ref. ","") &amp; IF($C211="","Missing effective date. ","") &amp; IF($D211="","Missing binding status. ","") &amp; IF($E211="","Missing movement type. ","") &amp; IF($I211="","Missing make. ","") &amp; IF($L211="","Missing vehicle class. ","") &amp; IF($M211="","Missing agreed value. ","") &amp; IF($N211="","Missing policy type. ","") &amp; IF($Q211="","Missing garaging state. ","") &amp; IF($R211="","Missing garaging ZIP. ","") &amp; IF($S211="","Missing cat zone. ","") &amp; IF($V211="","Missing valuation basis. ","") &amp; IF($W211="","Missing PD deductible. ","") &amp; IF($X211="","Missing liability limit. ","") &amp; IF($AB211="","Missing technical premium. ","") &amp; IF($AF211="","Missing surplus lines tax %. ",""))))</f>
      </c>
      <c r="AY211" s="44">
        <f>IF($M211="","",IF(ISNUMBER($M211),IF($M211&gt;=Header!$C$18,"YES — refer","No"),""))</f>
      </c>
      <c r="AZ211" s="44">
        <f>IF($AD211="","",IF(ISNUMBER($AD211),IF($AD211&lt;Header!$C$20,"BELOW MIN PREMIUM","OK"),""))</f>
      </c>
      <c r="BA211" s="32" t="inlineStr">
        <is>
          <t xml:space="preserve">Yes</t>
        </is>
      </c>
      <c r="BB211" s="32" t="inlineStr">
        <is>
          <t xml:space="preserve">Yes</t>
        </is>
      </c>
      <c r="BC211" s="30" t="inlineStr">
        <is>
          <t xml:space="preserve">Synthetic demo data</t>
        </is>
      </c>
      <c r="BE211" s="45">
        <f>IF(OR($A211="",$L211="",$H211=""),"",IF(AND(LEFT($L211,2)="06",$H211&gt;1945),"FAIL - pre-war class, year "&amp;$H211,IF(AND(LEFT($L211,2)="07",OR($H211&lt;1946,$H211&gt;1972)),"FAIL - 1946-72 class, year "&amp;$H211,IF(AND(LEFT($L211,2)="08",OR($H211&lt;1973,$H211&gt;1999)),"FAIL - 1973-99 class, year "&amp;$H211,IF(AND(LEFT($L211,2)="09",OR($H211&lt;2000,$H211&gt;2010)),"FAIL - 2000-10 class, year "&amp;$H211,"OK")))))</f>
      </c>
      <c r="BF211" s="45">
        <f>IF($AD211="","",IF(ROUND($AO211+$AP211+$AQ211-$AD211,2)=0,"OK","FAIL - out by "&amp;TEXT($AO211+$AP211+$AQ211-$AD211,"$0.00")))</f>
      </c>
    </row>
    <row r="212" spans="1:58" ht="18.75" customHeight="1" x14ac:dyDescent="0.25">
      <c r="A212" s="46" t="inlineStr">
        <is>
          <t xml:space="preserve">CANON-202511-002454</t>
        </is>
      </c>
      <c r="B212" s="46" t="inlineStr">
        <is>
          <t xml:space="preserve">Thaddeus Underwood</t>
        </is>
      </c>
      <c r="C212" s="47">
        <v>45968</v>
      </c>
      <c r="D212" s="48" t="inlineStr">
        <is>
          <t xml:space="preserve">Bound - within authority</t>
        </is>
      </c>
      <c r="E212" s="48" t="inlineStr">
        <is>
          <t xml:space="preserve">New business</t>
        </is>
      </c>
      <c r="F212" s="46" t="inlineStr">
        <is>
          <t xml:space="preserve">B1234EXOTIC26</t>
        </is>
      </c>
      <c r="G212" s="33">
        <f>IF($A212="","",IF($C212="","",YEAR($C212)))</f>
      </c>
      <c r="H212" s="49">
        <v>1963</v>
      </c>
      <c r="I212" s="46" t="inlineStr">
        <is>
          <t xml:space="preserve">BMW</t>
        </is>
      </c>
      <c r="J212" s="46" t="inlineStr">
        <is>
          <t xml:space="preserve">M8 Competition</t>
        </is>
      </c>
      <c r="K212" s="46" t="inlineStr">
        <is>
          <t xml:space="preserve">JAAWESPUW9Y1LZYTR</t>
        </is>
      </c>
      <c r="L212" s="48" t="inlineStr">
        <is>
          <t xml:space="preserve">02 - Sports / GT</t>
        </is>
      </c>
      <c r="M212" s="50">
        <v>340000</v>
      </c>
      <c r="N212" s="48" t="inlineStr">
        <is>
          <t xml:space="preserve">Personal</t>
        </is>
      </c>
      <c r="O212" s="46" t="inlineStr">
        <is>
          <t xml:space="preserve">Personal - regular use</t>
        </is>
      </c>
      <c r="P212" s="46" t="inlineStr">
        <is>
          <t xml:space="preserve">1,000 - 2,500</t>
        </is>
      </c>
      <c r="Q212" s="46" t="inlineStr">
        <is>
          <t xml:space="preserve">New York</t>
        </is>
      </c>
      <c r="R212" s="46" t="inlineStr">
        <is>
          <t xml:space="preserve">10022</t>
        </is>
      </c>
      <c r="S212" s="48" t="inlineStr">
        <is>
          <t xml:space="preserve">Tier 3 - Coastal wind (25-100 miles)</t>
        </is>
      </c>
      <c r="T212" s="36">
        <f>IF($A212="","",IF($S212="","",IFERROR(INDEX('[1]natural catastrophe'!$D$6:$D$17,MATCH($S212,'[1]natural catastrophe'!$B$6:$B$17,0)),"?")))</f>
      </c>
      <c r="U212" s="46" t="inlineStr">
        <is>
          <t xml:space="preserve">2% of agreed value, minimum $10,000</t>
        </is>
      </c>
      <c r="V212" s="48" t="inlineStr">
        <is>
          <t xml:space="preserve">Agreed Value</t>
        </is>
      </c>
      <c r="W212" s="46" t="inlineStr">
        <is>
          <t xml:space="preserve">$1,000</t>
        </is>
      </c>
      <c r="X212" s="48" t="inlineStr">
        <is>
          <t xml:space="preserve">$1,000,000 CSL</t>
        </is>
      </c>
      <c r="Y212" s="46"/>
      <c r="Z212" s="46"/>
      <c r="AA212" s="48" t="inlineStr">
        <is>
          <t xml:space="preserve">Surplus Lines</t>
        </is>
      </c>
      <c r="AB212" s="50">
        <v>5662.12</v>
      </c>
      <c r="AC212" s="51">
        <v>0</v>
      </c>
      <c r="AD212" s="38">
        <f>IF(ISNUMBER($AB212),$AB212*(1+N($AC212)),"")</f>
      </c>
      <c r="AE212" s="50">
        <v>350</v>
      </c>
      <c r="AF212" s="50">
        <v>0</v>
      </c>
      <c r="AG212" s="51"/>
      <c r="AH212" s="39">
        <f>IF(ISNUMBER($AD212),($AD212+$AE212+$AF212)*$AG212,"")</f>
      </c>
      <c r="AI212" s="50"/>
      <c r="AJ212" s="38">
        <f>IF(ISNUMBER($AD212),SUM($AD212:$AH212),"")</f>
      </c>
      <c r="AK212" s="40">
        <f>IF(AND(ISNUMBER($AB212),ISNUMBER($AD212)),IF($AB212&gt;0,$AD212/$AB212,""),"")</f>
      </c>
      <c r="AL212" s="48" t="inlineStr">
        <is>
          <t xml:space="preserve">At technical</t>
        </is>
      </c>
      <c r="AM212" s="41">
        <f>IF(ISNUMBER($AD212),Header!$I$3,"")</f>
      </c>
      <c r="AN212" s="39">
        <f>IF(ISNUMBER($AD212),$AO212+$AP212,"")</f>
      </c>
      <c r="AO212" s="39">
        <f>IF(ISNUMBER($AD212),ROUND($AD212*Header!$K$3,2),"")</f>
      </c>
      <c r="AP212" s="39">
        <f>IF(ISNUMBER($AD212),ROUND($AD212*Header!$M$3,2),"")</f>
      </c>
      <c r="AQ212" s="38">
        <f>IF(ISNUMBER($AD212),ROUND($AD212,2)-$AO212-$AP212,"")</f>
      </c>
      <c r="AR212" s="39">
        <f>IF(ISNUMBER($AD212),IF(Header!$D$34="","?",$AD212*Header!$D$34),"")</f>
      </c>
      <c r="AS212" s="39">
        <f>IF(ISNUMBER($AB212),IF(Header!$D$34="","?",$AB212*Header!$D$34),"")</f>
      </c>
      <c r="AT212" s="42">
        <f>IF(AND(ISNUMBER($AB212),$M212&gt;0),$AB212/$M212*100,"")</f>
      </c>
      <c r="AU212" s="42">
        <f>IF(AND(ISNUMBER($AD212),$M212&gt;0),$AD212/$M212*100,"")</f>
      </c>
      <c r="AV212" s="40">
        <f>IF(AND(ISNUMBER($AB212),ISNUMBER($AD212),ABS($AB212)&gt;0),$AD212/$AB212,"")</f>
      </c>
      <c r="AW212" s="39">
        <f>IF(ISNUMBER($AD212),MAX(0,(1-0.55-Header!$O$3)*Header!$Q$3*$AQ212),"")</f>
      </c>
      <c r="AX212" s="43">
        <f>IF($A212="","",IF(TRIM(IF($A212="","Missing certificate ref. ","") &amp; IF($C212="","Missing effective date. ","") &amp; IF($D212="","Missing binding status. ","") &amp; IF($E212="","Missing movement type. ","") &amp; IF($I212="","Missing make. ","") &amp; IF($L212="","Missing vehicle class. ","") &amp; IF($M212="","Missing agreed value. ","") &amp; IF($N212="","Missing policy type. ","") &amp; IF($Q212="","Missing garaging state. ","") &amp; IF($R212="","Missing garaging ZIP. ","") &amp; IF($S212="","Missing cat zone. ","") &amp; IF($V212="","Missing valuation basis. ","") &amp; IF($W212="","Missing PD deductible. ","") &amp; IF($X212="","Missing liability limit. ","") &amp; IF($AB212="","Missing technical premium. ","") &amp; IF($AF212="","Missing surplus lines tax %. ",""))="","PASS","FAIL: "&amp;TRIM(IF($A212="","Missing certificate ref. ","") &amp; IF($C212="","Missing effective date. ","") &amp; IF($D212="","Missing binding status. ","") &amp; IF($E212="","Missing movement type. ","") &amp; IF($I212="","Missing make. ","") &amp; IF($L212="","Missing vehicle class. ","") &amp; IF($M212="","Missing agreed value. ","") &amp; IF($N212="","Missing policy type. ","") &amp; IF($Q212="","Missing garaging state. ","") &amp; IF($R212="","Missing garaging ZIP. ","") &amp; IF($S212="","Missing cat zone. ","") &amp; IF($V212="","Missing valuation basis. ","") &amp; IF($W212="","Missing PD deductible. ","") &amp; IF($X212="","Missing liability limit. ","") &amp; IF($AB212="","Missing technical premium. ","") &amp; IF($AF212="","Missing surplus lines tax %. ",""))))</f>
      </c>
      <c r="AY212" s="44">
        <f>IF($M212="","",IF(ISNUMBER($M212),IF($M212&gt;=Header!$C$18,"YES — refer","No"),""))</f>
      </c>
      <c r="AZ212" s="44">
        <f>IF($AD212="","",IF(ISNUMBER($AD212),IF($AD212&lt;Header!$C$20,"BELOW MIN PREMIUM","OK"),""))</f>
      </c>
      <c r="BA212" s="48" t="inlineStr">
        <is>
          <t xml:space="preserve">Yes</t>
        </is>
      </c>
      <c r="BB212" s="48" t="inlineStr">
        <is>
          <t xml:space="preserve">Yes</t>
        </is>
      </c>
      <c r="BC212" s="46" t="inlineStr">
        <is>
          <t xml:space="preserve">Synthetic demo data</t>
        </is>
      </c>
      <c r="BE212" s="45">
        <f>IF(OR($A212="",$L212="",$H212=""),"",IF(AND(LEFT($L212,2)="06",$H212&gt;1945),"FAIL - pre-war class, year "&amp;$H212,IF(AND(LEFT($L212,2)="07",OR($H212&lt;1946,$H212&gt;1972)),"FAIL - 1946-72 class, year "&amp;$H212,IF(AND(LEFT($L212,2)="08",OR($H212&lt;1973,$H212&gt;1999)),"FAIL - 1973-99 class, year "&amp;$H212,IF(AND(LEFT($L212,2)="09",OR($H212&lt;2000,$H212&gt;2010)),"FAIL - 2000-10 class, year "&amp;$H212,"OK")))))</f>
      </c>
      <c r="BF212" s="45">
        <f>IF($AD212="","",IF(ROUND($AO212+$AP212+$AQ212-$AD212,2)=0,"OK","FAIL - out by "&amp;TEXT($AO212+$AP212+$AQ212-$AD212,"$0.00")))</f>
      </c>
    </row>
    <row r="213" spans="1:58" ht="18.75" customHeight="1" x14ac:dyDescent="0.25">
      <c r="A213" s="30" t="inlineStr">
        <is>
          <t xml:space="preserve">CANON-202511-002455</t>
        </is>
      </c>
      <c r="B213" s="30" t="inlineStr">
        <is>
          <t xml:space="preserve">Ottilie Montoya</t>
        </is>
      </c>
      <c r="C213" s="31">
        <v>45963</v>
      </c>
      <c r="D213" s="32" t="inlineStr">
        <is>
          <t xml:space="preserve">Bound - within authority</t>
        </is>
      </c>
      <c r="E213" s="32" t="inlineStr">
        <is>
          <t xml:space="preserve">New business</t>
        </is>
      </c>
      <c r="F213" s="30" t="inlineStr">
        <is>
          <t xml:space="preserve">B1234EXOTIC26</t>
        </is>
      </c>
      <c r="G213" s="33">
        <f>IF($A213="","",IF($C213="","",YEAR($C213)))</f>
      </c>
      <c r="H213" s="34">
        <v>1985</v>
      </c>
      <c r="I213" s="30" t="inlineStr">
        <is>
          <t xml:space="preserve">Porsche</t>
        </is>
      </c>
      <c r="J213" s="30" t="inlineStr">
        <is>
          <t xml:space="preserve">911 Turbo S</t>
        </is>
      </c>
      <c r="K213" s="30" t="inlineStr">
        <is>
          <t xml:space="preserve">R31MU28VUMJP6GTA9</t>
        </is>
      </c>
      <c r="L213" s="32" t="inlineStr">
        <is>
          <t xml:space="preserve">02 - Sports / GT</t>
        </is>
      </c>
      <c r="M213" s="35">
        <v>845000</v>
      </c>
      <c r="N213" s="32" t="inlineStr">
        <is>
          <t xml:space="preserve">Personal</t>
        </is>
      </c>
      <c r="O213" s="30" t="inlineStr">
        <is>
          <t xml:space="preserve">Personal - regular use</t>
        </is>
      </c>
      <c r="P213" s="30" t="inlineStr">
        <is>
          <t xml:space="preserve">1,000 - 2,500</t>
        </is>
      </c>
      <c r="Q213" s="30" t="inlineStr">
        <is>
          <t xml:space="preserve">Alabama</t>
        </is>
      </c>
      <c r="R213" s="30" t="inlineStr">
        <is>
          <t xml:space="preserve">35203</t>
        </is>
      </c>
      <c r="S213" s="32" t="inlineStr">
        <is>
          <t xml:space="preserve">Tier 2 - Coastal wind (1-25 miles)</t>
        </is>
      </c>
      <c r="T213" s="36">
        <f>IF($A213="","",IF($S213="","",IFERROR(INDEX('[1]natural catastrophe'!$D$6:$D$17,MATCH($S213,'[1]natural catastrophe'!$B$6:$B$17,0)),"?")))</f>
      </c>
      <c r="U213" s="30" t="inlineStr">
        <is>
          <t xml:space="preserve">2% of agreed value, minimum $10,000</t>
        </is>
      </c>
      <c r="V213" s="32" t="inlineStr">
        <is>
          <t xml:space="preserve">Agreed Value</t>
        </is>
      </c>
      <c r="W213" s="30" t="inlineStr">
        <is>
          <t xml:space="preserve">$1,000</t>
        </is>
      </c>
      <c r="X213" s="32" t="inlineStr">
        <is>
          <t xml:space="preserve">$1,000,000 CSL</t>
        </is>
      </c>
      <c r="Y213" s="30"/>
      <c r="Z213" s="30"/>
      <c r="AA213" s="32" t="inlineStr">
        <is>
          <t xml:space="preserve">Surplus Lines</t>
        </is>
      </c>
      <c r="AB213" s="35">
        <v>12100.47</v>
      </c>
      <c r="AC213" s="37">
        <v>0</v>
      </c>
      <c r="AD213" s="38">
        <f>IF(ISNUMBER($AB213),$AB213*(1+N($AC213)),"")</f>
      </c>
      <c r="AE213" s="35">
        <v>350</v>
      </c>
      <c r="AF213" s="35">
        <v>0</v>
      </c>
      <c r="AG213" s="37"/>
      <c r="AH213" s="39">
        <f>IF(ISNUMBER($AD213),($AD213+$AE213+$AF213)*$AG213,"")</f>
      </c>
      <c r="AI213" s="35"/>
      <c r="AJ213" s="38">
        <f>IF(ISNUMBER($AD213),SUM($AD213:$AH213),"")</f>
      </c>
      <c r="AK213" s="40">
        <f>IF(AND(ISNUMBER($AB213),ISNUMBER($AD213)),IF($AB213&gt;0,$AD213/$AB213,""),"")</f>
      </c>
      <c r="AL213" s="32" t="inlineStr">
        <is>
          <t xml:space="preserve">At technical</t>
        </is>
      </c>
      <c r="AM213" s="41">
        <f>IF(ISNUMBER($AD213),Header!$I$3,"")</f>
      </c>
      <c r="AN213" s="39">
        <f>IF(ISNUMBER($AD213),$AO213+$AP213,"")</f>
      </c>
      <c r="AO213" s="39">
        <f>IF(ISNUMBER($AD213),ROUND($AD213*Header!$K$3,2),"")</f>
      </c>
      <c r="AP213" s="39">
        <f>IF(ISNUMBER($AD213),ROUND($AD213*Header!$M$3,2),"")</f>
      </c>
      <c r="AQ213" s="38">
        <f>IF(ISNUMBER($AD213),ROUND($AD213,2)-$AO213-$AP213,"")</f>
      </c>
      <c r="AR213" s="39">
        <f>IF(ISNUMBER($AD213),IF(Header!$D$34="","?",$AD213*Header!$D$34),"")</f>
      </c>
      <c r="AS213" s="39">
        <f>IF(ISNUMBER($AB213),IF(Header!$D$34="","?",$AB213*Header!$D$34),"")</f>
      </c>
      <c r="AT213" s="42">
        <f>IF(AND(ISNUMBER($AB213),$M213&gt;0),$AB213/$M213*100,"")</f>
      </c>
      <c r="AU213" s="42">
        <f>IF(AND(ISNUMBER($AD213),$M213&gt;0),$AD213/$M213*100,"")</f>
      </c>
      <c r="AV213" s="40">
        <f>IF(AND(ISNUMBER($AB213),ISNUMBER($AD213),ABS($AB213)&gt;0),$AD213/$AB213,"")</f>
      </c>
      <c r="AW213" s="39">
        <f>IF(ISNUMBER($AD213),MAX(0,(1-0.55-Header!$O$3)*Header!$Q$3*$AQ213),"")</f>
      </c>
      <c r="AX213" s="43">
        <f>IF($A213="","",IF(TRIM(IF($A213="","Missing certificate ref. ","") &amp; IF($C213="","Missing effective date. ","") &amp; IF($D213="","Missing binding status. ","") &amp; IF($E213="","Missing movement type. ","") &amp; IF($I213="","Missing make. ","") &amp; IF($L213="","Missing vehicle class. ","") &amp; IF($M213="","Missing agreed value. ","") &amp; IF($N213="","Missing policy type. ","") &amp; IF($Q213="","Missing garaging state. ","") &amp; IF($R213="","Missing garaging ZIP. ","") &amp; IF($S213="","Missing cat zone. ","") &amp; IF($V213="","Missing valuation basis. ","") &amp; IF($W213="","Missing PD deductible. ","") &amp; IF($X213="","Missing liability limit. ","") &amp; IF($AB213="","Missing technical premium. ","") &amp; IF($AF213="","Missing surplus lines tax %. ",""))="","PASS","FAIL: "&amp;TRIM(IF($A213="","Missing certificate ref. ","") &amp; IF($C213="","Missing effective date. ","") &amp; IF($D213="","Missing binding status. ","") &amp; IF($E213="","Missing movement type. ","") &amp; IF($I213="","Missing make. ","") &amp; IF($L213="","Missing vehicle class. ","") &amp; IF($M213="","Missing agreed value. ","") &amp; IF($N213="","Missing policy type. ","") &amp; IF($Q213="","Missing garaging state. ","") &amp; IF($R213="","Missing garaging ZIP. ","") &amp; IF($S213="","Missing cat zone. ","") &amp; IF($V213="","Missing valuation basis. ","") &amp; IF($W213="","Missing PD deductible. ","") &amp; IF($X213="","Missing liability limit. ","") &amp; IF($AB213="","Missing technical premium. ","") &amp; IF($AF213="","Missing surplus lines tax %. ",""))))</f>
      </c>
      <c r="AY213" s="44">
        <f>IF($M213="","",IF(ISNUMBER($M213),IF($M213&gt;=Header!$C$18,"YES — refer","No"),""))</f>
      </c>
      <c r="AZ213" s="44">
        <f>IF($AD213="","",IF(ISNUMBER($AD213),IF($AD213&lt;Header!$C$20,"BELOW MIN PREMIUM","OK"),""))</f>
      </c>
      <c r="BA213" s="32" t="inlineStr">
        <is>
          <t xml:space="preserve">Yes</t>
        </is>
      </c>
      <c r="BB213" s="32" t="inlineStr">
        <is>
          <t xml:space="preserve">Yes</t>
        </is>
      </c>
      <c r="BC213" s="30" t="inlineStr">
        <is>
          <t xml:space="preserve">Synthetic demo data</t>
        </is>
      </c>
      <c r="BE213" s="45">
        <f>IF(OR($A213="",$L213="",$H213=""),"",IF(AND(LEFT($L213,2)="06",$H213&gt;1945),"FAIL - pre-war class, year "&amp;$H213,IF(AND(LEFT($L213,2)="07",OR($H213&lt;1946,$H213&gt;1972)),"FAIL - 1946-72 class, year "&amp;$H213,IF(AND(LEFT($L213,2)="08",OR($H213&lt;1973,$H213&gt;1999)),"FAIL - 1973-99 class, year "&amp;$H213,IF(AND(LEFT($L213,2)="09",OR($H213&lt;2000,$H213&gt;2010)),"FAIL - 2000-10 class, year "&amp;$H213,"OK")))))</f>
      </c>
      <c r="BF213" s="45">
        <f>IF($AD213="","",IF(ROUND($AO213+$AP213+$AQ213-$AD213,2)=0,"OK","FAIL - out by "&amp;TEXT($AO213+$AP213+$AQ213-$AD213,"$0.00")))</f>
      </c>
    </row>
    <row r="214" spans="1:58" ht="18.75" customHeight="1" x14ac:dyDescent="0.25">
      <c r="A214" s="46" t="inlineStr">
        <is>
          <t xml:space="preserve">CANON-202511-002457</t>
        </is>
      </c>
      <c r="B214" s="46" t="inlineStr">
        <is>
          <t xml:space="preserve">Everett Merriweather</t>
        </is>
      </c>
      <c r="C214" s="47">
        <v>45977</v>
      </c>
      <c r="D214" s="48" t="inlineStr">
        <is>
          <t xml:space="preserve">Bound - within authority</t>
        </is>
      </c>
      <c r="E214" s="48" t="inlineStr">
        <is>
          <t xml:space="preserve">New business</t>
        </is>
      </c>
      <c r="F214" s="46" t="inlineStr">
        <is>
          <t xml:space="preserve">B1234EXOTIC26</t>
        </is>
      </c>
      <c r="G214" s="33">
        <f>IF($A214="","",IF($C214="","",YEAR($C214)))</f>
      </c>
      <c r="H214" s="49">
        <v>1962</v>
      </c>
      <c r="I214" s="46" t="inlineStr">
        <is>
          <t xml:space="preserve">Lamborghini</t>
        </is>
      </c>
      <c r="J214" s="46" t="inlineStr">
        <is>
          <t xml:space="preserve">Huracan EVO</t>
        </is>
      </c>
      <c r="K214" s="46" t="inlineStr">
        <is>
          <t xml:space="preserve">SB7X5GVZ95D1LYV2C</t>
        </is>
      </c>
      <c r="L214" s="48" t="inlineStr">
        <is>
          <t xml:space="preserve">03 - Supercar</t>
        </is>
      </c>
      <c r="M214" s="50">
        <v>610000</v>
      </c>
      <c r="N214" s="48" t="inlineStr">
        <is>
          <t xml:space="preserve">Personal</t>
        </is>
      </c>
      <c r="O214" s="46" t="inlineStr">
        <is>
          <t xml:space="preserve">Personal - regular use</t>
        </is>
      </c>
      <c r="P214" s="46" t="inlineStr">
        <is>
          <t xml:space="preserve">Under 1,000</t>
        </is>
      </c>
      <c r="Q214" s="46" t="inlineStr">
        <is>
          <t xml:space="preserve">Utah</t>
        </is>
      </c>
      <c r="R214" s="46" t="inlineStr">
        <is>
          <t xml:space="preserve">84101</t>
        </is>
      </c>
      <c r="S214" s="48" t="inlineStr">
        <is>
          <t xml:space="preserve">Wildfire - WUI high hazard</t>
        </is>
      </c>
      <c r="T214" s="36">
        <f>IF($A214="","",IF($S214="","",IFERROR(INDEX('[1]natural catastrophe'!$D$6:$D$17,MATCH($S214,'[1]natural catastrophe'!$B$6:$B$17,0)),"?")))</f>
      </c>
      <c r="U214" s="46" t="inlineStr">
        <is>
          <t xml:space="preserve">$5,000</t>
        </is>
      </c>
      <c r="V214" s="48" t="inlineStr">
        <is>
          <t xml:space="preserve">Agreed Value</t>
        </is>
      </c>
      <c r="W214" s="46" t="inlineStr">
        <is>
          <t xml:space="preserve">$1,000</t>
        </is>
      </c>
      <c r="X214" s="48" t="inlineStr">
        <is>
          <t xml:space="preserve">$1,000,000 CSL</t>
        </is>
      </c>
      <c r="Y214" s="46"/>
      <c r="Z214" s="46"/>
      <c r="AA214" s="48" t="inlineStr">
        <is>
          <t xml:space="preserve">Surplus Lines</t>
        </is>
      </c>
      <c r="AB214" s="50">
        <v>13571.13</v>
      </c>
      <c r="AC214" s="51">
        <v>0</v>
      </c>
      <c r="AD214" s="38">
        <f>IF(ISNUMBER($AB214),$AB214*(1+N($AC214)),"")</f>
      </c>
      <c r="AE214" s="50">
        <v>350</v>
      </c>
      <c r="AF214" s="50">
        <v>0</v>
      </c>
      <c r="AG214" s="51"/>
      <c r="AH214" s="39">
        <f>IF(ISNUMBER($AD214),($AD214+$AE214+$AF214)*$AG214,"")</f>
      </c>
      <c r="AI214" s="50"/>
      <c r="AJ214" s="38">
        <f>IF(ISNUMBER($AD214),SUM($AD214:$AH214),"")</f>
      </c>
      <c r="AK214" s="40">
        <f>IF(AND(ISNUMBER($AB214),ISNUMBER($AD214)),IF($AB214&gt;0,$AD214/$AB214,""),"")</f>
      </c>
      <c r="AL214" s="48" t="inlineStr">
        <is>
          <t xml:space="preserve">At technical</t>
        </is>
      </c>
      <c r="AM214" s="41">
        <f>IF(ISNUMBER($AD214),Header!$I$3,"")</f>
      </c>
      <c r="AN214" s="39">
        <f>IF(ISNUMBER($AD214),$AO214+$AP214,"")</f>
      </c>
      <c r="AO214" s="39">
        <f>IF(ISNUMBER($AD214),ROUND($AD214*Header!$K$3,2),"")</f>
      </c>
      <c r="AP214" s="39">
        <f>IF(ISNUMBER($AD214),ROUND($AD214*Header!$M$3,2),"")</f>
      </c>
      <c r="AQ214" s="38">
        <f>IF(ISNUMBER($AD214),ROUND($AD214,2)-$AO214-$AP214,"")</f>
      </c>
      <c r="AR214" s="39">
        <f>IF(ISNUMBER($AD214),IF(Header!$D$34="","?",$AD214*Header!$D$34),"")</f>
      </c>
      <c r="AS214" s="39">
        <f>IF(ISNUMBER($AB214),IF(Header!$D$34="","?",$AB214*Header!$D$34),"")</f>
      </c>
      <c r="AT214" s="42">
        <f>IF(AND(ISNUMBER($AB214),$M214&gt;0),$AB214/$M214*100,"")</f>
      </c>
      <c r="AU214" s="42">
        <f>IF(AND(ISNUMBER($AD214),$M214&gt;0),$AD214/$M214*100,"")</f>
      </c>
      <c r="AV214" s="40">
        <f>IF(AND(ISNUMBER($AB214),ISNUMBER($AD214),ABS($AB214)&gt;0),$AD214/$AB214,"")</f>
      </c>
      <c r="AW214" s="39">
        <f>IF(ISNUMBER($AD214),MAX(0,(1-0.55-Header!$O$3)*Header!$Q$3*$AQ214),"")</f>
      </c>
      <c r="AX214" s="43">
        <f>IF($A214="","",IF(TRIM(IF($A214="","Missing certificate ref. ","") &amp; IF($C214="","Missing effective date. ","") &amp; IF($D214="","Missing binding status. ","") &amp; IF($E214="","Missing movement type. ","") &amp; IF($I214="","Missing make. ","") &amp; IF($L214="","Missing vehicle class. ","") &amp; IF($M214="","Missing agreed value. ","") &amp; IF($N214="","Missing policy type. ","") &amp; IF($Q214="","Missing garaging state. ","") &amp; IF($R214="","Missing garaging ZIP. ","") &amp; IF($S214="","Missing cat zone. ","") &amp; IF($V214="","Missing valuation basis. ","") &amp; IF($W214="","Missing PD deductible. ","") &amp; IF($X214="","Missing liability limit. ","") &amp; IF($AB214="","Missing technical premium. ","") &amp; IF($AF214="","Missing surplus lines tax %. ",""))="","PASS","FAIL: "&amp;TRIM(IF($A214="","Missing certificate ref. ","") &amp; IF($C214="","Missing effective date. ","") &amp; IF($D214="","Missing binding status. ","") &amp; IF($E214="","Missing movement type. ","") &amp; IF($I214="","Missing make. ","") &amp; IF($L214="","Missing vehicle class. ","") &amp; IF($M214="","Missing agreed value. ","") &amp; IF($N214="","Missing policy type. ","") &amp; IF($Q214="","Missing garaging state. ","") &amp; IF($R214="","Missing garaging ZIP. ","") &amp; IF($S214="","Missing cat zone. ","") &amp; IF($V214="","Missing valuation basis. ","") &amp; IF($W214="","Missing PD deductible. ","") &amp; IF($X214="","Missing liability limit. ","") &amp; IF($AB214="","Missing technical premium. ","") &amp; IF($AF214="","Missing surplus lines tax %. ",""))))</f>
      </c>
      <c r="AY214" s="44">
        <f>IF($M214="","",IF(ISNUMBER($M214),IF($M214&gt;=Header!$C$18,"YES — refer","No"),""))</f>
      </c>
      <c r="AZ214" s="44">
        <f>IF($AD214="","",IF(ISNUMBER($AD214),IF($AD214&lt;Header!$C$20,"BELOW MIN PREMIUM","OK"),""))</f>
      </c>
      <c r="BA214" s="48" t="inlineStr">
        <is>
          <t xml:space="preserve">Yes</t>
        </is>
      </c>
      <c r="BB214" s="48" t="inlineStr">
        <is>
          <t xml:space="preserve">Yes</t>
        </is>
      </c>
      <c r="BC214" s="46" t="inlineStr">
        <is>
          <t xml:space="preserve">Synthetic demo data</t>
        </is>
      </c>
      <c r="BE214" s="45">
        <f>IF(OR($A214="",$L214="",$H214=""),"",IF(AND(LEFT($L214,2)="06",$H214&gt;1945),"FAIL - pre-war class, year "&amp;$H214,IF(AND(LEFT($L214,2)="07",OR($H214&lt;1946,$H214&gt;1972)),"FAIL - 1946-72 class, year "&amp;$H214,IF(AND(LEFT($L214,2)="08",OR($H214&lt;1973,$H214&gt;1999)),"FAIL - 1973-99 class, year "&amp;$H214,IF(AND(LEFT($L214,2)="09",OR($H214&lt;2000,$H214&gt;2010)),"FAIL - 2000-10 class, year "&amp;$H214,"OK")))))</f>
      </c>
      <c r="BF214" s="45">
        <f>IF($AD214="","",IF(ROUND($AO214+$AP214+$AQ214-$AD214,2)=0,"OK","FAIL - out by "&amp;TEXT($AO214+$AP214+$AQ214-$AD214,"$0.00")))</f>
      </c>
    </row>
    <row r="215" spans="1:58" ht="18.75" customHeight="1" x14ac:dyDescent="0.25">
      <c r="A215" s="30" t="inlineStr">
        <is>
          <t xml:space="preserve">CANON-202511-002458</t>
        </is>
      </c>
      <c r="B215" s="30" t="inlineStr">
        <is>
          <t xml:space="preserve">Lorenzo Blackwood</t>
        </is>
      </c>
      <c r="C215" s="31">
        <v>45969</v>
      </c>
      <c r="D215" s="32" t="inlineStr">
        <is>
          <t xml:space="preserve">Bound - within authority</t>
        </is>
      </c>
      <c r="E215" s="32" t="inlineStr">
        <is>
          <t xml:space="preserve">New business</t>
        </is>
      </c>
      <c r="F215" s="30" t="inlineStr">
        <is>
          <t xml:space="preserve">B1234EXOTIC26</t>
        </is>
      </c>
      <c r="G215" s="33">
        <f>IF($A215="","",IF($C215="","",YEAR($C215)))</f>
      </c>
      <c r="H215" s="34">
        <v>2022</v>
      </c>
      <c r="I215" s="30" t="inlineStr">
        <is>
          <t xml:space="preserve">Singer</t>
        </is>
      </c>
      <c r="J215" s="30" t="inlineStr">
        <is>
          <t xml:space="preserve">911 Reimagined</t>
        </is>
      </c>
      <c r="K215" s="30" t="inlineStr">
        <is>
          <t xml:space="preserve">T0JD3Y0TGPVUSEUC9</t>
        </is>
      </c>
      <c r="L215" s="32" t="inlineStr">
        <is>
          <t xml:space="preserve">11 - Restomod / Coachbuilt / Bespoke</t>
        </is>
      </c>
      <c r="M215" s="35">
        <v>605000</v>
      </c>
      <c r="N215" s="32" t="inlineStr">
        <is>
          <t xml:space="preserve">Personal</t>
        </is>
      </c>
      <c r="O215" s="30" t="inlineStr">
        <is>
          <t xml:space="preserve">Personal - regular use</t>
        </is>
      </c>
      <c r="P215" s="30" t="inlineStr">
        <is>
          <t xml:space="preserve">Under 1,000</t>
        </is>
      </c>
      <c r="Q215" s="30" t="inlineStr">
        <is>
          <t xml:space="preserve">Arizona</t>
        </is>
      </c>
      <c r="R215" s="30" t="inlineStr">
        <is>
          <t xml:space="preserve">85001</t>
        </is>
      </c>
      <c r="S215" s="32" t="inlineStr">
        <is>
          <t xml:space="preserve">Wildfire - WUI high hazard</t>
        </is>
      </c>
      <c r="T215" s="36">
        <f>IF($A215="","",IF($S215="","",IFERROR(INDEX('[1]natural catastrophe'!$D$6:$D$17,MATCH($S215,'[1]natural catastrophe'!$B$6:$B$17,0)),"?")))</f>
      </c>
      <c r="U215" s="30" t="inlineStr">
        <is>
          <t xml:space="preserve">$5,000</t>
        </is>
      </c>
      <c r="V215" s="32" t="inlineStr">
        <is>
          <t xml:space="preserve">Agreed Value</t>
        </is>
      </c>
      <c r="W215" s="30" t="inlineStr">
        <is>
          <t xml:space="preserve">$1,000</t>
        </is>
      </c>
      <c r="X215" s="32" t="inlineStr">
        <is>
          <t xml:space="preserve">$1,000,000 CSL</t>
        </is>
      </c>
      <c r="Y215" s="30"/>
      <c r="Z215" s="30"/>
      <c r="AA215" s="32" t="inlineStr">
        <is>
          <t xml:space="preserve">Surplus Lines</t>
        </is>
      </c>
      <c r="AB215" s="35">
        <v>8267.99</v>
      </c>
      <c r="AC215" s="37">
        <v>0</v>
      </c>
      <c r="AD215" s="38">
        <f>IF(ISNUMBER($AB215),$AB215*(1+N($AC215)),"")</f>
      </c>
      <c r="AE215" s="35">
        <v>350</v>
      </c>
      <c r="AF215" s="35">
        <v>0</v>
      </c>
      <c r="AG215" s="37"/>
      <c r="AH215" s="39">
        <f>IF(ISNUMBER($AD215),($AD215+$AE215+$AF215)*$AG215,"")</f>
      </c>
      <c r="AI215" s="35"/>
      <c r="AJ215" s="38">
        <f>IF(ISNUMBER($AD215),SUM($AD215:$AH215),"")</f>
      </c>
      <c r="AK215" s="40">
        <f>IF(AND(ISNUMBER($AB215),ISNUMBER($AD215)),IF($AB215&gt;0,$AD215/$AB215,""),"")</f>
      </c>
      <c r="AL215" s="32" t="inlineStr">
        <is>
          <t xml:space="preserve">At technical</t>
        </is>
      </c>
      <c r="AM215" s="41">
        <f>IF(ISNUMBER($AD215),Header!$I$3,"")</f>
      </c>
      <c r="AN215" s="39">
        <f>IF(ISNUMBER($AD215),$AO215+$AP215,"")</f>
      </c>
      <c r="AO215" s="39">
        <f>IF(ISNUMBER($AD215),ROUND($AD215*Header!$K$3,2),"")</f>
      </c>
      <c r="AP215" s="39">
        <f>IF(ISNUMBER($AD215),ROUND($AD215*Header!$M$3,2),"")</f>
      </c>
      <c r="AQ215" s="38">
        <f>IF(ISNUMBER($AD215),ROUND($AD215,2)-$AO215-$AP215,"")</f>
      </c>
      <c r="AR215" s="39">
        <f>IF(ISNUMBER($AD215),IF(Header!$D$34="","?",$AD215*Header!$D$34),"")</f>
      </c>
      <c r="AS215" s="39">
        <f>IF(ISNUMBER($AB215),IF(Header!$D$34="","?",$AB215*Header!$D$34),"")</f>
      </c>
      <c r="AT215" s="42">
        <f>IF(AND(ISNUMBER($AB215),$M215&gt;0),$AB215/$M215*100,"")</f>
      </c>
      <c r="AU215" s="42">
        <f>IF(AND(ISNUMBER($AD215),$M215&gt;0),$AD215/$M215*100,"")</f>
      </c>
      <c r="AV215" s="40">
        <f>IF(AND(ISNUMBER($AB215),ISNUMBER($AD215),ABS($AB215)&gt;0),$AD215/$AB215,"")</f>
      </c>
      <c r="AW215" s="39">
        <f>IF(ISNUMBER($AD215),MAX(0,(1-0.55-Header!$O$3)*Header!$Q$3*$AQ215),"")</f>
      </c>
      <c r="AX215" s="43">
        <f>IF($A215="","",IF(TRIM(IF($A215="","Missing certificate ref. ","") &amp; IF($C215="","Missing effective date. ","") &amp; IF($D215="","Missing binding status. ","") &amp; IF($E215="","Missing movement type. ","") &amp; IF($I215="","Missing make. ","") &amp; IF($L215="","Missing vehicle class. ","") &amp; IF($M215="","Missing agreed value. ","") &amp; IF($N215="","Missing policy type. ","") &amp; IF($Q215="","Missing garaging state. ","") &amp; IF($R215="","Missing garaging ZIP. ","") &amp; IF($S215="","Missing cat zone. ","") &amp; IF($V215="","Missing valuation basis. ","") &amp; IF($W215="","Missing PD deductible. ","") &amp; IF($X215="","Missing liability limit. ","") &amp; IF($AB215="","Missing technical premium. ","") &amp; IF($AF215="","Missing surplus lines tax %. ",""))="","PASS","FAIL: "&amp;TRIM(IF($A215="","Missing certificate ref. ","") &amp; IF($C215="","Missing effective date. ","") &amp; IF($D215="","Missing binding status. ","") &amp; IF($E215="","Missing movement type. ","") &amp; IF($I215="","Missing make. ","") &amp; IF($L215="","Missing vehicle class. ","") &amp; IF($M215="","Missing agreed value. ","") &amp; IF($N215="","Missing policy type. ","") &amp; IF($Q215="","Missing garaging state. ","") &amp; IF($R215="","Missing garaging ZIP. ","") &amp; IF($S215="","Missing cat zone. ","") &amp; IF($V215="","Missing valuation basis. ","") &amp; IF($W215="","Missing PD deductible. ","") &amp; IF($X215="","Missing liability limit. ","") &amp; IF($AB215="","Missing technical premium. ","") &amp; IF($AF215="","Missing surplus lines tax %. ",""))))</f>
      </c>
      <c r="AY215" s="44">
        <f>IF($M215="","",IF(ISNUMBER($M215),IF($M215&gt;=Header!$C$18,"YES — refer","No"),""))</f>
      </c>
      <c r="AZ215" s="44">
        <f>IF($AD215="","",IF(ISNUMBER($AD215),IF($AD215&lt;Header!$C$20,"BELOW MIN PREMIUM","OK"),""))</f>
      </c>
      <c r="BA215" s="32" t="inlineStr">
        <is>
          <t xml:space="preserve">Yes</t>
        </is>
      </c>
      <c r="BB215" s="32" t="inlineStr">
        <is>
          <t xml:space="preserve">Yes</t>
        </is>
      </c>
      <c r="BC215" s="30" t="inlineStr">
        <is>
          <t xml:space="preserve">Synthetic demo data</t>
        </is>
      </c>
      <c r="BE215" s="45">
        <f>IF(OR($A215="",$L215="",$H215=""),"",IF(AND(LEFT($L215,2)="06",$H215&gt;1945),"FAIL - pre-war class, year "&amp;$H215,IF(AND(LEFT($L215,2)="07",OR($H215&lt;1946,$H215&gt;1972)),"FAIL - 1946-72 class, year "&amp;$H215,IF(AND(LEFT($L215,2)="08",OR($H215&lt;1973,$H215&gt;1999)),"FAIL - 1973-99 class, year "&amp;$H215,IF(AND(LEFT($L215,2)="09",OR($H215&lt;2000,$H215&gt;2010)),"FAIL - 2000-10 class, year "&amp;$H215,"OK")))))</f>
      </c>
      <c r="BF215" s="45">
        <f>IF($AD215="","",IF(ROUND($AO215+$AP215+$AQ215-$AD215,2)=0,"OK","FAIL - out by "&amp;TEXT($AO215+$AP215+$AQ215-$AD215,"$0.00")))</f>
      </c>
    </row>
    <row r="216" spans="1:58" ht="18.75" customHeight="1" x14ac:dyDescent="0.25">
      <c r="A216" s="46" t="inlineStr">
        <is>
          <t xml:space="preserve">CANON-202511-002459</t>
        </is>
      </c>
      <c r="B216" s="46" t="inlineStr">
        <is>
          <t xml:space="preserve">Aurelio Thistlewood</t>
        </is>
      </c>
      <c r="C216" s="47">
        <v>45977</v>
      </c>
      <c r="D216" s="48" t="inlineStr">
        <is>
          <t xml:space="preserve">Bound - within authority</t>
        </is>
      </c>
      <c r="E216" s="48" t="inlineStr">
        <is>
          <t xml:space="preserve">New business</t>
        </is>
      </c>
      <c r="F216" s="46" t="inlineStr">
        <is>
          <t xml:space="preserve">B1234EXOTIC26</t>
        </is>
      </c>
      <c r="G216" s="33">
        <f>IF($A216="","",IF($C216="","",YEAR($C216)))</f>
      </c>
      <c r="H216" s="49">
        <v>1999</v>
      </c>
      <c r="I216" s="46" t="inlineStr">
        <is>
          <t xml:space="preserve">Aston Martin</t>
        </is>
      </c>
      <c r="J216" s="46" t="inlineStr">
        <is>
          <t xml:space="preserve">DB5</t>
        </is>
      </c>
      <c r="K216" s="46" t="inlineStr">
        <is>
          <t xml:space="preserve">HYVUN9RY8628BG54W</t>
        </is>
      </c>
      <c r="L216" s="48" t="inlineStr">
        <is>
          <t xml:space="preserve">08 - Modern Classic (1973-1999)</t>
        </is>
      </c>
      <c r="M216" s="50">
        <v>1205000</v>
      </c>
      <c r="N216" s="48" t="inlineStr">
        <is>
          <t xml:space="preserve">Personal</t>
        </is>
      </c>
      <c r="O216" s="46" t="inlineStr">
        <is>
          <t xml:space="preserve">Personal - regular use</t>
        </is>
      </c>
      <c r="P216" s="46" t="inlineStr">
        <is>
          <t xml:space="preserve">1,000 - 2,500</t>
        </is>
      </c>
      <c r="Q216" s="46" t="inlineStr">
        <is>
          <t xml:space="preserve">Arkansas</t>
        </is>
      </c>
      <c r="R216" s="46" t="inlineStr">
        <is>
          <t xml:space="preserve">72201</t>
        </is>
      </c>
      <c r="S216" s="48" t="inlineStr">
        <is>
          <t xml:space="preserve">Severe convective - hail / tornado (moderate)</t>
        </is>
      </c>
      <c r="T216" s="36">
        <f>IF($A216="","",IF($S216="","",IFERROR(INDEX('[1]natural catastrophe'!$D$6:$D$17,MATCH($S216,'[1]natural catastrophe'!$B$6:$B$17,0)),"?")))</f>
      </c>
      <c r="U216" s="46" t="inlineStr">
        <is>
          <t xml:space="preserve">$5,000</t>
        </is>
      </c>
      <c r="V216" s="48" t="inlineStr">
        <is>
          <t xml:space="preserve">Agreed Value</t>
        </is>
      </c>
      <c r="W216" s="46" t="inlineStr">
        <is>
          <t xml:space="preserve">$1,000</t>
        </is>
      </c>
      <c r="X216" s="48" t="inlineStr">
        <is>
          <t xml:space="preserve">$1,000,000 CSL</t>
        </is>
      </c>
      <c r="Y216" s="46"/>
      <c r="Z216" s="46"/>
      <c r="AA216" s="48" t="inlineStr">
        <is>
          <t xml:space="preserve">Surplus Lines</t>
        </is>
      </c>
      <c r="AB216" s="50">
        <v>10961.71</v>
      </c>
      <c r="AC216" s="51">
        <v>0</v>
      </c>
      <c r="AD216" s="38">
        <f>IF(ISNUMBER($AB216),$AB216*(1+N($AC216)),"")</f>
      </c>
      <c r="AE216" s="50">
        <v>350</v>
      </c>
      <c r="AF216" s="50">
        <v>250</v>
      </c>
      <c r="AG216" s="51"/>
      <c r="AH216" s="39">
        <f>IF(ISNUMBER($AD216),($AD216+$AE216+$AF216)*$AG216,"")</f>
      </c>
      <c r="AI216" s="50"/>
      <c r="AJ216" s="38">
        <f>IF(ISNUMBER($AD216),SUM($AD216:$AH216),"")</f>
      </c>
      <c r="AK216" s="40">
        <f>IF(AND(ISNUMBER($AB216),ISNUMBER($AD216)),IF($AB216&gt;0,$AD216/$AB216,""),"")</f>
      </c>
      <c r="AL216" s="48" t="inlineStr">
        <is>
          <t xml:space="preserve">At technical</t>
        </is>
      </c>
      <c r="AM216" s="41">
        <f>IF(ISNUMBER($AD216),Header!$I$3,"")</f>
      </c>
      <c r="AN216" s="39">
        <f>IF(ISNUMBER($AD216),$AO216+$AP216,"")</f>
      </c>
      <c r="AO216" s="39">
        <f>IF(ISNUMBER($AD216),ROUND($AD216*Header!$K$3,2),"")</f>
      </c>
      <c r="AP216" s="39">
        <f>IF(ISNUMBER($AD216),ROUND($AD216*Header!$M$3,2),"")</f>
      </c>
      <c r="AQ216" s="38">
        <f>IF(ISNUMBER($AD216),ROUND($AD216,2)-$AO216-$AP216,"")</f>
      </c>
      <c r="AR216" s="39">
        <f>IF(ISNUMBER($AD216),IF(Header!$D$34="","?",$AD216*Header!$D$34),"")</f>
      </c>
      <c r="AS216" s="39">
        <f>IF(ISNUMBER($AB216),IF(Header!$D$34="","?",$AB216*Header!$D$34),"")</f>
      </c>
      <c r="AT216" s="42">
        <f>IF(AND(ISNUMBER($AB216),$M216&gt;0),$AB216/$M216*100,"")</f>
      </c>
      <c r="AU216" s="42">
        <f>IF(AND(ISNUMBER($AD216),$M216&gt;0),$AD216/$M216*100,"")</f>
      </c>
      <c r="AV216" s="40">
        <f>IF(AND(ISNUMBER($AB216),ISNUMBER($AD216),ABS($AB216)&gt;0),$AD216/$AB216,"")</f>
      </c>
      <c r="AW216" s="39">
        <f>IF(ISNUMBER($AD216),MAX(0,(1-0.55-Header!$O$3)*Header!$Q$3*$AQ216),"")</f>
      </c>
      <c r="AX216" s="43">
        <f>IF($A216="","",IF(TRIM(IF($A216="","Missing certificate ref. ","") &amp; IF($C216="","Missing effective date. ","") &amp; IF($D216="","Missing binding status. ","") &amp; IF($E216="","Missing movement type. ","") &amp; IF($I216="","Missing make. ","") &amp; IF($L216="","Missing vehicle class. ","") &amp; IF($M216="","Missing agreed value. ","") &amp; IF($N216="","Missing policy type. ","") &amp; IF($Q216="","Missing garaging state. ","") &amp; IF($R216="","Missing garaging ZIP. ","") &amp; IF($S216="","Missing cat zone. ","") &amp; IF($V216="","Missing valuation basis. ","") &amp; IF($W216="","Missing PD deductible. ","") &amp; IF($X216="","Missing liability limit. ","") &amp; IF($AB216="","Missing technical premium. ","") &amp; IF($AF216="","Missing surplus lines tax %. ",""))="","PASS","FAIL: "&amp;TRIM(IF($A216="","Missing certificate ref. ","") &amp; IF($C216="","Missing effective date. ","") &amp; IF($D216="","Missing binding status. ","") &amp; IF($E216="","Missing movement type. ","") &amp; IF($I216="","Missing make. ","") &amp; IF($L216="","Missing vehicle class. ","") &amp; IF($M216="","Missing agreed value. ","") &amp; IF($N216="","Missing policy type. ","") &amp; IF($Q216="","Missing garaging state. ","") &amp; IF($R216="","Missing garaging ZIP. ","") &amp; IF($S216="","Missing cat zone. ","") &amp; IF($V216="","Missing valuation basis. ","") &amp; IF($W216="","Missing PD deductible. ","") &amp; IF($X216="","Missing liability limit. ","") &amp; IF($AB216="","Missing technical premium. ","") &amp; IF($AF216="","Missing surplus lines tax %. ",""))))</f>
      </c>
      <c r="AY216" s="44">
        <f>IF($M216="","",IF(ISNUMBER($M216),IF($M216&gt;=Header!$C$18,"YES — refer","No"),""))</f>
      </c>
      <c r="AZ216" s="44">
        <f>IF($AD216="","",IF(ISNUMBER($AD216),IF($AD216&lt;Header!$C$20,"BELOW MIN PREMIUM","OK"),""))</f>
      </c>
      <c r="BA216" s="48" t="inlineStr">
        <is>
          <t xml:space="preserve">Yes</t>
        </is>
      </c>
      <c r="BB216" s="48" t="inlineStr">
        <is>
          <t xml:space="preserve">Yes</t>
        </is>
      </c>
      <c r="BC216" s="46" t="inlineStr">
        <is>
          <t xml:space="preserve">Synthetic demo data</t>
        </is>
      </c>
      <c r="BE216" s="45">
        <f>IF(OR($A216="",$L216="",$H216=""),"",IF(AND(LEFT($L216,2)="06",$H216&gt;1945),"FAIL - pre-war class, year "&amp;$H216,IF(AND(LEFT($L216,2)="07",OR($H216&lt;1946,$H216&gt;1972)),"FAIL - 1946-72 class, year "&amp;$H216,IF(AND(LEFT($L216,2)="08",OR($H216&lt;1973,$H216&gt;1999)),"FAIL - 1973-99 class, year "&amp;$H216,IF(AND(LEFT($L216,2)="09",OR($H216&lt;2000,$H216&gt;2010)),"FAIL - 2000-10 class, year "&amp;$H216,"OK")))))</f>
      </c>
      <c r="BF216" s="45">
        <f>IF($AD216="","",IF(ROUND($AO216+$AP216+$AQ216-$AD216,2)=0,"OK","FAIL - out by "&amp;TEXT($AO216+$AP216+$AQ216-$AD216,"$0.00")))</f>
      </c>
    </row>
    <row r="217" spans="1:58" ht="18.75" customHeight="1" x14ac:dyDescent="0.25">
      <c r="A217" s="30" t="inlineStr">
        <is>
          <t xml:space="preserve">CANON-202511-002460</t>
        </is>
      </c>
      <c r="B217" s="30" t="inlineStr">
        <is>
          <t xml:space="preserve">Callum Vandermeer</t>
        </is>
      </c>
      <c r="C217" s="31">
        <v>45987</v>
      </c>
      <c r="D217" s="32" t="inlineStr">
        <is>
          <t xml:space="preserve">Bound - within authority</t>
        </is>
      </c>
      <c r="E217" s="32" t="inlineStr">
        <is>
          <t xml:space="preserve">New business</t>
        </is>
      </c>
      <c r="F217" s="30" t="inlineStr">
        <is>
          <t xml:space="preserve">B1234EXOTIC26</t>
        </is>
      </c>
      <c r="G217" s="33">
        <f>IF($A217="","",IF($C217="","",YEAR($C217)))</f>
      </c>
      <c r="H217" s="34">
        <v>2012</v>
      </c>
      <c r="I217" s="30" t="inlineStr">
        <is>
          <t xml:space="preserve">Icon</t>
        </is>
      </c>
      <c r="J217" s="30" t="inlineStr">
        <is>
          <t xml:space="preserve">Derelict</t>
        </is>
      </c>
      <c r="K217" s="30" t="inlineStr">
        <is>
          <t xml:space="preserve">DCYZYN2YNDZW2YXWK</t>
        </is>
      </c>
      <c r="L217" s="32" t="inlineStr">
        <is>
          <t xml:space="preserve">11 - Restomod / Coachbuilt / Bespoke</t>
        </is>
      </c>
      <c r="M217" s="35">
        <v>195000</v>
      </c>
      <c r="N217" s="32" t="inlineStr">
        <is>
          <t xml:space="preserve">Personal</t>
        </is>
      </c>
      <c r="O217" s="30" t="inlineStr">
        <is>
          <t xml:space="preserve">Personal - regular use</t>
        </is>
      </c>
      <c r="P217" s="30" t="inlineStr">
        <is>
          <t xml:space="preserve">1,000 - 2,500</t>
        </is>
      </c>
      <c r="Q217" s="30" t="inlineStr">
        <is>
          <t xml:space="preserve">Arkansas</t>
        </is>
      </c>
      <c r="R217" s="30" t="inlineStr">
        <is>
          <t xml:space="preserve">72201</t>
        </is>
      </c>
      <c r="S217" s="32" t="inlineStr">
        <is>
          <t xml:space="preserve">Severe convective - hail / tornado (moderate)</t>
        </is>
      </c>
      <c r="T217" s="36">
        <f>IF($A217="","",IF($S217="","",IFERROR(INDEX('[1]natural catastrophe'!$D$6:$D$17,MATCH($S217,'[1]natural catastrophe'!$B$6:$B$17,0)),"?")))</f>
      </c>
      <c r="U217" s="30" t="inlineStr">
        <is>
          <t xml:space="preserve">$5,000</t>
        </is>
      </c>
      <c r="V217" s="32" t="inlineStr">
        <is>
          <t xml:space="preserve">Agreed Value</t>
        </is>
      </c>
      <c r="W217" s="30" t="inlineStr">
        <is>
          <t xml:space="preserve">$1,000</t>
        </is>
      </c>
      <c r="X217" s="32" t="inlineStr">
        <is>
          <t xml:space="preserve">$1,000,000 CSL</t>
        </is>
      </c>
      <c r="Y217" s="30"/>
      <c r="Z217" s="30"/>
      <c r="AA217" s="32" t="inlineStr">
        <is>
          <t xml:space="preserve">Surplus Lines</t>
        </is>
      </c>
      <c r="AB217" s="35">
        <v>4901.53</v>
      </c>
      <c r="AC217" s="37">
        <v>0</v>
      </c>
      <c r="AD217" s="38">
        <f>IF(ISNUMBER($AB217),$AB217*(1+N($AC217)),"")</f>
      </c>
      <c r="AE217" s="35">
        <v>350</v>
      </c>
      <c r="AF217" s="35">
        <v>0</v>
      </c>
      <c r="AG217" s="37"/>
      <c r="AH217" s="39">
        <f>IF(ISNUMBER($AD217),($AD217+$AE217+$AF217)*$AG217,"")</f>
      </c>
      <c r="AI217" s="35"/>
      <c r="AJ217" s="38">
        <f>IF(ISNUMBER($AD217),SUM($AD217:$AH217),"")</f>
      </c>
      <c r="AK217" s="40">
        <f>IF(AND(ISNUMBER($AB217),ISNUMBER($AD217)),IF($AB217&gt;0,$AD217/$AB217,""),"")</f>
      </c>
      <c r="AL217" s="32" t="inlineStr">
        <is>
          <t xml:space="preserve">At technical</t>
        </is>
      </c>
      <c r="AM217" s="41">
        <f>IF(ISNUMBER($AD217),Header!$I$3,"")</f>
      </c>
      <c r="AN217" s="39">
        <f>IF(ISNUMBER($AD217),$AO217+$AP217,"")</f>
      </c>
      <c r="AO217" s="39">
        <f>IF(ISNUMBER($AD217),ROUND($AD217*Header!$K$3,2),"")</f>
      </c>
      <c r="AP217" s="39">
        <f>IF(ISNUMBER($AD217),ROUND($AD217*Header!$M$3,2),"")</f>
      </c>
      <c r="AQ217" s="38">
        <f>IF(ISNUMBER($AD217),ROUND($AD217,2)-$AO217-$AP217,"")</f>
      </c>
      <c r="AR217" s="39">
        <f>IF(ISNUMBER($AD217),IF(Header!$D$34="","?",$AD217*Header!$D$34),"")</f>
      </c>
      <c r="AS217" s="39">
        <f>IF(ISNUMBER($AB217),IF(Header!$D$34="","?",$AB217*Header!$D$34),"")</f>
      </c>
      <c r="AT217" s="42">
        <f>IF(AND(ISNUMBER($AB217),$M217&gt;0),$AB217/$M217*100,"")</f>
      </c>
      <c r="AU217" s="42">
        <f>IF(AND(ISNUMBER($AD217),$M217&gt;0),$AD217/$M217*100,"")</f>
      </c>
      <c r="AV217" s="40">
        <f>IF(AND(ISNUMBER($AB217),ISNUMBER($AD217),ABS($AB217)&gt;0),$AD217/$AB217,"")</f>
      </c>
      <c r="AW217" s="39">
        <f>IF(ISNUMBER($AD217),MAX(0,(1-0.55-Header!$O$3)*Header!$Q$3*$AQ217),"")</f>
      </c>
      <c r="AX217" s="43">
        <f>IF($A217="","",IF(TRIM(IF($A217="","Missing certificate ref. ","") &amp; IF($C217="","Missing effective date. ","") &amp; IF($D217="","Missing binding status. ","") &amp; IF($E217="","Missing movement type. ","") &amp; IF($I217="","Missing make. ","") &amp; IF($L217="","Missing vehicle class. ","") &amp; IF($M217="","Missing agreed value. ","") &amp; IF($N217="","Missing policy type. ","") &amp; IF($Q217="","Missing garaging state. ","") &amp; IF($R217="","Missing garaging ZIP. ","") &amp; IF($S217="","Missing cat zone. ","") &amp; IF($V217="","Missing valuation basis. ","") &amp; IF($W217="","Missing PD deductible. ","") &amp; IF($X217="","Missing liability limit. ","") &amp; IF($AB217="","Missing technical premium. ","") &amp; IF($AF217="","Missing surplus lines tax %. ",""))="","PASS","FAIL: "&amp;TRIM(IF($A217="","Missing certificate ref. ","") &amp; IF($C217="","Missing effective date. ","") &amp; IF($D217="","Missing binding status. ","") &amp; IF($E217="","Missing movement type. ","") &amp; IF($I217="","Missing make. ","") &amp; IF($L217="","Missing vehicle class. ","") &amp; IF($M217="","Missing agreed value. ","") &amp; IF($N217="","Missing policy type. ","") &amp; IF($Q217="","Missing garaging state. ","") &amp; IF($R217="","Missing garaging ZIP. ","") &amp; IF($S217="","Missing cat zone. ","") &amp; IF($V217="","Missing valuation basis. ","") &amp; IF($W217="","Missing PD deductible. ","") &amp; IF($X217="","Missing liability limit. ","") &amp; IF($AB217="","Missing technical premium. ","") &amp; IF($AF217="","Missing surplus lines tax %. ",""))))</f>
      </c>
      <c r="AY217" s="44">
        <f>IF($M217="","",IF(ISNUMBER($M217),IF($M217&gt;=Header!$C$18,"YES — refer","No"),""))</f>
      </c>
      <c r="AZ217" s="44">
        <f>IF($AD217="","",IF(ISNUMBER($AD217),IF($AD217&lt;Header!$C$20,"BELOW MIN PREMIUM","OK"),""))</f>
      </c>
      <c r="BA217" s="32" t="inlineStr">
        <is>
          <t xml:space="preserve">Yes</t>
        </is>
      </c>
      <c r="BB217" s="32" t="inlineStr">
        <is>
          <t xml:space="preserve">Yes</t>
        </is>
      </c>
      <c r="BC217" s="30" t="inlineStr">
        <is>
          <t xml:space="preserve">Synthetic demo data</t>
        </is>
      </c>
      <c r="BE217" s="45">
        <f>IF(OR($A217="",$L217="",$H217=""),"",IF(AND(LEFT($L217,2)="06",$H217&gt;1945),"FAIL - pre-war class, year "&amp;$H217,IF(AND(LEFT($L217,2)="07",OR($H217&lt;1946,$H217&gt;1972)),"FAIL - 1946-72 class, year "&amp;$H217,IF(AND(LEFT($L217,2)="08",OR($H217&lt;1973,$H217&gt;1999)),"FAIL - 1973-99 class, year "&amp;$H217,IF(AND(LEFT($L217,2)="09",OR($H217&lt;2000,$H217&gt;2010)),"FAIL - 2000-10 class, year "&amp;$H217,"OK")))))</f>
      </c>
      <c r="BF217" s="45">
        <f>IF($AD217="","",IF(ROUND($AO217+$AP217+$AQ217-$AD217,2)=0,"OK","FAIL - out by "&amp;TEXT($AO217+$AP217+$AQ217-$AD217,"$0.00")))</f>
      </c>
    </row>
    <row r="218" spans="1:58" ht="18.75" customHeight="1" x14ac:dyDescent="0.25">
      <c r="A218" s="46" t="inlineStr">
        <is>
          <t xml:space="preserve">CANON-202511-002461</t>
        </is>
      </c>
      <c r="B218" s="46" t="inlineStr">
        <is>
          <t xml:space="preserve">Noor Fairweather</t>
        </is>
      </c>
      <c r="C218" s="47">
        <v>45963</v>
      </c>
      <c r="D218" s="48" t="inlineStr">
        <is>
          <t xml:space="preserve">Bound - within authority</t>
        </is>
      </c>
      <c r="E218" s="48" t="inlineStr">
        <is>
          <t xml:space="preserve">New business</t>
        </is>
      </c>
      <c r="F218" s="46" t="inlineStr">
        <is>
          <t xml:space="preserve">B1234EXOTIC26</t>
        </is>
      </c>
      <c r="G218" s="33">
        <f>IF($A218="","",IF($C218="","",YEAR($C218)))</f>
      </c>
      <c r="H218" s="49">
        <v>1986</v>
      </c>
      <c r="I218" s="46" t="inlineStr">
        <is>
          <t xml:space="preserve">Lamborghini</t>
        </is>
      </c>
      <c r="J218" s="46" t="inlineStr">
        <is>
          <t xml:space="preserve">Huracan EVO</t>
        </is>
      </c>
      <c r="K218" s="46" t="inlineStr">
        <is>
          <t xml:space="preserve">JGVCUXLSJ240BWXV9</t>
        </is>
      </c>
      <c r="L218" s="48" t="inlineStr">
        <is>
          <t xml:space="preserve">03 - Supercar</t>
        </is>
      </c>
      <c r="M218" s="50">
        <v>355000</v>
      </c>
      <c r="N218" s="48" t="inlineStr">
        <is>
          <t xml:space="preserve">Personal</t>
        </is>
      </c>
      <c r="O218" s="46" t="inlineStr">
        <is>
          <t xml:space="preserve">Personal - regular use</t>
        </is>
      </c>
      <c r="P218" s="46" t="inlineStr">
        <is>
          <t xml:space="preserve">1,000 - 2,500</t>
        </is>
      </c>
      <c r="Q218" s="46" t="inlineStr">
        <is>
          <t xml:space="preserve">New York</t>
        </is>
      </c>
      <c r="R218" s="46" t="inlineStr">
        <is>
          <t xml:space="preserve">10022</t>
        </is>
      </c>
      <c r="S218" s="48" t="inlineStr">
        <is>
          <t xml:space="preserve">Tier 3 - Coastal wind (25-100 miles)</t>
        </is>
      </c>
      <c r="T218" s="36">
        <f>IF($A218="","",IF($S218="","",IFERROR(INDEX('[1]natural catastrophe'!$D$6:$D$17,MATCH($S218,'[1]natural catastrophe'!$B$6:$B$17,0)),"?")))</f>
      </c>
      <c r="U218" s="46" t="inlineStr">
        <is>
          <t xml:space="preserve">2% of agreed value, minimum $10,000</t>
        </is>
      </c>
      <c r="V218" s="48" t="inlineStr">
        <is>
          <t xml:space="preserve">Agreed Value</t>
        </is>
      </c>
      <c r="W218" s="46" t="inlineStr">
        <is>
          <t xml:space="preserve">$1,000</t>
        </is>
      </c>
      <c r="X218" s="48" t="inlineStr">
        <is>
          <t xml:space="preserve">$1,000,000 CSL</t>
        </is>
      </c>
      <c r="Y218" s="46"/>
      <c r="Z218" s="46"/>
      <c r="AA218" s="48" t="inlineStr">
        <is>
          <t xml:space="preserve">Surplus Lines</t>
        </is>
      </c>
      <c r="AB218" s="50">
        <v>9064.93</v>
      </c>
      <c r="AC218" s="51">
        <v>0</v>
      </c>
      <c r="AD218" s="38">
        <f>IF(ISNUMBER($AB218),$AB218*(1+N($AC218)),"")</f>
      </c>
      <c r="AE218" s="50">
        <v>350</v>
      </c>
      <c r="AF218" s="50">
        <v>0</v>
      </c>
      <c r="AG218" s="51"/>
      <c r="AH218" s="39">
        <f>IF(ISNUMBER($AD218),($AD218+$AE218+$AF218)*$AG218,"")</f>
      </c>
      <c r="AI218" s="50"/>
      <c r="AJ218" s="38">
        <f>IF(ISNUMBER($AD218),SUM($AD218:$AH218),"")</f>
      </c>
      <c r="AK218" s="40">
        <f>IF(AND(ISNUMBER($AB218),ISNUMBER($AD218)),IF($AB218&gt;0,$AD218/$AB218,""),"")</f>
      </c>
      <c r="AL218" s="48" t="inlineStr">
        <is>
          <t xml:space="preserve">At technical</t>
        </is>
      </c>
      <c r="AM218" s="41">
        <f>IF(ISNUMBER($AD218),Header!$I$3,"")</f>
      </c>
      <c r="AN218" s="39">
        <f>IF(ISNUMBER($AD218),$AO218+$AP218,"")</f>
      </c>
      <c r="AO218" s="39">
        <f>IF(ISNUMBER($AD218),ROUND($AD218*Header!$K$3,2),"")</f>
      </c>
      <c r="AP218" s="39">
        <f>IF(ISNUMBER($AD218),ROUND($AD218*Header!$M$3,2),"")</f>
      </c>
      <c r="AQ218" s="38">
        <f>IF(ISNUMBER($AD218),ROUND($AD218,2)-$AO218-$AP218,"")</f>
      </c>
      <c r="AR218" s="39">
        <f>IF(ISNUMBER($AD218),IF(Header!$D$34="","?",$AD218*Header!$D$34),"")</f>
      </c>
      <c r="AS218" s="39">
        <f>IF(ISNUMBER($AB218),IF(Header!$D$34="","?",$AB218*Header!$D$34),"")</f>
      </c>
      <c r="AT218" s="42">
        <f>IF(AND(ISNUMBER($AB218),$M218&gt;0),$AB218/$M218*100,"")</f>
      </c>
      <c r="AU218" s="42">
        <f>IF(AND(ISNUMBER($AD218),$M218&gt;0),$AD218/$M218*100,"")</f>
      </c>
      <c r="AV218" s="40">
        <f>IF(AND(ISNUMBER($AB218),ISNUMBER($AD218),ABS($AB218)&gt;0),$AD218/$AB218,"")</f>
      </c>
      <c r="AW218" s="39">
        <f>IF(ISNUMBER($AD218),MAX(0,(1-0.55-Header!$O$3)*Header!$Q$3*$AQ218),"")</f>
      </c>
      <c r="AX218" s="43">
        <f>IF($A218="","",IF(TRIM(IF($A218="","Missing certificate ref. ","") &amp; IF($C218="","Missing effective date. ","") &amp; IF($D218="","Missing binding status. ","") &amp; IF($E218="","Missing movement type. ","") &amp; IF($I218="","Missing make. ","") &amp; IF($L218="","Missing vehicle class. ","") &amp; IF($M218="","Missing agreed value. ","") &amp; IF($N218="","Missing policy type. ","") &amp; IF($Q218="","Missing garaging state. ","") &amp; IF($R218="","Missing garaging ZIP. ","") &amp; IF($S218="","Missing cat zone. ","") &amp; IF($V218="","Missing valuation basis. ","") &amp; IF($W218="","Missing PD deductible. ","") &amp; IF($X218="","Missing liability limit. ","") &amp; IF($AB218="","Missing technical premium. ","") &amp; IF($AF218="","Missing surplus lines tax %. ",""))="","PASS","FAIL: "&amp;TRIM(IF($A218="","Missing certificate ref. ","") &amp; IF($C218="","Missing effective date. ","") &amp; IF($D218="","Missing binding status. ","") &amp; IF($E218="","Missing movement type. ","") &amp; IF($I218="","Missing make. ","") &amp; IF($L218="","Missing vehicle class. ","") &amp; IF($M218="","Missing agreed value. ","") &amp; IF($N218="","Missing policy type. ","") &amp; IF($Q218="","Missing garaging state. ","") &amp; IF($R218="","Missing garaging ZIP. ","") &amp; IF($S218="","Missing cat zone. ","") &amp; IF($V218="","Missing valuation basis. ","") &amp; IF($W218="","Missing PD deductible. ","") &amp; IF($X218="","Missing liability limit. ","") &amp; IF($AB218="","Missing technical premium. ","") &amp; IF($AF218="","Missing surplus lines tax %. ",""))))</f>
      </c>
      <c r="AY218" s="44">
        <f>IF($M218="","",IF(ISNUMBER($M218),IF($M218&gt;=Header!$C$18,"YES — refer","No"),""))</f>
      </c>
      <c r="AZ218" s="44">
        <f>IF($AD218="","",IF(ISNUMBER($AD218),IF($AD218&lt;Header!$C$20,"BELOW MIN PREMIUM","OK"),""))</f>
      </c>
      <c r="BA218" s="48" t="inlineStr">
        <is>
          <t xml:space="preserve">Yes</t>
        </is>
      </c>
      <c r="BB218" s="48" t="inlineStr">
        <is>
          <t xml:space="preserve">Yes</t>
        </is>
      </c>
      <c r="BC218" s="46" t="inlineStr">
        <is>
          <t xml:space="preserve">Synthetic demo data</t>
        </is>
      </c>
      <c r="BE218" s="45">
        <f>IF(OR($A218="",$L218="",$H218=""),"",IF(AND(LEFT($L218,2)="06",$H218&gt;1945),"FAIL - pre-war class, year "&amp;$H218,IF(AND(LEFT($L218,2)="07",OR($H218&lt;1946,$H218&gt;1972)),"FAIL - 1946-72 class, year "&amp;$H218,IF(AND(LEFT($L218,2)="08",OR($H218&lt;1973,$H218&gt;1999)),"FAIL - 1973-99 class, year "&amp;$H218,IF(AND(LEFT($L218,2)="09",OR($H218&lt;2000,$H218&gt;2010)),"FAIL - 2000-10 class, year "&amp;$H218,"OK")))))</f>
      </c>
      <c r="BF218" s="45">
        <f>IF($AD218="","",IF(ROUND($AO218+$AP218+$AQ218-$AD218,2)=0,"OK","FAIL - out by "&amp;TEXT($AO218+$AP218+$AQ218-$AD218,"$0.00")))</f>
      </c>
    </row>
    <row r="219" spans="1:58" ht="18.75" customHeight="1" x14ac:dyDescent="0.25">
      <c r="A219" s="30" t="inlineStr">
        <is>
          <t xml:space="preserve">CANON-202511-002462</t>
        </is>
      </c>
      <c r="B219" s="30" t="inlineStr">
        <is>
          <t xml:space="preserve">Ottilie Nakashima</t>
        </is>
      </c>
      <c r="C219" s="31">
        <v>45972</v>
      </c>
      <c r="D219" s="32" t="inlineStr">
        <is>
          <t xml:space="preserve">Bound - within authority</t>
        </is>
      </c>
      <c r="E219" s="32" t="inlineStr">
        <is>
          <t xml:space="preserve">New business</t>
        </is>
      </c>
      <c r="F219" s="30" t="inlineStr">
        <is>
          <t xml:space="preserve">B1234EXOTIC26</t>
        </is>
      </c>
      <c r="G219" s="33">
        <f>IF($A219="","",IF($C219="","",YEAR($C219)))</f>
      </c>
      <c r="H219" s="34">
        <v>1961</v>
      </c>
      <c r="I219" s="30" t="inlineStr">
        <is>
          <t xml:space="preserve">Mercedes-Benz</t>
        </is>
      </c>
      <c r="J219" s="30" t="inlineStr">
        <is>
          <t xml:space="preserve">280SL Pagoda</t>
        </is>
      </c>
      <c r="K219" s="30" t="inlineStr">
        <is>
          <t xml:space="preserve">3DCE8AS490W7SE3T8</t>
        </is>
      </c>
      <c r="L219" s="32" t="inlineStr">
        <is>
          <t xml:space="preserve">07 - Post-War Classic (1946-1972)</t>
        </is>
      </c>
      <c r="M219" s="35">
        <v>935000</v>
      </c>
      <c r="N219" s="32" t="inlineStr">
        <is>
          <t xml:space="preserve">Personal</t>
        </is>
      </c>
      <c r="O219" s="30" t="inlineStr">
        <is>
          <t xml:space="preserve">Personal - regular use</t>
        </is>
      </c>
      <c r="P219" s="30" t="inlineStr">
        <is>
          <t xml:space="preserve">1,000 - 2,500</t>
        </is>
      </c>
      <c r="Q219" s="30" t="inlineStr">
        <is>
          <t xml:space="preserve">New Hampshire</t>
        </is>
      </c>
      <c r="R219" s="30" t="inlineStr">
        <is>
          <t xml:space="preserve">03301</t>
        </is>
      </c>
      <c r="S219" s="32" t="inlineStr">
        <is>
          <t xml:space="preserve">Tier 3 - Coastal wind (25-100 miles)</t>
        </is>
      </c>
      <c r="T219" s="36">
        <f>IF($A219="","",IF($S219="","",IFERROR(INDEX('[1]natural catastrophe'!$D$6:$D$17,MATCH($S219,'[1]natural catastrophe'!$B$6:$B$17,0)),"?")))</f>
      </c>
      <c r="U219" s="30" t="inlineStr">
        <is>
          <t xml:space="preserve">2% of agreed value, minimum $10,000</t>
        </is>
      </c>
      <c r="V219" s="32" t="inlineStr">
        <is>
          <t xml:space="preserve">Agreed Value</t>
        </is>
      </c>
      <c r="W219" s="30" t="inlineStr">
        <is>
          <t xml:space="preserve">$1,000</t>
        </is>
      </c>
      <c r="X219" s="32" t="inlineStr">
        <is>
          <t xml:space="preserve">$1,000,000 CSL</t>
        </is>
      </c>
      <c r="Y219" s="30"/>
      <c r="Z219" s="30"/>
      <c r="AA219" s="32" t="inlineStr">
        <is>
          <t xml:space="preserve">Surplus Lines</t>
        </is>
      </c>
      <c r="AB219" s="35">
        <v>7253.4</v>
      </c>
      <c r="AC219" s="37">
        <v>0</v>
      </c>
      <c r="AD219" s="38">
        <f>IF(ISNUMBER($AB219),$AB219*(1+N($AC219)),"")</f>
      </c>
      <c r="AE219" s="35">
        <v>350</v>
      </c>
      <c r="AF219" s="35">
        <v>0</v>
      </c>
      <c r="AG219" s="37"/>
      <c r="AH219" s="39">
        <f>IF(ISNUMBER($AD219),($AD219+$AE219+$AF219)*$AG219,"")</f>
      </c>
      <c r="AI219" s="35"/>
      <c r="AJ219" s="38">
        <f>IF(ISNUMBER($AD219),SUM($AD219:$AH219),"")</f>
      </c>
      <c r="AK219" s="40">
        <f>IF(AND(ISNUMBER($AB219),ISNUMBER($AD219)),IF($AB219&gt;0,$AD219/$AB219,""),"")</f>
      </c>
      <c r="AL219" s="32" t="inlineStr">
        <is>
          <t xml:space="preserve">At technical</t>
        </is>
      </c>
      <c r="AM219" s="41">
        <f>IF(ISNUMBER($AD219),Header!$I$3,"")</f>
      </c>
      <c r="AN219" s="39">
        <f>IF(ISNUMBER($AD219),$AO219+$AP219,"")</f>
      </c>
      <c r="AO219" s="39">
        <f>IF(ISNUMBER($AD219),ROUND($AD219*Header!$K$3,2),"")</f>
      </c>
      <c r="AP219" s="39">
        <f>IF(ISNUMBER($AD219),ROUND($AD219*Header!$M$3,2),"")</f>
      </c>
      <c r="AQ219" s="38">
        <f>IF(ISNUMBER($AD219),ROUND($AD219,2)-$AO219-$AP219,"")</f>
      </c>
      <c r="AR219" s="39">
        <f>IF(ISNUMBER($AD219),IF(Header!$D$34="","?",$AD219*Header!$D$34),"")</f>
      </c>
      <c r="AS219" s="39">
        <f>IF(ISNUMBER($AB219),IF(Header!$D$34="","?",$AB219*Header!$D$34),"")</f>
      </c>
      <c r="AT219" s="42">
        <f>IF(AND(ISNUMBER($AB219),$M219&gt;0),$AB219/$M219*100,"")</f>
      </c>
      <c r="AU219" s="42">
        <f>IF(AND(ISNUMBER($AD219),$M219&gt;0),$AD219/$M219*100,"")</f>
      </c>
      <c r="AV219" s="40">
        <f>IF(AND(ISNUMBER($AB219),ISNUMBER($AD219),ABS($AB219)&gt;0),$AD219/$AB219,"")</f>
      </c>
      <c r="AW219" s="39">
        <f>IF(ISNUMBER($AD219),MAX(0,(1-0.55-Header!$O$3)*Header!$Q$3*$AQ219),"")</f>
      </c>
      <c r="AX219" s="43">
        <f>IF($A219="","",IF(TRIM(IF($A219="","Missing certificate ref. ","") &amp; IF($C219="","Missing effective date. ","") &amp; IF($D219="","Missing binding status. ","") &amp; IF($E219="","Missing movement type. ","") &amp; IF($I219="","Missing make. ","") &amp; IF($L219="","Missing vehicle class. ","") &amp; IF($M219="","Missing agreed value. ","") &amp; IF($N219="","Missing policy type. ","") &amp; IF($Q219="","Missing garaging state. ","") &amp; IF($R219="","Missing garaging ZIP. ","") &amp; IF($S219="","Missing cat zone. ","") &amp; IF($V219="","Missing valuation basis. ","") &amp; IF($W219="","Missing PD deductible. ","") &amp; IF($X219="","Missing liability limit. ","") &amp; IF($AB219="","Missing technical premium. ","") &amp; IF($AF219="","Missing surplus lines tax %. ",""))="","PASS","FAIL: "&amp;TRIM(IF($A219="","Missing certificate ref. ","") &amp; IF($C219="","Missing effective date. ","") &amp; IF($D219="","Missing binding status. ","") &amp; IF($E219="","Missing movement type. ","") &amp; IF($I219="","Missing make. ","") &amp; IF($L219="","Missing vehicle class. ","") &amp; IF($M219="","Missing agreed value. ","") &amp; IF($N219="","Missing policy type. ","") &amp; IF($Q219="","Missing garaging state. ","") &amp; IF($R219="","Missing garaging ZIP. ","") &amp; IF($S219="","Missing cat zone. ","") &amp; IF($V219="","Missing valuation basis. ","") &amp; IF($W219="","Missing PD deductible. ","") &amp; IF($X219="","Missing liability limit. ","") &amp; IF($AB219="","Missing technical premium. ","") &amp; IF($AF219="","Missing surplus lines tax %. ",""))))</f>
      </c>
      <c r="AY219" s="44">
        <f>IF($M219="","",IF(ISNUMBER($M219),IF($M219&gt;=Header!$C$18,"YES — refer","No"),""))</f>
      </c>
      <c r="AZ219" s="44">
        <f>IF($AD219="","",IF(ISNUMBER($AD219),IF($AD219&lt;Header!$C$20,"BELOW MIN PREMIUM","OK"),""))</f>
      </c>
      <c r="BA219" s="32" t="inlineStr">
        <is>
          <t xml:space="preserve">Yes</t>
        </is>
      </c>
      <c r="BB219" s="32" t="inlineStr">
        <is>
          <t xml:space="preserve">Yes</t>
        </is>
      </c>
      <c r="BC219" s="30" t="inlineStr">
        <is>
          <t xml:space="preserve">Synthetic demo data</t>
        </is>
      </c>
      <c r="BE219" s="45">
        <f>IF(OR($A219="",$L219="",$H219=""),"",IF(AND(LEFT($L219,2)="06",$H219&gt;1945),"FAIL - pre-war class, year "&amp;$H219,IF(AND(LEFT($L219,2)="07",OR($H219&lt;1946,$H219&gt;1972)),"FAIL - 1946-72 class, year "&amp;$H219,IF(AND(LEFT($L219,2)="08",OR($H219&lt;1973,$H219&gt;1999)),"FAIL - 1973-99 class, year "&amp;$H219,IF(AND(LEFT($L219,2)="09",OR($H219&lt;2000,$H219&gt;2010)),"FAIL - 2000-10 class, year "&amp;$H219,"OK")))))</f>
      </c>
      <c r="BF219" s="45">
        <f>IF($AD219="","",IF(ROUND($AO219+$AP219+$AQ219-$AD219,2)=0,"OK","FAIL - out by "&amp;TEXT($AO219+$AP219+$AQ219-$AD219,"$0.00")))</f>
      </c>
    </row>
    <row r="220" spans="1:58" ht="18.75" customHeight="1" x14ac:dyDescent="0.25">
      <c r="A220" s="46" t="inlineStr">
        <is>
          <t xml:space="preserve">CANON-202511-002463</t>
        </is>
      </c>
      <c r="B220" s="46" t="inlineStr">
        <is>
          <t xml:space="preserve">Desmond Montoya</t>
        </is>
      </c>
      <c r="C220" s="47">
        <v>45964</v>
      </c>
      <c r="D220" s="48" t="inlineStr">
        <is>
          <t xml:space="preserve">Bound - within authority</t>
        </is>
      </c>
      <c r="E220" s="48" t="inlineStr">
        <is>
          <t xml:space="preserve">New business</t>
        </is>
      </c>
      <c r="F220" s="46" t="inlineStr">
        <is>
          <t xml:space="preserve">B1234EXOTIC26</t>
        </is>
      </c>
      <c r="G220" s="33">
        <f>IF($A220="","",IF($C220="","",YEAR($C220)))</f>
      </c>
      <c r="H220" s="49">
        <v>1991</v>
      </c>
      <c r="I220" s="46" t="inlineStr">
        <is>
          <t xml:space="preserve">Maserati</t>
        </is>
      </c>
      <c r="J220" s="46" t="inlineStr">
        <is>
          <t xml:space="preserve">GranTurismo</t>
        </is>
      </c>
      <c r="K220" s="46" t="inlineStr">
        <is>
          <t xml:space="preserve">S1D20ETRJVRAMA9SM</t>
        </is>
      </c>
      <c r="L220" s="48" t="inlineStr">
        <is>
          <t xml:space="preserve">02 - Sports / GT</t>
        </is>
      </c>
      <c r="M220" s="50">
        <v>230000</v>
      </c>
      <c r="N220" s="48" t="inlineStr">
        <is>
          <t xml:space="preserve">Personal</t>
        </is>
      </c>
      <c r="O220" s="46" t="inlineStr">
        <is>
          <t xml:space="preserve">Personal - regular use</t>
        </is>
      </c>
      <c r="P220" s="46" t="inlineStr">
        <is>
          <t xml:space="preserve">Under 1,000</t>
        </is>
      </c>
      <c r="Q220" s="46" t="inlineStr">
        <is>
          <t xml:space="preserve">Minnesota</t>
        </is>
      </c>
      <c r="R220" s="46" t="inlineStr">
        <is>
          <t xml:space="preserve">55401</t>
        </is>
      </c>
      <c r="S220" s="48" t="inlineStr">
        <is>
          <t xml:space="preserve">Severe convective - hail / tornado (moderate)</t>
        </is>
      </c>
      <c r="T220" s="36">
        <f>IF($A220="","",IF($S220="","",IFERROR(INDEX('[1]natural catastrophe'!$D$6:$D$17,MATCH($S220,'[1]natural catastrophe'!$B$6:$B$17,0)),"?")))</f>
      </c>
      <c r="U220" s="46" t="inlineStr">
        <is>
          <t xml:space="preserve">$5,000</t>
        </is>
      </c>
      <c r="V220" s="48" t="inlineStr">
        <is>
          <t xml:space="preserve">Agreed Value</t>
        </is>
      </c>
      <c r="W220" s="46" t="inlineStr">
        <is>
          <t xml:space="preserve">$1,000</t>
        </is>
      </c>
      <c r="X220" s="48" t="inlineStr">
        <is>
          <t xml:space="preserve">$1,000,000 CSL</t>
        </is>
      </c>
      <c r="Y220" s="46"/>
      <c r="Z220" s="46"/>
      <c r="AA220" s="48" t="inlineStr">
        <is>
          <t xml:space="preserve">Surplus Lines</t>
        </is>
      </c>
      <c r="AB220" s="50">
        <v>4845.27</v>
      </c>
      <c r="AC220" s="51">
        <v>0</v>
      </c>
      <c r="AD220" s="38">
        <f>IF(ISNUMBER($AB220),$AB220*(1+N($AC220)),"")</f>
      </c>
      <c r="AE220" s="50">
        <v>350</v>
      </c>
      <c r="AF220" s="50">
        <v>0</v>
      </c>
      <c r="AG220" s="51"/>
      <c r="AH220" s="39">
        <f>IF(ISNUMBER($AD220),($AD220+$AE220+$AF220)*$AG220,"")</f>
      </c>
      <c r="AI220" s="50"/>
      <c r="AJ220" s="38">
        <f>IF(ISNUMBER($AD220),SUM($AD220:$AH220),"")</f>
      </c>
      <c r="AK220" s="40">
        <f>IF(AND(ISNUMBER($AB220),ISNUMBER($AD220)),IF($AB220&gt;0,$AD220/$AB220,""),"")</f>
      </c>
      <c r="AL220" s="48" t="inlineStr">
        <is>
          <t xml:space="preserve">At technical</t>
        </is>
      </c>
      <c r="AM220" s="41">
        <f>IF(ISNUMBER($AD220),Header!$I$3,"")</f>
      </c>
      <c r="AN220" s="39">
        <f>IF(ISNUMBER($AD220),$AO220+$AP220,"")</f>
      </c>
      <c r="AO220" s="39">
        <f>IF(ISNUMBER($AD220),ROUND($AD220*Header!$K$3,2),"")</f>
      </c>
      <c r="AP220" s="39">
        <f>IF(ISNUMBER($AD220),ROUND($AD220*Header!$M$3,2),"")</f>
      </c>
      <c r="AQ220" s="38">
        <f>IF(ISNUMBER($AD220),ROUND($AD220,2)-$AO220-$AP220,"")</f>
      </c>
      <c r="AR220" s="39">
        <f>IF(ISNUMBER($AD220),IF(Header!$D$34="","?",$AD220*Header!$D$34),"")</f>
      </c>
      <c r="AS220" s="39">
        <f>IF(ISNUMBER($AB220),IF(Header!$D$34="","?",$AB220*Header!$D$34),"")</f>
      </c>
      <c r="AT220" s="42">
        <f>IF(AND(ISNUMBER($AB220),$M220&gt;0),$AB220/$M220*100,"")</f>
      </c>
      <c r="AU220" s="42">
        <f>IF(AND(ISNUMBER($AD220),$M220&gt;0),$AD220/$M220*100,"")</f>
      </c>
      <c r="AV220" s="40">
        <f>IF(AND(ISNUMBER($AB220),ISNUMBER($AD220),ABS($AB220)&gt;0),$AD220/$AB220,"")</f>
      </c>
      <c r="AW220" s="39">
        <f>IF(ISNUMBER($AD220),MAX(0,(1-0.55-Header!$O$3)*Header!$Q$3*$AQ220),"")</f>
      </c>
      <c r="AX220" s="43">
        <f>IF($A220="","",IF(TRIM(IF($A220="","Missing certificate ref. ","") &amp; IF($C220="","Missing effective date. ","") &amp; IF($D220="","Missing binding status. ","") &amp; IF($E220="","Missing movement type. ","") &amp; IF($I220="","Missing make. ","") &amp; IF($L220="","Missing vehicle class. ","") &amp; IF($M220="","Missing agreed value. ","") &amp; IF($N220="","Missing policy type. ","") &amp; IF($Q220="","Missing garaging state. ","") &amp; IF($R220="","Missing garaging ZIP. ","") &amp; IF($S220="","Missing cat zone. ","") &amp; IF($V220="","Missing valuation basis. ","") &amp; IF($W220="","Missing PD deductible. ","") &amp; IF($X220="","Missing liability limit. ","") &amp; IF($AB220="","Missing technical premium. ","") &amp; IF($AF220="","Missing surplus lines tax %. ",""))="","PASS","FAIL: "&amp;TRIM(IF($A220="","Missing certificate ref. ","") &amp; IF($C220="","Missing effective date. ","") &amp; IF($D220="","Missing binding status. ","") &amp; IF($E220="","Missing movement type. ","") &amp; IF($I220="","Missing make. ","") &amp; IF($L220="","Missing vehicle class. ","") &amp; IF($M220="","Missing agreed value. ","") &amp; IF($N220="","Missing policy type. ","") &amp; IF($Q220="","Missing garaging state. ","") &amp; IF($R220="","Missing garaging ZIP. ","") &amp; IF($S220="","Missing cat zone. ","") &amp; IF($V220="","Missing valuation basis. ","") &amp; IF($W220="","Missing PD deductible. ","") &amp; IF($X220="","Missing liability limit. ","") &amp; IF($AB220="","Missing technical premium. ","") &amp; IF($AF220="","Missing surplus lines tax %. ",""))))</f>
      </c>
      <c r="AY220" s="44">
        <f>IF($M220="","",IF(ISNUMBER($M220),IF($M220&gt;=Header!$C$18,"YES — refer","No"),""))</f>
      </c>
      <c r="AZ220" s="44">
        <f>IF($AD220="","",IF(ISNUMBER($AD220),IF($AD220&lt;Header!$C$20,"BELOW MIN PREMIUM","OK"),""))</f>
      </c>
      <c r="BA220" s="48" t="inlineStr">
        <is>
          <t xml:space="preserve">Yes</t>
        </is>
      </c>
      <c r="BB220" s="48" t="inlineStr">
        <is>
          <t xml:space="preserve">Yes</t>
        </is>
      </c>
      <c r="BC220" s="46" t="inlineStr">
        <is>
          <t xml:space="preserve">Synthetic demo data</t>
        </is>
      </c>
      <c r="BE220" s="45">
        <f>IF(OR($A220="",$L220="",$H220=""),"",IF(AND(LEFT($L220,2)="06",$H220&gt;1945),"FAIL - pre-war class, year "&amp;$H220,IF(AND(LEFT($L220,2)="07",OR($H220&lt;1946,$H220&gt;1972)),"FAIL - 1946-72 class, year "&amp;$H220,IF(AND(LEFT($L220,2)="08",OR($H220&lt;1973,$H220&gt;1999)),"FAIL - 1973-99 class, year "&amp;$H220,IF(AND(LEFT($L220,2)="09",OR($H220&lt;2000,$H220&gt;2010)),"FAIL - 2000-10 class, year "&amp;$H220,"OK")))))</f>
      </c>
      <c r="BF220" s="45">
        <f>IF($AD220="","",IF(ROUND($AO220+$AP220+$AQ220-$AD220,2)=0,"OK","FAIL - out by "&amp;TEXT($AO220+$AP220+$AQ220-$AD220,"$0.00")))</f>
      </c>
    </row>
    <row r="221" spans="1:58" ht="18.75" customHeight="1" x14ac:dyDescent="0.25">
      <c r="A221" s="30" t="inlineStr">
        <is>
          <t xml:space="preserve">CANON-202511-002465</t>
        </is>
      </c>
      <c r="B221" s="30" t="inlineStr">
        <is>
          <t xml:space="preserve">Wilhelmina Underwood</t>
        </is>
      </c>
      <c r="C221" s="31">
        <v>45971</v>
      </c>
      <c r="D221" s="32" t="inlineStr">
        <is>
          <t xml:space="preserve">Bound - within authority</t>
        </is>
      </c>
      <c r="E221" s="32" t="inlineStr">
        <is>
          <t xml:space="preserve">New business</t>
        </is>
      </c>
      <c r="F221" s="30" t="inlineStr">
        <is>
          <t xml:space="preserve">B1234EXOTIC26</t>
        </is>
      </c>
      <c r="G221" s="33">
        <f>IF($A221="","",IF($C221="","",YEAR($C221)))</f>
      </c>
      <c r="H221" s="34">
        <v>1991</v>
      </c>
      <c r="I221" s="30" t="inlineStr">
        <is>
          <t xml:space="preserve">Aston Martin</t>
        </is>
      </c>
      <c r="J221" s="30" t="inlineStr">
        <is>
          <t xml:space="preserve">DB12</t>
        </is>
      </c>
      <c r="K221" s="30" t="inlineStr">
        <is>
          <t xml:space="preserve">GRYSZ888Y201A4GBM</t>
        </is>
      </c>
      <c r="L221" s="32" t="inlineStr">
        <is>
          <t xml:space="preserve">02 - Sports / GT</t>
        </is>
      </c>
      <c r="M221" s="35">
        <v>460000</v>
      </c>
      <c r="N221" s="32" t="inlineStr">
        <is>
          <t xml:space="preserve">Personal</t>
        </is>
      </c>
      <c r="O221" s="30" t="inlineStr">
        <is>
          <t xml:space="preserve">Personal - regular use</t>
        </is>
      </c>
      <c r="P221" s="30" t="inlineStr">
        <is>
          <t xml:space="preserve">Under 1,000</t>
        </is>
      </c>
      <c r="Q221" s="30" t="inlineStr">
        <is>
          <t xml:space="preserve">South Dakota</t>
        </is>
      </c>
      <c r="R221" s="30" t="inlineStr">
        <is>
          <t xml:space="preserve">57501</t>
        </is>
      </c>
      <c r="S221" s="32" t="inlineStr">
        <is>
          <t xml:space="preserve">Severe convective - hail alley (high)</t>
        </is>
      </c>
      <c r="T221" s="36">
        <f>IF($A221="","",IF($S221="","",IFERROR(INDEX('[1]natural catastrophe'!$D$6:$D$17,MATCH($S221,'[1]natural catastrophe'!$B$6:$B$17,0)),"?")))</f>
      </c>
      <c r="U221" s="30" t="inlineStr">
        <is>
          <t xml:space="preserve">$5,000</t>
        </is>
      </c>
      <c r="V221" s="32" t="inlineStr">
        <is>
          <t xml:space="preserve">Agreed Value</t>
        </is>
      </c>
      <c r="W221" s="30" t="inlineStr">
        <is>
          <t xml:space="preserve">$1,000</t>
        </is>
      </c>
      <c r="X221" s="32" t="inlineStr">
        <is>
          <t xml:space="preserve">$1,000,000 CSL</t>
        </is>
      </c>
      <c r="Y221" s="30"/>
      <c r="Z221" s="30"/>
      <c r="AA221" s="32" t="inlineStr">
        <is>
          <t xml:space="preserve">Surplus Lines</t>
        </is>
      </c>
      <c r="AB221" s="35">
        <v>6643.1</v>
      </c>
      <c r="AC221" s="37">
        <v>0</v>
      </c>
      <c r="AD221" s="38">
        <f>IF(ISNUMBER($AB221),$AB221*(1+N($AC221)),"")</f>
      </c>
      <c r="AE221" s="35">
        <v>350</v>
      </c>
      <c r="AF221" s="35">
        <v>0</v>
      </c>
      <c r="AG221" s="37"/>
      <c r="AH221" s="39">
        <f>IF(ISNUMBER($AD221),($AD221+$AE221+$AF221)*$AG221,"")</f>
      </c>
      <c r="AI221" s="35"/>
      <c r="AJ221" s="38">
        <f>IF(ISNUMBER($AD221),SUM($AD221:$AH221),"")</f>
      </c>
      <c r="AK221" s="40">
        <f>IF(AND(ISNUMBER($AB221),ISNUMBER($AD221)),IF($AB221&gt;0,$AD221/$AB221,""),"")</f>
      </c>
      <c r="AL221" s="32" t="inlineStr">
        <is>
          <t xml:space="preserve">At technical</t>
        </is>
      </c>
      <c r="AM221" s="41">
        <f>IF(ISNUMBER($AD221),Header!$I$3,"")</f>
      </c>
      <c r="AN221" s="39">
        <f>IF(ISNUMBER($AD221),$AO221+$AP221,"")</f>
      </c>
      <c r="AO221" s="39">
        <f>IF(ISNUMBER($AD221),ROUND($AD221*Header!$K$3,2),"")</f>
      </c>
      <c r="AP221" s="39">
        <f>IF(ISNUMBER($AD221),ROUND($AD221*Header!$M$3,2),"")</f>
      </c>
      <c r="AQ221" s="38">
        <f>IF(ISNUMBER($AD221),ROUND($AD221,2)-$AO221-$AP221,"")</f>
      </c>
      <c r="AR221" s="39">
        <f>IF(ISNUMBER($AD221),IF(Header!$D$34="","?",$AD221*Header!$D$34),"")</f>
      </c>
      <c r="AS221" s="39">
        <f>IF(ISNUMBER($AB221),IF(Header!$D$34="","?",$AB221*Header!$D$34),"")</f>
      </c>
      <c r="AT221" s="42">
        <f>IF(AND(ISNUMBER($AB221),$M221&gt;0),$AB221/$M221*100,"")</f>
      </c>
      <c r="AU221" s="42">
        <f>IF(AND(ISNUMBER($AD221),$M221&gt;0),$AD221/$M221*100,"")</f>
      </c>
      <c r="AV221" s="40">
        <f>IF(AND(ISNUMBER($AB221),ISNUMBER($AD221),ABS($AB221)&gt;0),$AD221/$AB221,"")</f>
      </c>
      <c r="AW221" s="39">
        <f>IF(ISNUMBER($AD221),MAX(0,(1-0.55-Header!$O$3)*Header!$Q$3*$AQ221),"")</f>
      </c>
      <c r="AX221" s="43">
        <f>IF($A221="","",IF(TRIM(IF($A221="","Missing certificate ref. ","") &amp; IF($C221="","Missing effective date. ","") &amp; IF($D221="","Missing binding status. ","") &amp; IF($E221="","Missing movement type. ","") &amp; IF($I221="","Missing make. ","") &amp; IF($L221="","Missing vehicle class. ","") &amp; IF($M221="","Missing agreed value. ","") &amp; IF($N221="","Missing policy type. ","") &amp; IF($Q221="","Missing garaging state. ","") &amp; IF($R221="","Missing garaging ZIP. ","") &amp; IF($S221="","Missing cat zone. ","") &amp; IF($V221="","Missing valuation basis. ","") &amp; IF($W221="","Missing PD deductible. ","") &amp; IF($X221="","Missing liability limit. ","") &amp; IF($AB221="","Missing technical premium. ","") &amp; IF($AF221="","Missing surplus lines tax %. ",""))="","PASS","FAIL: "&amp;TRIM(IF($A221="","Missing certificate ref. ","") &amp; IF($C221="","Missing effective date. ","") &amp; IF($D221="","Missing binding status. ","") &amp; IF($E221="","Missing movement type. ","") &amp; IF($I221="","Missing make. ","") &amp; IF($L221="","Missing vehicle class. ","") &amp; IF($M221="","Missing agreed value. ","") &amp; IF($N221="","Missing policy type. ","") &amp; IF($Q221="","Missing garaging state. ","") &amp; IF($R221="","Missing garaging ZIP. ","") &amp; IF($S221="","Missing cat zone. ","") &amp; IF($V221="","Missing valuation basis. ","") &amp; IF($W221="","Missing PD deductible. ","") &amp; IF($X221="","Missing liability limit. ","") &amp; IF($AB221="","Missing technical premium. ","") &amp; IF($AF221="","Missing surplus lines tax %. ",""))))</f>
      </c>
      <c r="AY221" s="44">
        <f>IF($M221="","",IF(ISNUMBER($M221),IF($M221&gt;=Header!$C$18,"YES — refer","No"),""))</f>
      </c>
      <c r="AZ221" s="44">
        <f>IF($AD221="","",IF(ISNUMBER($AD221),IF($AD221&lt;Header!$C$20,"BELOW MIN PREMIUM","OK"),""))</f>
      </c>
      <c r="BA221" s="32" t="inlineStr">
        <is>
          <t xml:space="preserve">Yes</t>
        </is>
      </c>
      <c r="BB221" s="32" t="inlineStr">
        <is>
          <t xml:space="preserve">Yes</t>
        </is>
      </c>
      <c r="BC221" s="30" t="inlineStr">
        <is>
          <t xml:space="preserve">Synthetic demo data</t>
        </is>
      </c>
      <c r="BE221" s="45">
        <f>IF(OR($A221="",$L221="",$H221=""),"",IF(AND(LEFT($L221,2)="06",$H221&gt;1945),"FAIL - pre-war class, year "&amp;$H221,IF(AND(LEFT($L221,2)="07",OR($H221&lt;1946,$H221&gt;1972)),"FAIL - 1946-72 class, year "&amp;$H221,IF(AND(LEFT($L221,2)="08",OR($H221&lt;1973,$H221&gt;1999)),"FAIL - 1973-99 class, year "&amp;$H221,IF(AND(LEFT($L221,2)="09",OR($H221&lt;2000,$H221&gt;2010)),"FAIL - 2000-10 class, year "&amp;$H221,"OK")))))</f>
      </c>
      <c r="BF221" s="45">
        <f>IF($AD221="","",IF(ROUND($AO221+$AP221+$AQ221-$AD221,2)=0,"OK","FAIL - out by "&amp;TEXT($AO221+$AP221+$AQ221-$AD221,"$0.00")))</f>
      </c>
    </row>
    <row r="222" spans="1:58" ht="18.75" customHeight="1" x14ac:dyDescent="0.25">
      <c r="A222" s="46" t="inlineStr">
        <is>
          <t xml:space="preserve">CANON-202511-002468</t>
        </is>
      </c>
      <c r="B222" s="46" t="inlineStr">
        <is>
          <t xml:space="preserve">Aurelio Delacroix</t>
        </is>
      </c>
      <c r="C222" s="47">
        <v>45978</v>
      </c>
      <c r="D222" s="48" t="inlineStr">
        <is>
          <t xml:space="preserve">Bound - within authority</t>
        </is>
      </c>
      <c r="E222" s="48" t="inlineStr">
        <is>
          <t xml:space="preserve">New business</t>
        </is>
      </c>
      <c r="F222" s="46" t="inlineStr">
        <is>
          <t xml:space="preserve">B1234EXOTIC26</t>
        </is>
      </c>
      <c r="G222" s="33">
        <f>IF($A222="","",IF($C222="","",YEAR($C222)))</f>
      </c>
      <c r="H222" s="49">
        <v>2007</v>
      </c>
      <c r="I222" s="46" t="inlineStr">
        <is>
          <t xml:space="preserve">Ferrari</t>
        </is>
      </c>
      <c r="J222" s="46" t="inlineStr">
        <is>
          <t xml:space="preserve">SF90 Stradale</t>
        </is>
      </c>
      <c r="K222" s="46" t="inlineStr">
        <is>
          <t xml:space="preserve">CXSL4L6V2Y3FGPB1H</t>
        </is>
      </c>
      <c r="L222" s="48" t="inlineStr">
        <is>
          <t xml:space="preserve">03 - Supercar</t>
        </is>
      </c>
      <c r="M222" s="50">
        <v>1100000</v>
      </c>
      <c r="N222" s="48" t="inlineStr">
        <is>
          <t xml:space="preserve">Personal</t>
        </is>
      </c>
      <c r="O222" s="46" t="inlineStr">
        <is>
          <t xml:space="preserve">Personal - regular use</t>
        </is>
      </c>
      <c r="P222" s="46" t="inlineStr">
        <is>
          <t xml:space="preserve">Under 1,000</t>
        </is>
      </c>
      <c r="Q222" s="46" t="inlineStr">
        <is>
          <t xml:space="preserve">California</t>
        </is>
      </c>
      <c r="R222" s="46" t="inlineStr">
        <is>
          <t xml:space="preserve">90012</t>
        </is>
      </c>
      <c r="S222" s="48" t="inlineStr">
        <is>
          <t xml:space="preserve">Earthquake - high (CA, Cascadia, New Madrid)</t>
        </is>
      </c>
      <c r="T222" s="36">
        <f>IF($A222="","",IF($S222="","",IFERROR(INDEX('[1]natural catastrophe'!$D$6:$D$17,MATCH($S222,'[1]natural catastrophe'!$B$6:$B$17,0)),"?")))</f>
      </c>
      <c r="U222" s="46" t="inlineStr">
        <is>
          <t xml:space="preserve">$5,000</t>
        </is>
      </c>
      <c r="V222" s="48" t="inlineStr">
        <is>
          <t xml:space="preserve">Agreed Value</t>
        </is>
      </c>
      <c r="W222" s="46" t="inlineStr">
        <is>
          <t xml:space="preserve">$1,000</t>
        </is>
      </c>
      <c r="X222" s="48" t="inlineStr">
        <is>
          <t xml:space="preserve">$1,000,000 CSL</t>
        </is>
      </c>
      <c r="Y222" s="46"/>
      <c r="Z222" s="46"/>
      <c r="AA222" s="48" t="inlineStr">
        <is>
          <t xml:space="preserve">Surplus Lines</t>
        </is>
      </c>
      <c r="AB222" s="50">
        <v>20608.43</v>
      </c>
      <c r="AC222" s="51">
        <v>0</v>
      </c>
      <c r="AD222" s="38">
        <f>IF(ISNUMBER($AB222),$AB222*(1+N($AC222)),"")</f>
      </c>
      <c r="AE222" s="50">
        <v>350</v>
      </c>
      <c r="AF222" s="50">
        <v>250</v>
      </c>
      <c r="AG222" s="51"/>
      <c r="AH222" s="39">
        <f>IF(ISNUMBER($AD222),($AD222+$AE222+$AF222)*$AG222,"")</f>
      </c>
      <c r="AI222" s="50"/>
      <c r="AJ222" s="38">
        <f>IF(ISNUMBER($AD222),SUM($AD222:$AH222),"")</f>
      </c>
      <c r="AK222" s="40">
        <f>IF(AND(ISNUMBER($AB222),ISNUMBER($AD222)),IF($AB222&gt;0,$AD222/$AB222,""),"")</f>
      </c>
      <c r="AL222" s="48" t="inlineStr">
        <is>
          <t xml:space="preserve">At technical</t>
        </is>
      </c>
      <c r="AM222" s="41">
        <f>IF(ISNUMBER($AD222),Header!$I$3,"")</f>
      </c>
      <c r="AN222" s="39">
        <f>IF(ISNUMBER($AD222),$AO222+$AP222,"")</f>
      </c>
      <c r="AO222" s="39">
        <f>IF(ISNUMBER($AD222),ROUND($AD222*Header!$K$3,2),"")</f>
      </c>
      <c r="AP222" s="39">
        <f>IF(ISNUMBER($AD222),ROUND($AD222*Header!$M$3,2),"")</f>
      </c>
      <c r="AQ222" s="38">
        <f>IF(ISNUMBER($AD222),ROUND($AD222,2)-$AO222-$AP222,"")</f>
      </c>
      <c r="AR222" s="39">
        <f>IF(ISNUMBER($AD222),IF(Header!$D$34="","?",$AD222*Header!$D$34),"")</f>
      </c>
      <c r="AS222" s="39">
        <f>IF(ISNUMBER($AB222),IF(Header!$D$34="","?",$AB222*Header!$D$34),"")</f>
      </c>
      <c r="AT222" s="42">
        <f>IF(AND(ISNUMBER($AB222),$M222&gt;0),$AB222/$M222*100,"")</f>
      </c>
      <c r="AU222" s="42">
        <f>IF(AND(ISNUMBER($AD222),$M222&gt;0),$AD222/$M222*100,"")</f>
      </c>
      <c r="AV222" s="40">
        <f>IF(AND(ISNUMBER($AB222),ISNUMBER($AD222),ABS($AB222)&gt;0),$AD222/$AB222,"")</f>
      </c>
      <c r="AW222" s="39">
        <f>IF(ISNUMBER($AD222),MAX(0,(1-0.55-Header!$O$3)*Header!$Q$3*$AQ222),"")</f>
      </c>
      <c r="AX222" s="43">
        <f>IF($A222="","",IF(TRIM(IF($A222="","Missing certificate ref. ","") &amp; IF($C222="","Missing effective date. ","") &amp; IF($D222="","Missing binding status. ","") &amp; IF($E222="","Missing movement type. ","") &amp; IF($I222="","Missing make. ","") &amp; IF($L222="","Missing vehicle class. ","") &amp; IF($M222="","Missing agreed value. ","") &amp; IF($N222="","Missing policy type. ","") &amp; IF($Q222="","Missing garaging state. ","") &amp; IF($R222="","Missing garaging ZIP. ","") &amp; IF($S222="","Missing cat zone. ","") &amp; IF($V222="","Missing valuation basis. ","") &amp; IF($W222="","Missing PD deductible. ","") &amp; IF($X222="","Missing liability limit. ","") &amp; IF($AB222="","Missing technical premium. ","") &amp; IF($AF222="","Missing surplus lines tax %. ",""))="","PASS","FAIL: "&amp;TRIM(IF($A222="","Missing certificate ref. ","") &amp; IF($C222="","Missing effective date. ","") &amp; IF($D222="","Missing binding status. ","") &amp; IF($E222="","Missing movement type. ","") &amp; IF($I222="","Missing make. ","") &amp; IF($L222="","Missing vehicle class. ","") &amp; IF($M222="","Missing agreed value. ","") &amp; IF($N222="","Missing policy type. ","") &amp; IF($Q222="","Missing garaging state. ","") &amp; IF($R222="","Missing garaging ZIP. ","") &amp; IF($S222="","Missing cat zone. ","") &amp; IF($V222="","Missing valuation basis. ","") &amp; IF($W222="","Missing PD deductible. ","") &amp; IF($X222="","Missing liability limit. ","") &amp; IF($AB222="","Missing technical premium. ","") &amp; IF($AF222="","Missing surplus lines tax %. ",""))))</f>
      </c>
      <c r="AY222" s="44">
        <f>IF($M222="","",IF(ISNUMBER($M222),IF($M222&gt;=Header!$C$18,"YES — refer","No"),""))</f>
      </c>
      <c r="AZ222" s="44">
        <f>IF($AD222="","",IF(ISNUMBER($AD222),IF($AD222&lt;Header!$C$20,"BELOW MIN PREMIUM","OK"),""))</f>
      </c>
      <c r="BA222" s="48" t="inlineStr">
        <is>
          <t xml:space="preserve">Yes</t>
        </is>
      </c>
      <c r="BB222" s="48" t="inlineStr">
        <is>
          <t xml:space="preserve">Yes</t>
        </is>
      </c>
      <c r="BC222" s="46" t="inlineStr">
        <is>
          <t xml:space="preserve">Synthetic demo data</t>
        </is>
      </c>
      <c r="BE222" s="45">
        <f>IF(OR($A222="",$L222="",$H222=""),"",IF(AND(LEFT($L222,2)="06",$H222&gt;1945),"FAIL - pre-war class, year "&amp;$H222,IF(AND(LEFT($L222,2)="07",OR($H222&lt;1946,$H222&gt;1972)),"FAIL - 1946-72 class, year "&amp;$H222,IF(AND(LEFT($L222,2)="08",OR($H222&lt;1973,$H222&gt;1999)),"FAIL - 1973-99 class, year "&amp;$H222,IF(AND(LEFT($L222,2)="09",OR($H222&lt;2000,$H222&gt;2010)),"FAIL - 2000-10 class, year "&amp;$H222,"OK")))))</f>
      </c>
      <c r="BF222" s="45">
        <f>IF($AD222="","",IF(ROUND($AO222+$AP222+$AQ222-$AD222,2)=0,"OK","FAIL - out by "&amp;TEXT($AO222+$AP222+$AQ222-$AD222,"$0.00")))</f>
      </c>
    </row>
    <row r="223" spans="1:58" ht="18.75" customHeight="1" x14ac:dyDescent="0.25">
      <c r="A223" s="30" t="inlineStr">
        <is>
          <t xml:space="preserve">CANON-202511-002469</t>
        </is>
      </c>
      <c r="B223" s="30" t="inlineStr">
        <is>
          <t xml:space="preserve">Ramona Montoya</t>
        </is>
      </c>
      <c r="C223" s="31">
        <v>45972</v>
      </c>
      <c r="D223" s="32" t="inlineStr">
        <is>
          <t xml:space="preserve">Bound - within authority</t>
        </is>
      </c>
      <c r="E223" s="32" t="inlineStr">
        <is>
          <t xml:space="preserve">New business</t>
        </is>
      </c>
      <c r="F223" s="30" t="inlineStr">
        <is>
          <t xml:space="preserve">B1234EXOTIC26</t>
        </is>
      </c>
      <c r="G223" s="33">
        <f>IF($A223="","",IF($C223="","",YEAR($C223)))</f>
      </c>
      <c r="H223" s="34">
        <v>1989</v>
      </c>
      <c r="I223" s="30" t="inlineStr">
        <is>
          <t xml:space="preserve">Mercedes-Benz</t>
        </is>
      </c>
      <c r="J223" s="30" t="inlineStr">
        <is>
          <t xml:space="preserve">AMG GT</t>
        </is>
      </c>
      <c r="K223" s="30" t="inlineStr">
        <is>
          <t xml:space="preserve">SAYCYPVV4ZJUGPUBX</t>
        </is>
      </c>
      <c r="L223" s="32" t="inlineStr">
        <is>
          <t xml:space="preserve">02 - Sports / GT</t>
        </is>
      </c>
      <c r="M223" s="35">
        <v>900000</v>
      </c>
      <c r="N223" s="32" t="inlineStr">
        <is>
          <t xml:space="preserve">Personal</t>
        </is>
      </c>
      <c r="O223" s="30" t="inlineStr">
        <is>
          <t xml:space="preserve">Personal - regular use</t>
        </is>
      </c>
      <c r="P223" s="30" t="inlineStr">
        <is>
          <t xml:space="preserve">Under 1,000</t>
        </is>
      </c>
      <c r="Q223" s="30" t="inlineStr">
        <is>
          <t xml:space="preserve">Oklahoma</t>
        </is>
      </c>
      <c r="R223" s="30" t="inlineStr">
        <is>
          <t xml:space="preserve">73102</t>
        </is>
      </c>
      <c r="S223" s="32" t="inlineStr">
        <is>
          <t xml:space="preserve">Severe convective - hail alley (high)</t>
        </is>
      </c>
      <c r="T223" s="36">
        <f>IF($A223="","",IF($S223="","",IFERROR(INDEX('[1]natural catastrophe'!$D$6:$D$17,MATCH($S223,'[1]natural catastrophe'!$B$6:$B$17,0)),"?")))</f>
      </c>
      <c r="U223" s="30" t="inlineStr">
        <is>
          <t xml:space="preserve">$5,000</t>
        </is>
      </c>
      <c r="V223" s="32" t="inlineStr">
        <is>
          <t xml:space="preserve">Agreed Value</t>
        </is>
      </c>
      <c r="W223" s="30" t="inlineStr">
        <is>
          <t xml:space="preserve">$1,000</t>
        </is>
      </c>
      <c r="X223" s="32" t="inlineStr">
        <is>
          <t xml:space="preserve">$1,000,000 CSL</t>
        </is>
      </c>
      <c r="Y223" s="30"/>
      <c r="Z223" s="30"/>
      <c r="AA223" s="32" t="inlineStr">
        <is>
          <t xml:space="preserve">Surplus Lines</t>
        </is>
      </c>
      <c r="AB223" s="35">
        <v>12786.6</v>
      </c>
      <c r="AC223" s="37">
        <v>0</v>
      </c>
      <c r="AD223" s="38">
        <f>IF(ISNUMBER($AB223),$AB223*(1+N($AC223)),"")</f>
      </c>
      <c r="AE223" s="35">
        <v>350</v>
      </c>
      <c r="AF223" s="35">
        <v>0</v>
      </c>
      <c r="AG223" s="37"/>
      <c r="AH223" s="39">
        <f>IF(ISNUMBER($AD223),($AD223+$AE223+$AF223)*$AG223,"")</f>
      </c>
      <c r="AI223" s="35"/>
      <c r="AJ223" s="38">
        <f>IF(ISNUMBER($AD223),SUM($AD223:$AH223),"")</f>
      </c>
      <c r="AK223" s="40">
        <f>IF(AND(ISNUMBER($AB223),ISNUMBER($AD223)),IF($AB223&gt;0,$AD223/$AB223,""),"")</f>
      </c>
      <c r="AL223" s="32" t="inlineStr">
        <is>
          <t xml:space="preserve">At technical</t>
        </is>
      </c>
      <c r="AM223" s="41">
        <f>IF(ISNUMBER($AD223),Header!$I$3,"")</f>
      </c>
      <c r="AN223" s="39">
        <f>IF(ISNUMBER($AD223),$AO223+$AP223,"")</f>
      </c>
      <c r="AO223" s="39">
        <f>IF(ISNUMBER($AD223),ROUND($AD223*Header!$K$3,2),"")</f>
      </c>
      <c r="AP223" s="39">
        <f>IF(ISNUMBER($AD223),ROUND($AD223*Header!$M$3,2),"")</f>
      </c>
      <c r="AQ223" s="38">
        <f>IF(ISNUMBER($AD223),ROUND($AD223,2)-$AO223-$AP223,"")</f>
      </c>
      <c r="AR223" s="39">
        <f>IF(ISNUMBER($AD223),IF(Header!$D$34="","?",$AD223*Header!$D$34),"")</f>
      </c>
      <c r="AS223" s="39">
        <f>IF(ISNUMBER($AB223),IF(Header!$D$34="","?",$AB223*Header!$D$34),"")</f>
      </c>
      <c r="AT223" s="42">
        <f>IF(AND(ISNUMBER($AB223),$M223&gt;0),$AB223/$M223*100,"")</f>
      </c>
      <c r="AU223" s="42">
        <f>IF(AND(ISNUMBER($AD223),$M223&gt;0),$AD223/$M223*100,"")</f>
      </c>
      <c r="AV223" s="40">
        <f>IF(AND(ISNUMBER($AB223),ISNUMBER($AD223),ABS($AB223)&gt;0),$AD223/$AB223,"")</f>
      </c>
      <c r="AW223" s="39">
        <f>IF(ISNUMBER($AD223),MAX(0,(1-0.55-Header!$O$3)*Header!$Q$3*$AQ223),"")</f>
      </c>
      <c r="AX223" s="43">
        <f>IF($A223="","",IF(TRIM(IF($A223="","Missing certificate ref. ","") &amp; IF($C223="","Missing effective date. ","") &amp; IF($D223="","Missing binding status. ","") &amp; IF($E223="","Missing movement type. ","") &amp; IF($I223="","Missing make. ","") &amp; IF($L223="","Missing vehicle class. ","") &amp; IF($M223="","Missing agreed value. ","") &amp; IF($N223="","Missing policy type. ","") &amp; IF($Q223="","Missing garaging state. ","") &amp; IF($R223="","Missing garaging ZIP. ","") &amp; IF($S223="","Missing cat zone. ","") &amp; IF($V223="","Missing valuation basis. ","") &amp; IF($W223="","Missing PD deductible. ","") &amp; IF($X223="","Missing liability limit. ","") &amp; IF($AB223="","Missing technical premium. ","") &amp; IF($AF223="","Missing surplus lines tax %. ",""))="","PASS","FAIL: "&amp;TRIM(IF($A223="","Missing certificate ref. ","") &amp; IF($C223="","Missing effective date. ","") &amp; IF($D223="","Missing binding status. ","") &amp; IF($E223="","Missing movement type. ","") &amp; IF($I223="","Missing make. ","") &amp; IF($L223="","Missing vehicle class. ","") &amp; IF($M223="","Missing agreed value. ","") &amp; IF($N223="","Missing policy type. ","") &amp; IF($Q223="","Missing garaging state. ","") &amp; IF($R223="","Missing garaging ZIP. ","") &amp; IF($S223="","Missing cat zone. ","") &amp; IF($V223="","Missing valuation basis. ","") &amp; IF($W223="","Missing PD deductible. ","") &amp; IF($X223="","Missing liability limit. ","") &amp; IF($AB223="","Missing technical premium. ","") &amp; IF($AF223="","Missing surplus lines tax %. ",""))))</f>
      </c>
      <c r="AY223" s="44">
        <f>IF($M223="","",IF(ISNUMBER($M223),IF($M223&gt;=Header!$C$18,"YES — refer","No"),""))</f>
      </c>
      <c r="AZ223" s="44">
        <f>IF($AD223="","",IF(ISNUMBER($AD223),IF($AD223&lt;Header!$C$20,"BELOW MIN PREMIUM","OK"),""))</f>
      </c>
      <c r="BA223" s="32" t="inlineStr">
        <is>
          <t xml:space="preserve">Yes</t>
        </is>
      </c>
      <c r="BB223" s="32" t="inlineStr">
        <is>
          <t xml:space="preserve">Yes</t>
        </is>
      </c>
      <c r="BC223" s="30" t="inlineStr">
        <is>
          <t xml:space="preserve">Synthetic demo data</t>
        </is>
      </c>
      <c r="BE223" s="45">
        <f>IF(OR($A223="",$L223="",$H223=""),"",IF(AND(LEFT($L223,2)="06",$H223&gt;1945),"FAIL - pre-war class, year "&amp;$H223,IF(AND(LEFT($L223,2)="07",OR($H223&lt;1946,$H223&gt;1972)),"FAIL - 1946-72 class, year "&amp;$H223,IF(AND(LEFT($L223,2)="08",OR($H223&lt;1973,$H223&gt;1999)),"FAIL - 1973-99 class, year "&amp;$H223,IF(AND(LEFT($L223,2)="09",OR($H223&lt;2000,$H223&gt;2010)),"FAIL - 2000-10 class, year "&amp;$H223,"OK")))))</f>
      </c>
      <c r="BF223" s="45">
        <f>IF($AD223="","",IF(ROUND($AO223+$AP223+$AQ223-$AD223,2)=0,"OK","FAIL - out by "&amp;TEXT($AO223+$AP223+$AQ223-$AD223,"$0.00")))</f>
      </c>
    </row>
    <row r="224" spans="1:58" ht="18.75" customHeight="1" x14ac:dyDescent="0.25">
      <c r="A224" s="46" t="inlineStr">
        <is>
          <t xml:space="preserve">CANON-202511-002470</t>
        </is>
      </c>
      <c r="B224" s="46" t="inlineStr">
        <is>
          <t xml:space="preserve">Wilhelmina Harrington</t>
        </is>
      </c>
      <c r="C224" s="47">
        <v>45981</v>
      </c>
      <c r="D224" s="48" t="inlineStr">
        <is>
          <t xml:space="preserve">Bound - within authority</t>
        </is>
      </c>
      <c r="E224" s="48" t="inlineStr">
        <is>
          <t xml:space="preserve">New business</t>
        </is>
      </c>
      <c r="F224" s="46" t="inlineStr">
        <is>
          <t xml:space="preserve">B1234EXOTIC26</t>
        </is>
      </c>
      <c r="G224" s="33">
        <f>IF($A224="","",IF($C224="","",YEAR($C224)))</f>
      </c>
      <c r="H224" s="49">
        <v>1998</v>
      </c>
      <c r="I224" s="46" t="inlineStr">
        <is>
          <t xml:space="preserve">Maserati</t>
        </is>
      </c>
      <c r="J224" s="46" t="inlineStr">
        <is>
          <t xml:space="preserve">GranTurismo</t>
        </is>
      </c>
      <c r="K224" s="46" t="inlineStr">
        <is>
          <t xml:space="preserve">Y58ZGZ43CVCUZXHA2</t>
        </is>
      </c>
      <c r="L224" s="48" t="inlineStr">
        <is>
          <t xml:space="preserve">02 - Sports / GT</t>
        </is>
      </c>
      <c r="M224" s="50">
        <v>260000</v>
      </c>
      <c r="N224" s="48" t="inlineStr">
        <is>
          <t xml:space="preserve">Personal</t>
        </is>
      </c>
      <c r="O224" s="46" t="inlineStr">
        <is>
          <t xml:space="preserve">Personal - regular use</t>
        </is>
      </c>
      <c r="P224" s="46" t="inlineStr">
        <is>
          <t xml:space="preserve">Under 1,000</t>
        </is>
      </c>
      <c r="Q224" s="46" t="inlineStr">
        <is>
          <t xml:space="preserve">Wyoming</t>
        </is>
      </c>
      <c r="R224" s="46" t="inlineStr">
        <is>
          <t xml:space="preserve">82001</t>
        </is>
      </c>
      <c r="S224" s="48" t="inlineStr">
        <is>
          <t xml:space="preserve">Severe convective - hail alley (high)</t>
        </is>
      </c>
      <c r="T224" s="36">
        <f>IF($A224="","",IF($S224="","",IFERROR(INDEX('[1]natural catastrophe'!$D$6:$D$17,MATCH($S224,'[1]natural catastrophe'!$B$6:$B$17,0)),"?")))</f>
      </c>
      <c r="U224" s="46" t="inlineStr">
        <is>
          <t xml:space="preserve">$5,000</t>
        </is>
      </c>
      <c r="V224" s="48" t="inlineStr">
        <is>
          <t xml:space="preserve">Agreed Value</t>
        </is>
      </c>
      <c r="W224" s="46" t="inlineStr">
        <is>
          <t xml:space="preserve">$1,000</t>
        </is>
      </c>
      <c r="X224" s="48" t="inlineStr">
        <is>
          <t xml:space="preserve">$1,000,000 CSL</t>
        </is>
      </c>
      <c r="Y224" s="46"/>
      <c r="Z224" s="46"/>
      <c r="AA224" s="48" t="inlineStr">
        <is>
          <t xml:space="preserve">Surplus Lines</t>
        </is>
      </c>
      <c r="AB224" s="50">
        <v>3619.48</v>
      </c>
      <c r="AC224" s="51">
        <v>0</v>
      </c>
      <c r="AD224" s="38">
        <f>IF(ISNUMBER($AB224),$AB224*(1+N($AC224)),"")</f>
      </c>
      <c r="AE224" s="50">
        <v>350</v>
      </c>
      <c r="AF224" s="50">
        <v>0</v>
      </c>
      <c r="AG224" s="51"/>
      <c r="AH224" s="39">
        <f>IF(ISNUMBER($AD224),($AD224+$AE224+$AF224)*$AG224,"")</f>
      </c>
      <c r="AI224" s="50"/>
      <c r="AJ224" s="38">
        <f>IF(ISNUMBER($AD224),SUM($AD224:$AH224),"")</f>
      </c>
      <c r="AK224" s="40">
        <f>IF(AND(ISNUMBER($AB224),ISNUMBER($AD224)),IF($AB224&gt;0,$AD224/$AB224,""),"")</f>
      </c>
      <c r="AL224" s="48" t="inlineStr">
        <is>
          <t xml:space="preserve">At technical</t>
        </is>
      </c>
      <c r="AM224" s="41">
        <f>IF(ISNUMBER($AD224),Header!$I$3,"")</f>
      </c>
      <c r="AN224" s="39">
        <f>IF(ISNUMBER($AD224),$AO224+$AP224,"")</f>
      </c>
      <c r="AO224" s="39">
        <f>IF(ISNUMBER($AD224),ROUND($AD224*Header!$K$3,2),"")</f>
      </c>
      <c r="AP224" s="39">
        <f>IF(ISNUMBER($AD224),ROUND($AD224*Header!$M$3,2),"")</f>
      </c>
      <c r="AQ224" s="38">
        <f>IF(ISNUMBER($AD224),ROUND($AD224,2)-$AO224-$AP224,"")</f>
      </c>
      <c r="AR224" s="39">
        <f>IF(ISNUMBER($AD224),IF(Header!$D$34="","?",$AD224*Header!$D$34),"")</f>
      </c>
      <c r="AS224" s="39">
        <f>IF(ISNUMBER($AB224),IF(Header!$D$34="","?",$AB224*Header!$D$34),"")</f>
      </c>
      <c r="AT224" s="42">
        <f>IF(AND(ISNUMBER($AB224),$M224&gt;0),$AB224/$M224*100,"")</f>
      </c>
      <c r="AU224" s="42">
        <f>IF(AND(ISNUMBER($AD224),$M224&gt;0),$AD224/$M224*100,"")</f>
      </c>
      <c r="AV224" s="40">
        <f>IF(AND(ISNUMBER($AB224),ISNUMBER($AD224),ABS($AB224)&gt;0),$AD224/$AB224,"")</f>
      </c>
      <c r="AW224" s="39">
        <f>IF(ISNUMBER($AD224),MAX(0,(1-0.55-Header!$O$3)*Header!$Q$3*$AQ224),"")</f>
      </c>
      <c r="AX224" s="43">
        <f>IF($A224="","",IF(TRIM(IF($A224="","Missing certificate ref. ","") &amp; IF($C224="","Missing effective date. ","") &amp; IF($D224="","Missing binding status. ","") &amp; IF($E224="","Missing movement type. ","") &amp; IF($I224="","Missing make. ","") &amp; IF($L224="","Missing vehicle class. ","") &amp; IF($M224="","Missing agreed value. ","") &amp; IF($N224="","Missing policy type. ","") &amp; IF($Q224="","Missing garaging state. ","") &amp; IF($R224="","Missing garaging ZIP. ","") &amp; IF($S224="","Missing cat zone. ","") &amp; IF($V224="","Missing valuation basis. ","") &amp; IF($W224="","Missing PD deductible. ","") &amp; IF($X224="","Missing liability limit. ","") &amp; IF($AB224="","Missing technical premium. ","") &amp; IF($AF224="","Missing surplus lines tax %. ",""))="","PASS","FAIL: "&amp;TRIM(IF($A224="","Missing certificate ref. ","") &amp; IF($C224="","Missing effective date. ","") &amp; IF($D224="","Missing binding status. ","") &amp; IF($E224="","Missing movement type. ","") &amp; IF($I224="","Missing make. ","") &amp; IF($L224="","Missing vehicle class. ","") &amp; IF($M224="","Missing agreed value. ","") &amp; IF($N224="","Missing policy type. ","") &amp; IF($Q224="","Missing garaging state. ","") &amp; IF($R224="","Missing garaging ZIP. ","") &amp; IF($S224="","Missing cat zone. ","") &amp; IF($V224="","Missing valuation basis. ","") &amp; IF($W224="","Missing PD deductible. ","") &amp; IF($X224="","Missing liability limit. ","") &amp; IF($AB224="","Missing technical premium. ","") &amp; IF($AF224="","Missing surplus lines tax %. ",""))))</f>
      </c>
      <c r="AY224" s="44">
        <f>IF($M224="","",IF(ISNUMBER($M224),IF($M224&gt;=Header!$C$18,"YES — refer","No"),""))</f>
      </c>
      <c r="AZ224" s="44">
        <f>IF($AD224="","",IF(ISNUMBER($AD224),IF($AD224&lt;Header!$C$20,"BELOW MIN PREMIUM","OK"),""))</f>
      </c>
      <c r="BA224" s="48" t="inlineStr">
        <is>
          <t xml:space="preserve">Yes</t>
        </is>
      </c>
      <c r="BB224" s="48" t="inlineStr">
        <is>
          <t xml:space="preserve">Yes</t>
        </is>
      </c>
      <c r="BC224" s="46" t="inlineStr">
        <is>
          <t xml:space="preserve">Synthetic demo data</t>
        </is>
      </c>
      <c r="BE224" s="45">
        <f>IF(OR($A224="",$L224="",$H224=""),"",IF(AND(LEFT($L224,2)="06",$H224&gt;1945),"FAIL - pre-war class, year "&amp;$H224,IF(AND(LEFT($L224,2)="07",OR($H224&lt;1946,$H224&gt;1972)),"FAIL - 1946-72 class, year "&amp;$H224,IF(AND(LEFT($L224,2)="08",OR($H224&lt;1973,$H224&gt;1999)),"FAIL - 1973-99 class, year "&amp;$H224,IF(AND(LEFT($L224,2)="09",OR($H224&lt;2000,$H224&gt;2010)),"FAIL - 2000-10 class, year "&amp;$H224,"OK")))))</f>
      </c>
      <c r="BF224" s="45">
        <f>IF($AD224="","",IF(ROUND($AO224+$AP224+$AQ224-$AD224,2)=0,"OK","FAIL - out by "&amp;TEXT($AO224+$AP224+$AQ224-$AD224,"$0.00")))</f>
      </c>
    </row>
    <row r="225" spans="1:58" ht="18.75" customHeight="1" x14ac:dyDescent="0.25">
      <c r="A225" s="30" t="inlineStr">
        <is>
          <t xml:space="preserve">CANON-202511-002471</t>
        </is>
      </c>
      <c r="B225" s="30" t="inlineStr">
        <is>
          <t xml:space="preserve">Lorenzo Merriweather</t>
        </is>
      </c>
      <c r="C225" s="31">
        <v>45987</v>
      </c>
      <c r="D225" s="32" t="inlineStr">
        <is>
          <t xml:space="preserve">Bound - within authority</t>
        </is>
      </c>
      <c r="E225" s="32" t="inlineStr">
        <is>
          <t xml:space="preserve">New business</t>
        </is>
      </c>
      <c r="F225" s="30" t="inlineStr">
        <is>
          <t xml:space="preserve">B1234EXOTIC26</t>
        </is>
      </c>
      <c r="G225" s="33">
        <f>IF($A225="","",IF($C225="","",YEAR($C225)))</f>
      </c>
      <c r="H225" s="34">
        <v>2013</v>
      </c>
      <c r="I225" s="30" t="inlineStr">
        <is>
          <t xml:space="preserve">Ferrari</t>
        </is>
      </c>
      <c r="J225" s="30" t="inlineStr">
        <is>
          <t xml:space="preserve">296 GTB</t>
        </is>
      </c>
      <c r="K225" s="30" t="inlineStr">
        <is>
          <t xml:space="preserve">AX8MYGN6TBJL318ZV</t>
        </is>
      </c>
      <c r="L225" s="32" t="inlineStr">
        <is>
          <t xml:space="preserve">03 - Supercar</t>
        </is>
      </c>
      <c r="M225" s="35">
        <v>1950000</v>
      </c>
      <c r="N225" s="32" t="inlineStr">
        <is>
          <t xml:space="preserve">Personal</t>
        </is>
      </c>
      <c r="O225" s="30" t="inlineStr">
        <is>
          <t xml:space="preserve">Personal - regular use</t>
        </is>
      </c>
      <c r="P225" s="30" t="inlineStr">
        <is>
          <t xml:space="preserve">2,500 - 5,000</t>
        </is>
      </c>
      <c r="Q225" s="30" t="inlineStr">
        <is>
          <t xml:space="preserve">Kansas</t>
        </is>
      </c>
      <c r="R225" s="30" t="inlineStr">
        <is>
          <t xml:space="preserve">66603</t>
        </is>
      </c>
      <c r="S225" s="32" t="inlineStr">
        <is>
          <t xml:space="preserve">Severe convective - hail alley (high)</t>
        </is>
      </c>
      <c r="T225" s="36">
        <f>IF($A225="","",IF($S225="","",IFERROR(INDEX('[1]natural catastrophe'!$D$6:$D$17,MATCH($S225,'[1]natural catastrophe'!$B$6:$B$17,0)),"?")))</f>
      </c>
      <c r="U225" s="30" t="inlineStr">
        <is>
          <t xml:space="preserve">$5,000</t>
        </is>
      </c>
      <c r="V225" s="32" t="inlineStr">
        <is>
          <t xml:space="preserve">Agreed Value</t>
        </is>
      </c>
      <c r="W225" s="30" t="inlineStr">
        <is>
          <t xml:space="preserve">$1,000</t>
        </is>
      </c>
      <c r="X225" s="32" t="inlineStr">
        <is>
          <t xml:space="preserve">$1,000,000 CSL</t>
        </is>
      </c>
      <c r="Y225" s="30"/>
      <c r="Z225" s="30"/>
      <c r="AA225" s="32" t="inlineStr">
        <is>
          <t xml:space="preserve">Surplus Lines</t>
        </is>
      </c>
      <c r="AB225" s="35">
        <v>26249.73</v>
      </c>
      <c r="AC225" s="37">
        <v>0</v>
      </c>
      <c r="AD225" s="38">
        <f>IF(ISNUMBER($AB225),$AB225*(1+N($AC225)),"")</f>
      </c>
      <c r="AE225" s="35">
        <v>350</v>
      </c>
      <c r="AF225" s="35">
        <v>250</v>
      </c>
      <c r="AG225" s="37"/>
      <c r="AH225" s="39">
        <f>IF(ISNUMBER($AD225),($AD225+$AE225+$AF225)*$AG225,"")</f>
      </c>
      <c r="AI225" s="35"/>
      <c r="AJ225" s="38">
        <f>IF(ISNUMBER($AD225),SUM($AD225:$AH225),"")</f>
      </c>
      <c r="AK225" s="40">
        <f>IF(AND(ISNUMBER($AB225),ISNUMBER($AD225)),IF($AB225&gt;0,$AD225/$AB225,""),"")</f>
      </c>
      <c r="AL225" s="32" t="inlineStr">
        <is>
          <t xml:space="preserve">At technical</t>
        </is>
      </c>
      <c r="AM225" s="41">
        <f>IF(ISNUMBER($AD225),Header!$I$3,"")</f>
      </c>
      <c r="AN225" s="39">
        <f>IF(ISNUMBER($AD225),$AO225+$AP225,"")</f>
      </c>
      <c r="AO225" s="39">
        <f>IF(ISNUMBER($AD225),ROUND($AD225*Header!$K$3,2),"")</f>
      </c>
      <c r="AP225" s="39">
        <f>IF(ISNUMBER($AD225),ROUND($AD225*Header!$M$3,2),"")</f>
      </c>
      <c r="AQ225" s="38">
        <f>IF(ISNUMBER($AD225),ROUND($AD225,2)-$AO225-$AP225,"")</f>
      </c>
      <c r="AR225" s="39">
        <f>IF(ISNUMBER($AD225),IF(Header!$D$34="","?",$AD225*Header!$D$34),"")</f>
      </c>
      <c r="AS225" s="39">
        <f>IF(ISNUMBER($AB225),IF(Header!$D$34="","?",$AB225*Header!$D$34),"")</f>
      </c>
      <c r="AT225" s="42">
        <f>IF(AND(ISNUMBER($AB225),$M225&gt;0),$AB225/$M225*100,"")</f>
      </c>
      <c r="AU225" s="42">
        <f>IF(AND(ISNUMBER($AD225),$M225&gt;0),$AD225/$M225*100,"")</f>
      </c>
      <c r="AV225" s="40">
        <f>IF(AND(ISNUMBER($AB225),ISNUMBER($AD225),ABS($AB225)&gt;0),$AD225/$AB225,"")</f>
      </c>
      <c r="AW225" s="39">
        <f>IF(ISNUMBER($AD225),MAX(0,(1-0.55-Header!$O$3)*Header!$Q$3*$AQ225),"")</f>
      </c>
      <c r="AX225" s="43">
        <f>IF($A225="","",IF(TRIM(IF($A225="","Missing certificate ref. ","") &amp; IF($C225="","Missing effective date. ","") &amp; IF($D225="","Missing binding status. ","") &amp; IF($E225="","Missing movement type. ","") &amp; IF($I225="","Missing make. ","") &amp; IF($L225="","Missing vehicle class. ","") &amp; IF($M225="","Missing agreed value. ","") &amp; IF($N225="","Missing policy type. ","") &amp; IF($Q225="","Missing garaging state. ","") &amp; IF($R225="","Missing garaging ZIP. ","") &amp; IF($S225="","Missing cat zone. ","") &amp; IF($V225="","Missing valuation basis. ","") &amp; IF($W225="","Missing PD deductible. ","") &amp; IF($X225="","Missing liability limit. ","") &amp; IF($AB225="","Missing technical premium. ","") &amp; IF($AF225="","Missing surplus lines tax %. ",""))="","PASS","FAIL: "&amp;TRIM(IF($A225="","Missing certificate ref. ","") &amp; IF($C225="","Missing effective date. ","") &amp; IF($D225="","Missing binding status. ","") &amp; IF($E225="","Missing movement type. ","") &amp; IF($I225="","Missing make. ","") &amp; IF($L225="","Missing vehicle class. ","") &amp; IF($M225="","Missing agreed value. ","") &amp; IF($N225="","Missing policy type. ","") &amp; IF($Q225="","Missing garaging state. ","") &amp; IF($R225="","Missing garaging ZIP. ","") &amp; IF($S225="","Missing cat zone. ","") &amp; IF($V225="","Missing valuation basis. ","") &amp; IF($W225="","Missing PD deductible. ","") &amp; IF($X225="","Missing liability limit. ","") &amp; IF($AB225="","Missing technical premium. ","") &amp; IF($AF225="","Missing surplus lines tax %. ",""))))</f>
      </c>
      <c r="AY225" s="44">
        <f>IF($M225="","",IF(ISNUMBER($M225),IF($M225&gt;=Header!$C$18,"YES — refer","No"),""))</f>
      </c>
      <c r="AZ225" s="44">
        <f>IF($AD225="","",IF(ISNUMBER($AD225),IF($AD225&lt;Header!$C$20,"BELOW MIN PREMIUM","OK"),""))</f>
      </c>
      <c r="BA225" s="32" t="inlineStr">
        <is>
          <t xml:space="preserve">Yes</t>
        </is>
      </c>
      <c r="BB225" s="32" t="inlineStr">
        <is>
          <t xml:space="preserve">Yes</t>
        </is>
      </c>
      <c r="BC225" s="30" t="inlineStr">
        <is>
          <t xml:space="preserve">Synthetic demo data</t>
        </is>
      </c>
      <c r="BE225" s="45">
        <f>IF(OR($A225="",$L225="",$H225=""),"",IF(AND(LEFT($L225,2)="06",$H225&gt;1945),"FAIL - pre-war class, year "&amp;$H225,IF(AND(LEFT($L225,2)="07",OR($H225&lt;1946,$H225&gt;1972)),"FAIL - 1946-72 class, year "&amp;$H225,IF(AND(LEFT($L225,2)="08",OR($H225&lt;1973,$H225&gt;1999)),"FAIL - 1973-99 class, year "&amp;$H225,IF(AND(LEFT($L225,2)="09",OR($H225&lt;2000,$H225&gt;2010)),"FAIL - 2000-10 class, year "&amp;$H225,"OK")))))</f>
      </c>
      <c r="BF225" s="45">
        <f>IF($AD225="","",IF(ROUND($AO225+$AP225+$AQ225-$AD225,2)=0,"OK","FAIL - out by "&amp;TEXT($AO225+$AP225+$AQ225-$AD225,"$0.00")))</f>
      </c>
    </row>
    <row r="226" spans="1:58" ht="18.75" customHeight="1" x14ac:dyDescent="0.25">
      <c r="A226" s="46" t="inlineStr">
        <is>
          <t xml:space="preserve">CANON-202511-002473</t>
        </is>
      </c>
      <c r="B226" s="46" t="inlineStr">
        <is>
          <t xml:space="preserve">Mireille Harrington</t>
        </is>
      </c>
      <c r="C226" s="47">
        <v>45963</v>
      </c>
      <c r="D226" s="48" t="inlineStr">
        <is>
          <t xml:space="preserve">Bound - within authority</t>
        </is>
      </c>
      <c r="E226" s="48" t="inlineStr">
        <is>
          <t xml:space="preserve">New business</t>
        </is>
      </c>
      <c r="F226" s="46" t="inlineStr">
        <is>
          <t xml:space="preserve">B1234EXOTIC26</t>
        </is>
      </c>
      <c r="G226" s="33">
        <f>IF($A226="","",IF($C226="","",YEAR($C226)))</f>
      </c>
      <c r="H226" s="49">
        <v>1999</v>
      </c>
      <c r="I226" s="46" t="inlineStr">
        <is>
          <t xml:space="preserve">Maserati</t>
        </is>
      </c>
      <c r="J226" s="46" t="inlineStr">
        <is>
          <t xml:space="preserve">GranTurismo</t>
        </is>
      </c>
      <c r="K226" s="46" t="inlineStr">
        <is>
          <t xml:space="preserve">A60ENZC74T42ZRTUF</t>
        </is>
      </c>
      <c r="L226" s="48" t="inlineStr">
        <is>
          <t xml:space="preserve">02 - Sports / GT</t>
        </is>
      </c>
      <c r="M226" s="50">
        <v>320000</v>
      </c>
      <c r="N226" s="48" t="inlineStr">
        <is>
          <t xml:space="preserve">Personal</t>
        </is>
      </c>
      <c r="O226" s="46" t="inlineStr">
        <is>
          <t xml:space="preserve">Personal - regular use</t>
        </is>
      </c>
      <c r="P226" s="46" t="inlineStr">
        <is>
          <t xml:space="preserve">Under 1,000</t>
        </is>
      </c>
      <c r="Q226" s="46" t="inlineStr">
        <is>
          <t xml:space="preserve">New York</t>
        </is>
      </c>
      <c r="R226" s="46" t="inlineStr">
        <is>
          <t xml:space="preserve">10022</t>
        </is>
      </c>
      <c r="S226" s="48" t="inlineStr">
        <is>
          <t xml:space="preserve">Tier 3 - Coastal wind (25-100 miles)</t>
        </is>
      </c>
      <c r="T226" s="36">
        <f>IF($A226="","",IF($S226="","",IFERROR(INDEX('[1]natural catastrophe'!$D$6:$D$17,MATCH($S226,'[1]natural catastrophe'!$B$6:$B$17,0)),"?")))</f>
      </c>
      <c r="U226" s="46" t="inlineStr">
        <is>
          <t xml:space="preserve">2% of agreed value, minimum $10,000</t>
        </is>
      </c>
      <c r="V226" s="48" t="inlineStr">
        <is>
          <t xml:space="preserve">Agreed Value</t>
        </is>
      </c>
      <c r="W226" s="46" t="inlineStr">
        <is>
          <t xml:space="preserve">$1,000</t>
        </is>
      </c>
      <c r="X226" s="48" t="inlineStr">
        <is>
          <t xml:space="preserve">$1,000,000 CSL</t>
        </is>
      </c>
      <c r="Y226" s="46"/>
      <c r="Z226" s="46"/>
      <c r="AA226" s="48" t="inlineStr">
        <is>
          <t xml:space="preserve">Surplus Lines</t>
        </is>
      </c>
      <c r="AB226" s="50">
        <v>5329.05</v>
      </c>
      <c r="AC226" s="51">
        <v>0</v>
      </c>
      <c r="AD226" s="38">
        <f>IF(ISNUMBER($AB226),$AB226*(1+N($AC226)),"")</f>
      </c>
      <c r="AE226" s="50">
        <v>350</v>
      </c>
      <c r="AF226" s="50">
        <v>0</v>
      </c>
      <c r="AG226" s="51"/>
      <c r="AH226" s="39">
        <f>IF(ISNUMBER($AD226),($AD226+$AE226+$AF226)*$AG226,"")</f>
      </c>
      <c r="AI226" s="50"/>
      <c r="AJ226" s="38">
        <f>IF(ISNUMBER($AD226),SUM($AD226:$AH226),"")</f>
      </c>
      <c r="AK226" s="40">
        <f>IF(AND(ISNUMBER($AB226),ISNUMBER($AD226)),IF($AB226&gt;0,$AD226/$AB226,""),"")</f>
      </c>
      <c r="AL226" s="48" t="inlineStr">
        <is>
          <t xml:space="preserve">At technical</t>
        </is>
      </c>
      <c r="AM226" s="41">
        <f>IF(ISNUMBER($AD226),Header!$I$3,"")</f>
      </c>
      <c r="AN226" s="39">
        <f>IF(ISNUMBER($AD226),$AO226+$AP226,"")</f>
      </c>
      <c r="AO226" s="39">
        <f>IF(ISNUMBER($AD226),ROUND($AD226*Header!$K$3,2),"")</f>
      </c>
      <c r="AP226" s="39">
        <f>IF(ISNUMBER($AD226),ROUND($AD226*Header!$M$3,2),"")</f>
      </c>
      <c r="AQ226" s="38">
        <f>IF(ISNUMBER($AD226),ROUND($AD226,2)-$AO226-$AP226,"")</f>
      </c>
      <c r="AR226" s="39">
        <f>IF(ISNUMBER($AD226),IF(Header!$D$34="","?",$AD226*Header!$D$34),"")</f>
      </c>
      <c r="AS226" s="39">
        <f>IF(ISNUMBER($AB226),IF(Header!$D$34="","?",$AB226*Header!$D$34),"")</f>
      </c>
      <c r="AT226" s="42">
        <f>IF(AND(ISNUMBER($AB226),$M226&gt;0),$AB226/$M226*100,"")</f>
      </c>
      <c r="AU226" s="42">
        <f>IF(AND(ISNUMBER($AD226),$M226&gt;0),$AD226/$M226*100,"")</f>
      </c>
      <c r="AV226" s="40">
        <f>IF(AND(ISNUMBER($AB226),ISNUMBER($AD226),ABS($AB226)&gt;0),$AD226/$AB226,"")</f>
      </c>
      <c r="AW226" s="39">
        <f>IF(ISNUMBER($AD226),MAX(0,(1-0.55-Header!$O$3)*Header!$Q$3*$AQ226),"")</f>
      </c>
      <c r="AX226" s="43">
        <f>IF($A226="","",IF(TRIM(IF($A226="","Missing certificate ref. ","") &amp; IF($C226="","Missing effective date. ","") &amp; IF($D226="","Missing binding status. ","") &amp; IF($E226="","Missing movement type. ","") &amp; IF($I226="","Missing make. ","") &amp; IF($L226="","Missing vehicle class. ","") &amp; IF($M226="","Missing agreed value. ","") &amp; IF($N226="","Missing policy type. ","") &amp; IF($Q226="","Missing garaging state. ","") &amp; IF($R226="","Missing garaging ZIP. ","") &amp; IF($S226="","Missing cat zone. ","") &amp; IF($V226="","Missing valuation basis. ","") &amp; IF($W226="","Missing PD deductible. ","") &amp; IF($X226="","Missing liability limit. ","") &amp; IF($AB226="","Missing technical premium. ","") &amp; IF($AF226="","Missing surplus lines tax %. ",""))="","PASS","FAIL: "&amp;TRIM(IF($A226="","Missing certificate ref. ","") &amp; IF($C226="","Missing effective date. ","") &amp; IF($D226="","Missing binding status. ","") &amp; IF($E226="","Missing movement type. ","") &amp; IF($I226="","Missing make. ","") &amp; IF($L226="","Missing vehicle class. ","") &amp; IF($M226="","Missing agreed value. ","") &amp; IF($N226="","Missing policy type. ","") &amp; IF($Q226="","Missing garaging state. ","") &amp; IF($R226="","Missing garaging ZIP. ","") &amp; IF($S226="","Missing cat zone. ","") &amp; IF($V226="","Missing valuation basis. ","") &amp; IF($W226="","Missing PD deductible. ","") &amp; IF($X226="","Missing liability limit. ","") &amp; IF($AB226="","Missing technical premium. ","") &amp; IF($AF226="","Missing surplus lines tax %. ",""))))</f>
      </c>
      <c r="AY226" s="44">
        <f>IF($M226="","",IF(ISNUMBER($M226),IF($M226&gt;=Header!$C$18,"YES — refer","No"),""))</f>
      </c>
      <c r="AZ226" s="44">
        <f>IF($AD226="","",IF(ISNUMBER($AD226),IF($AD226&lt;Header!$C$20,"BELOW MIN PREMIUM","OK"),""))</f>
      </c>
      <c r="BA226" s="48" t="inlineStr">
        <is>
          <t xml:space="preserve">Yes</t>
        </is>
      </c>
      <c r="BB226" s="48" t="inlineStr">
        <is>
          <t xml:space="preserve">Yes</t>
        </is>
      </c>
      <c r="BC226" s="46" t="inlineStr">
        <is>
          <t xml:space="preserve">Synthetic demo data</t>
        </is>
      </c>
      <c r="BE226" s="45">
        <f>IF(OR($A226="",$L226="",$H226=""),"",IF(AND(LEFT($L226,2)="06",$H226&gt;1945),"FAIL - pre-war class, year "&amp;$H226,IF(AND(LEFT($L226,2)="07",OR($H226&lt;1946,$H226&gt;1972)),"FAIL - 1946-72 class, year "&amp;$H226,IF(AND(LEFT($L226,2)="08",OR($H226&lt;1973,$H226&gt;1999)),"FAIL - 1973-99 class, year "&amp;$H226,IF(AND(LEFT($L226,2)="09",OR($H226&lt;2000,$H226&gt;2010)),"FAIL - 2000-10 class, year "&amp;$H226,"OK")))))</f>
      </c>
      <c r="BF226" s="45">
        <f>IF($AD226="","",IF(ROUND($AO226+$AP226+$AQ226-$AD226,2)=0,"OK","FAIL - out by "&amp;TEXT($AO226+$AP226+$AQ226-$AD226,"$0.00")))</f>
      </c>
    </row>
    <row r="227" spans="1:58" ht="18.75" customHeight="1" x14ac:dyDescent="0.25">
      <c r="A227" s="30" t="inlineStr">
        <is>
          <t xml:space="preserve">CANON-202511-002474</t>
        </is>
      </c>
      <c r="B227" s="30" t="inlineStr">
        <is>
          <t xml:space="preserve">Ottilie Nakashima</t>
        </is>
      </c>
      <c r="C227" s="31">
        <v>45966</v>
      </c>
      <c r="D227" s="32" t="inlineStr">
        <is>
          <t xml:space="preserve">Bound - within authority</t>
        </is>
      </c>
      <c r="E227" s="32" t="inlineStr">
        <is>
          <t xml:space="preserve">New business</t>
        </is>
      </c>
      <c r="F227" s="30" t="inlineStr">
        <is>
          <t xml:space="preserve">B1234EXOTIC26</t>
        </is>
      </c>
      <c r="G227" s="33">
        <f>IF($A227="","",IF($C227="","",YEAR($C227)))</f>
      </c>
      <c r="H227" s="34">
        <v>1962</v>
      </c>
      <c r="I227" s="30" t="inlineStr">
        <is>
          <t xml:space="preserve">Bentley</t>
        </is>
      </c>
      <c r="J227" s="30" t="inlineStr">
        <is>
          <t xml:space="preserve">Continental GT</t>
        </is>
      </c>
      <c r="K227" s="30" t="inlineStr">
        <is>
          <t xml:space="preserve">7AU7BC5N403Z8S2GS</t>
        </is>
      </c>
      <c r="L227" s="32" t="inlineStr">
        <is>
          <t xml:space="preserve">02 - Sports / GT</t>
        </is>
      </c>
      <c r="M227" s="35">
        <v>1050000</v>
      </c>
      <c r="N227" s="32" t="inlineStr">
        <is>
          <t xml:space="preserve">Personal</t>
        </is>
      </c>
      <c r="O227" s="30" t="inlineStr">
        <is>
          <t xml:space="preserve">Personal - regular use</t>
        </is>
      </c>
      <c r="P227" s="30" t="inlineStr">
        <is>
          <t xml:space="preserve">Under 1,000</t>
        </is>
      </c>
      <c r="Q227" s="30" t="inlineStr">
        <is>
          <t xml:space="preserve">Georgia</t>
        </is>
      </c>
      <c r="R227" s="30" t="inlineStr">
        <is>
          <t xml:space="preserve">30303</t>
        </is>
      </c>
      <c r="S227" s="32" t="inlineStr">
        <is>
          <t xml:space="preserve">Tier 2 - Coastal wind (1-25 miles)</t>
        </is>
      </c>
      <c r="T227" s="36">
        <f>IF($A227="","",IF($S227="","",IFERROR(INDEX('[1]natural catastrophe'!$D$6:$D$17,MATCH($S227,'[1]natural catastrophe'!$B$6:$B$17,0)),"?")))</f>
      </c>
      <c r="U227" s="30" t="inlineStr">
        <is>
          <t xml:space="preserve">2% of agreed value, minimum $10,000</t>
        </is>
      </c>
      <c r="V227" s="32" t="inlineStr">
        <is>
          <t xml:space="preserve">Agreed Value</t>
        </is>
      </c>
      <c r="W227" s="30" t="inlineStr">
        <is>
          <t xml:space="preserve">$1,000</t>
        </is>
      </c>
      <c r="X227" s="32" t="inlineStr">
        <is>
          <t xml:space="preserve">$1,000,000 CSL</t>
        </is>
      </c>
      <c r="Y227" s="30"/>
      <c r="Z227" s="30"/>
      <c r="AA227" s="32" t="inlineStr">
        <is>
          <t xml:space="preserve">Surplus Lines</t>
        </is>
      </c>
      <c r="AB227" s="35">
        <v>11220.15</v>
      </c>
      <c r="AC227" s="37">
        <v>0</v>
      </c>
      <c r="AD227" s="38">
        <f>IF(ISNUMBER($AB227),$AB227*(1+N($AC227)),"")</f>
      </c>
      <c r="AE227" s="35">
        <v>350</v>
      </c>
      <c r="AF227" s="35">
        <v>250</v>
      </c>
      <c r="AG227" s="37"/>
      <c r="AH227" s="39">
        <f>IF(ISNUMBER($AD227),($AD227+$AE227+$AF227)*$AG227,"")</f>
      </c>
      <c r="AI227" s="35"/>
      <c r="AJ227" s="38">
        <f>IF(ISNUMBER($AD227),SUM($AD227:$AH227),"")</f>
      </c>
      <c r="AK227" s="40">
        <f>IF(AND(ISNUMBER($AB227),ISNUMBER($AD227)),IF($AB227&gt;0,$AD227/$AB227,""),"")</f>
      </c>
      <c r="AL227" s="32" t="inlineStr">
        <is>
          <t xml:space="preserve">At technical</t>
        </is>
      </c>
      <c r="AM227" s="41">
        <f>IF(ISNUMBER($AD227),Header!$I$3,"")</f>
      </c>
      <c r="AN227" s="39">
        <f>IF(ISNUMBER($AD227),$AO227+$AP227,"")</f>
      </c>
      <c r="AO227" s="39">
        <f>IF(ISNUMBER($AD227),ROUND($AD227*Header!$K$3,2),"")</f>
      </c>
      <c r="AP227" s="39">
        <f>IF(ISNUMBER($AD227),ROUND($AD227*Header!$M$3,2),"")</f>
      </c>
      <c r="AQ227" s="38">
        <f>IF(ISNUMBER($AD227),ROUND($AD227,2)-$AO227-$AP227,"")</f>
      </c>
      <c r="AR227" s="39">
        <f>IF(ISNUMBER($AD227),IF(Header!$D$34="","?",$AD227*Header!$D$34),"")</f>
      </c>
      <c r="AS227" s="39">
        <f>IF(ISNUMBER($AB227),IF(Header!$D$34="","?",$AB227*Header!$D$34),"")</f>
      </c>
      <c r="AT227" s="42">
        <f>IF(AND(ISNUMBER($AB227),$M227&gt;0),$AB227/$M227*100,"")</f>
      </c>
      <c r="AU227" s="42">
        <f>IF(AND(ISNUMBER($AD227),$M227&gt;0),$AD227/$M227*100,"")</f>
      </c>
      <c r="AV227" s="40">
        <f>IF(AND(ISNUMBER($AB227),ISNUMBER($AD227),ABS($AB227)&gt;0),$AD227/$AB227,"")</f>
      </c>
      <c r="AW227" s="39">
        <f>IF(ISNUMBER($AD227),MAX(0,(1-0.55-Header!$O$3)*Header!$Q$3*$AQ227),"")</f>
      </c>
      <c r="AX227" s="43">
        <f>IF($A227="","",IF(TRIM(IF($A227="","Missing certificate ref. ","") &amp; IF($C227="","Missing effective date. ","") &amp; IF($D227="","Missing binding status. ","") &amp; IF($E227="","Missing movement type. ","") &amp; IF($I227="","Missing make. ","") &amp; IF($L227="","Missing vehicle class. ","") &amp; IF($M227="","Missing agreed value. ","") &amp; IF($N227="","Missing policy type. ","") &amp; IF($Q227="","Missing garaging state. ","") &amp; IF($R227="","Missing garaging ZIP. ","") &amp; IF($S227="","Missing cat zone. ","") &amp; IF($V227="","Missing valuation basis. ","") &amp; IF($W227="","Missing PD deductible. ","") &amp; IF($X227="","Missing liability limit. ","") &amp; IF($AB227="","Missing technical premium. ","") &amp; IF($AF227="","Missing surplus lines tax %. ",""))="","PASS","FAIL: "&amp;TRIM(IF($A227="","Missing certificate ref. ","") &amp; IF($C227="","Missing effective date. ","") &amp; IF($D227="","Missing binding status. ","") &amp; IF($E227="","Missing movement type. ","") &amp; IF($I227="","Missing make. ","") &amp; IF($L227="","Missing vehicle class. ","") &amp; IF($M227="","Missing agreed value. ","") &amp; IF($N227="","Missing policy type. ","") &amp; IF($Q227="","Missing garaging state. ","") &amp; IF($R227="","Missing garaging ZIP. ","") &amp; IF($S227="","Missing cat zone. ","") &amp; IF($V227="","Missing valuation basis. ","") &amp; IF($W227="","Missing PD deductible. ","") &amp; IF($X227="","Missing liability limit. ","") &amp; IF($AB227="","Missing technical premium. ","") &amp; IF($AF227="","Missing surplus lines tax %. ",""))))</f>
      </c>
      <c r="AY227" s="44">
        <f>IF($M227="","",IF(ISNUMBER($M227),IF($M227&gt;=Header!$C$18,"YES — refer","No"),""))</f>
      </c>
      <c r="AZ227" s="44">
        <f>IF($AD227="","",IF(ISNUMBER($AD227),IF($AD227&lt;Header!$C$20,"BELOW MIN PREMIUM","OK"),""))</f>
      </c>
      <c r="BA227" s="32" t="inlineStr">
        <is>
          <t xml:space="preserve">Yes</t>
        </is>
      </c>
      <c r="BB227" s="32" t="inlineStr">
        <is>
          <t xml:space="preserve">Yes</t>
        </is>
      </c>
      <c r="BC227" s="30" t="inlineStr">
        <is>
          <t xml:space="preserve">Synthetic demo data</t>
        </is>
      </c>
      <c r="BE227" s="45">
        <f>IF(OR($A227="",$L227="",$H227=""),"",IF(AND(LEFT($L227,2)="06",$H227&gt;1945),"FAIL - pre-war class, year "&amp;$H227,IF(AND(LEFT($L227,2)="07",OR($H227&lt;1946,$H227&gt;1972)),"FAIL - 1946-72 class, year "&amp;$H227,IF(AND(LEFT($L227,2)="08",OR($H227&lt;1973,$H227&gt;1999)),"FAIL - 1973-99 class, year "&amp;$H227,IF(AND(LEFT($L227,2)="09",OR($H227&lt;2000,$H227&gt;2010)),"FAIL - 2000-10 class, year "&amp;$H227,"OK")))))</f>
      </c>
      <c r="BF227" s="45">
        <f>IF($AD227="","",IF(ROUND($AO227+$AP227+$AQ227-$AD227,2)=0,"OK","FAIL - out by "&amp;TEXT($AO227+$AP227+$AQ227-$AD227,"$0.00")))</f>
      </c>
    </row>
    <row r="228" spans="1:58" ht="18.75" customHeight="1" x14ac:dyDescent="0.25">
      <c r="A228" s="46" t="inlineStr">
        <is>
          <t xml:space="preserve">CANON-202511-002475</t>
        </is>
      </c>
      <c r="B228" s="46" t="inlineStr">
        <is>
          <t xml:space="preserve">Delphine Larsson</t>
        </is>
      </c>
      <c r="C228" s="47">
        <v>45970</v>
      </c>
      <c r="D228" s="48" t="inlineStr">
        <is>
          <t xml:space="preserve">Bound - within authority</t>
        </is>
      </c>
      <c r="E228" s="48" t="inlineStr">
        <is>
          <t xml:space="preserve">New business</t>
        </is>
      </c>
      <c r="F228" s="46" t="inlineStr">
        <is>
          <t xml:space="preserve">B1234EXOTIC26</t>
        </is>
      </c>
      <c r="G228" s="33">
        <f>IF($A228="","",IF($C228="","",YEAR($C228)))</f>
      </c>
      <c r="H228" s="49">
        <v>1987</v>
      </c>
      <c r="I228" s="46" t="inlineStr">
        <is>
          <t xml:space="preserve">Maserati</t>
        </is>
      </c>
      <c r="J228" s="46" t="inlineStr">
        <is>
          <t xml:space="preserve">GranTurismo</t>
        </is>
      </c>
      <c r="K228" s="46" t="inlineStr">
        <is>
          <t xml:space="preserve">TSKNJGVGU284ZLHM0</t>
        </is>
      </c>
      <c r="L228" s="48" t="inlineStr">
        <is>
          <t xml:space="preserve">02 - Sports / GT</t>
        </is>
      </c>
      <c r="M228" s="50">
        <v>205000</v>
      </c>
      <c r="N228" s="48" t="inlineStr">
        <is>
          <t xml:space="preserve">Personal</t>
        </is>
      </c>
      <c r="O228" s="46" t="inlineStr">
        <is>
          <t xml:space="preserve">Personal - regular use</t>
        </is>
      </c>
      <c r="P228" s="46" t="inlineStr">
        <is>
          <t xml:space="preserve">1,000 - 2,500</t>
        </is>
      </c>
      <c r="Q228" s="46" t="inlineStr">
        <is>
          <t xml:space="preserve">West Virginia</t>
        </is>
      </c>
      <c r="R228" s="46" t="inlineStr">
        <is>
          <t xml:space="preserve">25301</t>
        </is>
      </c>
      <c r="S228" s="48" t="inlineStr">
        <is>
          <t xml:space="preserve">Low hazard - inland benign</t>
        </is>
      </c>
      <c r="T228" s="36">
        <f>IF($A228="","",IF($S228="","",IFERROR(INDEX('[1]natural catastrophe'!$D$6:$D$17,MATCH($S228,'[1]natural catastrophe'!$B$6:$B$17,0)),"?")))</f>
      </c>
      <c r="U228" s="46" t="inlineStr">
        <is>
          <t xml:space="preserve">$5,000</t>
        </is>
      </c>
      <c r="V228" s="48" t="inlineStr">
        <is>
          <t xml:space="preserve">Agreed Value</t>
        </is>
      </c>
      <c r="W228" s="46" t="inlineStr">
        <is>
          <t xml:space="preserve">$1,000</t>
        </is>
      </c>
      <c r="X228" s="48" t="inlineStr">
        <is>
          <t xml:space="preserve">$1,000,000 CSL</t>
        </is>
      </c>
      <c r="Y228" s="46"/>
      <c r="Z228" s="46"/>
      <c r="AA228" s="48" t="inlineStr">
        <is>
          <t xml:space="preserve">Surplus Lines</t>
        </is>
      </c>
      <c r="AB228" s="50">
        <v>4351.33</v>
      </c>
      <c r="AC228" s="51">
        <v>0</v>
      </c>
      <c r="AD228" s="38">
        <f>IF(ISNUMBER($AB228),$AB228*(1+N($AC228)),"")</f>
      </c>
      <c r="AE228" s="50">
        <v>350</v>
      </c>
      <c r="AF228" s="50">
        <v>0</v>
      </c>
      <c r="AG228" s="51"/>
      <c r="AH228" s="39">
        <f>IF(ISNUMBER($AD228),($AD228+$AE228+$AF228)*$AG228,"")</f>
      </c>
      <c r="AI228" s="50"/>
      <c r="AJ228" s="38">
        <f>IF(ISNUMBER($AD228),SUM($AD228:$AH228),"")</f>
      </c>
      <c r="AK228" s="40">
        <f>IF(AND(ISNUMBER($AB228),ISNUMBER($AD228)),IF($AB228&gt;0,$AD228/$AB228,""),"")</f>
      </c>
      <c r="AL228" s="48" t="inlineStr">
        <is>
          <t xml:space="preserve">At technical</t>
        </is>
      </c>
      <c r="AM228" s="41">
        <f>IF(ISNUMBER($AD228),Header!$I$3,"")</f>
      </c>
      <c r="AN228" s="39">
        <f>IF(ISNUMBER($AD228),$AO228+$AP228,"")</f>
      </c>
      <c r="AO228" s="39">
        <f>IF(ISNUMBER($AD228),ROUND($AD228*Header!$K$3,2),"")</f>
      </c>
      <c r="AP228" s="39">
        <f>IF(ISNUMBER($AD228),ROUND($AD228*Header!$M$3,2),"")</f>
      </c>
      <c r="AQ228" s="38">
        <f>IF(ISNUMBER($AD228),ROUND($AD228,2)-$AO228-$AP228,"")</f>
      </c>
      <c r="AR228" s="39">
        <f>IF(ISNUMBER($AD228),IF(Header!$D$34="","?",$AD228*Header!$D$34),"")</f>
      </c>
      <c r="AS228" s="39">
        <f>IF(ISNUMBER($AB228),IF(Header!$D$34="","?",$AB228*Header!$D$34),"")</f>
      </c>
      <c r="AT228" s="42">
        <f>IF(AND(ISNUMBER($AB228),$M228&gt;0),$AB228/$M228*100,"")</f>
      </c>
      <c r="AU228" s="42">
        <f>IF(AND(ISNUMBER($AD228),$M228&gt;0),$AD228/$M228*100,"")</f>
      </c>
      <c r="AV228" s="40">
        <f>IF(AND(ISNUMBER($AB228),ISNUMBER($AD228),ABS($AB228)&gt;0),$AD228/$AB228,"")</f>
      </c>
      <c r="AW228" s="39">
        <f>IF(ISNUMBER($AD228),MAX(0,(1-0.55-Header!$O$3)*Header!$Q$3*$AQ228),"")</f>
      </c>
      <c r="AX228" s="43">
        <f>IF($A228="","",IF(TRIM(IF($A228="","Missing certificate ref. ","") &amp; IF($C228="","Missing effective date. ","") &amp; IF($D228="","Missing binding status. ","") &amp; IF($E228="","Missing movement type. ","") &amp; IF($I228="","Missing make. ","") &amp; IF($L228="","Missing vehicle class. ","") &amp; IF($M228="","Missing agreed value. ","") &amp; IF($N228="","Missing policy type. ","") &amp; IF($Q228="","Missing garaging state. ","") &amp; IF($R228="","Missing garaging ZIP. ","") &amp; IF($S228="","Missing cat zone. ","") &amp; IF($V228="","Missing valuation basis. ","") &amp; IF($W228="","Missing PD deductible. ","") &amp; IF($X228="","Missing liability limit. ","") &amp; IF($AB228="","Missing technical premium. ","") &amp; IF($AF228="","Missing surplus lines tax %. ",""))="","PASS","FAIL: "&amp;TRIM(IF($A228="","Missing certificate ref. ","") &amp; IF($C228="","Missing effective date. ","") &amp; IF($D228="","Missing binding status. ","") &amp; IF($E228="","Missing movement type. ","") &amp; IF($I228="","Missing make. ","") &amp; IF($L228="","Missing vehicle class. ","") &amp; IF($M228="","Missing agreed value. ","") &amp; IF($N228="","Missing policy type. ","") &amp; IF($Q228="","Missing garaging state. ","") &amp; IF($R228="","Missing garaging ZIP. ","") &amp; IF($S228="","Missing cat zone. ","") &amp; IF($V228="","Missing valuation basis. ","") &amp; IF($W228="","Missing PD deductible. ","") &amp; IF($X228="","Missing liability limit. ","") &amp; IF($AB228="","Missing technical premium. ","") &amp; IF($AF228="","Missing surplus lines tax %. ",""))))</f>
      </c>
      <c r="AY228" s="44">
        <f>IF($M228="","",IF(ISNUMBER($M228),IF($M228&gt;=Header!$C$18,"YES — refer","No"),""))</f>
      </c>
      <c r="AZ228" s="44">
        <f>IF($AD228="","",IF(ISNUMBER($AD228),IF($AD228&lt;Header!$C$20,"BELOW MIN PREMIUM","OK"),""))</f>
      </c>
      <c r="BA228" s="48" t="inlineStr">
        <is>
          <t xml:space="preserve">Yes</t>
        </is>
      </c>
      <c r="BB228" s="48" t="inlineStr">
        <is>
          <t xml:space="preserve">Yes</t>
        </is>
      </c>
      <c r="BC228" s="46" t="inlineStr">
        <is>
          <t xml:space="preserve">Synthetic demo data</t>
        </is>
      </c>
      <c r="BE228" s="45">
        <f>IF(OR($A228="",$L228="",$H228=""),"",IF(AND(LEFT($L228,2)="06",$H228&gt;1945),"FAIL - pre-war class, year "&amp;$H228,IF(AND(LEFT($L228,2)="07",OR($H228&lt;1946,$H228&gt;1972)),"FAIL - 1946-72 class, year "&amp;$H228,IF(AND(LEFT($L228,2)="08",OR($H228&lt;1973,$H228&gt;1999)),"FAIL - 1973-99 class, year "&amp;$H228,IF(AND(LEFT($L228,2)="09",OR($H228&lt;2000,$H228&gt;2010)),"FAIL - 2000-10 class, year "&amp;$H228,"OK")))))</f>
      </c>
      <c r="BF228" s="45">
        <f>IF($AD228="","",IF(ROUND($AO228+$AP228+$AQ228-$AD228,2)=0,"OK","FAIL - out by "&amp;TEXT($AO228+$AP228+$AQ228-$AD228,"$0.00")))</f>
      </c>
    </row>
    <row r="229" spans="1:58" ht="18.75" customHeight="1" x14ac:dyDescent="0.25">
      <c r="A229" s="30" t="inlineStr">
        <is>
          <t xml:space="preserve">CANON-202511-002476</t>
        </is>
      </c>
      <c r="B229" s="30" t="inlineStr">
        <is>
          <t xml:space="preserve">Anouk Larsson</t>
        </is>
      </c>
      <c r="C229" s="31">
        <v>45991</v>
      </c>
      <c r="D229" s="32" t="inlineStr">
        <is>
          <t xml:space="preserve">Bound - within authority</t>
        </is>
      </c>
      <c r="E229" s="32" t="inlineStr">
        <is>
          <t xml:space="preserve">New business</t>
        </is>
      </c>
      <c r="F229" s="30" t="inlineStr">
        <is>
          <t xml:space="preserve">B1234EXOTIC26</t>
        </is>
      </c>
      <c r="G229" s="33">
        <f>IF($A229="","",IF($C229="","",YEAR($C229)))</f>
      </c>
      <c r="H229" s="34">
        <v>2017</v>
      </c>
      <c r="I229" s="30" t="inlineStr">
        <is>
          <t xml:space="preserve">Ferrari</t>
        </is>
      </c>
      <c r="J229" s="30" t="inlineStr">
        <is>
          <t xml:space="preserve">275 GTB/4</t>
        </is>
      </c>
      <c r="K229" s="30" t="inlineStr">
        <is>
          <t xml:space="preserve">YCEKHLRNGNDKZSDU2</t>
        </is>
      </c>
      <c r="L229" s="32" t="inlineStr">
        <is>
          <t xml:space="preserve">02 - Sports / GT</t>
        </is>
      </c>
      <c r="M229" s="35">
        <v>1180000</v>
      </c>
      <c r="N229" s="32" t="inlineStr">
        <is>
          <t xml:space="preserve">Personal</t>
        </is>
      </c>
      <c r="O229" s="30" t="inlineStr">
        <is>
          <t xml:space="preserve">Personal - regular use</t>
        </is>
      </c>
      <c r="P229" s="30" t="inlineStr">
        <is>
          <t xml:space="preserve">1,000 - 2,500</t>
        </is>
      </c>
      <c r="Q229" s="30" t="inlineStr">
        <is>
          <t xml:space="preserve">Illinois</t>
        </is>
      </c>
      <c r="R229" s="30" t="inlineStr">
        <is>
          <t xml:space="preserve">60601</t>
        </is>
      </c>
      <c r="S229" s="32" t="inlineStr">
        <is>
          <t xml:space="preserve">Severe convective - hail / tornado (moderate)</t>
        </is>
      </c>
      <c r="T229" s="36">
        <f>IF($A229="","",IF($S229="","",IFERROR(INDEX('[1]natural catastrophe'!$D$6:$D$17,MATCH($S229,'[1]natural catastrophe'!$B$6:$B$17,0)),"?")))</f>
      </c>
      <c r="U229" s="30" t="inlineStr">
        <is>
          <t xml:space="preserve">$5,000</t>
        </is>
      </c>
      <c r="V229" s="32" t="inlineStr">
        <is>
          <t xml:space="preserve">Agreed Value</t>
        </is>
      </c>
      <c r="W229" s="30" t="inlineStr">
        <is>
          <t xml:space="preserve">$1,000</t>
        </is>
      </c>
      <c r="X229" s="32" t="inlineStr">
        <is>
          <t xml:space="preserve">$1,000,000 CSL</t>
        </is>
      </c>
      <c r="Y229" s="30"/>
      <c r="Z229" s="30"/>
      <c r="AA229" s="32" t="inlineStr">
        <is>
          <t xml:space="preserve">Surplus Lines</t>
        </is>
      </c>
      <c r="AB229" s="35">
        <v>10578.72</v>
      </c>
      <c r="AC229" s="37">
        <v>0</v>
      </c>
      <c r="AD229" s="38">
        <f>IF(ISNUMBER($AB229),$AB229*(1+N($AC229)),"")</f>
      </c>
      <c r="AE229" s="35">
        <v>350</v>
      </c>
      <c r="AF229" s="35">
        <v>250</v>
      </c>
      <c r="AG229" s="37"/>
      <c r="AH229" s="39">
        <f>IF(ISNUMBER($AD229),($AD229+$AE229+$AF229)*$AG229,"")</f>
      </c>
      <c r="AI229" s="35"/>
      <c r="AJ229" s="38">
        <f>IF(ISNUMBER($AD229),SUM($AD229:$AH229),"")</f>
      </c>
      <c r="AK229" s="40">
        <f>IF(AND(ISNUMBER($AB229),ISNUMBER($AD229)),IF($AB229&gt;0,$AD229/$AB229,""),"")</f>
      </c>
      <c r="AL229" s="32" t="inlineStr">
        <is>
          <t xml:space="preserve">At technical</t>
        </is>
      </c>
      <c r="AM229" s="41">
        <f>IF(ISNUMBER($AD229),Header!$I$3,"")</f>
      </c>
      <c r="AN229" s="39">
        <f>IF(ISNUMBER($AD229),$AO229+$AP229,"")</f>
      </c>
      <c r="AO229" s="39">
        <f>IF(ISNUMBER($AD229),ROUND($AD229*Header!$K$3,2),"")</f>
      </c>
      <c r="AP229" s="39">
        <f>IF(ISNUMBER($AD229),ROUND($AD229*Header!$M$3,2),"")</f>
      </c>
      <c r="AQ229" s="38">
        <f>IF(ISNUMBER($AD229),ROUND($AD229,2)-$AO229-$AP229,"")</f>
      </c>
      <c r="AR229" s="39">
        <f>IF(ISNUMBER($AD229),IF(Header!$D$34="","?",$AD229*Header!$D$34),"")</f>
      </c>
      <c r="AS229" s="39">
        <f>IF(ISNUMBER($AB229),IF(Header!$D$34="","?",$AB229*Header!$D$34),"")</f>
      </c>
      <c r="AT229" s="42">
        <f>IF(AND(ISNUMBER($AB229),$M229&gt;0),$AB229/$M229*100,"")</f>
      </c>
      <c r="AU229" s="42">
        <f>IF(AND(ISNUMBER($AD229),$M229&gt;0),$AD229/$M229*100,"")</f>
      </c>
      <c r="AV229" s="40">
        <f>IF(AND(ISNUMBER($AB229),ISNUMBER($AD229),ABS($AB229)&gt;0),$AD229/$AB229,"")</f>
      </c>
      <c r="AW229" s="39">
        <f>IF(ISNUMBER($AD229),MAX(0,(1-0.55-Header!$O$3)*Header!$Q$3*$AQ229),"")</f>
      </c>
      <c r="AX229" s="43">
        <f>IF($A229="","",IF(TRIM(IF($A229="","Missing certificate ref. ","") &amp; IF($C229="","Missing effective date. ","") &amp; IF($D229="","Missing binding status. ","") &amp; IF($E229="","Missing movement type. ","") &amp; IF($I229="","Missing make. ","") &amp; IF($L229="","Missing vehicle class. ","") &amp; IF($M229="","Missing agreed value. ","") &amp; IF($N229="","Missing policy type. ","") &amp; IF($Q229="","Missing garaging state. ","") &amp; IF($R229="","Missing garaging ZIP. ","") &amp; IF($S229="","Missing cat zone. ","") &amp; IF($V229="","Missing valuation basis. ","") &amp; IF($W229="","Missing PD deductible. ","") &amp; IF($X229="","Missing liability limit. ","") &amp; IF($AB229="","Missing technical premium. ","") &amp; IF($AF229="","Missing surplus lines tax %. ",""))="","PASS","FAIL: "&amp;TRIM(IF($A229="","Missing certificate ref. ","") &amp; IF($C229="","Missing effective date. ","") &amp; IF($D229="","Missing binding status. ","") &amp; IF($E229="","Missing movement type. ","") &amp; IF($I229="","Missing make. ","") &amp; IF($L229="","Missing vehicle class. ","") &amp; IF($M229="","Missing agreed value. ","") &amp; IF($N229="","Missing policy type. ","") &amp; IF($Q229="","Missing garaging state. ","") &amp; IF($R229="","Missing garaging ZIP. ","") &amp; IF($S229="","Missing cat zone. ","") &amp; IF($V229="","Missing valuation basis. ","") &amp; IF($W229="","Missing PD deductible. ","") &amp; IF($X229="","Missing liability limit. ","") &amp; IF($AB229="","Missing technical premium. ","") &amp; IF($AF229="","Missing surplus lines tax %. ",""))))</f>
      </c>
      <c r="AY229" s="44">
        <f>IF($M229="","",IF(ISNUMBER($M229),IF($M229&gt;=Header!$C$18,"YES — refer","No"),""))</f>
      </c>
      <c r="AZ229" s="44">
        <f>IF($AD229="","",IF(ISNUMBER($AD229),IF($AD229&lt;Header!$C$20,"BELOW MIN PREMIUM","OK"),""))</f>
      </c>
      <c r="BA229" s="32" t="inlineStr">
        <is>
          <t xml:space="preserve">Yes</t>
        </is>
      </c>
      <c r="BB229" s="32" t="inlineStr">
        <is>
          <t xml:space="preserve">Yes</t>
        </is>
      </c>
      <c r="BC229" s="30" t="inlineStr">
        <is>
          <t xml:space="preserve">Synthetic demo data</t>
        </is>
      </c>
      <c r="BE229" s="45">
        <f>IF(OR($A229="",$L229="",$H229=""),"",IF(AND(LEFT($L229,2)="06",$H229&gt;1945),"FAIL - pre-war class, year "&amp;$H229,IF(AND(LEFT($L229,2)="07",OR($H229&lt;1946,$H229&gt;1972)),"FAIL - 1946-72 class, year "&amp;$H229,IF(AND(LEFT($L229,2)="08",OR($H229&lt;1973,$H229&gt;1999)),"FAIL - 1973-99 class, year "&amp;$H229,IF(AND(LEFT($L229,2)="09",OR($H229&lt;2000,$H229&gt;2010)),"FAIL - 2000-10 class, year "&amp;$H229,"OK")))))</f>
      </c>
      <c r="BF229" s="45">
        <f>IF($AD229="","",IF(ROUND($AO229+$AP229+$AQ229-$AD229,2)=0,"OK","FAIL - out by "&amp;TEXT($AO229+$AP229+$AQ229-$AD229,"$0.00")))</f>
      </c>
    </row>
    <row r="230" spans="1:58" ht="18.75" customHeight="1" x14ac:dyDescent="0.25">
      <c r="A230" s="46" t="inlineStr">
        <is>
          <t xml:space="preserve">CANON-202511-002477</t>
        </is>
      </c>
      <c r="B230" s="46" t="inlineStr">
        <is>
          <t xml:space="preserve">Wilhelmina Nakashima</t>
        </is>
      </c>
      <c r="C230" s="47">
        <v>45979</v>
      </c>
      <c r="D230" s="48" t="inlineStr">
        <is>
          <t xml:space="preserve">Bound - within authority</t>
        </is>
      </c>
      <c r="E230" s="48" t="inlineStr">
        <is>
          <t xml:space="preserve">New business</t>
        </is>
      </c>
      <c r="F230" s="46" t="inlineStr">
        <is>
          <t xml:space="preserve">B1234EXOTIC26</t>
        </is>
      </c>
      <c r="G230" s="33">
        <f>IF($A230="","",IF($C230="","",YEAR($C230)))</f>
      </c>
      <c r="H230" s="49">
        <v>2019</v>
      </c>
      <c r="I230" s="46" t="inlineStr">
        <is>
          <t xml:space="preserve">Porsche</t>
        </is>
      </c>
      <c r="J230" s="46" t="inlineStr">
        <is>
          <t xml:space="preserve">911 Turbo S</t>
        </is>
      </c>
      <c r="K230" s="46" t="inlineStr">
        <is>
          <t xml:space="preserve">U623EM3A8LG0P973K</t>
        </is>
      </c>
      <c r="L230" s="48" t="inlineStr">
        <is>
          <t xml:space="preserve">02 - Sports / GT</t>
        </is>
      </c>
      <c r="M230" s="50">
        <v>310000</v>
      </c>
      <c r="N230" s="48" t="inlineStr">
        <is>
          <t xml:space="preserve">Personal</t>
        </is>
      </c>
      <c r="O230" s="46" t="inlineStr">
        <is>
          <t xml:space="preserve">Personal - regular use</t>
        </is>
      </c>
      <c r="P230" s="46" t="inlineStr">
        <is>
          <t xml:space="preserve">Under 1,000</t>
        </is>
      </c>
      <c r="Q230" s="46" t="inlineStr">
        <is>
          <t xml:space="preserve">Pennsylvania</t>
        </is>
      </c>
      <c r="R230" s="46" t="inlineStr">
        <is>
          <t xml:space="preserve">19103</t>
        </is>
      </c>
      <c r="S230" s="48" t="inlineStr">
        <is>
          <t xml:space="preserve">Low hazard - inland benign</t>
        </is>
      </c>
      <c r="T230" s="36">
        <f>IF($A230="","",IF($S230="","",IFERROR(INDEX('[1]natural catastrophe'!$D$6:$D$17,MATCH($S230,'[1]natural catastrophe'!$B$6:$B$17,0)),"?")))</f>
      </c>
      <c r="U230" s="46" t="inlineStr">
        <is>
          <t xml:space="preserve">$5,000</t>
        </is>
      </c>
      <c r="V230" s="48" t="inlineStr">
        <is>
          <t xml:space="preserve">Agreed Value</t>
        </is>
      </c>
      <c r="W230" s="46" t="inlineStr">
        <is>
          <t xml:space="preserve">$1,000</t>
        </is>
      </c>
      <c r="X230" s="48" t="inlineStr">
        <is>
          <t xml:space="preserve">$1,000,000 CSL</t>
        </is>
      </c>
      <c r="Y230" s="46"/>
      <c r="Z230" s="46"/>
      <c r="AA230" s="48" t="inlineStr">
        <is>
          <t xml:space="preserve">Surplus Lines</t>
        </is>
      </c>
      <c r="AB230" s="50">
        <v>4033.21</v>
      </c>
      <c r="AC230" s="51">
        <v>0</v>
      </c>
      <c r="AD230" s="38">
        <f>IF(ISNUMBER($AB230),$AB230*(1+N($AC230)),"")</f>
      </c>
      <c r="AE230" s="50">
        <v>350</v>
      </c>
      <c r="AF230" s="50">
        <v>0</v>
      </c>
      <c r="AG230" s="51"/>
      <c r="AH230" s="39">
        <f>IF(ISNUMBER($AD230),($AD230+$AE230+$AF230)*$AG230,"")</f>
      </c>
      <c r="AI230" s="50"/>
      <c r="AJ230" s="38">
        <f>IF(ISNUMBER($AD230),SUM($AD230:$AH230),"")</f>
      </c>
      <c r="AK230" s="40">
        <f>IF(AND(ISNUMBER($AB230),ISNUMBER($AD230)),IF($AB230&gt;0,$AD230/$AB230,""),"")</f>
      </c>
      <c r="AL230" s="48" t="inlineStr">
        <is>
          <t xml:space="preserve">At technical</t>
        </is>
      </c>
      <c r="AM230" s="41">
        <f>IF(ISNUMBER($AD230),Header!$I$3,"")</f>
      </c>
      <c r="AN230" s="39">
        <f>IF(ISNUMBER($AD230),$AO230+$AP230,"")</f>
      </c>
      <c r="AO230" s="39">
        <f>IF(ISNUMBER($AD230),ROUND($AD230*Header!$K$3,2),"")</f>
      </c>
      <c r="AP230" s="39">
        <f>IF(ISNUMBER($AD230),ROUND($AD230*Header!$M$3,2),"")</f>
      </c>
      <c r="AQ230" s="38">
        <f>IF(ISNUMBER($AD230),ROUND($AD230,2)-$AO230-$AP230,"")</f>
      </c>
      <c r="AR230" s="39">
        <f>IF(ISNUMBER($AD230),IF(Header!$D$34="","?",$AD230*Header!$D$34),"")</f>
      </c>
      <c r="AS230" s="39">
        <f>IF(ISNUMBER($AB230),IF(Header!$D$34="","?",$AB230*Header!$D$34),"")</f>
      </c>
      <c r="AT230" s="42">
        <f>IF(AND(ISNUMBER($AB230),$M230&gt;0),$AB230/$M230*100,"")</f>
      </c>
      <c r="AU230" s="42">
        <f>IF(AND(ISNUMBER($AD230),$M230&gt;0),$AD230/$M230*100,"")</f>
      </c>
      <c r="AV230" s="40">
        <f>IF(AND(ISNUMBER($AB230),ISNUMBER($AD230),ABS($AB230)&gt;0),$AD230/$AB230,"")</f>
      </c>
      <c r="AW230" s="39">
        <f>IF(ISNUMBER($AD230),MAX(0,(1-0.55-Header!$O$3)*Header!$Q$3*$AQ230),"")</f>
      </c>
      <c r="AX230" s="43">
        <f>IF($A230="","",IF(TRIM(IF($A230="","Missing certificate ref. ","") &amp; IF($C230="","Missing effective date. ","") &amp; IF($D230="","Missing binding status. ","") &amp; IF($E230="","Missing movement type. ","") &amp; IF($I230="","Missing make. ","") &amp; IF($L230="","Missing vehicle class. ","") &amp; IF($M230="","Missing agreed value. ","") &amp; IF($N230="","Missing policy type. ","") &amp; IF($Q230="","Missing garaging state. ","") &amp; IF($R230="","Missing garaging ZIP. ","") &amp; IF($S230="","Missing cat zone. ","") &amp; IF($V230="","Missing valuation basis. ","") &amp; IF($W230="","Missing PD deductible. ","") &amp; IF($X230="","Missing liability limit. ","") &amp; IF($AB230="","Missing technical premium. ","") &amp; IF($AF230="","Missing surplus lines tax %. ",""))="","PASS","FAIL: "&amp;TRIM(IF($A230="","Missing certificate ref. ","") &amp; IF($C230="","Missing effective date. ","") &amp; IF($D230="","Missing binding status. ","") &amp; IF($E230="","Missing movement type. ","") &amp; IF($I230="","Missing make. ","") &amp; IF($L230="","Missing vehicle class. ","") &amp; IF($M230="","Missing agreed value. ","") &amp; IF($N230="","Missing policy type. ","") &amp; IF($Q230="","Missing garaging state. ","") &amp; IF($R230="","Missing garaging ZIP. ","") &amp; IF($S230="","Missing cat zone. ","") &amp; IF($V230="","Missing valuation basis. ","") &amp; IF($W230="","Missing PD deductible. ","") &amp; IF($X230="","Missing liability limit. ","") &amp; IF($AB230="","Missing technical premium. ","") &amp; IF($AF230="","Missing surplus lines tax %. ",""))))</f>
      </c>
      <c r="AY230" s="44">
        <f>IF($M230="","",IF(ISNUMBER($M230),IF($M230&gt;=Header!$C$18,"YES — refer","No"),""))</f>
      </c>
      <c r="AZ230" s="44">
        <f>IF($AD230="","",IF(ISNUMBER($AD230),IF($AD230&lt;Header!$C$20,"BELOW MIN PREMIUM","OK"),""))</f>
      </c>
      <c r="BA230" s="48" t="inlineStr">
        <is>
          <t xml:space="preserve">Yes</t>
        </is>
      </c>
      <c r="BB230" s="48" t="inlineStr">
        <is>
          <t xml:space="preserve">Yes</t>
        </is>
      </c>
      <c r="BC230" s="46" t="inlineStr">
        <is>
          <t xml:space="preserve">Synthetic demo data</t>
        </is>
      </c>
      <c r="BE230" s="45">
        <f>IF(OR($A230="",$L230="",$H230=""),"",IF(AND(LEFT($L230,2)="06",$H230&gt;1945),"FAIL - pre-war class, year "&amp;$H230,IF(AND(LEFT($L230,2)="07",OR($H230&lt;1946,$H230&gt;1972)),"FAIL - 1946-72 class, year "&amp;$H230,IF(AND(LEFT($L230,2)="08",OR($H230&lt;1973,$H230&gt;1999)),"FAIL - 1973-99 class, year "&amp;$H230,IF(AND(LEFT($L230,2)="09",OR($H230&lt;2000,$H230&gt;2010)),"FAIL - 2000-10 class, year "&amp;$H230,"OK")))))</f>
      </c>
      <c r="BF230" s="45">
        <f>IF($AD230="","",IF(ROUND($AO230+$AP230+$AQ230-$AD230,2)=0,"OK","FAIL - out by "&amp;TEXT($AO230+$AP230+$AQ230-$AD230,"$0.00")))</f>
      </c>
    </row>
    <row r="231" spans="1:58" ht="18.75" customHeight="1" x14ac:dyDescent="0.25">
      <c r="A231" s="30" t="inlineStr">
        <is>
          <t xml:space="preserve">CANON-202511-002478</t>
        </is>
      </c>
      <c r="B231" s="30" t="inlineStr">
        <is>
          <t xml:space="preserve">Everett Whitlock</t>
        </is>
      </c>
      <c r="C231" s="31">
        <v>45983</v>
      </c>
      <c r="D231" s="32" t="inlineStr">
        <is>
          <t xml:space="preserve">Bound - within authority</t>
        </is>
      </c>
      <c r="E231" s="32" t="inlineStr">
        <is>
          <t xml:space="preserve">New business</t>
        </is>
      </c>
      <c r="F231" s="30" t="inlineStr">
        <is>
          <t xml:space="preserve">B1234EXOTIC26</t>
        </is>
      </c>
      <c r="G231" s="33">
        <f>IF($A231="","",IF($C231="","",YEAR($C231)))</f>
      </c>
      <c r="H231" s="34">
        <v>1967</v>
      </c>
      <c r="I231" s="30" t="inlineStr">
        <is>
          <t xml:space="preserve">Aston Martin</t>
        </is>
      </c>
      <c r="J231" s="30" t="inlineStr">
        <is>
          <t xml:space="preserve">DB12</t>
        </is>
      </c>
      <c r="K231" s="30" t="inlineStr">
        <is>
          <t xml:space="preserve">BGLF853KRWSW9NLPC</t>
        </is>
      </c>
      <c r="L231" s="32" t="inlineStr">
        <is>
          <t xml:space="preserve">02 - Sports / GT</t>
        </is>
      </c>
      <c r="M231" s="35">
        <v>320000</v>
      </c>
      <c r="N231" s="32" t="inlineStr">
        <is>
          <t xml:space="preserve">Personal</t>
        </is>
      </c>
      <c r="O231" s="30" t="inlineStr">
        <is>
          <t xml:space="preserve">Personal - regular use</t>
        </is>
      </c>
      <c r="P231" s="30" t="inlineStr">
        <is>
          <t xml:space="preserve">Under 1,000</t>
        </is>
      </c>
      <c r="Q231" s="30" t="inlineStr">
        <is>
          <t xml:space="preserve">Tennessee</t>
        </is>
      </c>
      <c r="R231" s="30" t="inlineStr">
        <is>
          <t xml:space="preserve">37203</t>
        </is>
      </c>
      <c r="S231" s="32" t="inlineStr">
        <is>
          <t xml:space="preserve">Severe convective - hail / tornado (moderate)</t>
        </is>
      </c>
      <c r="T231" s="36">
        <f>IF($A231="","",IF($S231="","",IFERROR(INDEX('[1]natural catastrophe'!$D$6:$D$17,MATCH($S231,'[1]natural catastrophe'!$B$6:$B$17,0)),"?")))</f>
      </c>
      <c r="U231" s="30" t="inlineStr">
        <is>
          <t xml:space="preserve">$5,000</t>
        </is>
      </c>
      <c r="V231" s="32" t="inlineStr">
        <is>
          <t xml:space="preserve">Agreed Value</t>
        </is>
      </c>
      <c r="W231" s="30" t="inlineStr">
        <is>
          <t xml:space="preserve">$1,000</t>
        </is>
      </c>
      <c r="X231" s="32" t="inlineStr">
        <is>
          <t xml:space="preserve">$1,000,000 CSL</t>
        </is>
      </c>
      <c r="Y231" s="30"/>
      <c r="Z231" s="30"/>
      <c r="AA231" s="32" t="inlineStr">
        <is>
          <t xml:space="preserve">Surplus Lines</t>
        </is>
      </c>
      <c r="AB231" s="35">
        <v>4080.06</v>
      </c>
      <c r="AC231" s="37">
        <v>0</v>
      </c>
      <c r="AD231" s="38">
        <f>IF(ISNUMBER($AB231),$AB231*(1+N($AC231)),"")</f>
      </c>
      <c r="AE231" s="35">
        <v>350</v>
      </c>
      <c r="AF231" s="35">
        <v>0</v>
      </c>
      <c r="AG231" s="37"/>
      <c r="AH231" s="39">
        <f>IF(ISNUMBER($AD231),($AD231+$AE231+$AF231)*$AG231,"")</f>
      </c>
      <c r="AI231" s="35"/>
      <c r="AJ231" s="38">
        <f>IF(ISNUMBER($AD231),SUM($AD231:$AH231),"")</f>
      </c>
      <c r="AK231" s="40">
        <f>IF(AND(ISNUMBER($AB231),ISNUMBER($AD231)),IF($AB231&gt;0,$AD231/$AB231,""),"")</f>
      </c>
      <c r="AL231" s="32" t="inlineStr">
        <is>
          <t xml:space="preserve">At technical</t>
        </is>
      </c>
      <c r="AM231" s="41">
        <f>IF(ISNUMBER($AD231),Header!$I$3,"")</f>
      </c>
      <c r="AN231" s="39">
        <f>IF(ISNUMBER($AD231),$AO231+$AP231,"")</f>
      </c>
      <c r="AO231" s="39">
        <f>IF(ISNUMBER($AD231),ROUND($AD231*Header!$K$3,2),"")</f>
      </c>
      <c r="AP231" s="39">
        <f>IF(ISNUMBER($AD231),ROUND($AD231*Header!$M$3,2),"")</f>
      </c>
      <c r="AQ231" s="38">
        <f>IF(ISNUMBER($AD231),ROUND($AD231,2)-$AO231-$AP231,"")</f>
      </c>
      <c r="AR231" s="39">
        <f>IF(ISNUMBER($AD231),IF(Header!$D$34="","?",$AD231*Header!$D$34),"")</f>
      </c>
      <c r="AS231" s="39">
        <f>IF(ISNUMBER($AB231),IF(Header!$D$34="","?",$AB231*Header!$D$34),"")</f>
      </c>
      <c r="AT231" s="42">
        <f>IF(AND(ISNUMBER($AB231),$M231&gt;0),$AB231/$M231*100,"")</f>
      </c>
      <c r="AU231" s="42">
        <f>IF(AND(ISNUMBER($AD231),$M231&gt;0),$AD231/$M231*100,"")</f>
      </c>
      <c r="AV231" s="40">
        <f>IF(AND(ISNUMBER($AB231),ISNUMBER($AD231),ABS($AB231)&gt;0),$AD231/$AB231,"")</f>
      </c>
      <c r="AW231" s="39">
        <f>IF(ISNUMBER($AD231),MAX(0,(1-0.55-Header!$O$3)*Header!$Q$3*$AQ231),"")</f>
      </c>
      <c r="AX231" s="43">
        <f>IF($A231="","",IF(TRIM(IF($A231="","Missing certificate ref. ","") &amp; IF($C231="","Missing effective date. ","") &amp; IF($D231="","Missing binding status. ","") &amp; IF($E231="","Missing movement type. ","") &amp; IF($I231="","Missing make. ","") &amp; IF($L231="","Missing vehicle class. ","") &amp; IF($M231="","Missing agreed value. ","") &amp; IF($N231="","Missing policy type. ","") &amp; IF($Q231="","Missing garaging state. ","") &amp; IF($R231="","Missing garaging ZIP. ","") &amp; IF($S231="","Missing cat zone. ","") &amp; IF($V231="","Missing valuation basis. ","") &amp; IF($W231="","Missing PD deductible. ","") &amp; IF($X231="","Missing liability limit. ","") &amp; IF($AB231="","Missing technical premium. ","") &amp; IF($AF231="","Missing surplus lines tax %. ",""))="","PASS","FAIL: "&amp;TRIM(IF($A231="","Missing certificate ref. ","") &amp; IF($C231="","Missing effective date. ","") &amp; IF($D231="","Missing binding status. ","") &amp; IF($E231="","Missing movement type. ","") &amp; IF($I231="","Missing make. ","") &amp; IF($L231="","Missing vehicle class. ","") &amp; IF($M231="","Missing agreed value. ","") &amp; IF($N231="","Missing policy type. ","") &amp; IF($Q231="","Missing garaging state. ","") &amp; IF($R231="","Missing garaging ZIP. ","") &amp; IF($S231="","Missing cat zone. ","") &amp; IF($V231="","Missing valuation basis. ","") &amp; IF($W231="","Missing PD deductible. ","") &amp; IF($X231="","Missing liability limit. ","") &amp; IF($AB231="","Missing technical premium. ","") &amp; IF($AF231="","Missing surplus lines tax %. ",""))))</f>
      </c>
      <c r="AY231" s="44">
        <f>IF($M231="","",IF(ISNUMBER($M231),IF($M231&gt;=Header!$C$18,"YES — refer","No"),""))</f>
      </c>
      <c r="AZ231" s="44">
        <f>IF($AD231="","",IF(ISNUMBER($AD231),IF($AD231&lt;Header!$C$20,"BELOW MIN PREMIUM","OK"),""))</f>
      </c>
      <c r="BA231" s="32" t="inlineStr">
        <is>
          <t xml:space="preserve">Yes</t>
        </is>
      </c>
      <c r="BB231" s="32" t="inlineStr">
        <is>
          <t xml:space="preserve">Yes</t>
        </is>
      </c>
      <c r="BC231" s="30" t="inlineStr">
        <is>
          <t xml:space="preserve">Synthetic demo data</t>
        </is>
      </c>
      <c r="BE231" s="45">
        <f>IF(OR($A231="",$L231="",$H231=""),"",IF(AND(LEFT($L231,2)="06",$H231&gt;1945),"FAIL - pre-war class, year "&amp;$H231,IF(AND(LEFT($L231,2)="07",OR($H231&lt;1946,$H231&gt;1972)),"FAIL - 1946-72 class, year "&amp;$H231,IF(AND(LEFT($L231,2)="08",OR($H231&lt;1973,$H231&gt;1999)),"FAIL - 1973-99 class, year "&amp;$H231,IF(AND(LEFT($L231,2)="09",OR($H231&lt;2000,$H231&gt;2010)),"FAIL - 2000-10 class, year "&amp;$H231,"OK")))))</f>
      </c>
      <c r="BF231" s="45">
        <f>IF($AD231="","",IF(ROUND($AO231+$AP231+$AQ231-$AD231,2)=0,"OK","FAIL - out by "&amp;TEXT($AO231+$AP231+$AQ231-$AD231,"$0.00")))</f>
      </c>
    </row>
    <row r="232" spans="1:58" ht="18.75" customHeight="1" x14ac:dyDescent="0.25">
      <c r="A232" s="46" t="inlineStr">
        <is>
          <t xml:space="preserve">CANON-202511-002479</t>
        </is>
      </c>
      <c r="B232" s="46" t="inlineStr">
        <is>
          <t xml:space="preserve">Thaddeus Castellanos</t>
        </is>
      </c>
      <c r="C232" s="47">
        <v>45986</v>
      </c>
      <c r="D232" s="48" t="inlineStr">
        <is>
          <t xml:space="preserve">Bound - within authority</t>
        </is>
      </c>
      <c r="E232" s="48" t="inlineStr">
        <is>
          <t xml:space="preserve">New business</t>
        </is>
      </c>
      <c r="F232" s="46" t="inlineStr">
        <is>
          <t xml:space="preserve">B1234EXOTIC26</t>
        </is>
      </c>
      <c r="G232" s="33">
        <f>IF($A232="","",IF($C232="","",YEAR($C232)))</f>
      </c>
      <c r="H232" s="49">
        <v>1969</v>
      </c>
      <c r="I232" s="46" t="inlineStr">
        <is>
          <t xml:space="preserve">Mercedes-Benz</t>
        </is>
      </c>
      <c r="J232" s="46" t="inlineStr">
        <is>
          <t xml:space="preserve">AMG GT</t>
        </is>
      </c>
      <c r="K232" s="46" t="inlineStr">
        <is>
          <t xml:space="preserve">VACGZ64TD6VS95TTR</t>
        </is>
      </c>
      <c r="L232" s="48" t="inlineStr">
        <is>
          <t xml:space="preserve">02 - Sports / GT</t>
        </is>
      </c>
      <c r="M232" s="50">
        <v>390000</v>
      </c>
      <c r="N232" s="48" t="inlineStr">
        <is>
          <t xml:space="preserve">Personal</t>
        </is>
      </c>
      <c r="O232" s="46" t="inlineStr">
        <is>
          <t xml:space="preserve">Personal - regular use</t>
        </is>
      </c>
      <c r="P232" s="46" t="inlineStr">
        <is>
          <t xml:space="preserve">1,000 - 2,500</t>
        </is>
      </c>
      <c r="Q232" s="46" t="inlineStr">
        <is>
          <t xml:space="preserve">New Jersey</t>
        </is>
      </c>
      <c r="R232" s="46" t="inlineStr">
        <is>
          <t xml:space="preserve">07102</t>
        </is>
      </c>
      <c r="S232" s="48" t="inlineStr">
        <is>
          <t xml:space="preserve">Tier 3 - Coastal wind (25-100 miles)</t>
        </is>
      </c>
      <c r="T232" s="36">
        <f>IF($A232="","",IF($S232="","",IFERROR(INDEX('[1]natural catastrophe'!$D$6:$D$17,MATCH($S232,'[1]natural catastrophe'!$B$6:$B$17,0)),"?")))</f>
      </c>
      <c r="U232" s="46" t="inlineStr">
        <is>
          <t xml:space="preserve">2% of agreed value, minimum $10,000</t>
        </is>
      </c>
      <c r="V232" s="48" t="inlineStr">
        <is>
          <t xml:space="preserve">Agreed Value</t>
        </is>
      </c>
      <c r="W232" s="46" t="inlineStr">
        <is>
          <t xml:space="preserve">$1,000</t>
        </is>
      </c>
      <c r="X232" s="48" t="inlineStr">
        <is>
          <t xml:space="preserve">$1,000,000 CSL</t>
        </is>
      </c>
      <c r="Y232" s="46"/>
      <c r="Z232" s="46"/>
      <c r="AA232" s="48" t="inlineStr">
        <is>
          <t xml:space="preserve">Surplus Lines</t>
        </is>
      </c>
      <c r="AB232" s="50">
        <v>4617.38</v>
      </c>
      <c r="AC232" s="51">
        <v>0</v>
      </c>
      <c r="AD232" s="38">
        <f>IF(ISNUMBER($AB232),$AB232*(1+N($AC232)),"")</f>
      </c>
      <c r="AE232" s="50">
        <v>350</v>
      </c>
      <c r="AF232" s="50">
        <v>0</v>
      </c>
      <c r="AG232" s="51"/>
      <c r="AH232" s="39">
        <f>IF(ISNUMBER($AD232),($AD232+$AE232+$AF232)*$AG232,"")</f>
      </c>
      <c r="AI232" s="50"/>
      <c r="AJ232" s="38">
        <f>IF(ISNUMBER($AD232),SUM($AD232:$AH232),"")</f>
      </c>
      <c r="AK232" s="40">
        <f>IF(AND(ISNUMBER($AB232),ISNUMBER($AD232)),IF($AB232&gt;0,$AD232/$AB232,""),"")</f>
      </c>
      <c r="AL232" s="48" t="inlineStr">
        <is>
          <t xml:space="preserve">At technical</t>
        </is>
      </c>
      <c r="AM232" s="41">
        <f>IF(ISNUMBER($AD232),Header!$I$3,"")</f>
      </c>
      <c r="AN232" s="39">
        <f>IF(ISNUMBER($AD232),$AO232+$AP232,"")</f>
      </c>
      <c r="AO232" s="39">
        <f>IF(ISNUMBER($AD232),ROUND($AD232*Header!$K$3,2),"")</f>
      </c>
      <c r="AP232" s="39">
        <f>IF(ISNUMBER($AD232),ROUND($AD232*Header!$M$3,2),"")</f>
      </c>
      <c r="AQ232" s="38">
        <f>IF(ISNUMBER($AD232),ROUND($AD232,2)-$AO232-$AP232,"")</f>
      </c>
      <c r="AR232" s="39">
        <f>IF(ISNUMBER($AD232),IF(Header!$D$34="","?",$AD232*Header!$D$34),"")</f>
      </c>
      <c r="AS232" s="39">
        <f>IF(ISNUMBER($AB232),IF(Header!$D$34="","?",$AB232*Header!$D$34),"")</f>
      </c>
      <c r="AT232" s="42">
        <f>IF(AND(ISNUMBER($AB232),$M232&gt;0),$AB232/$M232*100,"")</f>
      </c>
      <c r="AU232" s="42">
        <f>IF(AND(ISNUMBER($AD232),$M232&gt;0),$AD232/$M232*100,"")</f>
      </c>
      <c r="AV232" s="40">
        <f>IF(AND(ISNUMBER($AB232),ISNUMBER($AD232),ABS($AB232)&gt;0),$AD232/$AB232,"")</f>
      </c>
      <c r="AW232" s="39">
        <f>IF(ISNUMBER($AD232),MAX(0,(1-0.55-Header!$O$3)*Header!$Q$3*$AQ232),"")</f>
      </c>
      <c r="AX232" s="43">
        <f>IF($A232="","",IF(TRIM(IF($A232="","Missing certificate ref. ","") &amp; IF($C232="","Missing effective date. ","") &amp; IF($D232="","Missing binding status. ","") &amp; IF($E232="","Missing movement type. ","") &amp; IF($I232="","Missing make. ","") &amp; IF($L232="","Missing vehicle class. ","") &amp; IF($M232="","Missing agreed value. ","") &amp; IF($N232="","Missing policy type. ","") &amp; IF($Q232="","Missing garaging state. ","") &amp; IF($R232="","Missing garaging ZIP. ","") &amp; IF($S232="","Missing cat zone. ","") &amp; IF($V232="","Missing valuation basis. ","") &amp; IF($W232="","Missing PD deductible. ","") &amp; IF($X232="","Missing liability limit. ","") &amp; IF($AB232="","Missing technical premium. ","") &amp; IF($AF232="","Missing surplus lines tax %. ",""))="","PASS","FAIL: "&amp;TRIM(IF($A232="","Missing certificate ref. ","") &amp; IF($C232="","Missing effective date. ","") &amp; IF($D232="","Missing binding status. ","") &amp; IF($E232="","Missing movement type. ","") &amp; IF($I232="","Missing make. ","") &amp; IF($L232="","Missing vehicle class. ","") &amp; IF($M232="","Missing agreed value. ","") &amp; IF($N232="","Missing policy type. ","") &amp; IF($Q232="","Missing garaging state. ","") &amp; IF($R232="","Missing garaging ZIP. ","") &amp; IF($S232="","Missing cat zone. ","") &amp; IF($V232="","Missing valuation basis. ","") &amp; IF($W232="","Missing PD deductible. ","") &amp; IF($X232="","Missing liability limit. ","") &amp; IF($AB232="","Missing technical premium. ","") &amp; IF($AF232="","Missing surplus lines tax %. ",""))))</f>
      </c>
      <c r="AY232" s="44">
        <f>IF($M232="","",IF(ISNUMBER($M232),IF($M232&gt;=Header!$C$18,"YES — refer","No"),""))</f>
      </c>
      <c r="AZ232" s="44">
        <f>IF($AD232="","",IF(ISNUMBER($AD232),IF($AD232&lt;Header!$C$20,"BELOW MIN PREMIUM","OK"),""))</f>
      </c>
      <c r="BA232" s="48" t="inlineStr">
        <is>
          <t xml:space="preserve">Yes</t>
        </is>
      </c>
      <c r="BB232" s="48" t="inlineStr">
        <is>
          <t xml:space="preserve">Yes</t>
        </is>
      </c>
      <c r="BC232" s="46" t="inlineStr">
        <is>
          <t xml:space="preserve">Synthetic demo data</t>
        </is>
      </c>
      <c r="BE232" s="45">
        <f>IF(OR($A232="",$L232="",$H232=""),"",IF(AND(LEFT($L232,2)="06",$H232&gt;1945),"FAIL - pre-war class, year "&amp;$H232,IF(AND(LEFT($L232,2)="07",OR($H232&lt;1946,$H232&gt;1972)),"FAIL - 1946-72 class, year "&amp;$H232,IF(AND(LEFT($L232,2)="08",OR($H232&lt;1973,$H232&gt;1999)),"FAIL - 1973-99 class, year "&amp;$H232,IF(AND(LEFT($L232,2)="09",OR($H232&lt;2000,$H232&gt;2010)),"FAIL - 2000-10 class, year "&amp;$H232,"OK")))))</f>
      </c>
      <c r="BF232" s="45">
        <f>IF($AD232="","",IF(ROUND($AO232+$AP232+$AQ232-$AD232,2)=0,"OK","FAIL - out by "&amp;TEXT($AO232+$AP232+$AQ232-$AD232,"$0.00")))</f>
      </c>
    </row>
    <row r="233" spans="1:58" ht="18.75" customHeight="1" x14ac:dyDescent="0.25">
      <c r="A233" s="30" t="inlineStr">
        <is>
          <t xml:space="preserve">CANON-202511-002480</t>
        </is>
      </c>
      <c r="B233" s="30" t="inlineStr">
        <is>
          <t xml:space="preserve">Ottilie Fairweather</t>
        </is>
      </c>
      <c r="C233" s="31">
        <v>45988</v>
      </c>
      <c r="D233" s="32" t="inlineStr">
        <is>
          <t xml:space="preserve">Bound - within authority</t>
        </is>
      </c>
      <c r="E233" s="32" t="inlineStr">
        <is>
          <t xml:space="preserve">New business</t>
        </is>
      </c>
      <c r="F233" s="30" t="inlineStr">
        <is>
          <t xml:space="preserve">B1234EXOTIC26</t>
        </is>
      </c>
      <c r="G233" s="33">
        <f>IF($A233="","",IF($C233="","",YEAR($C233)))</f>
      </c>
      <c r="H233" s="34">
        <v>2005</v>
      </c>
      <c r="I233" s="30" t="inlineStr">
        <is>
          <t xml:space="preserve">Bentley</t>
        </is>
      </c>
      <c r="J233" s="30" t="inlineStr">
        <is>
          <t xml:space="preserve">Continental GT</t>
        </is>
      </c>
      <c r="K233" s="30" t="inlineStr">
        <is>
          <t xml:space="preserve">CYRU14PM44Z4PCKXA</t>
        </is>
      </c>
      <c r="L233" s="32" t="inlineStr">
        <is>
          <t xml:space="preserve">02 - Sports / GT</t>
        </is>
      </c>
      <c r="M233" s="35">
        <v>555000</v>
      </c>
      <c r="N233" s="32" t="inlineStr">
        <is>
          <t xml:space="preserve">Personal</t>
        </is>
      </c>
      <c r="O233" s="30" t="inlineStr">
        <is>
          <t xml:space="preserve">Personal - regular use</t>
        </is>
      </c>
      <c r="P233" s="30" t="inlineStr">
        <is>
          <t xml:space="preserve">1,000 - 2,500</t>
        </is>
      </c>
      <c r="Q233" s="30" t="inlineStr">
        <is>
          <t xml:space="preserve">Wyoming</t>
        </is>
      </c>
      <c r="R233" s="30" t="inlineStr">
        <is>
          <t xml:space="preserve">82001</t>
        </is>
      </c>
      <c r="S233" s="32" t="inlineStr">
        <is>
          <t xml:space="preserve">Severe convective - hail alley (high)</t>
        </is>
      </c>
      <c r="T233" s="36">
        <f>IF($A233="","",IF($S233="","",IFERROR(INDEX('[1]natural catastrophe'!$D$6:$D$17,MATCH($S233,'[1]natural catastrophe'!$B$6:$B$17,0)),"?")))</f>
      </c>
      <c r="U233" s="30" t="inlineStr">
        <is>
          <t xml:space="preserve">$5,000</t>
        </is>
      </c>
      <c r="V233" s="32" t="inlineStr">
        <is>
          <t xml:space="preserve">Agreed Value</t>
        </is>
      </c>
      <c r="W233" s="30" t="inlineStr">
        <is>
          <t xml:space="preserve">$1,000</t>
        </is>
      </c>
      <c r="X233" s="32" t="inlineStr">
        <is>
          <t xml:space="preserve">$1,000,000 CSL</t>
        </is>
      </c>
      <c r="Y233" s="30"/>
      <c r="Z233" s="30"/>
      <c r="AA233" s="32" t="inlineStr">
        <is>
          <t xml:space="preserve">Surplus Lines</t>
        </is>
      </c>
      <c r="AB233" s="35">
        <v>6696.05</v>
      </c>
      <c r="AC233" s="37">
        <v>0</v>
      </c>
      <c r="AD233" s="38">
        <f>IF(ISNUMBER($AB233),$AB233*(1+N($AC233)),"")</f>
      </c>
      <c r="AE233" s="35">
        <v>350</v>
      </c>
      <c r="AF233" s="35">
        <v>0</v>
      </c>
      <c r="AG233" s="37"/>
      <c r="AH233" s="39">
        <f>IF(ISNUMBER($AD233),($AD233+$AE233+$AF233)*$AG233,"")</f>
      </c>
      <c r="AI233" s="35"/>
      <c r="AJ233" s="38">
        <f>IF(ISNUMBER($AD233),SUM($AD233:$AH233),"")</f>
      </c>
      <c r="AK233" s="40">
        <f>IF(AND(ISNUMBER($AB233),ISNUMBER($AD233)),IF($AB233&gt;0,$AD233/$AB233,""),"")</f>
      </c>
      <c r="AL233" s="32" t="inlineStr">
        <is>
          <t xml:space="preserve">At technical</t>
        </is>
      </c>
      <c r="AM233" s="41">
        <f>IF(ISNUMBER($AD233),Header!$I$3,"")</f>
      </c>
      <c r="AN233" s="39">
        <f>IF(ISNUMBER($AD233),$AO233+$AP233,"")</f>
      </c>
      <c r="AO233" s="39">
        <f>IF(ISNUMBER($AD233),ROUND($AD233*Header!$K$3,2),"")</f>
      </c>
      <c r="AP233" s="39">
        <f>IF(ISNUMBER($AD233),ROUND($AD233*Header!$M$3,2),"")</f>
      </c>
      <c r="AQ233" s="38">
        <f>IF(ISNUMBER($AD233),ROUND($AD233,2)-$AO233-$AP233,"")</f>
      </c>
      <c r="AR233" s="39">
        <f>IF(ISNUMBER($AD233),IF(Header!$D$34="","?",$AD233*Header!$D$34),"")</f>
      </c>
      <c r="AS233" s="39">
        <f>IF(ISNUMBER($AB233),IF(Header!$D$34="","?",$AB233*Header!$D$34),"")</f>
      </c>
      <c r="AT233" s="42">
        <f>IF(AND(ISNUMBER($AB233),$M233&gt;0),$AB233/$M233*100,"")</f>
      </c>
      <c r="AU233" s="42">
        <f>IF(AND(ISNUMBER($AD233),$M233&gt;0),$AD233/$M233*100,"")</f>
      </c>
      <c r="AV233" s="40">
        <f>IF(AND(ISNUMBER($AB233),ISNUMBER($AD233),ABS($AB233)&gt;0),$AD233/$AB233,"")</f>
      </c>
      <c r="AW233" s="39">
        <f>IF(ISNUMBER($AD233),MAX(0,(1-0.55-Header!$O$3)*Header!$Q$3*$AQ233),"")</f>
      </c>
      <c r="AX233" s="43">
        <f>IF($A233="","",IF(TRIM(IF($A233="","Missing certificate ref. ","") &amp; IF($C233="","Missing effective date. ","") &amp; IF($D233="","Missing binding status. ","") &amp; IF($E233="","Missing movement type. ","") &amp; IF($I233="","Missing make. ","") &amp; IF($L233="","Missing vehicle class. ","") &amp; IF($M233="","Missing agreed value. ","") &amp; IF($N233="","Missing policy type. ","") &amp; IF($Q233="","Missing garaging state. ","") &amp; IF($R233="","Missing garaging ZIP. ","") &amp; IF($S233="","Missing cat zone. ","") &amp; IF($V233="","Missing valuation basis. ","") &amp; IF($W233="","Missing PD deductible. ","") &amp; IF($X233="","Missing liability limit. ","") &amp; IF($AB233="","Missing technical premium. ","") &amp; IF($AF233="","Missing surplus lines tax %. ",""))="","PASS","FAIL: "&amp;TRIM(IF($A233="","Missing certificate ref. ","") &amp; IF($C233="","Missing effective date. ","") &amp; IF($D233="","Missing binding status. ","") &amp; IF($E233="","Missing movement type. ","") &amp; IF($I233="","Missing make. ","") &amp; IF($L233="","Missing vehicle class. ","") &amp; IF($M233="","Missing agreed value. ","") &amp; IF($N233="","Missing policy type. ","") &amp; IF($Q233="","Missing garaging state. ","") &amp; IF($R233="","Missing garaging ZIP. ","") &amp; IF($S233="","Missing cat zone. ","") &amp; IF($V233="","Missing valuation basis. ","") &amp; IF($W233="","Missing PD deductible. ","") &amp; IF($X233="","Missing liability limit. ","") &amp; IF($AB233="","Missing technical premium. ","") &amp; IF($AF233="","Missing surplus lines tax %. ",""))))</f>
      </c>
      <c r="AY233" s="44">
        <f>IF($M233="","",IF(ISNUMBER($M233),IF($M233&gt;=Header!$C$18,"YES — refer","No"),""))</f>
      </c>
      <c r="AZ233" s="44">
        <f>IF($AD233="","",IF(ISNUMBER($AD233),IF($AD233&lt;Header!$C$20,"BELOW MIN PREMIUM","OK"),""))</f>
      </c>
      <c r="BA233" s="32" t="inlineStr">
        <is>
          <t xml:space="preserve">Yes</t>
        </is>
      </c>
      <c r="BB233" s="32" t="inlineStr">
        <is>
          <t xml:space="preserve">Yes</t>
        </is>
      </c>
      <c r="BC233" s="30" t="inlineStr">
        <is>
          <t xml:space="preserve">Synthetic demo data</t>
        </is>
      </c>
      <c r="BE233" s="45">
        <f>IF(OR($A233="",$L233="",$H233=""),"",IF(AND(LEFT($L233,2)="06",$H233&gt;1945),"FAIL - pre-war class, year "&amp;$H233,IF(AND(LEFT($L233,2)="07",OR($H233&lt;1946,$H233&gt;1972)),"FAIL - 1946-72 class, year "&amp;$H233,IF(AND(LEFT($L233,2)="08",OR($H233&lt;1973,$H233&gt;1999)),"FAIL - 1973-99 class, year "&amp;$H233,IF(AND(LEFT($L233,2)="09",OR($H233&lt;2000,$H233&gt;2010)),"FAIL - 2000-10 class, year "&amp;$H233,"OK")))))</f>
      </c>
      <c r="BF233" s="45">
        <f>IF($AD233="","",IF(ROUND($AO233+$AP233+$AQ233-$AD233,2)=0,"OK","FAIL - out by "&amp;TEXT($AO233+$AP233+$AQ233-$AD233,"$0.00")))</f>
      </c>
    </row>
    <row r="234" spans="1:58" ht="18.75" customHeight="1" x14ac:dyDescent="0.25">
      <c r="A234" s="46" t="inlineStr">
        <is>
          <t xml:space="preserve">CANON-202511-002481</t>
        </is>
      </c>
      <c r="B234" s="46" t="inlineStr">
        <is>
          <t xml:space="preserve">Marisol Delacroix</t>
        </is>
      </c>
      <c r="C234" s="47">
        <v>45976</v>
      </c>
      <c r="D234" s="48" t="inlineStr">
        <is>
          <t xml:space="preserve">Bound - within authority</t>
        </is>
      </c>
      <c r="E234" s="48" t="inlineStr">
        <is>
          <t xml:space="preserve">New business</t>
        </is>
      </c>
      <c r="F234" s="46" t="inlineStr">
        <is>
          <t xml:space="preserve">B1234EXOTIC26</t>
        </is>
      </c>
      <c r="G234" s="33">
        <f>IF($A234="","",IF($C234="","",YEAR($C234)))</f>
      </c>
      <c r="H234" s="49">
        <v>1996</v>
      </c>
      <c r="I234" s="46" t="inlineStr">
        <is>
          <t xml:space="preserve">Jaguar</t>
        </is>
      </c>
      <c r="J234" s="46" t="inlineStr">
        <is>
          <t xml:space="preserve">E-Type Series 1</t>
        </is>
      </c>
      <c r="K234" s="46" t="inlineStr">
        <is>
          <t xml:space="preserve">BNYTR7PZSPKLZBRLE</t>
        </is>
      </c>
      <c r="L234" s="48" t="inlineStr">
        <is>
          <t xml:space="preserve">08 - Modern Classic (1973-1999)</t>
        </is>
      </c>
      <c r="M234" s="50">
        <v>255000</v>
      </c>
      <c r="N234" s="48" t="inlineStr">
        <is>
          <t xml:space="preserve">Personal</t>
        </is>
      </c>
      <c r="O234" s="46" t="inlineStr">
        <is>
          <t xml:space="preserve">Personal - regular use</t>
        </is>
      </c>
      <c r="P234" s="46" t="inlineStr">
        <is>
          <t xml:space="preserve">1,000 - 2,500</t>
        </is>
      </c>
      <c r="Q234" s="46" t="inlineStr">
        <is>
          <t xml:space="preserve">Texas</t>
        </is>
      </c>
      <c r="R234" s="46" t="inlineStr">
        <is>
          <t xml:space="preserve">75201</t>
        </is>
      </c>
      <c r="S234" s="48" t="inlineStr">
        <is>
          <t xml:space="preserve">Tier 2 - Coastal wind (1-25 miles)</t>
        </is>
      </c>
      <c r="T234" s="36">
        <f>IF($A234="","",IF($S234="","",IFERROR(INDEX('[1]natural catastrophe'!$D$6:$D$17,MATCH($S234,'[1]natural catastrophe'!$B$6:$B$17,0)),"?")))</f>
      </c>
      <c r="U234" s="46" t="inlineStr">
        <is>
          <t xml:space="preserve">2% of agreed value, minimum $10,000</t>
        </is>
      </c>
      <c r="V234" s="48" t="inlineStr">
        <is>
          <t xml:space="preserve">Agreed Value</t>
        </is>
      </c>
      <c r="W234" s="46" t="inlineStr">
        <is>
          <t xml:space="preserve">$1,000</t>
        </is>
      </c>
      <c r="X234" s="48" t="inlineStr">
        <is>
          <t xml:space="preserve">$1,000,000 CSL</t>
        </is>
      </c>
      <c r="Y234" s="46"/>
      <c r="Z234" s="46"/>
      <c r="AA234" s="48" t="inlineStr">
        <is>
          <t xml:space="preserve">Surplus Lines</t>
        </is>
      </c>
      <c r="AB234" s="50">
        <v>2441.79</v>
      </c>
      <c r="AC234" s="51">
        <v>0</v>
      </c>
      <c r="AD234" s="38">
        <f>IF(ISNUMBER($AB234),$AB234*(1+N($AC234)),"")</f>
      </c>
      <c r="AE234" s="50">
        <v>350</v>
      </c>
      <c r="AF234" s="50">
        <v>0</v>
      </c>
      <c r="AG234" s="51"/>
      <c r="AH234" s="39">
        <f>IF(ISNUMBER($AD234),($AD234+$AE234+$AF234)*$AG234,"")</f>
      </c>
      <c r="AI234" s="50"/>
      <c r="AJ234" s="38">
        <f>IF(ISNUMBER($AD234),SUM($AD234:$AH234),"")</f>
      </c>
      <c r="AK234" s="40">
        <f>IF(AND(ISNUMBER($AB234),ISNUMBER($AD234)),IF($AB234&gt;0,$AD234/$AB234,""),"")</f>
      </c>
      <c r="AL234" s="48" t="inlineStr">
        <is>
          <t xml:space="preserve">At technical</t>
        </is>
      </c>
      <c r="AM234" s="41">
        <f>IF(ISNUMBER($AD234),Header!$I$3,"")</f>
      </c>
      <c r="AN234" s="39">
        <f>IF(ISNUMBER($AD234),$AO234+$AP234,"")</f>
      </c>
      <c r="AO234" s="39">
        <f>IF(ISNUMBER($AD234),ROUND($AD234*Header!$K$3,2),"")</f>
      </c>
      <c r="AP234" s="39">
        <f>IF(ISNUMBER($AD234),ROUND($AD234*Header!$M$3,2),"")</f>
      </c>
      <c r="AQ234" s="38">
        <f>IF(ISNUMBER($AD234),ROUND($AD234,2)-$AO234-$AP234,"")</f>
      </c>
      <c r="AR234" s="39">
        <f>IF(ISNUMBER($AD234),IF(Header!$D$34="","?",$AD234*Header!$D$34),"")</f>
      </c>
      <c r="AS234" s="39">
        <f>IF(ISNUMBER($AB234),IF(Header!$D$34="","?",$AB234*Header!$D$34),"")</f>
      </c>
      <c r="AT234" s="42">
        <f>IF(AND(ISNUMBER($AB234),$M234&gt;0),$AB234/$M234*100,"")</f>
      </c>
      <c r="AU234" s="42">
        <f>IF(AND(ISNUMBER($AD234),$M234&gt;0),$AD234/$M234*100,"")</f>
      </c>
      <c r="AV234" s="40">
        <f>IF(AND(ISNUMBER($AB234),ISNUMBER($AD234),ABS($AB234)&gt;0),$AD234/$AB234,"")</f>
      </c>
      <c r="AW234" s="39">
        <f>IF(ISNUMBER($AD234),MAX(0,(1-0.55-Header!$O$3)*Header!$Q$3*$AQ234),"")</f>
      </c>
      <c r="AX234" s="43">
        <f>IF($A234="","",IF(TRIM(IF($A234="","Missing certificate ref. ","") &amp; IF($C234="","Missing effective date. ","") &amp; IF($D234="","Missing binding status. ","") &amp; IF($E234="","Missing movement type. ","") &amp; IF($I234="","Missing make. ","") &amp; IF($L234="","Missing vehicle class. ","") &amp; IF($M234="","Missing agreed value. ","") &amp; IF($N234="","Missing policy type. ","") &amp; IF($Q234="","Missing garaging state. ","") &amp; IF($R234="","Missing garaging ZIP. ","") &amp; IF($S234="","Missing cat zone. ","") &amp; IF($V234="","Missing valuation basis. ","") &amp; IF($W234="","Missing PD deductible. ","") &amp; IF($X234="","Missing liability limit. ","") &amp; IF($AB234="","Missing technical premium. ","") &amp; IF($AF234="","Missing surplus lines tax %. ",""))="","PASS","FAIL: "&amp;TRIM(IF($A234="","Missing certificate ref. ","") &amp; IF($C234="","Missing effective date. ","") &amp; IF($D234="","Missing binding status. ","") &amp; IF($E234="","Missing movement type. ","") &amp; IF($I234="","Missing make. ","") &amp; IF($L234="","Missing vehicle class. ","") &amp; IF($M234="","Missing agreed value. ","") &amp; IF($N234="","Missing policy type. ","") &amp; IF($Q234="","Missing garaging state. ","") &amp; IF($R234="","Missing garaging ZIP. ","") &amp; IF($S234="","Missing cat zone. ","") &amp; IF($V234="","Missing valuation basis. ","") &amp; IF($W234="","Missing PD deductible. ","") &amp; IF($X234="","Missing liability limit. ","") &amp; IF($AB234="","Missing technical premium. ","") &amp; IF($AF234="","Missing surplus lines tax %. ",""))))</f>
      </c>
      <c r="AY234" s="44">
        <f>IF($M234="","",IF(ISNUMBER($M234),IF($M234&gt;=Header!$C$18,"YES — refer","No"),""))</f>
      </c>
      <c r="AZ234" s="44">
        <f>IF($AD234="","",IF(ISNUMBER($AD234),IF($AD234&lt;Header!$C$20,"BELOW MIN PREMIUM","OK"),""))</f>
      </c>
      <c r="BA234" s="48" t="inlineStr">
        <is>
          <t xml:space="preserve">Yes</t>
        </is>
      </c>
      <c r="BB234" s="48" t="inlineStr">
        <is>
          <t xml:space="preserve">Yes</t>
        </is>
      </c>
      <c r="BC234" s="46" t="inlineStr">
        <is>
          <t xml:space="preserve">Synthetic demo data</t>
        </is>
      </c>
      <c r="BE234" s="45">
        <f>IF(OR($A234="",$L234="",$H234=""),"",IF(AND(LEFT($L234,2)="06",$H234&gt;1945),"FAIL - pre-war class, year "&amp;$H234,IF(AND(LEFT($L234,2)="07",OR($H234&lt;1946,$H234&gt;1972)),"FAIL - 1946-72 class, year "&amp;$H234,IF(AND(LEFT($L234,2)="08",OR($H234&lt;1973,$H234&gt;1999)),"FAIL - 1973-99 class, year "&amp;$H234,IF(AND(LEFT($L234,2)="09",OR($H234&lt;2000,$H234&gt;2010)),"FAIL - 2000-10 class, year "&amp;$H234,"OK")))))</f>
      </c>
      <c r="BF234" s="45">
        <f>IF($AD234="","",IF(ROUND($AO234+$AP234+$AQ234-$AD234,2)=0,"OK","FAIL - out by "&amp;TEXT($AO234+$AP234+$AQ234-$AD234,"$0.00")))</f>
      </c>
    </row>
    <row r="235" spans="1:58" ht="18.75" customHeight="1" x14ac:dyDescent="0.25">
      <c r="A235" s="30" t="inlineStr">
        <is>
          <t xml:space="preserve">CANON-202511-002482</t>
        </is>
      </c>
      <c r="B235" s="30" t="inlineStr">
        <is>
          <t xml:space="preserve">Leopold Thistlewood</t>
        </is>
      </c>
      <c r="C235" s="31">
        <v>45963</v>
      </c>
      <c r="D235" s="32" t="inlineStr">
        <is>
          <t xml:space="preserve">Bound - within authority</t>
        </is>
      </c>
      <c r="E235" s="32" t="inlineStr">
        <is>
          <t xml:space="preserve">New business</t>
        </is>
      </c>
      <c r="F235" s="30" t="inlineStr">
        <is>
          <t xml:space="preserve">B1234EXOTIC26</t>
        </is>
      </c>
      <c r="G235" s="33">
        <f>IF($A235="","",IF($C235="","",YEAR($C235)))</f>
      </c>
      <c r="H235" s="34">
        <v>1977</v>
      </c>
      <c r="I235" s="30" t="inlineStr">
        <is>
          <t xml:space="preserve">Ferrari</t>
        </is>
      </c>
      <c r="J235" s="30" t="inlineStr">
        <is>
          <t xml:space="preserve">SF90 Stradale</t>
        </is>
      </c>
      <c r="K235" s="30" t="inlineStr">
        <is>
          <t xml:space="preserve">DSKL3EEN8P6SE50JY</t>
        </is>
      </c>
      <c r="L235" s="32" t="inlineStr">
        <is>
          <t xml:space="preserve">03 - Supercar</t>
        </is>
      </c>
      <c r="M235" s="35">
        <v>230000</v>
      </c>
      <c r="N235" s="32" t="inlineStr">
        <is>
          <t xml:space="preserve">Personal</t>
        </is>
      </c>
      <c r="O235" s="30" t="inlineStr">
        <is>
          <t xml:space="preserve">Personal - regular use</t>
        </is>
      </c>
      <c r="P235" s="30" t="inlineStr">
        <is>
          <t xml:space="preserve">1,000 - 2,500</t>
        </is>
      </c>
      <c r="Q235" s="30" t="inlineStr">
        <is>
          <t xml:space="preserve">New Mexico</t>
        </is>
      </c>
      <c r="R235" s="30" t="inlineStr">
        <is>
          <t xml:space="preserve">87501</t>
        </is>
      </c>
      <c r="S235" s="32" t="inlineStr">
        <is>
          <t xml:space="preserve">Wildfire - WUI high hazard</t>
        </is>
      </c>
      <c r="T235" s="36">
        <f>IF($A235="","",IF($S235="","",IFERROR(INDEX('[1]natural catastrophe'!$D$6:$D$17,MATCH($S235,'[1]natural catastrophe'!$B$6:$B$17,0)),"?")))</f>
      </c>
      <c r="U235" s="30" t="inlineStr">
        <is>
          <t xml:space="preserve">$5,000</t>
        </is>
      </c>
      <c r="V235" s="32" t="inlineStr">
        <is>
          <t xml:space="preserve">Agreed Value</t>
        </is>
      </c>
      <c r="W235" s="30" t="inlineStr">
        <is>
          <t xml:space="preserve">$1,000</t>
        </is>
      </c>
      <c r="X235" s="32" t="inlineStr">
        <is>
          <t xml:space="preserve">$1,000,000 CSL</t>
        </is>
      </c>
      <c r="Y235" s="30"/>
      <c r="Z235" s="30"/>
      <c r="AA235" s="32" t="inlineStr">
        <is>
          <t xml:space="preserve">Surplus Lines</t>
        </is>
      </c>
      <c r="AB235" s="35">
        <v>7251.95</v>
      </c>
      <c r="AC235" s="37">
        <v>0</v>
      </c>
      <c r="AD235" s="38">
        <f>IF(ISNUMBER($AB235),$AB235*(1+N($AC235)),"")</f>
      </c>
      <c r="AE235" s="35">
        <v>350</v>
      </c>
      <c r="AF235" s="35">
        <v>0</v>
      </c>
      <c r="AG235" s="37"/>
      <c r="AH235" s="39">
        <f>IF(ISNUMBER($AD235),($AD235+$AE235+$AF235)*$AG235,"")</f>
      </c>
      <c r="AI235" s="35"/>
      <c r="AJ235" s="38">
        <f>IF(ISNUMBER($AD235),SUM($AD235:$AH235),"")</f>
      </c>
      <c r="AK235" s="40">
        <f>IF(AND(ISNUMBER($AB235),ISNUMBER($AD235)),IF($AB235&gt;0,$AD235/$AB235,""),"")</f>
      </c>
      <c r="AL235" s="32" t="inlineStr">
        <is>
          <t xml:space="preserve">At technical</t>
        </is>
      </c>
      <c r="AM235" s="41">
        <f>IF(ISNUMBER($AD235),Header!$I$3,"")</f>
      </c>
      <c r="AN235" s="39">
        <f>IF(ISNUMBER($AD235),$AO235+$AP235,"")</f>
      </c>
      <c r="AO235" s="39">
        <f>IF(ISNUMBER($AD235),ROUND($AD235*Header!$K$3,2),"")</f>
      </c>
      <c r="AP235" s="39">
        <f>IF(ISNUMBER($AD235),ROUND($AD235*Header!$M$3,2),"")</f>
      </c>
      <c r="AQ235" s="38">
        <f>IF(ISNUMBER($AD235),ROUND($AD235,2)-$AO235-$AP235,"")</f>
      </c>
      <c r="AR235" s="39">
        <f>IF(ISNUMBER($AD235),IF(Header!$D$34="","?",$AD235*Header!$D$34),"")</f>
      </c>
      <c r="AS235" s="39">
        <f>IF(ISNUMBER($AB235),IF(Header!$D$34="","?",$AB235*Header!$D$34),"")</f>
      </c>
      <c r="AT235" s="42">
        <f>IF(AND(ISNUMBER($AB235),$M235&gt;0),$AB235/$M235*100,"")</f>
      </c>
      <c r="AU235" s="42">
        <f>IF(AND(ISNUMBER($AD235),$M235&gt;0),$AD235/$M235*100,"")</f>
      </c>
      <c r="AV235" s="40">
        <f>IF(AND(ISNUMBER($AB235),ISNUMBER($AD235),ABS($AB235)&gt;0),$AD235/$AB235,"")</f>
      </c>
      <c r="AW235" s="39">
        <f>IF(ISNUMBER($AD235),MAX(0,(1-0.55-Header!$O$3)*Header!$Q$3*$AQ235),"")</f>
      </c>
      <c r="AX235" s="43">
        <f>IF($A235="","",IF(TRIM(IF($A235="","Missing certificate ref. ","") &amp; IF($C235="","Missing effective date. ","") &amp; IF($D235="","Missing binding status. ","") &amp; IF($E235="","Missing movement type. ","") &amp; IF($I235="","Missing make. ","") &amp; IF($L235="","Missing vehicle class. ","") &amp; IF($M235="","Missing agreed value. ","") &amp; IF($N235="","Missing policy type. ","") &amp; IF($Q235="","Missing garaging state. ","") &amp; IF($R235="","Missing garaging ZIP. ","") &amp; IF($S235="","Missing cat zone. ","") &amp; IF($V235="","Missing valuation basis. ","") &amp; IF($W235="","Missing PD deductible. ","") &amp; IF($X235="","Missing liability limit. ","") &amp; IF($AB235="","Missing technical premium. ","") &amp; IF($AF235="","Missing surplus lines tax %. ",""))="","PASS","FAIL: "&amp;TRIM(IF($A235="","Missing certificate ref. ","") &amp; IF($C235="","Missing effective date. ","") &amp; IF($D235="","Missing binding status. ","") &amp; IF($E235="","Missing movement type. ","") &amp; IF($I235="","Missing make. ","") &amp; IF($L235="","Missing vehicle class. ","") &amp; IF($M235="","Missing agreed value. ","") &amp; IF($N235="","Missing policy type. ","") &amp; IF($Q235="","Missing garaging state. ","") &amp; IF($R235="","Missing garaging ZIP. ","") &amp; IF($S235="","Missing cat zone. ","") &amp; IF($V235="","Missing valuation basis. ","") &amp; IF($W235="","Missing PD deductible. ","") &amp; IF($X235="","Missing liability limit. ","") &amp; IF($AB235="","Missing technical premium. ","") &amp; IF($AF235="","Missing surplus lines tax %. ",""))))</f>
      </c>
      <c r="AY235" s="44">
        <f>IF($M235="","",IF(ISNUMBER($M235),IF($M235&gt;=Header!$C$18,"YES — refer","No"),""))</f>
      </c>
      <c r="AZ235" s="44">
        <f>IF($AD235="","",IF(ISNUMBER($AD235),IF($AD235&lt;Header!$C$20,"BELOW MIN PREMIUM","OK"),""))</f>
      </c>
      <c r="BA235" s="32" t="inlineStr">
        <is>
          <t xml:space="preserve">Yes</t>
        </is>
      </c>
      <c r="BB235" s="32" t="inlineStr">
        <is>
          <t xml:space="preserve">Yes</t>
        </is>
      </c>
      <c r="BC235" s="30" t="inlineStr">
        <is>
          <t xml:space="preserve">Synthetic demo data</t>
        </is>
      </c>
      <c r="BE235" s="45">
        <f>IF(OR($A235="",$L235="",$H235=""),"",IF(AND(LEFT($L235,2)="06",$H235&gt;1945),"FAIL - pre-war class, year "&amp;$H235,IF(AND(LEFT($L235,2)="07",OR($H235&lt;1946,$H235&gt;1972)),"FAIL - 1946-72 class, year "&amp;$H235,IF(AND(LEFT($L235,2)="08",OR($H235&lt;1973,$H235&gt;1999)),"FAIL - 1973-99 class, year "&amp;$H235,IF(AND(LEFT($L235,2)="09",OR($H235&lt;2000,$H235&gt;2010)),"FAIL - 2000-10 class, year "&amp;$H235,"OK")))))</f>
      </c>
      <c r="BF235" s="45">
        <f>IF($AD235="","",IF(ROUND($AO235+$AP235+$AQ235-$AD235,2)=0,"OK","FAIL - out by "&amp;TEXT($AO235+$AP235+$AQ235-$AD235,"$0.00")))</f>
      </c>
    </row>
    <row r="236" spans="1:58" ht="18.75" customHeight="1" x14ac:dyDescent="0.25">
      <c r="A236" s="46" t="inlineStr">
        <is>
          <t xml:space="preserve">CANON-202511-002483</t>
        </is>
      </c>
      <c r="B236" s="46" t="inlineStr">
        <is>
          <t xml:space="preserve">Lorenzo Rourke</t>
        </is>
      </c>
      <c r="C236" s="47">
        <v>45973</v>
      </c>
      <c r="D236" s="48" t="inlineStr">
        <is>
          <t xml:space="preserve">Bound - within authority</t>
        </is>
      </c>
      <c r="E236" s="48" t="inlineStr">
        <is>
          <t xml:space="preserve">New business</t>
        </is>
      </c>
      <c r="F236" s="46" t="inlineStr">
        <is>
          <t xml:space="preserve">B1234EXOTIC26</t>
        </is>
      </c>
      <c r="G236" s="33">
        <f>IF($A236="","",IF($C236="","",YEAR($C236)))</f>
      </c>
      <c r="H236" s="49">
        <v>1997</v>
      </c>
      <c r="I236" s="46" t="inlineStr">
        <is>
          <t xml:space="preserve">Bentley</t>
        </is>
      </c>
      <c r="J236" s="46" t="inlineStr">
        <is>
          <t xml:space="preserve">Continental GT</t>
        </is>
      </c>
      <c r="K236" s="46" t="inlineStr">
        <is>
          <t xml:space="preserve">870WGGV4JN3GCTHN5</t>
        </is>
      </c>
      <c r="L236" s="48" t="inlineStr">
        <is>
          <t xml:space="preserve">02 - Sports / GT</t>
        </is>
      </c>
      <c r="M236" s="50">
        <v>345000</v>
      </c>
      <c r="N236" s="48" t="inlineStr">
        <is>
          <t xml:space="preserve">Personal</t>
        </is>
      </c>
      <c r="O236" s="46" t="inlineStr">
        <is>
          <t xml:space="preserve">Personal - regular use</t>
        </is>
      </c>
      <c r="P236" s="46" t="inlineStr">
        <is>
          <t xml:space="preserve">Under 1,000</t>
        </is>
      </c>
      <c r="Q236" s="46" t="inlineStr">
        <is>
          <t xml:space="preserve">Maryland</t>
        </is>
      </c>
      <c r="R236" s="46" t="inlineStr">
        <is>
          <t xml:space="preserve">21201</t>
        </is>
      </c>
      <c r="S236" s="48" t="inlineStr">
        <is>
          <t xml:space="preserve">Tier 3 - Coastal wind (25-100 miles)</t>
        </is>
      </c>
      <c r="T236" s="36">
        <f>IF($A236="","",IF($S236="","",IFERROR(INDEX('[1]natural catastrophe'!$D$6:$D$17,MATCH($S236,'[1]natural catastrophe'!$B$6:$B$17,0)),"?")))</f>
      </c>
      <c r="U236" s="46" t="inlineStr">
        <is>
          <t xml:space="preserve">2% of agreed value, minimum $10,000</t>
        </is>
      </c>
      <c r="V236" s="48" t="inlineStr">
        <is>
          <t xml:space="preserve">Agreed Value</t>
        </is>
      </c>
      <c r="W236" s="46" t="inlineStr">
        <is>
          <t xml:space="preserve">$1,000</t>
        </is>
      </c>
      <c r="X236" s="48" t="inlineStr">
        <is>
          <t xml:space="preserve">$1,000,000 CSL</t>
        </is>
      </c>
      <c r="Y236" s="46"/>
      <c r="Z236" s="46"/>
      <c r="AA236" s="48" t="inlineStr">
        <is>
          <t xml:space="preserve">Surplus Lines</t>
        </is>
      </c>
      <c r="AB236" s="50">
        <v>4264.15</v>
      </c>
      <c r="AC236" s="51">
        <v>0</v>
      </c>
      <c r="AD236" s="38">
        <f>IF(ISNUMBER($AB236),$AB236*(1+N($AC236)),"")</f>
      </c>
      <c r="AE236" s="50">
        <v>350</v>
      </c>
      <c r="AF236" s="50">
        <v>0</v>
      </c>
      <c r="AG236" s="51"/>
      <c r="AH236" s="39">
        <f>IF(ISNUMBER($AD236),($AD236+$AE236+$AF236)*$AG236,"")</f>
      </c>
      <c r="AI236" s="50"/>
      <c r="AJ236" s="38">
        <f>IF(ISNUMBER($AD236),SUM($AD236:$AH236),"")</f>
      </c>
      <c r="AK236" s="40">
        <f>IF(AND(ISNUMBER($AB236),ISNUMBER($AD236)),IF($AB236&gt;0,$AD236/$AB236,""),"")</f>
      </c>
      <c r="AL236" s="48" t="inlineStr">
        <is>
          <t xml:space="preserve">At technical</t>
        </is>
      </c>
      <c r="AM236" s="41">
        <f>IF(ISNUMBER($AD236),Header!$I$3,"")</f>
      </c>
      <c r="AN236" s="39">
        <f>IF(ISNUMBER($AD236),$AO236+$AP236,"")</f>
      </c>
      <c r="AO236" s="39">
        <f>IF(ISNUMBER($AD236),ROUND($AD236*Header!$K$3,2),"")</f>
      </c>
      <c r="AP236" s="39">
        <f>IF(ISNUMBER($AD236),ROUND($AD236*Header!$M$3,2),"")</f>
      </c>
      <c r="AQ236" s="38">
        <f>IF(ISNUMBER($AD236),ROUND($AD236,2)-$AO236-$AP236,"")</f>
      </c>
      <c r="AR236" s="39">
        <f>IF(ISNUMBER($AD236),IF(Header!$D$34="","?",$AD236*Header!$D$34),"")</f>
      </c>
      <c r="AS236" s="39">
        <f>IF(ISNUMBER($AB236),IF(Header!$D$34="","?",$AB236*Header!$D$34),"")</f>
      </c>
      <c r="AT236" s="42">
        <f>IF(AND(ISNUMBER($AB236),$M236&gt;0),$AB236/$M236*100,"")</f>
      </c>
      <c r="AU236" s="42">
        <f>IF(AND(ISNUMBER($AD236),$M236&gt;0),$AD236/$M236*100,"")</f>
      </c>
      <c r="AV236" s="40">
        <f>IF(AND(ISNUMBER($AB236),ISNUMBER($AD236),ABS($AB236)&gt;0),$AD236/$AB236,"")</f>
      </c>
      <c r="AW236" s="39">
        <f>IF(ISNUMBER($AD236),MAX(0,(1-0.55-Header!$O$3)*Header!$Q$3*$AQ236),"")</f>
      </c>
      <c r="AX236" s="43">
        <f>IF($A236="","",IF(TRIM(IF($A236="","Missing certificate ref. ","") &amp; IF($C236="","Missing effective date. ","") &amp; IF($D236="","Missing binding status. ","") &amp; IF($E236="","Missing movement type. ","") &amp; IF($I236="","Missing make. ","") &amp; IF($L236="","Missing vehicle class. ","") &amp; IF($M236="","Missing agreed value. ","") &amp; IF($N236="","Missing policy type. ","") &amp; IF($Q236="","Missing garaging state. ","") &amp; IF($R236="","Missing garaging ZIP. ","") &amp; IF($S236="","Missing cat zone. ","") &amp; IF($V236="","Missing valuation basis. ","") &amp; IF($W236="","Missing PD deductible. ","") &amp; IF($X236="","Missing liability limit. ","") &amp; IF($AB236="","Missing technical premium. ","") &amp; IF($AF236="","Missing surplus lines tax %. ",""))="","PASS","FAIL: "&amp;TRIM(IF($A236="","Missing certificate ref. ","") &amp; IF($C236="","Missing effective date. ","") &amp; IF($D236="","Missing binding status. ","") &amp; IF($E236="","Missing movement type. ","") &amp; IF($I236="","Missing make. ","") &amp; IF($L236="","Missing vehicle class. ","") &amp; IF($M236="","Missing agreed value. ","") &amp; IF($N236="","Missing policy type. ","") &amp; IF($Q236="","Missing garaging state. ","") &amp; IF($R236="","Missing garaging ZIP. ","") &amp; IF($S236="","Missing cat zone. ","") &amp; IF($V236="","Missing valuation basis. ","") &amp; IF($W236="","Missing PD deductible. ","") &amp; IF($X236="","Missing liability limit. ","") &amp; IF($AB236="","Missing technical premium. ","") &amp; IF($AF236="","Missing surplus lines tax %. ",""))))</f>
      </c>
      <c r="AY236" s="44">
        <f>IF($M236="","",IF(ISNUMBER($M236),IF($M236&gt;=Header!$C$18,"YES — refer","No"),""))</f>
      </c>
      <c r="AZ236" s="44">
        <f>IF($AD236="","",IF(ISNUMBER($AD236),IF($AD236&lt;Header!$C$20,"BELOW MIN PREMIUM","OK"),""))</f>
      </c>
      <c r="BA236" s="48" t="inlineStr">
        <is>
          <t xml:space="preserve">Yes</t>
        </is>
      </c>
      <c r="BB236" s="48" t="inlineStr">
        <is>
          <t xml:space="preserve">Yes</t>
        </is>
      </c>
      <c r="BC236" s="46" t="inlineStr">
        <is>
          <t xml:space="preserve">Synthetic demo data</t>
        </is>
      </c>
      <c r="BE236" s="45">
        <f>IF(OR($A236="",$L236="",$H236=""),"",IF(AND(LEFT($L236,2)="06",$H236&gt;1945),"FAIL - pre-war class, year "&amp;$H236,IF(AND(LEFT($L236,2)="07",OR($H236&lt;1946,$H236&gt;1972)),"FAIL - 1946-72 class, year "&amp;$H236,IF(AND(LEFT($L236,2)="08",OR($H236&lt;1973,$H236&gt;1999)),"FAIL - 1973-99 class, year "&amp;$H236,IF(AND(LEFT($L236,2)="09",OR($H236&lt;2000,$H236&gt;2010)),"FAIL - 2000-10 class, year "&amp;$H236,"OK")))))</f>
      </c>
      <c r="BF236" s="45">
        <f>IF($AD236="","",IF(ROUND($AO236+$AP236+$AQ236-$AD236,2)=0,"OK","FAIL - out by "&amp;TEXT($AO236+$AP236+$AQ236-$AD236,"$0.00")))</f>
      </c>
    </row>
    <row r="237" spans="1:58" ht="18.75" customHeight="1" x14ac:dyDescent="0.25">
      <c r="A237" s="30" t="inlineStr">
        <is>
          <t xml:space="preserve">CANON-202511-002484</t>
        </is>
      </c>
      <c r="B237" s="30" t="inlineStr">
        <is>
          <t xml:space="preserve">Fitzgerald Pennington</t>
        </is>
      </c>
      <c r="C237" s="31">
        <v>45973</v>
      </c>
      <c r="D237" s="32" t="inlineStr">
        <is>
          <t xml:space="preserve">Bound - within authority</t>
        </is>
      </c>
      <c r="E237" s="32" t="inlineStr">
        <is>
          <t xml:space="preserve">New business</t>
        </is>
      </c>
      <c r="F237" s="30" t="inlineStr">
        <is>
          <t xml:space="preserve">B1234EXOTIC26</t>
        </is>
      </c>
      <c r="G237" s="33">
        <f>IF($A237="","",IF($C237="","",YEAR($C237)))</f>
      </c>
      <c r="H237" s="34">
        <v>2010</v>
      </c>
      <c r="I237" s="30" t="inlineStr">
        <is>
          <t xml:space="preserve">Aston Martin</t>
        </is>
      </c>
      <c r="J237" s="30" t="inlineStr">
        <is>
          <t xml:space="preserve">DB12</t>
        </is>
      </c>
      <c r="K237" s="30" t="inlineStr">
        <is>
          <t xml:space="preserve">70F1UCGLP74FMJHEZ</t>
        </is>
      </c>
      <c r="L237" s="32" t="inlineStr">
        <is>
          <t xml:space="preserve">02 - Sports / GT</t>
        </is>
      </c>
      <c r="M237" s="35">
        <v>1290000</v>
      </c>
      <c r="N237" s="32" t="inlineStr">
        <is>
          <t xml:space="preserve">Personal</t>
        </is>
      </c>
      <c r="O237" s="30" t="inlineStr">
        <is>
          <t xml:space="preserve">Personal - regular use</t>
        </is>
      </c>
      <c r="P237" s="30" t="inlineStr">
        <is>
          <t xml:space="preserve">Under 1,000</t>
        </is>
      </c>
      <c r="Q237" s="30" t="inlineStr">
        <is>
          <t xml:space="preserve">Wisconsin</t>
        </is>
      </c>
      <c r="R237" s="30" t="inlineStr">
        <is>
          <t xml:space="preserve">53202</t>
        </is>
      </c>
      <c r="S237" s="32" t="inlineStr">
        <is>
          <t xml:space="preserve">Severe convective - hail / tornado (moderate)</t>
        </is>
      </c>
      <c r="T237" s="36">
        <f>IF($A237="","",IF($S237="","",IFERROR(INDEX('[1]natural catastrophe'!$D$6:$D$17,MATCH($S237,'[1]natural catastrophe'!$B$6:$B$17,0)),"?")))</f>
      </c>
      <c r="U237" s="30" t="inlineStr">
        <is>
          <t xml:space="preserve">$5,000</t>
        </is>
      </c>
      <c r="V237" s="32" t="inlineStr">
        <is>
          <t xml:space="preserve">Agreed Value</t>
        </is>
      </c>
      <c r="W237" s="30" t="inlineStr">
        <is>
          <t xml:space="preserve">$1,000</t>
        </is>
      </c>
      <c r="X237" s="32" t="inlineStr">
        <is>
          <t xml:space="preserve">$1,000,000 CSL</t>
        </is>
      </c>
      <c r="Y237" s="30"/>
      <c r="Z237" s="30"/>
      <c r="AA237" s="32" t="inlineStr">
        <is>
          <t xml:space="preserve">Surplus Lines</t>
        </is>
      </c>
      <c r="AB237" s="35">
        <v>14769.38</v>
      </c>
      <c r="AC237" s="37">
        <v>0</v>
      </c>
      <c r="AD237" s="38">
        <f>IF(ISNUMBER($AB237),$AB237*(1+N($AC237)),"")</f>
      </c>
      <c r="AE237" s="35">
        <v>350</v>
      </c>
      <c r="AF237" s="35">
        <v>250</v>
      </c>
      <c r="AG237" s="37"/>
      <c r="AH237" s="39">
        <f>IF(ISNUMBER($AD237),($AD237+$AE237+$AF237)*$AG237,"")</f>
      </c>
      <c r="AI237" s="35"/>
      <c r="AJ237" s="38">
        <f>IF(ISNUMBER($AD237),SUM($AD237:$AH237),"")</f>
      </c>
      <c r="AK237" s="40">
        <f>IF(AND(ISNUMBER($AB237),ISNUMBER($AD237)),IF($AB237&gt;0,$AD237/$AB237,""),"")</f>
      </c>
      <c r="AL237" s="32" t="inlineStr">
        <is>
          <t xml:space="preserve">At technical</t>
        </is>
      </c>
      <c r="AM237" s="41">
        <f>IF(ISNUMBER($AD237),Header!$I$3,"")</f>
      </c>
      <c r="AN237" s="39">
        <f>IF(ISNUMBER($AD237),$AO237+$AP237,"")</f>
      </c>
      <c r="AO237" s="39">
        <f>IF(ISNUMBER($AD237),ROUND($AD237*Header!$K$3,2),"")</f>
      </c>
      <c r="AP237" s="39">
        <f>IF(ISNUMBER($AD237),ROUND($AD237*Header!$M$3,2),"")</f>
      </c>
      <c r="AQ237" s="38">
        <f>IF(ISNUMBER($AD237),ROUND($AD237,2)-$AO237-$AP237,"")</f>
      </c>
      <c r="AR237" s="39">
        <f>IF(ISNUMBER($AD237),IF(Header!$D$34="","?",$AD237*Header!$D$34),"")</f>
      </c>
      <c r="AS237" s="39">
        <f>IF(ISNUMBER($AB237),IF(Header!$D$34="","?",$AB237*Header!$D$34),"")</f>
      </c>
      <c r="AT237" s="42">
        <f>IF(AND(ISNUMBER($AB237),$M237&gt;0),$AB237/$M237*100,"")</f>
      </c>
      <c r="AU237" s="42">
        <f>IF(AND(ISNUMBER($AD237),$M237&gt;0),$AD237/$M237*100,"")</f>
      </c>
      <c r="AV237" s="40">
        <f>IF(AND(ISNUMBER($AB237),ISNUMBER($AD237),ABS($AB237)&gt;0),$AD237/$AB237,"")</f>
      </c>
      <c r="AW237" s="39">
        <f>IF(ISNUMBER($AD237),MAX(0,(1-0.55-Header!$O$3)*Header!$Q$3*$AQ237),"")</f>
      </c>
      <c r="AX237" s="43">
        <f>IF($A237="","",IF(TRIM(IF($A237="","Missing certificate ref. ","") &amp; IF($C237="","Missing effective date. ","") &amp; IF($D237="","Missing binding status. ","") &amp; IF($E237="","Missing movement type. ","") &amp; IF($I237="","Missing make. ","") &amp; IF($L237="","Missing vehicle class. ","") &amp; IF($M237="","Missing agreed value. ","") &amp; IF($N237="","Missing policy type. ","") &amp; IF($Q237="","Missing garaging state. ","") &amp; IF($R237="","Missing garaging ZIP. ","") &amp; IF($S237="","Missing cat zone. ","") &amp; IF($V237="","Missing valuation basis. ","") &amp; IF($W237="","Missing PD deductible. ","") &amp; IF($X237="","Missing liability limit. ","") &amp; IF($AB237="","Missing technical premium. ","") &amp; IF($AF237="","Missing surplus lines tax %. ",""))="","PASS","FAIL: "&amp;TRIM(IF($A237="","Missing certificate ref. ","") &amp; IF($C237="","Missing effective date. ","") &amp; IF($D237="","Missing binding status. ","") &amp; IF($E237="","Missing movement type. ","") &amp; IF($I237="","Missing make. ","") &amp; IF($L237="","Missing vehicle class. ","") &amp; IF($M237="","Missing agreed value. ","") &amp; IF($N237="","Missing policy type. ","") &amp; IF($Q237="","Missing garaging state. ","") &amp; IF($R237="","Missing garaging ZIP. ","") &amp; IF($S237="","Missing cat zone. ","") &amp; IF($V237="","Missing valuation basis. ","") &amp; IF($W237="","Missing PD deductible. ","") &amp; IF($X237="","Missing liability limit. ","") &amp; IF($AB237="","Missing technical premium. ","") &amp; IF($AF237="","Missing surplus lines tax %. ",""))))</f>
      </c>
      <c r="AY237" s="44">
        <f>IF($M237="","",IF(ISNUMBER($M237),IF($M237&gt;=Header!$C$18,"YES — refer","No"),""))</f>
      </c>
      <c r="AZ237" s="44">
        <f>IF($AD237="","",IF(ISNUMBER($AD237),IF($AD237&lt;Header!$C$20,"BELOW MIN PREMIUM","OK"),""))</f>
      </c>
      <c r="BA237" s="32" t="inlineStr">
        <is>
          <t xml:space="preserve">Yes</t>
        </is>
      </c>
      <c r="BB237" s="32" t="inlineStr">
        <is>
          <t xml:space="preserve">Yes</t>
        </is>
      </c>
      <c r="BC237" s="30" t="inlineStr">
        <is>
          <t xml:space="preserve">Synthetic demo data</t>
        </is>
      </c>
      <c r="BE237" s="45">
        <f>IF(OR($A237="",$L237="",$H237=""),"",IF(AND(LEFT($L237,2)="06",$H237&gt;1945),"FAIL - pre-war class, year "&amp;$H237,IF(AND(LEFT($L237,2)="07",OR($H237&lt;1946,$H237&gt;1972)),"FAIL - 1946-72 class, year "&amp;$H237,IF(AND(LEFT($L237,2)="08",OR($H237&lt;1973,$H237&gt;1999)),"FAIL - 1973-99 class, year "&amp;$H237,IF(AND(LEFT($L237,2)="09",OR($H237&lt;2000,$H237&gt;2010)),"FAIL - 2000-10 class, year "&amp;$H237,"OK")))))</f>
      </c>
      <c r="BF237" s="45">
        <f>IF($AD237="","",IF(ROUND($AO237+$AP237+$AQ237-$AD237,2)=0,"OK","FAIL - out by "&amp;TEXT($AO237+$AP237+$AQ237-$AD237,"$0.00")))</f>
      </c>
    </row>
    <row r="238" spans="1:58" ht="18.75" customHeight="1" x14ac:dyDescent="0.25">
      <c r="A238" s="46" t="inlineStr">
        <is>
          <t xml:space="preserve">CANON-202511-002486</t>
        </is>
      </c>
      <c r="B238" s="46" t="inlineStr">
        <is>
          <t xml:space="preserve">Ramona Merriweather</t>
        </is>
      </c>
      <c r="C238" s="47">
        <v>45983</v>
      </c>
      <c r="D238" s="48" t="inlineStr">
        <is>
          <t xml:space="preserve">Bound - within authority</t>
        </is>
      </c>
      <c r="E238" s="48" t="inlineStr">
        <is>
          <t xml:space="preserve">New business</t>
        </is>
      </c>
      <c r="F238" s="46" t="inlineStr">
        <is>
          <t xml:space="preserve">B1234EXOTIC26</t>
        </is>
      </c>
      <c r="G238" s="33">
        <f>IF($A238="","",IF($C238="","",YEAR($C238)))</f>
      </c>
      <c r="H238" s="49">
        <v>1962</v>
      </c>
      <c r="I238" s="46" t="inlineStr">
        <is>
          <t xml:space="preserve">Lamborghini</t>
        </is>
      </c>
      <c r="J238" s="46" t="inlineStr">
        <is>
          <t xml:space="preserve">Huracan EVO</t>
        </is>
      </c>
      <c r="K238" s="46" t="inlineStr">
        <is>
          <t xml:space="preserve">8PFCP2ANY6YUMMUF8</t>
        </is>
      </c>
      <c r="L238" s="48" t="inlineStr">
        <is>
          <t xml:space="preserve">03 - Supercar</t>
        </is>
      </c>
      <c r="M238" s="50">
        <v>1415000</v>
      </c>
      <c r="N238" s="48" t="inlineStr">
        <is>
          <t xml:space="preserve">Personal</t>
        </is>
      </c>
      <c r="O238" s="46" t="inlineStr">
        <is>
          <t xml:space="preserve">Personal - regular use</t>
        </is>
      </c>
      <c r="P238" s="46" t="inlineStr">
        <is>
          <t xml:space="preserve">1,000 - 2,500</t>
        </is>
      </c>
      <c r="Q238" s="46" t="inlineStr">
        <is>
          <t xml:space="preserve">New Hampshire</t>
        </is>
      </c>
      <c r="R238" s="46" t="inlineStr">
        <is>
          <t xml:space="preserve">03301</t>
        </is>
      </c>
      <c r="S238" s="48" t="inlineStr">
        <is>
          <t xml:space="preserve">Tier 3 - Coastal wind (25-100 miles)</t>
        </is>
      </c>
      <c r="T238" s="36">
        <f>IF($A238="","",IF($S238="","",IFERROR(INDEX('[1]natural catastrophe'!$D$6:$D$17,MATCH($S238,'[1]natural catastrophe'!$B$6:$B$17,0)),"?")))</f>
      </c>
      <c r="U238" s="46" t="inlineStr">
        <is>
          <t xml:space="preserve">2% of agreed value, minimum $10,000</t>
        </is>
      </c>
      <c r="V238" s="48" t="inlineStr">
        <is>
          <t xml:space="preserve">Agreed Value</t>
        </is>
      </c>
      <c r="W238" s="46" t="inlineStr">
        <is>
          <t xml:space="preserve">$1,000</t>
        </is>
      </c>
      <c r="X238" s="48" t="inlineStr">
        <is>
          <t xml:space="preserve">$1,000,000 CSL</t>
        </is>
      </c>
      <c r="Y238" s="46"/>
      <c r="Z238" s="46"/>
      <c r="AA238" s="48" t="inlineStr">
        <is>
          <t xml:space="preserve">Surplus Lines</t>
        </is>
      </c>
      <c r="AB238" s="50">
        <v>20422.48</v>
      </c>
      <c r="AC238" s="51">
        <v>0</v>
      </c>
      <c r="AD238" s="38">
        <f>IF(ISNUMBER($AB238),$AB238*(1+N($AC238)),"")</f>
      </c>
      <c r="AE238" s="50">
        <v>350</v>
      </c>
      <c r="AF238" s="50">
        <v>250</v>
      </c>
      <c r="AG238" s="51"/>
      <c r="AH238" s="39">
        <f>IF(ISNUMBER($AD238),($AD238+$AE238+$AF238)*$AG238,"")</f>
      </c>
      <c r="AI238" s="50"/>
      <c r="AJ238" s="38">
        <f>IF(ISNUMBER($AD238),SUM($AD238:$AH238),"")</f>
      </c>
      <c r="AK238" s="40">
        <f>IF(AND(ISNUMBER($AB238),ISNUMBER($AD238)),IF($AB238&gt;0,$AD238/$AB238,""),"")</f>
      </c>
      <c r="AL238" s="48" t="inlineStr">
        <is>
          <t xml:space="preserve">At technical</t>
        </is>
      </c>
      <c r="AM238" s="41">
        <f>IF(ISNUMBER($AD238),Header!$I$3,"")</f>
      </c>
      <c r="AN238" s="39">
        <f>IF(ISNUMBER($AD238),$AO238+$AP238,"")</f>
      </c>
      <c r="AO238" s="39">
        <f>IF(ISNUMBER($AD238),ROUND($AD238*Header!$K$3,2),"")</f>
      </c>
      <c r="AP238" s="39">
        <f>IF(ISNUMBER($AD238),ROUND($AD238*Header!$M$3,2),"")</f>
      </c>
      <c r="AQ238" s="38">
        <f>IF(ISNUMBER($AD238),ROUND($AD238,2)-$AO238-$AP238,"")</f>
      </c>
      <c r="AR238" s="39">
        <f>IF(ISNUMBER($AD238),IF(Header!$D$34="","?",$AD238*Header!$D$34),"")</f>
      </c>
      <c r="AS238" s="39">
        <f>IF(ISNUMBER($AB238),IF(Header!$D$34="","?",$AB238*Header!$D$34),"")</f>
      </c>
      <c r="AT238" s="42">
        <f>IF(AND(ISNUMBER($AB238),$M238&gt;0),$AB238/$M238*100,"")</f>
      </c>
      <c r="AU238" s="42">
        <f>IF(AND(ISNUMBER($AD238),$M238&gt;0),$AD238/$M238*100,"")</f>
      </c>
      <c r="AV238" s="40">
        <f>IF(AND(ISNUMBER($AB238),ISNUMBER($AD238),ABS($AB238)&gt;0),$AD238/$AB238,"")</f>
      </c>
      <c r="AW238" s="39">
        <f>IF(ISNUMBER($AD238),MAX(0,(1-0.55-Header!$O$3)*Header!$Q$3*$AQ238),"")</f>
      </c>
      <c r="AX238" s="43">
        <f>IF($A238="","",IF(TRIM(IF($A238="","Missing certificate ref. ","") &amp; IF($C238="","Missing effective date. ","") &amp; IF($D238="","Missing binding status. ","") &amp; IF($E238="","Missing movement type. ","") &amp; IF($I238="","Missing make. ","") &amp; IF($L238="","Missing vehicle class. ","") &amp; IF($M238="","Missing agreed value. ","") &amp; IF($N238="","Missing policy type. ","") &amp; IF($Q238="","Missing garaging state. ","") &amp; IF($R238="","Missing garaging ZIP. ","") &amp; IF($S238="","Missing cat zone. ","") &amp; IF($V238="","Missing valuation basis. ","") &amp; IF($W238="","Missing PD deductible. ","") &amp; IF($X238="","Missing liability limit. ","") &amp; IF($AB238="","Missing technical premium. ","") &amp; IF($AF238="","Missing surplus lines tax %. ",""))="","PASS","FAIL: "&amp;TRIM(IF($A238="","Missing certificate ref. ","") &amp; IF($C238="","Missing effective date. ","") &amp; IF($D238="","Missing binding status. ","") &amp; IF($E238="","Missing movement type. ","") &amp; IF($I238="","Missing make. ","") &amp; IF($L238="","Missing vehicle class. ","") &amp; IF($M238="","Missing agreed value. ","") &amp; IF($N238="","Missing policy type. ","") &amp; IF($Q238="","Missing garaging state. ","") &amp; IF($R238="","Missing garaging ZIP. ","") &amp; IF($S238="","Missing cat zone. ","") &amp; IF($V238="","Missing valuation basis. ","") &amp; IF($W238="","Missing PD deductible. ","") &amp; IF($X238="","Missing liability limit. ","") &amp; IF($AB238="","Missing technical premium. ","") &amp; IF($AF238="","Missing surplus lines tax %. ",""))))</f>
      </c>
      <c r="AY238" s="44">
        <f>IF($M238="","",IF(ISNUMBER($M238),IF($M238&gt;=Header!$C$18,"YES — refer","No"),""))</f>
      </c>
      <c r="AZ238" s="44">
        <f>IF($AD238="","",IF(ISNUMBER($AD238),IF($AD238&lt;Header!$C$20,"BELOW MIN PREMIUM","OK"),""))</f>
      </c>
      <c r="BA238" s="48" t="inlineStr">
        <is>
          <t xml:space="preserve">Yes</t>
        </is>
      </c>
      <c r="BB238" s="48" t="inlineStr">
        <is>
          <t xml:space="preserve">Yes</t>
        </is>
      </c>
      <c r="BC238" s="46" t="inlineStr">
        <is>
          <t xml:space="preserve">Synthetic demo data</t>
        </is>
      </c>
      <c r="BE238" s="45">
        <f>IF(OR($A238="",$L238="",$H238=""),"",IF(AND(LEFT($L238,2)="06",$H238&gt;1945),"FAIL - pre-war class, year "&amp;$H238,IF(AND(LEFT($L238,2)="07",OR($H238&lt;1946,$H238&gt;1972)),"FAIL - 1946-72 class, year "&amp;$H238,IF(AND(LEFT($L238,2)="08",OR($H238&lt;1973,$H238&gt;1999)),"FAIL - 1973-99 class, year "&amp;$H238,IF(AND(LEFT($L238,2)="09",OR($H238&lt;2000,$H238&gt;2010)),"FAIL - 2000-10 class, year "&amp;$H238,"OK")))))</f>
      </c>
      <c r="BF238" s="45">
        <f>IF($AD238="","",IF(ROUND($AO238+$AP238+$AQ238-$AD238,2)=0,"OK","FAIL - out by "&amp;TEXT($AO238+$AP238+$AQ238-$AD238,"$0.00")))</f>
      </c>
    </row>
    <row r="239" spans="1:58" ht="18.75" customHeight="1" x14ac:dyDescent="0.25">
      <c r="A239" s="30" t="inlineStr">
        <is>
          <t xml:space="preserve">CANON-202511-002488</t>
        </is>
      </c>
      <c r="B239" s="30" t="inlineStr">
        <is>
          <t xml:space="preserve">Leopold Blackwood</t>
        </is>
      </c>
      <c r="C239" s="31">
        <v>45986</v>
      </c>
      <c r="D239" s="32" t="inlineStr">
        <is>
          <t xml:space="preserve">Bound - within authority</t>
        </is>
      </c>
      <c r="E239" s="32" t="inlineStr">
        <is>
          <t xml:space="preserve">New business</t>
        </is>
      </c>
      <c r="F239" s="30" t="inlineStr">
        <is>
          <t xml:space="preserve">B1234EXOTIC26</t>
        </is>
      </c>
      <c r="G239" s="33">
        <f>IF($A239="","",IF($C239="","",YEAR($C239)))</f>
      </c>
      <c r="H239" s="34">
        <v>1966</v>
      </c>
      <c r="I239" s="30" t="inlineStr">
        <is>
          <t xml:space="preserve">Maserati</t>
        </is>
      </c>
      <c r="J239" s="30" t="inlineStr">
        <is>
          <t xml:space="preserve">GranTurismo</t>
        </is>
      </c>
      <c r="K239" s="30" t="inlineStr">
        <is>
          <t xml:space="preserve">MAYJ5N0XJNRLEWGTE</t>
        </is>
      </c>
      <c r="L239" s="32" t="inlineStr">
        <is>
          <t xml:space="preserve">02 - Sports / GT</t>
        </is>
      </c>
      <c r="M239" s="35">
        <v>750000</v>
      </c>
      <c r="N239" s="32" t="inlineStr">
        <is>
          <t xml:space="preserve">Personal</t>
        </is>
      </c>
      <c r="O239" s="30" t="inlineStr">
        <is>
          <t xml:space="preserve">Personal - regular use</t>
        </is>
      </c>
      <c r="P239" s="30" t="inlineStr">
        <is>
          <t xml:space="preserve">2,500 - 5,000</t>
        </is>
      </c>
      <c r="Q239" s="30" t="inlineStr">
        <is>
          <t xml:space="preserve">Oklahoma</t>
        </is>
      </c>
      <c r="R239" s="30" t="inlineStr">
        <is>
          <t xml:space="preserve">73102</t>
        </is>
      </c>
      <c r="S239" s="32" t="inlineStr">
        <is>
          <t xml:space="preserve">Severe convective - hail alley (high)</t>
        </is>
      </c>
      <c r="T239" s="36">
        <f>IF($A239="","",IF($S239="","",IFERROR(INDEX('[1]natural catastrophe'!$D$6:$D$17,MATCH($S239,'[1]natural catastrophe'!$B$6:$B$17,0)),"?")))</f>
      </c>
      <c r="U239" s="30" t="inlineStr">
        <is>
          <t xml:space="preserve">$5,000</t>
        </is>
      </c>
      <c r="V239" s="32" t="inlineStr">
        <is>
          <t xml:space="preserve">Agreed Value</t>
        </is>
      </c>
      <c r="W239" s="30" t="inlineStr">
        <is>
          <t xml:space="preserve">$1,000</t>
        </is>
      </c>
      <c r="X239" s="32" t="inlineStr">
        <is>
          <t xml:space="preserve">$1,000,000 CSL</t>
        </is>
      </c>
      <c r="Y239" s="30"/>
      <c r="Z239" s="30"/>
      <c r="AA239" s="32" t="inlineStr">
        <is>
          <t xml:space="preserve">Surplus Lines</t>
        </is>
      </c>
      <c r="AB239" s="35">
        <v>10655.5</v>
      </c>
      <c r="AC239" s="37">
        <v>0</v>
      </c>
      <c r="AD239" s="38">
        <f>IF(ISNUMBER($AB239),$AB239*(1+N($AC239)),"")</f>
      </c>
      <c r="AE239" s="35">
        <v>350</v>
      </c>
      <c r="AF239" s="35">
        <v>0</v>
      </c>
      <c r="AG239" s="37"/>
      <c r="AH239" s="39">
        <f>IF(ISNUMBER($AD239),($AD239+$AE239+$AF239)*$AG239,"")</f>
      </c>
      <c r="AI239" s="35"/>
      <c r="AJ239" s="38">
        <f>IF(ISNUMBER($AD239),SUM($AD239:$AH239),"")</f>
      </c>
      <c r="AK239" s="40">
        <f>IF(AND(ISNUMBER($AB239),ISNUMBER($AD239)),IF($AB239&gt;0,$AD239/$AB239,""),"")</f>
      </c>
      <c r="AL239" s="32" t="inlineStr">
        <is>
          <t xml:space="preserve">At technical</t>
        </is>
      </c>
      <c r="AM239" s="41">
        <f>IF(ISNUMBER($AD239),Header!$I$3,"")</f>
      </c>
      <c r="AN239" s="39">
        <f>IF(ISNUMBER($AD239),$AO239+$AP239,"")</f>
      </c>
      <c r="AO239" s="39">
        <f>IF(ISNUMBER($AD239),ROUND($AD239*Header!$K$3,2),"")</f>
      </c>
      <c r="AP239" s="39">
        <f>IF(ISNUMBER($AD239),ROUND($AD239*Header!$M$3,2),"")</f>
      </c>
      <c r="AQ239" s="38">
        <f>IF(ISNUMBER($AD239),ROUND($AD239,2)-$AO239-$AP239,"")</f>
      </c>
      <c r="AR239" s="39">
        <f>IF(ISNUMBER($AD239),IF(Header!$D$34="","?",$AD239*Header!$D$34),"")</f>
      </c>
      <c r="AS239" s="39">
        <f>IF(ISNUMBER($AB239),IF(Header!$D$34="","?",$AB239*Header!$D$34),"")</f>
      </c>
      <c r="AT239" s="42">
        <f>IF(AND(ISNUMBER($AB239),$M239&gt;0),$AB239/$M239*100,"")</f>
      </c>
      <c r="AU239" s="42">
        <f>IF(AND(ISNUMBER($AD239),$M239&gt;0),$AD239/$M239*100,"")</f>
      </c>
      <c r="AV239" s="40">
        <f>IF(AND(ISNUMBER($AB239),ISNUMBER($AD239),ABS($AB239)&gt;0),$AD239/$AB239,"")</f>
      </c>
      <c r="AW239" s="39">
        <f>IF(ISNUMBER($AD239),MAX(0,(1-0.55-Header!$O$3)*Header!$Q$3*$AQ239),"")</f>
      </c>
      <c r="AX239" s="43">
        <f>IF($A239="","",IF(TRIM(IF($A239="","Missing certificate ref. ","") &amp; IF($C239="","Missing effective date. ","") &amp; IF($D239="","Missing binding status. ","") &amp; IF($E239="","Missing movement type. ","") &amp; IF($I239="","Missing make. ","") &amp; IF($L239="","Missing vehicle class. ","") &amp; IF($M239="","Missing agreed value. ","") &amp; IF($N239="","Missing policy type. ","") &amp; IF($Q239="","Missing garaging state. ","") &amp; IF($R239="","Missing garaging ZIP. ","") &amp; IF($S239="","Missing cat zone. ","") &amp; IF($V239="","Missing valuation basis. ","") &amp; IF($W239="","Missing PD deductible. ","") &amp; IF($X239="","Missing liability limit. ","") &amp; IF($AB239="","Missing technical premium. ","") &amp; IF($AF239="","Missing surplus lines tax %. ",""))="","PASS","FAIL: "&amp;TRIM(IF($A239="","Missing certificate ref. ","") &amp; IF($C239="","Missing effective date. ","") &amp; IF($D239="","Missing binding status. ","") &amp; IF($E239="","Missing movement type. ","") &amp; IF($I239="","Missing make. ","") &amp; IF($L239="","Missing vehicle class. ","") &amp; IF($M239="","Missing agreed value. ","") &amp; IF($N239="","Missing policy type. ","") &amp; IF($Q239="","Missing garaging state. ","") &amp; IF($R239="","Missing garaging ZIP. ","") &amp; IF($S239="","Missing cat zone. ","") &amp; IF($V239="","Missing valuation basis. ","") &amp; IF($W239="","Missing PD deductible. ","") &amp; IF($X239="","Missing liability limit. ","") &amp; IF($AB239="","Missing technical premium. ","") &amp; IF($AF239="","Missing surplus lines tax %. ",""))))</f>
      </c>
      <c r="AY239" s="44">
        <f>IF($M239="","",IF(ISNUMBER($M239),IF($M239&gt;=Header!$C$18,"YES — refer","No"),""))</f>
      </c>
      <c r="AZ239" s="44">
        <f>IF($AD239="","",IF(ISNUMBER($AD239),IF($AD239&lt;Header!$C$20,"BELOW MIN PREMIUM","OK"),""))</f>
      </c>
      <c r="BA239" s="32" t="inlineStr">
        <is>
          <t xml:space="preserve">Yes</t>
        </is>
      </c>
      <c r="BB239" s="32" t="inlineStr">
        <is>
          <t xml:space="preserve">Yes</t>
        </is>
      </c>
      <c r="BC239" s="30" t="inlineStr">
        <is>
          <t xml:space="preserve">Synthetic demo data</t>
        </is>
      </c>
      <c r="BE239" s="45">
        <f>IF(OR($A239="",$L239="",$H239=""),"",IF(AND(LEFT($L239,2)="06",$H239&gt;1945),"FAIL - pre-war class, year "&amp;$H239,IF(AND(LEFT($L239,2)="07",OR($H239&lt;1946,$H239&gt;1972)),"FAIL - 1946-72 class, year "&amp;$H239,IF(AND(LEFT($L239,2)="08",OR($H239&lt;1973,$H239&gt;1999)),"FAIL - 1973-99 class, year "&amp;$H239,IF(AND(LEFT($L239,2)="09",OR($H239&lt;2000,$H239&gt;2010)),"FAIL - 2000-10 class, year "&amp;$H239,"OK")))))</f>
      </c>
      <c r="BF239" s="45">
        <f>IF($AD239="","",IF(ROUND($AO239+$AP239+$AQ239-$AD239,2)=0,"OK","FAIL - out by "&amp;TEXT($AO239+$AP239+$AQ239-$AD239,"$0.00")))</f>
      </c>
    </row>
    <row r="240" spans="1:58" ht="18.75" customHeight="1" x14ac:dyDescent="0.25">
      <c r="A240" s="46" t="inlineStr">
        <is>
          <t xml:space="preserve">CANON-202511-002489</t>
        </is>
      </c>
      <c r="B240" s="46" t="inlineStr">
        <is>
          <t xml:space="preserve">Noor Farkas</t>
        </is>
      </c>
      <c r="C240" s="47">
        <v>45977</v>
      </c>
      <c r="D240" s="48" t="inlineStr">
        <is>
          <t xml:space="preserve">Bound - within authority</t>
        </is>
      </c>
      <c r="E240" s="48" t="inlineStr">
        <is>
          <t xml:space="preserve">New business</t>
        </is>
      </c>
      <c r="F240" s="46" t="inlineStr">
        <is>
          <t xml:space="preserve">B1234EXOTIC26</t>
        </is>
      </c>
      <c r="G240" s="33">
        <f>IF($A240="","",IF($C240="","",YEAR($C240)))</f>
      </c>
      <c r="H240" s="49">
        <v>1962</v>
      </c>
      <c r="I240" s="46" t="inlineStr">
        <is>
          <t xml:space="preserve">Bentley</t>
        </is>
      </c>
      <c r="J240" s="46" t="inlineStr">
        <is>
          <t xml:space="preserve">Continental GT</t>
        </is>
      </c>
      <c r="K240" s="46" t="inlineStr">
        <is>
          <t xml:space="preserve">XASLPV6U0J00A9RZS</t>
        </is>
      </c>
      <c r="L240" s="48" t="inlineStr">
        <is>
          <t xml:space="preserve">02 - Sports / GT</t>
        </is>
      </c>
      <c r="M240" s="50">
        <v>455000</v>
      </c>
      <c r="N240" s="48" t="inlineStr">
        <is>
          <t xml:space="preserve">Personal</t>
        </is>
      </c>
      <c r="O240" s="46" t="inlineStr">
        <is>
          <t xml:space="preserve">Personal - regular use</t>
        </is>
      </c>
      <c r="P240" s="46" t="inlineStr">
        <is>
          <t xml:space="preserve">2,500 - 5,000</t>
        </is>
      </c>
      <c r="Q240" s="46" t="inlineStr">
        <is>
          <t xml:space="preserve">New Hampshire</t>
        </is>
      </c>
      <c r="R240" s="46" t="inlineStr">
        <is>
          <t xml:space="preserve">03301</t>
        </is>
      </c>
      <c r="S240" s="48" t="inlineStr">
        <is>
          <t xml:space="preserve">Tier 3 - Coastal wind (25-100 miles)</t>
        </is>
      </c>
      <c r="T240" s="36">
        <f>IF($A240="","",IF($S240="","",IFERROR(INDEX('[1]natural catastrophe'!$D$6:$D$17,MATCH($S240,'[1]natural catastrophe'!$B$6:$B$17,0)),"?")))</f>
      </c>
      <c r="U240" s="46" t="inlineStr">
        <is>
          <t xml:space="preserve">2% of agreed value, minimum $10,000</t>
        </is>
      </c>
      <c r="V240" s="48" t="inlineStr">
        <is>
          <t xml:space="preserve">Agreed Value</t>
        </is>
      </c>
      <c r="W240" s="46" t="inlineStr">
        <is>
          <t xml:space="preserve">$1,000</t>
        </is>
      </c>
      <c r="X240" s="48" t="inlineStr">
        <is>
          <t xml:space="preserve">$1,000,000 CSL</t>
        </is>
      </c>
      <c r="Y240" s="46"/>
      <c r="Z240" s="46"/>
      <c r="AA240" s="48" t="inlineStr">
        <is>
          <t xml:space="preserve">Surplus Lines</t>
        </is>
      </c>
      <c r="AB240" s="50">
        <v>6156.51</v>
      </c>
      <c r="AC240" s="51">
        <v>0</v>
      </c>
      <c r="AD240" s="38">
        <f>IF(ISNUMBER($AB240),$AB240*(1+N($AC240)),"")</f>
      </c>
      <c r="AE240" s="50">
        <v>350</v>
      </c>
      <c r="AF240" s="50">
        <v>0</v>
      </c>
      <c r="AG240" s="51"/>
      <c r="AH240" s="39">
        <f>IF(ISNUMBER($AD240),($AD240+$AE240+$AF240)*$AG240,"")</f>
      </c>
      <c r="AI240" s="50"/>
      <c r="AJ240" s="38">
        <f>IF(ISNUMBER($AD240),SUM($AD240:$AH240),"")</f>
      </c>
      <c r="AK240" s="40">
        <f>IF(AND(ISNUMBER($AB240),ISNUMBER($AD240)),IF($AB240&gt;0,$AD240/$AB240,""),"")</f>
      </c>
      <c r="AL240" s="48" t="inlineStr">
        <is>
          <t xml:space="preserve">At technical</t>
        </is>
      </c>
      <c r="AM240" s="41">
        <f>IF(ISNUMBER($AD240),Header!$I$3,"")</f>
      </c>
      <c r="AN240" s="39">
        <f>IF(ISNUMBER($AD240),$AO240+$AP240,"")</f>
      </c>
      <c r="AO240" s="39">
        <f>IF(ISNUMBER($AD240),ROUND($AD240*Header!$K$3,2),"")</f>
      </c>
      <c r="AP240" s="39">
        <f>IF(ISNUMBER($AD240),ROUND($AD240*Header!$M$3,2),"")</f>
      </c>
      <c r="AQ240" s="38">
        <f>IF(ISNUMBER($AD240),ROUND($AD240,2)-$AO240-$AP240,"")</f>
      </c>
      <c r="AR240" s="39">
        <f>IF(ISNUMBER($AD240),IF(Header!$D$34="","?",$AD240*Header!$D$34),"")</f>
      </c>
      <c r="AS240" s="39">
        <f>IF(ISNUMBER($AB240),IF(Header!$D$34="","?",$AB240*Header!$D$34),"")</f>
      </c>
      <c r="AT240" s="42">
        <f>IF(AND(ISNUMBER($AB240),$M240&gt;0),$AB240/$M240*100,"")</f>
      </c>
      <c r="AU240" s="42">
        <f>IF(AND(ISNUMBER($AD240),$M240&gt;0),$AD240/$M240*100,"")</f>
      </c>
      <c r="AV240" s="40">
        <f>IF(AND(ISNUMBER($AB240),ISNUMBER($AD240),ABS($AB240)&gt;0),$AD240/$AB240,"")</f>
      </c>
      <c r="AW240" s="39">
        <f>IF(ISNUMBER($AD240),MAX(0,(1-0.55-Header!$O$3)*Header!$Q$3*$AQ240),"")</f>
      </c>
      <c r="AX240" s="43">
        <f>IF($A240="","",IF(TRIM(IF($A240="","Missing certificate ref. ","") &amp; IF($C240="","Missing effective date. ","") &amp; IF($D240="","Missing binding status. ","") &amp; IF($E240="","Missing movement type. ","") &amp; IF($I240="","Missing make. ","") &amp; IF($L240="","Missing vehicle class. ","") &amp; IF($M240="","Missing agreed value. ","") &amp; IF($N240="","Missing policy type. ","") &amp; IF($Q240="","Missing garaging state. ","") &amp; IF($R240="","Missing garaging ZIP. ","") &amp; IF($S240="","Missing cat zone. ","") &amp; IF($V240="","Missing valuation basis. ","") &amp; IF($W240="","Missing PD deductible. ","") &amp; IF($X240="","Missing liability limit. ","") &amp; IF($AB240="","Missing technical premium. ","") &amp; IF($AF240="","Missing surplus lines tax %. ",""))="","PASS","FAIL: "&amp;TRIM(IF($A240="","Missing certificate ref. ","") &amp; IF($C240="","Missing effective date. ","") &amp; IF($D240="","Missing binding status. ","") &amp; IF($E240="","Missing movement type. ","") &amp; IF($I240="","Missing make. ","") &amp; IF($L240="","Missing vehicle class. ","") &amp; IF($M240="","Missing agreed value. ","") &amp; IF($N240="","Missing policy type. ","") &amp; IF($Q240="","Missing garaging state. ","") &amp; IF($R240="","Missing garaging ZIP. ","") &amp; IF($S240="","Missing cat zone. ","") &amp; IF($V240="","Missing valuation basis. ","") &amp; IF($W240="","Missing PD deductible. ","") &amp; IF($X240="","Missing liability limit. ","") &amp; IF($AB240="","Missing technical premium. ","") &amp; IF($AF240="","Missing surplus lines tax %. ",""))))</f>
      </c>
      <c r="AY240" s="44">
        <f>IF($M240="","",IF(ISNUMBER($M240),IF($M240&gt;=Header!$C$18,"YES — refer","No"),""))</f>
      </c>
      <c r="AZ240" s="44">
        <f>IF($AD240="","",IF(ISNUMBER($AD240),IF($AD240&lt;Header!$C$20,"BELOW MIN PREMIUM","OK"),""))</f>
      </c>
      <c r="BA240" s="48" t="inlineStr">
        <is>
          <t xml:space="preserve">Yes</t>
        </is>
      </c>
      <c r="BB240" s="48" t="inlineStr">
        <is>
          <t xml:space="preserve">Yes</t>
        </is>
      </c>
      <c r="BC240" s="46" t="inlineStr">
        <is>
          <t xml:space="preserve">Synthetic demo data</t>
        </is>
      </c>
      <c r="BE240" s="45">
        <f>IF(OR($A240="",$L240="",$H240=""),"",IF(AND(LEFT($L240,2)="06",$H240&gt;1945),"FAIL - pre-war class, year "&amp;$H240,IF(AND(LEFT($L240,2)="07",OR($H240&lt;1946,$H240&gt;1972)),"FAIL - 1946-72 class, year "&amp;$H240,IF(AND(LEFT($L240,2)="08",OR($H240&lt;1973,$H240&gt;1999)),"FAIL - 1973-99 class, year "&amp;$H240,IF(AND(LEFT($L240,2)="09",OR($H240&lt;2000,$H240&gt;2010)),"FAIL - 2000-10 class, year "&amp;$H240,"OK")))))</f>
      </c>
      <c r="BF240" s="45">
        <f>IF($AD240="","",IF(ROUND($AO240+$AP240+$AQ240-$AD240,2)=0,"OK","FAIL - out by "&amp;TEXT($AO240+$AP240+$AQ240-$AD240,"$0.00")))</f>
      </c>
    </row>
    <row r="241" spans="1:58" ht="18.75" customHeight="1" x14ac:dyDescent="0.25">
      <c r="A241" s="30" t="inlineStr">
        <is>
          <t xml:space="preserve">CANON-202511-002490</t>
        </is>
      </c>
      <c r="B241" s="30" t="inlineStr">
        <is>
          <t xml:space="preserve">Ramona Harrington</t>
        </is>
      </c>
      <c r="C241" s="31">
        <v>45980</v>
      </c>
      <c r="D241" s="32" t="inlineStr">
        <is>
          <t xml:space="preserve">Bound - within authority</t>
        </is>
      </c>
      <c r="E241" s="32" t="inlineStr">
        <is>
          <t xml:space="preserve">New business</t>
        </is>
      </c>
      <c r="F241" s="30" t="inlineStr">
        <is>
          <t xml:space="preserve">B1234EXOTIC26</t>
        </is>
      </c>
      <c r="G241" s="33">
        <f>IF($A241="","",IF($C241="","",YEAR($C241)))</f>
      </c>
      <c r="H241" s="34">
        <v>2015</v>
      </c>
      <c r="I241" s="30" t="inlineStr">
        <is>
          <t xml:space="preserve">Ferrari</t>
        </is>
      </c>
      <c r="J241" s="30" t="inlineStr">
        <is>
          <t xml:space="preserve">SF90 Stradale</t>
        </is>
      </c>
      <c r="K241" s="30" t="inlineStr">
        <is>
          <t xml:space="preserve">DDFJ477Z37E0JHFR6</t>
        </is>
      </c>
      <c r="L241" s="32" t="inlineStr">
        <is>
          <t xml:space="preserve">03 - Supercar</t>
        </is>
      </c>
      <c r="M241" s="35">
        <v>1020000</v>
      </c>
      <c r="N241" s="32" t="inlineStr">
        <is>
          <t xml:space="preserve">Personal</t>
        </is>
      </c>
      <c r="O241" s="30" t="inlineStr">
        <is>
          <t xml:space="preserve">Personal - regular use</t>
        </is>
      </c>
      <c r="P241" s="30" t="inlineStr">
        <is>
          <t xml:space="preserve">Under 1,000</t>
        </is>
      </c>
      <c r="Q241" s="30" t="inlineStr">
        <is>
          <t xml:space="preserve">Florida</t>
        </is>
      </c>
      <c r="R241" s="30" t="inlineStr">
        <is>
          <t xml:space="preserve">33139</t>
        </is>
      </c>
      <c r="S241" s="32" t="inlineStr">
        <is>
          <t xml:space="preserve">Tier 2 - Coastal wind (1-25 miles)</t>
        </is>
      </c>
      <c r="T241" s="36">
        <f>IF($A241="","",IF($S241="","",IFERROR(INDEX('[1]natural catastrophe'!$D$6:$D$17,MATCH($S241,'[1]natural catastrophe'!$B$6:$B$17,0)),"?")))</f>
      </c>
      <c r="U241" s="30" t="inlineStr">
        <is>
          <t xml:space="preserve">2% of agreed value, minimum $10,000</t>
        </is>
      </c>
      <c r="V241" s="32" t="inlineStr">
        <is>
          <t xml:space="preserve">Agreed Value</t>
        </is>
      </c>
      <c r="W241" s="30" t="inlineStr">
        <is>
          <t xml:space="preserve">$1,000</t>
        </is>
      </c>
      <c r="X241" s="32" t="inlineStr">
        <is>
          <t xml:space="preserve">$1,000,000 CSL</t>
        </is>
      </c>
      <c r="Y241" s="30"/>
      <c r="Z241" s="30"/>
      <c r="AA241" s="32" t="inlineStr">
        <is>
          <t xml:space="preserve">Surplus Lines</t>
        </is>
      </c>
      <c r="AB241" s="35">
        <v>20100.51</v>
      </c>
      <c r="AC241" s="37">
        <v>0</v>
      </c>
      <c r="AD241" s="38">
        <f>IF(ISNUMBER($AB241),$AB241*(1+N($AC241)),"")</f>
      </c>
      <c r="AE241" s="35">
        <v>350</v>
      </c>
      <c r="AF241" s="35">
        <v>250</v>
      </c>
      <c r="AG241" s="37"/>
      <c r="AH241" s="39">
        <f>IF(ISNUMBER($AD241),($AD241+$AE241+$AF241)*$AG241,"")</f>
      </c>
      <c r="AI241" s="35"/>
      <c r="AJ241" s="38">
        <f>IF(ISNUMBER($AD241),SUM($AD241:$AH241),"")</f>
      </c>
      <c r="AK241" s="40">
        <f>IF(AND(ISNUMBER($AB241),ISNUMBER($AD241)),IF($AB241&gt;0,$AD241/$AB241,""),"")</f>
      </c>
      <c r="AL241" s="32" t="inlineStr">
        <is>
          <t xml:space="preserve">At technical</t>
        </is>
      </c>
      <c r="AM241" s="41">
        <f>IF(ISNUMBER($AD241),Header!$I$3,"")</f>
      </c>
      <c r="AN241" s="39">
        <f>IF(ISNUMBER($AD241),$AO241+$AP241,"")</f>
      </c>
      <c r="AO241" s="39">
        <f>IF(ISNUMBER($AD241),ROUND($AD241*Header!$K$3,2),"")</f>
      </c>
      <c r="AP241" s="39">
        <f>IF(ISNUMBER($AD241),ROUND($AD241*Header!$M$3,2),"")</f>
      </c>
      <c r="AQ241" s="38">
        <f>IF(ISNUMBER($AD241),ROUND($AD241,2)-$AO241-$AP241,"")</f>
      </c>
      <c r="AR241" s="39">
        <f>IF(ISNUMBER($AD241),IF(Header!$D$34="","?",$AD241*Header!$D$34),"")</f>
      </c>
      <c r="AS241" s="39">
        <f>IF(ISNUMBER($AB241),IF(Header!$D$34="","?",$AB241*Header!$D$34),"")</f>
      </c>
      <c r="AT241" s="42">
        <f>IF(AND(ISNUMBER($AB241),$M241&gt;0),$AB241/$M241*100,"")</f>
      </c>
      <c r="AU241" s="42">
        <f>IF(AND(ISNUMBER($AD241),$M241&gt;0),$AD241/$M241*100,"")</f>
      </c>
      <c r="AV241" s="40">
        <f>IF(AND(ISNUMBER($AB241),ISNUMBER($AD241),ABS($AB241)&gt;0),$AD241/$AB241,"")</f>
      </c>
      <c r="AW241" s="39">
        <f>IF(ISNUMBER($AD241),MAX(0,(1-0.55-Header!$O$3)*Header!$Q$3*$AQ241),"")</f>
      </c>
      <c r="AX241" s="43">
        <f>IF($A241="","",IF(TRIM(IF($A241="","Missing certificate ref. ","") &amp; IF($C241="","Missing effective date. ","") &amp; IF($D241="","Missing binding status. ","") &amp; IF($E241="","Missing movement type. ","") &amp; IF($I241="","Missing make. ","") &amp; IF($L241="","Missing vehicle class. ","") &amp; IF($M241="","Missing agreed value. ","") &amp; IF($N241="","Missing policy type. ","") &amp; IF($Q241="","Missing garaging state. ","") &amp; IF($R241="","Missing garaging ZIP. ","") &amp; IF($S241="","Missing cat zone. ","") &amp; IF($V241="","Missing valuation basis. ","") &amp; IF($W241="","Missing PD deductible. ","") &amp; IF($X241="","Missing liability limit. ","") &amp; IF($AB241="","Missing technical premium. ","") &amp; IF($AF241="","Missing surplus lines tax %. ",""))="","PASS","FAIL: "&amp;TRIM(IF($A241="","Missing certificate ref. ","") &amp; IF($C241="","Missing effective date. ","") &amp; IF($D241="","Missing binding status. ","") &amp; IF($E241="","Missing movement type. ","") &amp; IF($I241="","Missing make. ","") &amp; IF($L241="","Missing vehicle class. ","") &amp; IF($M241="","Missing agreed value. ","") &amp; IF($N241="","Missing policy type. ","") &amp; IF($Q241="","Missing garaging state. ","") &amp; IF($R241="","Missing garaging ZIP. ","") &amp; IF($S241="","Missing cat zone. ","") &amp; IF($V241="","Missing valuation basis. ","") &amp; IF($W241="","Missing PD deductible. ","") &amp; IF($X241="","Missing liability limit. ","") &amp; IF($AB241="","Missing technical premium. ","") &amp; IF($AF241="","Missing surplus lines tax %. ",""))))</f>
      </c>
      <c r="AY241" s="44">
        <f>IF($M241="","",IF(ISNUMBER($M241),IF($M241&gt;=Header!$C$18,"YES — refer","No"),""))</f>
      </c>
      <c r="AZ241" s="44">
        <f>IF($AD241="","",IF(ISNUMBER($AD241),IF($AD241&lt;Header!$C$20,"BELOW MIN PREMIUM","OK"),""))</f>
      </c>
      <c r="BA241" s="32" t="inlineStr">
        <is>
          <t xml:space="preserve">Yes</t>
        </is>
      </c>
      <c r="BB241" s="32" t="inlineStr">
        <is>
          <t xml:space="preserve">Yes</t>
        </is>
      </c>
      <c r="BC241" s="30" t="inlineStr">
        <is>
          <t xml:space="preserve">Synthetic demo data</t>
        </is>
      </c>
      <c r="BE241" s="45">
        <f>IF(OR($A241="",$L241="",$H241=""),"",IF(AND(LEFT($L241,2)="06",$H241&gt;1945),"FAIL - pre-war class, year "&amp;$H241,IF(AND(LEFT($L241,2)="07",OR($H241&lt;1946,$H241&gt;1972)),"FAIL - 1946-72 class, year "&amp;$H241,IF(AND(LEFT($L241,2)="08",OR($H241&lt;1973,$H241&gt;1999)),"FAIL - 1973-99 class, year "&amp;$H241,IF(AND(LEFT($L241,2)="09",OR($H241&lt;2000,$H241&gt;2010)),"FAIL - 2000-10 class, year "&amp;$H241,"OK")))))</f>
      </c>
      <c r="BF241" s="45">
        <f>IF($AD241="","",IF(ROUND($AO241+$AP241+$AQ241-$AD241,2)=0,"OK","FAIL - out by "&amp;TEXT($AO241+$AP241+$AQ241-$AD241,"$0.00")))</f>
      </c>
    </row>
    <row r="242" spans="1:58" ht="18.75" customHeight="1" x14ac:dyDescent="0.25">
      <c r="A242" s="46" t="inlineStr">
        <is>
          <t xml:space="preserve">CANON-202511-002491</t>
        </is>
      </c>
      <c r="B242" s="46" t="inlineStr">
        <is>
          <t xml:space="preserve">Leopold Bellandi</t>
        </is>
      </c>
      <c r="C242" s="47">
        <v>45981</v>
      </c>
      <c r="D242" s="48" t="inlineStr">
        <is>
          <t xml:space="preserve">Bound - within authority</t>
        </is>
      </c>
      <c r="E242" s="48" t="inlineStr">
        <is>
          <t xml:space="preserve">New business</t>
        </is>
      </c>
      <c r="F242" s="46" t="inlineStr">
        <is>
          <t xml:space="preserve">B1234EXOTIC26</t>
        </is>
      </c>
      <c r="G242" s="33">
        <f>IF($A242="","",IF($C242="","",YEAR($C242)))</f>
      </c>
      <c r="H242" s="49">
        <v>2019</v>
      </c>
      <c r="I242" s="46" t="inlineStr">
        <is>
          <t xml:space="preserve">Aston Martin</t>
        </is>
      </c>
      <c r="J242" s="46" t="inlineStr">
        <is>
          <t xml:space="preserve">DB12</t>
        </is>
      </c>
      <c r="K242" s="46" t="inlineStr">
        <is>
          <t xml:space="preserve">JBYEU0STZUA5NB5G3</t>
        </is>
      </c>
      <c r="L242" s="48" t="inlineStr">
        <is>
          <t xml:space="preserve">02 - Sports / GT</t>
        </is>
      </c>
      <c r="M242" s="50">
        <v>325000</v>
      </c>
      <c r="N242" s="48" t="inlineStr">
        <is>
          <t xml:space="preserve">Personal</t>
        </is>
      </c>
      <c r="O242" s="46" t="inlineStr">
        <is>
          <t xml:space="preserve">Personal - regular use</t>
        </is>
      </c>
      <c r="P242" s="46" t="inlineStr">
        <is>
          <t xml:space="preserve">1,000 - 2,500</t>
        </is>
      </c>
      <c r="Q242" s="46" t="inlineStr">
        <is>
          <t xml:space="preserve">Connecticut</t>
        </is>
      </c>
      <c r="R242" s="46" t="inlineStr">
        <is>
          <t xml:space="preserve">06103</t>
        </is>
      </c>
      <c r="S242" s="48" t="inlineStr">
        <is>
          <t xml:space="preserve">Tier 3 - Coastal wind (25-100 miles)</t>
        </is>
      </c>
      <c r="T242" s="36">
        <f>IF($A242="","",IF($S242="","",IFERROR(INDEX('[1]natural catastrophe'!$D$6:$D$17,MATCH($S242,'[1]natural catastrophe'!$B$6:$B$17,0)),"?")))</f>
      </c>
      <c r="U242" s="46" t="inlineStr">
        <is>
          <t xml:space="preserve">2% of agreed value, minimum $10,000</t>
        </is>
      </c>
      <c r="V242" s="48" t="inlineStr">
        <is>
          <t xml:space="preserve">Agreed Value</t>
        </is>
      </c>
      <c r="W242" s="46" t="inlineStr">
        <is>
          <t xml:space="preserve">$1,000</t>
        </is>
      </c>
      <c r="X242" s="48" t="inlineStr">
        <is>
          <t xml:space="preserve">$1,000,000 CSL</t>
        </is>
      </c>
      <c r="Y242" s="46"/>
      <c r="Z242" s="46"/>
      <c r="AA242" s="48" t="inlineStr">
        <is>
          <t xml:space="preserve">Surplus Lines</t>
        </is>
      </c>
      <c r="AB242" s="50">
        <v>4735.77</v>
      </c>
      <c r="AC242" s="51">
        <v>0</v>
      </c>
      <c r="AD242" s="38">
        <f>IF(ISNUMBER($AB242),$AB242*(1+N($AC242)),"")</f>
      </c>
      <c r="AE242" s="50">
        <v>350</v>
      </c>
      <c r="AF242" s="50">
        <v>0</v>
      </c>
      <c r="AG242" s="51"/>
      <c r="AH242" s="39">
        <f>IF(ISNUMBER($AD242),($AD242+$AE242+$AF242)*$AG242,"")</f>
      </c>
      <c r="AI242" s="50"/>
      <c r="AJ242" s="38">
        <f>IF(ISNUMBER($AD242),SUM($AD242:$AH242),"")</f>
      </c>
      <c r="AK242" s="40">
        <f>IF(AND(ISNUMBER($AB242),ISNUMBER($AD242)),IF($AB242&gt;0,$AD242/$AB242,""),"")</f>
      </c>
      <c r="AL242" s="48" t="inlineStr">
        <is>
          <t xml:space="preserve">At technical</t>
        </is>
      </c>
      <c r="AM242" s="41">
        <f>IF(ISNUMBER($AD242),Header!$I$3,"")</f>
      </c>
      <c r="AN242" s="39">
        <f>IF(ISNUMBER($AD242),$AO242+$AP242,"")</f>
      </c>
      <c r="AO242" s="39">
        <f>IF(ISNUMBER($AD242),ROUND($AD242*Header!$K$3,2),"")</f>
      </c>
      <c r="AP242" s="39">
        <f>IF(ISNUMBER($AD242),ROUND($AD242*Header!$M$3,2),"")</f>
      </c>
      <c r="AQ242" s="38">
        <f>IF(ISNUMBER($AD242),ROUND($AD242,2)-$AO242-$AP242,"")</f>
      </c>
      <c r="AR242" s="39">
        <f>IF(ISNUMBER($AD242),IF(Header!$D$34="","?",$AD242*Header!$D$34),"")</f>
      </c>
      <c r="AS242" s="39">
        <f>IF(ISNUMBER($AB242),IF(Header!$D$34="","?",$AB242*Header!$D$34),"")</f>
      </c>
      <c r="AT242" s="42">
        <f>IF(AND(ISNUMBER($AB242),$M242&gt;0),$AB242/$M242*100,"")</f>
      </c>
      <c r="AU242" s="42">
        <f>IF(AND(ISNUMBER($AD242),$M242&gt;0),$AD242/$M242*100,"")</f>
      </c>
      <c r="AV242" s="40">
        <f>IF(AND(ISNUMBER($AB242),ISNUMBER($AD242),ABS($AB242)&gt;0),$AD242/$AB242,"")</f>
      </c>
      <c r="AW242" s="39">
        <f>IF(ISNUMBER($AD242),MAX(0,(1-0.55-Header!$O$3)*Header!$Q$3*$AQ242),"")</f>
      </c>
      <c r="AX242" s="43">
        <f>IF($A242="","",IF(TRIM(IF($A242="","Missing certificate ref. ","") &amp; IF($C242="","Missing effective date. ","") &amp; IF($D242="","Missing binding status. ","") &amp; IF($E242="","Missing movement type. ","") &amp; IF($I242="","Missing make. ","") &amp; IF($L242="","Missing vehicle class. ","") &amp; IF($M242="","Missing agreed value. ","") &amp; IF($N242="","Missing policy type. ","") &amp; IF($Q242="","Missing garaging state. ","") &amp; IF($R242="","Missing garaging ZIP. ","") &amp; IF($S242="","Missing cat zone. ","") &amp; IF($V242="","Missing valuation basis. ","") &amp; IF($W242="","Missing PD deductible. ","") &amp; IF($X242="","Missing liability limit. ","") &amp; IF($AB242="","Missing technical premium. ","") &amp; IF($AF242="","Missing surplus lines tax %. ",""))="","PASS","FAIL: "&amp;TRIM(IF($A242="","Missing certificate ref. ","") &amp; IF($C242="","Missing effective date. ","") &amp; IF($D242="","Missing binding status. ","") &amp; IF($E242="","Missing movement type. ","") &amp; IF($I242="","Missing make. ","") &amp; IF($L242="","Missing vehicle class. ","") &amp; IF($M242="","Missing agreed value. ","") &amp; IF($N242="","Missing policy type. ","") &amp; IF($Q242="","Missing garaging state. ","") &amp; IF($R242="","Missing garaging ZIP. ","") &amp; IF($S242="","Missing cat zone. ","") &amp; IF($V242="","Missing valuation basis. ","") &amp; IF($W242="","Missing PD deductible. ","") &amp; IF($X242="","Missing liability limit. ","") &amp; IF($AB242="","Missing technical premium. ","") &amp; IF($AF242="","Missing surplus lines tax %. ",""))))</f>
      </c>
      <c r="AY242" s="44">
        <f>IF($M242="","",IF(ISNUMBER($M242),IF($M242&gt;=Header!$C$18,"YES — refer","No"),""))</f>
      </c>
      <c r="AZ242" s="44">
        <f>IF($AD242="","",IF(ISNUMBER($AD242),IF($AD242&lt;Header!$C$20,"BELOW MIN PREMIUM","OK"),""))</f>
      </c>
      <c r="BA242" s="48" t="inlineStr">
        <is>
          <t xml:space="preserve">Yes</t>
        </is>
      </c>
      <c r="BB242" s="48" t="inlineStr">
        <is>
          <t xml:space="preserve">Yes</t>
        </is>
      </c>
      <c r="BC242" s="46" t="inlineStr">
        <is>
          <t xml:space="preserve">Synthetic demo data</t>
        </is>
      </c>
      <c r="BE242" s="45">
        <f>IF(OR($A242="",$L242="",$H242=""),"",IF(AND(LEFT($L242,2)="06",$H242&gt;1945),"FAIL - pre-war class, year "&amp;$H242,IF(AND(LEFT($L242,2)="07",OR($H242&lt;1946,$H242&gt;1972)),"FAIL - 1946-72 class, year "&amp;$H242,IF(AND(LEFT($L242,2)="08",OR($H242&lt;1973,$H242&gt;1999)),"FAIL - 1973-99 class, year "&amp;$H242,IF(AND(LEFT($L242,2)="09",OR($H242&lt;2000,$H242&gt;2010)),"FAIL - 2000-10 class, year "&amp;$H242,"OK")))))</f>
      </c>
      <c r="BF242" s="45">
        <f>IF($AD242="","",IF(ROUND($AO242+$AP242+$AQ242-$AD242,2)=0,"OK","FAIL - out by "&amp;TEXT($AO242+$AP242+$AQ242-$AD242,"$0.00")))</f>
      </c>
    </row>
    <row r="243" spans="1:58" ht="18.75" customHeight="1" x14ac:dyDescent="0.25">
      <c r="A243" s="30" t="inlineStr">
        <is>
          <t xml:space="preserve">CANON-202511-002492</t>
        </is>
      </c>
      <c r="B243" s="30" t="inlineStr">
        <is>
          <t xml:space="preserve">Lorenzo Okonkwo</t>
        </is>
      </c>
      <c r="C243" s="31">
        <v>45990</v>
      </c>
      <c r="D243" s="32" t="inlineStr">
        <is>
          <t xml:space="preserve">Bound - within authority</t>
        </is>
      </c>
      <c r="E243" s="32" t="inlineStr">
        <is>
          <t xml:space="preserve">New business</t>
        </is>
      </c>
      <c r="F243" s="30" t="inlineStr">
        <is>
          <t xml:space="preserve">B1234EXOTIC26</t>
        </is>
      </c>
      <c r="G243" s="33">
        <f>IF($A243="","",IF($C243="","",YEAR($C243)))</f>
      </c>
      <c r="H243" s="34">
        <v>1961</v>
      </c>
      <c r="I243" s="30" t="inlineStr">
        <is>
          <t xml:space="preserve">Mercedes-Benz</t>
        </is>
      </c>
      <c r="J243" s="30" t="inlineStr">
        <is>
          <t xml:space="preserve">AMG GT</t>
        </is>
      </c>
      <c r="K243" s="30" t="inlineStr">
        <is>
          <t xml:space="preserve">W36KWC6NJE4FYTJR5</t>
        </is>
      </c>
      <c r="L243" s="32" t="inlineStr">
        <is>
          <t xml:space="preserve">02 - Sports / GT</t>
        </is>
      </c>
      <c r="M243" s="35">
        <v>905000</v>
      </c>
      <c r="N243" s="32" t="inlineStr">
        <is>
          <t xml:space="preserve">Personal</t>
        </is>
      </c>
      <c r="O243" s="30" t="inlineStr">
        <is>
          <t xml:space="preserve">Personal - regular use</t>
        </is>
      </c>
      <c r="P243" s="30" t="inlineStr">
        <is>
          <t xml:space="preserve">2,500 - 5,000</t>
        </is>
      </c>
      <c r="Q243" s="30" t="inlineStr">
        <is>
          <t xml:space="preserve">Arkansas</t>
        </is>
      </c>
      <c r="R243" s="30" t="inlineStr">
        <is>
          <t xml:space="preserve">72201</t>
        </is>
      </c>
      <c r="S243" s="32" t="inlineStr">
        <is>
          <t xml:space="preserve">Severe convective - hail / tornado (moderate)</t>
        </is>
      </c>
      <c r="T243" s="36">
        <f>IF($A243="","",IF($S243="","",IFERROR(INDEX('[1]natural catastrophe'!$D$6:$D$17,MATCH($S243,'[1]natural catastrophe'!$B$6:$B$17,0)),"?")))</f>
      </c>
      <c r="U243" s="30" t="inlineStr">
        <is>
          <t xml:space="preserve">$5,000</t>
        </is>
      </c>
      <c r="V243" s="32" t="inlineStr">
        <is>
          <t xml:space="preserve">Agreed Value</t>
        </is>
      </c>
      <c r="W243" s="30" t="inlineStr">
        <is>
          <t xml:space="preserve">$1,000</t>
        </is>
      </c>
      <c r="X243" s="32" t="inlineStr">
        <is>
          <t xml:space="preserve">$1,000,000 CSL</t>
        </is>
      </c>
      <c r="Y243" s="30"/>
      <c r="Z243" s="30"/>
      <c r="AA243" s="32" t="inlineStr">
        <is>
          <t xml:space="preserve">Surplus Lines</t>
        </is>
      </c>
      <c r="AB243" s="35">
        <v>14082.17</v>
      </c>
      <c r="AC243" s="37">
        <v>0</v>
      </c>
      <c r="AD243" s="38">
        <f>IF(ISNUMBER($AB243),$AB243*(1+N($AC243)),"")</f>
      </c>
      <c r="AE243" s="35">
        <v>350</v>
      </c>
      <c r="AF243" s="35">
        <v>0</v>
      </c>
      <c r="AG243" s="37"/>
      <c r="AH243" s="39">
        <f>IF(ISNUMBER($AD243),($AD243+$AE243+$AF243)*$AG243,"")</f>
      </c>
      <c r="AI243" s="35"/>
      <c r="AJ243" s="38">
        <f>IF(ISNUMBER($AD243),SUM($AD243:$AH243),"")</f>
      </c>
      <c r="AK243" s="40">
        <f>IF(AND(ISNUMBER($AB243),ISNUMBER($AD243)),IF($AB243&gt;0,$AD243/$AB243,""),"")</f>
      </c>
      <c r="AL243" s="32" t="inlineStr">
        <is>
          <t xml:space="preserve">At technical</t>
        </is>
      </c>
      <c r="AM243" s="41">
        <f>IF(ISNUMBER($AD243),Header!$I$3,"")</f>
      </c>
      <c r="AN243" s="39">
        <f>IF(ISNUMBER($AD243),$AO243+$AP243,"")</f>
      </c>
      <c r="AO243" s="39">
        <f>IF(ISNUMBER($AD243),ROUND($AD243*Header!$K$3,2),"")</f>
      </c>
      <c r="AP243" s="39">
        <f>IF(ISNUMBER($AD243),ROUND($AD243*Header!$M$3,2),"")</f>
      </c>
      <c r="AQ243" s="38">
        <f>IF(ISNUMBER($AD243),ROUND($AD243,2)-$AO243-$AP243,"")</f>
      </c>
      <c r="AR243" s="39">
        <f>IF(ISNUMBER($AD243),IF(Header!$D$34="","?",$AD243*Header!$D$34),"")</f>
      </c>
      <c r="AS243" s="39">
        <f>IF(ISNUMBER($AB243),IF(Header!$D$34="","?",$AB243*Header!$D$34),"")</f>
      </c>
      <c r="AT243" s="42">
        <f>IF(AND(ISNUMBER($AB243),$M243&gt;0),$AB243/$M243*100,"")</f>
      </c>
      <c r="AU243" s="42">
        <f>IF(AND(ISNUMBER($AD243),$M243&gt;0),$AD243/$M243*100,"")</f>
      </c>
      <c r="AV243" s="40">
        <f>IF(AND(ISNUMBER($AB243),ISNUMBER($AD243),ABS($AB243)&gt;0),$AD243/$AB243,"")</f>
      </c>
      <c r="AW243" s="39">
        <f>IF(ISNUMBER($AD243),MAX(0,(1-0.55-Header!$O$3)*Header!$Q$3*$AQ243),"")</f>
      </c>
      <c r="AX243" s="43">
        <f>IF($A243="","",IF(TRIM(IF($A243="","Missing certificate ref. ","") &amp; IF($C243="","Missing effective date. ","") &amp; IF($D243="","Missing binding status. ","") &amp; IF($E243="","Missing movement type. ","") &amp; IF($I243="","Missing make. ","") &amp; IF($L243="","Missing vehicle class. ","") &amp; IF($M243="","Missing agreed value. ","") &amp; IF($N243="","Missing policy type. ","") &amp; IF($Q243="","Missing garaging state. ","") &amp; IF($R243="","Missing garaging ZIP. ","") &amp; IF($S243="","Missing cat zone. ","") &amp; IF($V243="","Missing valuation basis. ","") &amp; IF($W243="","Missing PD deductible. ","") &amp; IF($X243="","Missing liability limit. ","") &amp; IF($AB243="","Missing technical premium. ","") &amp; IF($AF243="","Missing surplus lines tax %. ",""))="","PASS","FAIL: "&amp;TRIM(IF($A243="","Missing certificate ref. ","") &amp; IF($C243="","Missing effective date. ","") &amp; IF($D243="","Missing binding status. ","") &amp; IF($E243="","Missing movement type. ","") &amp; IF($I243="","Missing make. ","") &amp; IF($L243="","Missing vehicle class. ","") &amp; IF($M243="","Missing agreed value. ","") &amp; IF($N243="","Missing policy type. ","") &amp; IF($Q243="","Missing garaging state. ","") &amp; IF($R243="","Missing garaging ZIP. ","") &amp; IF($S243="","Missing cat zone. ","") &amp; IF($V243="","Missing valuation basis. ","") &amp; IF($W243="","Missing PD deductible. ","") &amp; IF($X243="","Missing liability limit. ","") &amp; IF($AB243="","Missing technical premium. ","") &amp; IF($AF243="","Missing surplus lines tax %. ",""))))</f>
      </c>
      <c r="AY243" s="44">
        <f>IF($M243="","",IF(ISNUMBER($M243),IF($M243&gt;=Header!$C$18,"YES — refer","No"),""))</f>
      </c>
      <c r="AZ243" s="44">
        <f>IF($AD243="","",IF(ISNUMBER($AD243),IF($AD243&lt;Header!$C$20,"BELOW MIN PREMIUM","OK"),""))</f>
      </c>
      <c r="BA243" s="32" t="inlineStr">
        <is>
          <t xml:space="preserve">Yes</t>
        </is>
      </c>
      <c r="BB243" s="32" t="inlineStr">
        <is>
          <t xml:space="preserve">Yes</t>
        </is>
      </c>
      <c r="BC243" s="30" t="inlineStr">
        <is>
          <t xml:space="preserve">Synthetic demo data</t>
        </is>
      </c>
      <c r="BE243" s="45">
        <f>IF(OR($A243="",$L243="",$H243=""),"",IF(AND(LEFT($L243,2)="06",$H243&gt;1945),"FAIL - pre-war class, year "&amp;$H243,IF(AND(LEFT($L243,2)="07",OR($H243&lt;1946,$H243&gt;1972)),"FAIL - 1946-72 class, year "&amp;$H243,IF(AND(LEFT($L243,2)="08",OR($H243&lt;1973,$H243&gt;1999)),"FAIL - 1973-99 class, year "&amp;$H243,IF(AND(LEFT($L243,2)="09",OR($H243&lt;2000,$H243&gt;2010)),"FAIL - 2000-10 class, year "&amp;$H243,"OK")))))</f>
      </c>
      <c r="BF243" s="45">
        <f>IF($AD243="","",IF(ROUND($AO243+$AP243+$AQ243-$AD243,2)=0,"OK","FAIL - out by "&amp;TEXT($AO243+$AP243+$AQ243-$AD243,"$0.00")))</f>
      </c>
    </row>
    <row r="244" spans="1:58" ht="18.75" customHeight="1" x14ac:dyDescent="0.25">
      <c r="A244" s="46" t="inlineStr">
        <is>
          <t xml:space="preserve">CANON-202511-002493</t>
        </is>
      </c>
      <c r="B244" s="46" t="inlineStr">
        <is>
          <t xml:space="preserve">Ottilie Vasquez</t>
        </is>
      </c>
      <c r="C244" s="47">
        <v>45974</v>
      </c>
      <c r="D244" s="48" t="inlineStr">
        <is>
          <t xml:space="preserve">Bound - within authority</t>
        </is>
      </c>
      <c r="E244" s="48" t="inlineStr">
        <is>
          <t xml:space="preserve">New business</t>
        </is>
      </c>
      <c r="F244" s="46" t="inlineStr">
        <is>
          <t xml:space="preserve">B1234EXOTIC26</t>
        </is>
      </c>
      <c r="G244" s="33">
        <f>IF($A244="","",IF($C244="","",YEAR($C244)))</f>
      </c>
      <c r="H244" s="49">
        <v>1956</v>
      </c>
      <c r="I244" s="46" t="inlineStr">
        <is>
          <t xml:space="preserve">McLaren</t>
        </is>
      </c>
      <c r="J244" s="46" t="inlineStr">
        <is>
          <t xml:space="preserve">750S</t>
        </is>
      </c>
      <c r="K244" s="46" t="inlineStr">
        <is>
          <t xml:space="preserve">6ZUV5PC98A77KKTTU</t>
        </is>
      </c>
      <c r="L244" s="48" t="inlineStr">
        <is>
          <t xml:space="preserve">03 - Supercar</t>
        </is>
      </c>
      <c r="M244" s="50">
        <v>1950000</v>
      </c>
      <c r="N244" s="48" t="inlineStr">
        <is>
          <t xml:space="preserve">Personal</t>
        </is>
      </c>
      <c r="O244" s="46" t="inlineStr">
        <is>
          <t xml:space="preserve">Personal - regular use</t>
        </is>
      </c>
      <c r="P244" s="46" t="inlineStr">
        <is>
          <t xml:space="preserve">2,500 - 5,000</t>
        </is>
      </c>
      <c r="Q244" s="46" t="inlineStr">
        <is>
          <t xml:space="preserve">Louisiana</t>
        </is>
      </c>
      <c r="R244" s="46" t="inlineStr">
        <is>
          <t xml:space="preserve">70112</t>
        </is>
      </c>
      <c r="S244" s="48" t="inlineStr">
        <is>
          <t xml:space="preserve">Tier 2 - Coastal wind (1-25 miles)</t>
        </is>
      </c>
      <c r="T244" s="36">
        <f>IF($A244="","",IF($S244="","",IFERROR(INDEX('[1]natural catastrophe'!$D$6:$D$17,MATCH($S244,'[1]natural catastrophe'!$B$6:$B$17,0)),"?")))</f>
      </c>
      <c r="U244" s="46" t="inlineStr">
        <is>
          <t xml:space="preserve">2% of agreed value, minimum $10,000</t>
        </is>
      </c>
      <c r="V244" s="48" t="inlineStr">
        <is>
          <t xml:space="preserve">Agreed Value</t>
        </is>
      </c>
      <c r="W244" s="46" t="inlineStr">
        <is>
          <t xml:space="preserve">$1,000</t>
        </is>
      </c>
      <c r="X244" s="48" t="inlineStr">
        <is>
          <t xml:space="preserve">$1,000,000 CSL</t>
        </is>
      </c>
      <c r="Y244" s="46"/>
      <c r="Z244" s="46"/>
      <c r="AA244" s="48" t="inlineStr">
        <is>
          <t xml:space="preserve">Surplus Lines</t>
        </is>
      </c>
      <c r="AB244" s="50">
        <v>32744.51</v>
      </c>
      <c r="AC244" s="51">
        <v>0</v>
      </c>
      <c r="AD244" s="38">
        <f>IF(ISNUMBER($AB244),$AB244*(1+N($AC244)),"")</f>
      </c>
      <c r="AE244" s="50">
        <v>350</v>
      </c>
      <c r="AF244" s="50">
        <v>250</v>
      </c>
      <c r="AG244" s="51"/>
      <c r="AH244" s="39">
        <f>IF(ISNUMBER($AD244),($AD244+$AE244+$AF244)*$AG244,"")</f>
      </c>
      <c r="AI244" s="50"/>
      <c r="AJ244" s="38">
        <f>IF(ISNUMBER($AD244),SUM($AD244:$AH244),"")</f>
      </c>
      <c r="AK244" s="40">
        <f>IF(AND(ISNUMBER($AB244),ISNUMBER($AD244)),IF($AB244&gt;0,$AD244/$AB244,""),"")</f>
      </c>
      <c r="AL244" s="48" t="inlineStr">
        <is>
          <t xml:space="preserve">At technical</t>
        </is>
      </c>
      <c r="AM244" s="41">
        <f>IF(ISNUMBER($AD244),Header!$I$3,"")</f>
      </c>
      <c r="AN244" s="39">
        <f>IF(ISNUMBER($AD244),$AO244+$AP244,"")</f>
      </c>
      <c r="AO244" s="39">
        <f>IF(ISNUMBER($AD244),ROUND($AD244*Header!$K$3,2),"")</f>
      </c>
      <c r="AP244" s="39">
        <f>IF(ISNUMBER($AD244),ROUND($AD244*Header!$M$3,2),"")</f>
      </c>
      <c r="AQ244" s="38">
        <f>IF(ISNUMBER($AD244),ROUND($AD244,2)-$AO244-$AP244,"")</f>
      </c>
      <c r="AR244" s="39">
        <f>IF(ISNUMBER($AD244),IF(Header!$D$34="","?",$AD244*Header!$D$34),"")</f>
      </c>
      <c r="AS244" s="39">
        <f>IF(ISNUMBER($AB244),IF(Header!$D$34="","?",$AB244*Header!$D$34),"")</f>
      </c>
      <c r="AT244" s="42">
        <f>IF(AND(ISNUMBER($AB244),$M244&gt;0),$AB244/$M244*100,"")</f>
      </c>
      <c r="AU244" s="42">
        <f>IF(AND(ISNUMBER($AD244),$M244&gt;0),$AD244/$M244*100,"")</f>
      </c>
      <c r="AV244" s="40">
        <f>IF(AND(ISNUMBER($AB244),ISNUMBER($AD244),ABS($AB244)&gt;0),$AD244/$AB244,"")</f>
      </c>
      <c r="AW244" s="39">
        <f>IF(ISNUMBER($AD244),MAX(0,(1-0.55-Header!$O$3)*Header!$Q$3*$AQ244),"")</f>
      </c>
      <c r="AX244" s="43">
        <f>IF($A244="","",IF(TRIM(IF($A244="","Missing certificate ref. ","") &amp; IF($C244="","Missing effective date. ","") &amp; IF($D244="","Missing binding status. ","") &amp; IF($E244="","Missing movement type. ","") &amp; IF($I244="","Missing make. ","") &amp; IF($L244="","Missing vehicle class. ","") &amp; IF($M244="","Missing agreed value. ","") &amp; IF($N244="","Missing policy type. ","") &amp; IF($Q244="","Missing garaging state. ","") &amp; IF($R244="","Missing garaging ZIP. ","") &amp; IF($S244="","Missing cat zone. ","") &amp; IF($V244="","Missing valuation basis. ","") &amp; IF($W244="","Missing PD deductible. ","") &amp; IF($X244="","Missing liability limit. ","") &amp; IF($AB244="","Missing technical premium. ","") &amp; IF($AF244="","Missing surplus lines tax %. ",""))="","PASS","FAIL: "&amp;TRIM(IF($A244="","Missing certificate ref. ","") &amp; IF($C244="","Missing effective date. ","") &amp; IF($D244="","Missing binding status. ","") &amp; IF($E244="","Missing movement type. ","") &amp; IF($I244="","Missing make. ","") &amp; IF($L244="","Missing vehicle class. ","") &amp; IF($M244="","Missing agreed value. ","") &amp; IF($N244="","Missing policy type. ","") &amp; IF($Q244="","Missing garaging state. ","") &amp; IF($R244="","Missing garaging ZIP. ","") &amp; IF($S244="","Missing cat zone. ","") &amp; IF($V244="","Missing valuation basis. ","") &amp; IF($W244="","Missing PD deductible. ","") &amp; IF($X244="","Missing liability limit. ","") &amp; IF($AB244="","Missing technical premium. ","") &amp; IF($AF244="","Missing surplus lines tax %. ",""))))</f>
      </c>
      <c r="AY244" s="44">
        <f>IF($M244="","",IF(ISNUMBER($M244),IF($M244&gt;=Header!$C$18,"YES — refer","No"),""))</f>
      </c>
      <c r="AZ244" s="44">
        <f>IF($AD244="","",IF(ISNUMBER($AD244),IF($AD244&lt;Header!$C$20,"BELOW MIN PREMIUM","OK"),""))</f>
      </c>
      <c r="BA244" s="48" t="inlineStr">
        <is>
          <t xml:space="preserve">Yes</t>
        </is>
      </c>
      <c r="BB244" s="48" t="inlineStr">
        <is>
          <t xml:space="preserve">Yes</t>
        </is>
      </c>
      <c r="BC244" s="46" t="inlineStr">
        <is>
          <t xml:space="preserve">Synthetic demo data</t>
        </is>
      </c>
      <c r="BE244" s="45">
        <f>IF(OR($A244="",$L244="",$H244=""),"",IF(AND(LEFT($L244,2)="06",$H244&gt;1945),"FAIL - pre-war class, year "&amp;$H244,IF(AND(LEFT($L244,2)="07",OR($H244&lt;1946,$H244&gt;1972)),"FAIL - 1946-72 class, year "&amp;$H244,IF(AND(LEFT($L244,2)="08",OR($H244&lt;1973,$H244&gt;1999)),"FAIL - 1973-99 class, year "&amp;$H244,IF(AND(LEFT($L244,2)="09",OR($H244&lt;2000,$H244&gt;2010)),"FAIL - 2000-10 class, year "&amp;$H244,"OK")))))</f>
      </c>
      <c r="BF244" s="45">
        <f>IF($AD244="","",IF(ROUND($AO244+$AP244+$AQ244-$AD244,2)=0,"OK","FAIL - out by "&amp;TEXT($AO244+$AP244+$AQ244-$AD244,"$0.00")))</f>
      </c>
    </row>
    <row r="245" spans="1:58" ht="18.75" customHeight="1" x14ac:dyDescent="0.25">
      <c r="A245" s="30" t="inlineStr">
        <is>
          <t xml:space="preserve">CANON-202511-002494</t>
        </is>
      </c>
      <c r="B245" s="30" t="inlineStr">
        <is>
          <t xml:space="preserve">Ottilie Harrington</t>
        </is>
      </c>
      <c r="C245" s="31">
        <v>45963</v>
      </c>
      <c r="D245" s="32" t="inlineStr">
        <is>
          <t xml:space="preserve">Bound - within authority</t>
        </is>
      </c>
      <c r="E245" s="32" t="inlineStr">
        <is>
          <t xml:space="preserve">New business</t>
        </is>
      </c>
      <c r="F245" s="30" t="inlineStr">
        <is>
          <t xml:space="preserve">B1234EXOTIC26</t>
        </is>
      </c>
      <c r="G245" s="33">
        <f>IF($A245="","",IF($C245="","",YEAR($C245)))</f>
      </c>
      <c r="H245" s="34">
        <v>1972</v>
      </c>
      <c r="I245" s="30" t="inlineStr">
        <is>
          <t xml:space="preserve">McLaren</t>
        </is>
      </c>
      <c r="J245" s="30" t="inlineStr">
        <is>
          <t xml:space="preserve">750S</t>
        </is>
      </c>
      <c r="K245" s="30" t="inlineStr">
        <is>
          <t xml:space="preserve">NBA4H3BT4EFBHD7E0</t>
        </is>
      </c>
      <c r="L245" s="32" t="inlineStr">
        <is>
          <t xml:space="preserve">03 - Supercar</t>
        </is>
      </c>
      <c r="M245" s="35">
        <v>835000</v>
      </c>
      <c r="N245" s="32" t="inlineStr">
        <is>
          <t xml:space="preserve">Personal</t>
        </is>
      </c>
      <c r="O245" s="30" t="inlineStr">
        <is>
          <t xml:space="preserve">Personal - regular use</t>
        </is>
      </c>
      <c r="P245" s="30" t="inlineStr">
        <is>
          <t xml:space="preserve">1,000 - 2,500</t>
        </is>
      </c>
      <c r="Q245" s="30" t="inlineStr">
        <is>
          <t xml:space="preserve">New York</t>
        </is>
      </c>
      <c r="R245" s="30" t="inlineStr">
        <is>
          <t xml:space="preserve">10022</t>
        </is>
      </c>
      <c r="S245" s="32" t="inlineStr">
        <is>
          <t xml:space="preserve">Tier 3 - Coastal wind (25-100 miles)</t>
        </is>
      </c>
      <c r="T245" s="36">
        <f>IF($A245="","",IF($S245="","",IFERROR(INDEX('[1]natural catastrophe'!$D$6:$D$17,MATCH($S245,'[1]natural catastrophe'!$B$6:$B$17,0)),"?")))</f>
      </c>
      <c r="U245" s="30" t="inlineStr">
        <is>
          <t xml:space="preserve">2% of agreed value, minimum $10,000</t>
        </is>
      </c>
      <c r="V245" s="32" t="inlineStr">
        <is>
          <t xml:space="preserve">Agreed Value</t>
        </is>
      </c>
      <c r="W245" s="30" t="inlineStr">
        <is>
          <t xml:space="preserve">$1,000</t>
        </is>
      </c>
      <c r="X245" s="32" t="inlineStr">
        <is>
          <t xml:space="preserve">$1,000,000 CSL</t>
        </is>
      </c>
      <c r="Y245" s="30"/>
      <c r="Z245" s="30"/>
      <c r="AA245" s="32" t="inlineStr">
        <is>
          <t xml:space="preserve">Surplus Lines</t>
        </is>
      </c>
      <c r="AB245" s="35">
        <v>17613.63</v>
      </c>
      <c r="AC245" s="37">
        <v>0</v>
      </c>
      <c r="AD245" s="38">
        <f>IF(ISNUMBER($AB245),$AB245*(1+N($AC245)),"")</f>
      </c>
      <c r="AE245" s="35">
        <v>350</v>
      </c>
      <c r="AF245" s="35">
        <v>0</v>
      </c>
      <c r="AG245" s="37"/>
      <c r="AH245" s="39">
        <f>IF(ISNUMBER($AD245),($AD245+$AE245+$AF245)*$AG245,"")</f>
      </c>
      <c r="AI245" s="35"/>
      <c r="AJ245" s="38">
        <f>IF(ISNUMBER($AD245),SUM($AD245:$AH245),"")</f>
      </c>
      <c r="AK245" s="40">
        <f>IF(AND(ISNUMBER($AB245),ISNUMBER($AD245)),IF($AB245&gt;0,$AD245/$AB245,""),"")</f>
      </c>
      <c r="AL245" s="32" t="inlineStr">
        <is>
          <t xml:space="preserve">At technical</t>
        </is>
      </c>
      <c r="AM245" s="41">
        <f>IF(ISNUMBER($AD245),Header!$I$3,"")</f>
      </c>
      <c r="AN245" s="39">
        <f>IF(ISNUMBER($AD245),$AO245+$AP245,"")</f>
      </c>
      <c r="AO245" s="39">
        <f>IF(ISNUMBER($AD245),ROUND($AD245*Header!$K$3,2),"")</f>
      </c>
      <c r="AP245" s="39">
        <f>IF(ISNUMBER($AD245),ROUND($AD245*Header!$M$3,2),"")</f>
      </c>
      <c r="AQ245" s="38">
        <f>IF(ISNUMBER($AD245),ROUND($AD245,2)-$AO245-$AP245,"")</f>
      </c>
      <c r="AR245" s="39">
        <f>IF(ISNUMBER($AD245),IF(Header!$D$34="","?",$AD245*Header!$D$34),"")</f>
      </c>
      <c r="AS245" s="39">
        <f>IF(ISNUMBER($AB245),IF(Header!$D$34="","?",$AB245*Header!$D$34),"")</f>
      </c>
      <c r="AT245" s="42">
        <f>IF(AND(ISNUMBER($AB245),$M245&gt;0),$AB245/$M245*100,"")</f>
      </c>
      <c r="AU245" s="42">
        <f>IF(AND(ISNUMBER($AD245),$M245&gt;0),$AD245/$M245*100,"")</f>
      </c>
      <c r="AV245" s="40">
        <f>IF(AND(ISNUMBER($AB245),ISNUMBER($AD245),ABS($AB245)&gt;0),$AD245/$AB245,"")</f>
      </c>
      <c r="AW245" s="39">
        <f>IF(ISNUMBER($AD245),MAX(0,(1-0.55-Header!$O$3)*Header!$Q$3*$AQ245),"")</f>
      </c>
      <c r="AX245" s="43">
        <f>IF($A245="","",IF(TRIM(IF($A245="","Missing certificate ref. ","") &amp; IF($C245="","Missing effective date. ","") &amp; IF($D245="","Missing binding status. ","") &amp; IF($E245="","Missing movement type. ","") &amp; IF($I245="","Missing make. ","") &amp; IF($L245="","Missing vehicle class. ","") &amp; IF($M245="","Missing agreed value. ","") &amp; IF($N245="","Missing policy type. ","") &amp; IF($Q245="","Missing garaging state. ","") &amp; IF($R245="","Missing garaging ZIP. ","") &amp; IF($S245="","Missing cat zone. ","") &amp; IF($V245="","Missing valuation basis. ","") &amp; IF($W245="","Missing PD deductible. ","") &amp; IF($X245="","Missing liability limit. ","") &amp; IF($AB245="","Missing technical premium. ","") &amp; IF($AF245="","Missing surplus lines tax %. ",""))="","PASS","FAIL: "&amp;TRIM(IF($A245="","Missing certificate ref. ","") &amp; IF($C245="","Missing effective date. ","") &amp; IF($D245="","Missing binding status. ","") &amp; IF($E245="","Missing movement type. ","") &amp; IF($I245="","Missing make. ","") &amp; IF($L245="","Missing vehicle class. ","") &amp; IF($M245="","Missing agreed value. ","") &amp; IF($N245="","Missing policy type. ","") &amp; IF($Q245="","Missing garaging state. ","") &amp; IF($R245="","Missing garaging ZIP. ","") &amp; IF($S245="","Missing cat zone. ","") &amp; IF($V245="","Missing valuation basis. ","") &amp; IF($W245="","Missing PD deductible. ","") &amp; IF($X245="","Missing liability limit. ","") &amp; IF($AB245="","Missing technical premium. ","") &amp; IF($AF245="","Missing surplus lines tax %. ",""))))</f>
      </c>
      <c r="AY245" s="44">
        <f>IF($M245="","",IF(ISNUMBER($M245),IF($M245&gt;=Header!$C$18,"YES — refer","No"),""))</f>
      </c>
      <c r="AZ245" s="44">
        <f>IF($AD245="","",IF(ISNUMBER($AD245),IF($AD245&lt;Header!$C$20,"BELOW MIN PREMIUM","OK"),""))</f>
      </c>
      <c r="BA245" s="32" t="inlineStr">
        <is>
          <t xml:space="preserve">Yes</t>
        </is>
      </c>
      <c r="BB245" s="32" t="inlineStr">
        <is>
          <t xml:space="preserve">Yes</t>
        </is>
      </c>
      <c r="BC245" s="30" t="inlineStr">
        <is>
          <t xml:space="preserve">Synthetic demo data</t>
        </is>
      </c>
      <c r="BE245" s="45">
        <f>IF(OR($A245="",$L245="",$H245=""),"",IF(AND(LEFT($L245,2)="06",$H245&gt;1945),"FAIL - pre-war class, year "&amp;$H245,IF(AND(LEFT($L245,2)="07",OR($H245&lt;1946,$H245&gt;1972)),"FAIL - 1946-72 class, year "&amp;$H245,IF(AND(LEFT($L245,2)="08",OR($H245&lt;1973,$H245&gt;1999)),"FAIL - 1973-99 class, year "&amp;$H245,IF(AND(LEFT($L245,2)="09",OR($H245&lt;2000,$H245&gt;2010)),"FAIL - 2000-10 class, year "&amp;$H245,"OK")))))</f>
      </c>
      <c r="BF245" s="45">
        <f>IF($AD245="","",IF(ROUND($AO245+$AP245+$AQ245-$AD245,2)=0,"OK","FAIL - out by "&amp;TEXT($AO245+$AP245+$AQ245-$AD245,"$0.00")))</f>
      </c>
    </row>
    <row r="246" spans="1:58" ht="18.75" customHeight="1" x14ac:dyDescent="0.25">
      <c r="A246" s="46" t="inlineStr">
        <is>
          <t xml:space="preserve">CANON-202511-002495</t>
        </is>
      </c>
      <c r="B246" s="46" t="inlineStr">
        <is>
          <t xml:space="preserve">Noor Whitlock</t>
        </is>
      </c>
      <c r="C246" s="47">
        <v>45969</v>
      </c>
      <c r="D246" s="48" t="inlineStr">
        <is>
          <t xml:space="preserve">Bound - within authority</t>
        </is>
      </c>
      <c r="E246" s="48" t="inlineStr">
        <is>
          <t xml:space="preserve">New business</t>
        </is>
      </c>
      <c r="F246" s="46" t="inlineStr">
        <is>
          <t xml:space="preserve">B1234EXOTIC26</t>
        </is>
      </c>
      <c r="G246" s="33">
        <f>IF($A246="","",IF($C246="","",YEAR($C246)))</f>
      </c>
      <c r="H246" s="49">
        <v>1963</v>
      </c>
      <c r="I246" s="46" t="inlineStr">
        <is>
          <t xml:space="preserve">Jaguar</t>
        </is>
      </c>
      <c r="J246" s="46" t="inlineStr">
        <is>
          <t xml:space="preserve">E-Type Series 1</t>
        </is>
      </c>
      <c r="K246" s="46" t="inlineStr">
        <is>
          <t xml:space="preserve">H7HAZ3AVW29XZ6WSS</t>
        </is>
      </c>
      <c r="L246" s="48" t="inlineStr">
        <is>
          <t xml:space="preserve">07 - Post-War Classic (1946-1972)</t>
        </is>
      </c>
      <c r="M246" s="50">
        <v>820000</v>
      </c>
      <c r="N246" s="48" t="inlineStr">
        <is>
          <t xml:space="preserve">Personal</t>
        </is>
      </c>
      <c r="O246" s="46" t="inlineStr">
        <is>
          <t xml:space="preserve">Personal - regular use</t>
        </is>
      </c>
      <c r="P246" s="46" t="inlineStr">
        <is>
          <t xml:space="preserve">1,000 - 2,500</t>
        </is>
      </c>
      <c r="Q246" s="46" t="inlineStr">
        <is>
          <t xml:space="preserve">Iowa</t>
        </is>
      </c>
      <c r="R246" s="46" t="inlineStr">
        <is>
          <t xml:space="preserve">50309</t>
        </is>
      </c>
      <c r="S246" s="48" t="inlineStr">
        <is>
          <t xml:space="preserve">Severe convective - hail alley (high)</t>
        </is>
      </c>
      <c r="T246" s="36">
        <f>IF($A246="","",IF($S246="","",IFERROR(INDEX('[1]natural catastrophe'!$D$6:$D$17,MATCH($S246,'[1]natural catastrophe'!$B$6:$B$17,0)),"?")))</f>
      </c>
      <c r="U246" s="46" t="inlineStr">
        <is>
          <t xml:space="preserve">$5,000</t>
        </is>
      </c>
      <c r="V246" s="48" t="inlineStr">
        <is>
          <t xml:space="preserve">Agreed Value</t>
        </is>
      </c>
      <c r="W246" s="46" t="inlineStr">
        <is>
          <t xml:space="preserve">$1,000</t>
        </is>
      </c>
      <c r="X246" s="48" t="inlineStr">
        <is>
          <t xml:space="preserve">$1,000,000 CSL</t>
        </is>
      </c>
      <c r="Y246" s="46"/>
      <c r="Z246" s="46"/>
      <c r="AA246" s="48" t="inlineStr">
        <is>
          <t xml:space="preserve">Surplus Lines</t>
        </is>
      </c>
      <c r="AB246" s="50">
        <v>6728.27</v>
      </c>
      <c r="AC246" s="51">
        <v>0</v>
      </c>
      <c r="AD246" s="38">
        <f>IF(ISNUMBER($AB246),$AB246*(1+N($AC246)),"")</f>
      </c>
      <c r="AE246" s="50">
        <v>350</v>
      </c>
      <c r="AF246" s="50">
        <v>0</v>
      </c>
      <c r="AG246" s="51"/>
      <c r="AH246" s="39">
        <f>IF(ISNUMBER($AD246),($AD246+$AE246+$AF246)*$AG246,"")</f>
      </c>
      <c r="AI246" s="50"/>
      <c r="AJ246" s="38">
        <f>IF(ISNUMBER($AD246),SUM($AD246:$AH246),"")</f>
      </c>
      <c r="AK246" s="40">
        <f>IF(AND(ISNUMBER($AB246),ISNUMBER($AD246)),IF($AB246&gt;0,$AD246/$AB246,""),"")</f>
      </c>
      <c r="AL246" s="48" t="inlineStr">
        <is>
          <t xml:space="preserve">At technical</t>
        </is>
      </c>
      <c r="AM246" s="41">
        <f>IF(ISNUMBER($AD246),Header!$I$3,"")</f>
      </c>
      <c r="AN246" s="39">
        <f>IF(ISNUMBER($AD246),$AO246+$AP246,"")</f>
      </c>
      <c r="AO246" s="39">
        <f>IF(ISNUMBER($AD246),ROUND($AD246*Header!$K$3,2),"")</f>
      </c>
      <c r="AP246" s="39">
        <f>IF(ISNUMBER($AD246),ROUND($AD246*Header!$M$3,2),"")</f>
      </c>
      <c r="AQ246" s="38">
        <f>IF(ISNUMBER($AD246),ROUND($AD246,2)-$AO246-$AP246,"")</f>
      </c>
      <c r="AR246" s="39">
        <f>IF(ISNUMBER($AD246),IF(Header!$D$34="","?",$AD246*Header!$D$34),"")</f>
      </c>
      <c r="AS246" s="39">
        <f>IF(ISNUMBER($AB246),IF(Header!$D$34="","?",$AB246*Header!$D$34),"")</f>
      </c>
      <c r="AT246" s="42">
        <f>IF(AND(ISNUMBER($AB246),$M246&gt;0),$AB246/$M246*100,"")</f>
      </c>
      <c r="AU246" s="42">
        <f>IF(AND(ISNUMBER($AD246),$M246&gt;0),$AD246/$M246*100,"")</f>
      </c>
      <c r="AV246" s="40">
        <f>IF(AND(ISNUMBER($AB246),ISNUMBER($AD246),ABS($AB246)&gt;0),$AD246/$AB246,"")</f>
      </c>
      <c r="AW246" s="39">
        <f>IF(ISNUMBER($AD246),MAX(0,(1-0.55-Header!$O$3)*Header!$Q$3*$AQ246),"")</f>
      </c>
      <c r="AX246" s="43">
        <f>IF($A246="","",IF(TRIM(IF($A246="","Missing certificate ref. ","") &amp; IF($C246="","Missing effective date. ","") &amp; IF($D246="","Missing binding status. ","") &amp; IF($E246="","Missing movement type. ","") &amp; IF($I246="","Missing make. ","") &amp; IF($L246="","Missing vehicle class. ","") &amp; IF($M246="","Missing agreed value. ","") &amp; IF($N246="","Missing policy type. ","") &amp; IF($Q246="","Missing garaging state. ","") &amp; IF($R246="","Missing garaging ZIP. ","") &amp; IF($S246="","Missing cat zone. ","") &amp; IF($V246="","Missing valuation basis. ","") &amp; IF($W246="","Missing PD deductible. ","") &amp; IF($X246="","Missing liability limit. ","") &amp; IF($AB246="","Missing technical premium. ","") &amp; IF($AF246="","Missing surplus lines tax %. ",""))="","PASS","FAIL: "&amp;TRIM(IF($A246="","Missing certificate ref. ","") &amp; IF($C246="","Missing effective date. ","") &amp; IF($D246="","Missing binding status. ","") &amp; IF($E246="","Missing movement type. ","") &amp; IF($I246="","Missing make. ","") &amp; IF($L246="","Missing vehicle class. ","") &amp; IF($M246="","Missing agreed value. ","") &amp; IF($N246="","Missing policy type. ","") &amp; IF($Q246="","Missing garaging state. ","") &amp; IF($R246="","Missing garaging ZIP. ","") &amp; IF($S246="","Missing cat zone. ","") &amp; IF($V246="","Missing valuation basis. ","") &amp; IF($W246="","Missing PD deductible. ","") &amp; IF($X246="","Missing liability limit. ","") &amp; IF($AB246="","Missing technical premium. ","") &amp; IF($AF246="","Missing surplus lines tax %. ",""))))</f>
      </c>
      <c r="AY246" s="44">
        <f>IF($M246="","",IF(ISNUMBER($M246),IF($M246&gt;=Header!$C$18,"YES — refer","No"),""))</f>
      </c>
      <c r="AZ246" s="44">
        <f>IF($AD246="","",IF(ISNUMBER($AD246),IF($AD246&lt;Header!$C$20,"BELOW MIN PREMIUM","OK"),""))</f>
      </c>
      <c r="BA246" s="48" t="inlineStr">
        <is>
          <t xml:space="preserve">Yes</t>
        </is>
      </c>
      <c r="BB246" s="48" t="inlineStr">
        <is>
          <t xml:space="preserve">Yes</t>
        </is>
      </c>
      <c r="BC246" s="46" t="inlineStr">
        <is>
          <t xml:space="preserve">Synthetic demo data</t>
        </is>
      </c>
      <c r="BE246" s="45">
        <f>IF(OR($A246="",$L246="",$H246=""),"",IF(AND(LEFT($L246,2)="06",$H246&gt;1945),"FAIL - pre-war class, year "&amp;$H246,IF(AND(LEFT($L246,2)="07",OR($H246&lt;1946,$H246&gt;1972)),"FAIL - 1946-72 class, year "&amp;$H246,IF(AND(LEFT($L246,2)="08",OR($H246&lt;1973,$H246&gt;1999)),"FAIL - 1973-99 class, year "&amp;$H246,IF(AND(LEFT($L246,2)="09",OR($H246&lt;2000,$H246&gt;2010)),"FAIL - 2000-10 class, year "&amp;$H246,"OK")))))</f>
      </c>
      <c r="BF246" s="45">
        <f>IF($AD246="","",IF(ROUND($AO246+$AP246+$AQ246-$AD246,2)=0,"OK","FAIL - out by "&amp;TEXT($AO246+$AP246+$AQ246-$AD246,"$0.00")))</f>
      </c>
    </row>
    <row r="247" spans="1:58" ht="18.75" customHeight="1" x14ac:dyDescent="0.25">
      <c r="A247" s="30" t="inlineStr">
        <is>
          <t xml:space="preserve">CANON-202511-002496</t>
        </is>
      </c>
      <c r="B247" s="30" t="inlineStr">
        <is>
          <t xml:space="preserve">Marisol Pennington</t>
        </is>
      </c>
      <c r="C247" s="31">
        <v>45964</v>
      </c>
      <c r="D247" s="32" t="inlineStr">
        <is>
          <t xml:space="preserve">Bound - within authority</t>
        </is>
      </c>
      <c r="E247" s="32" t="inlineStr">
        <is>
          <t xml:space="preserve">New business</t>
        </is>
      </c>
      <c r="F247" s="30" t="inlineStr">
        <is>
          <t xml:space="preserve">B1234EXOTIC26</t>
        </is>
      </c>
      <c r="G247" s="33">
        <f>IF($A247="","",IF($C247="","",YEAR($C247)))</f>
      </c>
      <c r="H247" s="34">
        <v>1973</v>
      </c>
      <c r="I247" s="30" t="inlineStr">
        <is>
          <t xml:space="preserve">Porsche</t>
        </is>
      </c>
      <c r="J247" s="30" t="inlineStr">
        <is>
          <t xml:space="preserve">911 Turbo S</t>
        </is>
      </c>
      <c r="K247" s="30" t="inlineStr">
        <is>
          <t xml:space="preserve">UJ4WH7MRZY05058M8</t>
        </is>
      </c>
      <c r="L247" s="32" t="inlineStr">
        <is>
          <t xml:space="preserve">02 - Sports / GT</t>
        </is>
      </c>
      <c r="M247" s="35">
        <v>495000</v>
      </c>
      <c r="N247" s="32" t="inlineStr">
        <is>
          <t xml:space="preserve">Personal</t>
        </is>
      </c>
      <c r="O247" s="30" t="inlineStr">
        <is>
          <t xml:space="preserve">Personal - regular use</t>
        </is>
      </c>
      <c r="P247" s="30" t="inlineStr">
        <is>
          <t xml:space="preserve">2,500 - 5,000</t>
        </is>
      </c>
      <c r="Q247" s="30" t="inlineStr">
        <is>
          <t xml:space="preserve">Maine</t>
        </is>
      </c>
      <c r="R247" s="30" t="inlineStr">
        <is>
          <t xml:space="preserve">04101</t>
        </is>
      </c>
      <c r="S247" s="32" t="inlineStr">
        <is>
          <t xml:space="preserve">Tier 3 - Coastal wind (25-100 miles)</t>
        </is>
      </c>
      <c r="T247" s="36">
        <f>IF($A247="","",IF($S247="","",IFERROR(INDEX('[1]natural catastrophe'!$D$6:$D$17,MATCH($S247,'[1]natural catastrophe'!$B$6:$B$17,0)),"?")))</f>
      </c>
      <c r="U247" s="30" t="inlineStr">
        <is>
          <t xml:space="preserve">2% of agreed value, minimum $10,000</t>
        </is>
      </c>
      <c r="V247" s="32" t="inlineStr">
        <is>
          <t xml:space="preserve">Agreed Value</t>
        </is>
      </c>
      <c r="W247" s="30" t="inlineStr">
        <is>
          <t xml:space="preserve">$1,000</t>
        </is>
      </c>
      <c r="X247" s="32" t="inlineStr">
        <is>
          <t xml:space="preserve">$1,000,000 CSL</t>
        </is>
      </c>
      <c r="Y247" s="30"/>
      <c r="Z247" s="30"/>
      <c r="AA247" s="32" t="inlineStr">
        <is>
          <t xml:space="preserve">Surplus Lines</t>
        </is>
      </c>
      <c r="AB247" s="35">
        <v>6955.34</v>
      </c>
      <c r="AC247" s="37">
        <v>0</v>
      </c>
      <c r="AD247" s="38">
        <f>IF(ISNUMBER($AB247),$AB247*(1+N($AC247)),"")</f>
      </c>
      <c r="AE247" s="35">
        <v>350</v>
      </c>
      <c r="AF247" s="35">
        <v>0</v>
      </c>
      <c r="AG247" s="37"/>
      <c r="AH247" s="39">
        <f>IF(ISNUMBER($AD247),($AD247+$AE247+$AF247)*$AG247,"")</f>
      </c>
      <c r="AI247" s="35"/>
      <c r="AJ247" s="38">
        <f>IF(ISNUMBER($AD247),SUM($AD247:$AH247),"")</f>
      </c>
      <c r="AK247" s="40">
        <f>IF(AND(ISNUMBER($AB247),ISNUMBER($AD247)),IF($AB247&gt;0,$AD247/$AB247,""),"")</f>
      </c>
      <c r="AL247" s="32" t="inlineStr">
        <is>
          <t xml:space="preserve">At technical</t>
        </is>
      </c>
      <c r="AM247" s="41">
        <f>IF(ISNUMBER($AD247),Header!$I$3,"")</f>
      </c>
      <c r="AN247" s="39">
        <f>IF(ISNUMBER($AD247),$AO247+$AP247,"")</f>
      </c>
      <c r="AO247" s="39">
        <f>IF(ISNUMBER($AD247),ROUND($AD247*Header!$K$3,2),"")</f>
      </c>
      <c r="AP247" s="39">
        <f>IF(ISNUMBER($AD247),ROUND($AD247*Header!$M$3,2),"")</f>
      </c>
      <c r="AQ247" s="38">
        <f>IF(ISNUMBER($AD247),ROUND($AD247,2)-$AO247-$AP247,"")</f>
      </c>
      <c r="AR247" s="39">
        <f>IF(ISNUMBER($AD247),IF(Header!$D$34="","?",$AD247*Header!$D$34),"")</f>
      </c>
      <c r="AS247" s="39">
        <f>IF(ISNUMBER($AB247),IF(Header!$D$34="","?",$AB247*Header!$D$34),"")</f>
      </c>
      <c r="AT247" s="42">
        <f>IF(AND(ISNUMBER($AB247),$M247&gt;0),$AB247/$M247*100,"")</f>
      </c>
      <c r="AU247" s="42">
        <f>IF(AND(ISNUMBER($AD247),$M247&gt;0),$AD247/$M247*100,"")</f>
      </c>
      <c r="AV247" s="40">
        <f>IF(AND(ISNUMBER($AB247),ISNUMBER($AD247),ABS($AB247)&gt;0),$AD247/$AB247,"")</f>
      </c>
      <c r="AW247" s="39">
        <f>IF(ISNUMBER($AD247),MAX(0,(1-0.55-Header!$O$3)*Header!$Q$3*$AQ247),"")</f>
      </c>
      <c r="AX247" s="43">
        <f>IF($A247="","",IF(TRIM(IF($A247="","Missing certificate ref. ","") &amp; IF($C247="","Missing effective date. ","") &amp; IF($D247="","Missing binding status. ","") &amp; IF($E247="","Missing movement type. ","") &amp; IF($I247="","Missing make. ","") &amp; IF($L247="","Missing vehicle class. ","") &amp; IF($M247="","Missing agreed value. ","") &amp; IF($N247="","Missing policy type. ","") &amp; IF($Q247="","Missing garaging state. ","") &amp; IF($R247="","Missing garaging ZIP. ","") &amp; IF($S247="","Missing cat zone. ","") &amp; IF($V247="","Missing valuation basis. ","") &amp; IF($W247="","Missing PD deductible. ","") &amp; IF($X247="","Missing liability limit. ","") &amp; IF($AB247="","Missing technical premium. ","") &amp; IF($AF247="","Missing surplus lines tax %. ",""))="","PASS","FAIL: "&amp;TRIM(IF($A247="","Missing certificate ref. ","") &amp; IF($C247="","Missing effective date. ","") &amp; IF($D247="","Missing binding status. ","") &amp; IF($E247="","Missing movement type. ","") &amp; IF($I247="","Missing make. ","") &amp; IF($L247="","Missing vehicle class. ","") &amp; IF($M247="","Missing agreed value. ","") &amp; IF($N247="","Missing policy type. ","") &amp; IF($Q247="","Missing garaging state. ","") &amp; IF($R247="","Missing garaging ZIP. ","") &amp; IF($S247="","Missing cat zone. ","") &amp; IF($V247="","Missing valuation basis. ","") &amp; IF($W247="","Missing PD deductible. ","") &amp; IF($X247="","Missing liability limit. ","") &amp; IF($AB247="","Missing technical premium. ","") &amp; IF($AF247="","Missing surplus lines tax %. ",""))))</f>
      </c>
      <c r="AY247" s="44">
        <f>IF($M247="","",IF(ISNUMBER($M247),IF($M247&gt;=Header!$C$18,"YES — refer","No"),""))</f>
      </c>
      <c r="AZ247" s="44">
        <f>IF($AD247="","",IF(ISNUMBER($AD247),IF($AD247&lt;Header!$C$20,"BELOW MIN PREMIUM","OK"),""))</f>
      </c>
      <c r="BA247" s="32" t="inlineStr">
        <is>
          <t xml:space="preserve">Yes</t>
        </is>
      </c>
      <c r="BB247" s="32" t="inlineStr">
        <is>
          <t xml:space="preserve">Yes</t>
        </is>
      </c>
      <c r="BC247" s="30" t="inlineStr">
        <is>
          <t xml:space="preserve">Synthetic demo data</t>
        </is>
      </c>
      <c r="BE247" s="45">
        <f>IF(OR($A247="",$L247="",$H247=""),"",IF(AND(LEFT($L247,2)="06",$H247&gt;1945),"FAIL - pre-war class, year "&amp;$H247,IF(AND(LEFT($L247,2)="07",OR($H247&lt;1946,$H247&gt;1972)),"FAIL - 1946-72 class, year "&amp;$H247,IF(AND(LEFT($L247,2)="08",OR($H247&lt;1973,$H247&gt;1999)),"FAIL - 1973-99 class, year "&amp;$H247,IF(AND(LEFT($L247,2)="09",OR($H247&lt;2000,$H247&gt;2010)),"FAIL - 2000-10 class, year "&amp;$H247,"OK")))))</f>
      </c>
      <c r="BF247" s="45">
        <f>IF($AD247="","",IF(ROUND($AO247+$AP247+$AQ247-$AD247,2)=0,"OK","FAIL - out by "&amp;TEXT($AO247+$AP247+$AQ247-$AD247,"$0.00")))</f>
      </c>
    </row>
    <row r="248" spans="1:58" ht="18.75" customHeight="1" x14ac:dyDescent="0.25">
      <c r="A248" s="46" t="inlineStr">
        <is>
          <t xml:space="preserve">CANON-202511-002497</t>
        </is>
      </c>
      <c r="B248" s="46" t="inlineStr">
        <is>
          <t xml:space="preserve">Anouk Castellanos</t>
        </is>
      </c>
      <c r="C248" s="47">
        <v>45975</v>
      </c>
      <c r="D248" s="48" t="inlineStr">
        <is>
          <t xml:space="preserve">Bound - within authority</t>
        </is>
      </c>
      <c r="E248" s="48" t="inlineStr">
        <is>
          <t xml:space="preserve">New business</t>
        </is>
      </c>
      <c r="F248" s="46" t="inlineStr">
        <is>
          <t xml:space="preserve">B1234EXOTIC26</t>
        </is>
      </c>
      <c r="G248" s="33">
        <f>IF($A248="","",IF($C248="","",YEAR($C248)))</f>
      </c>
      <c r="H248" s="49">
        <v>2006</v>
      </c>
      <c r="I248" s="46" t="inlineStr">
        <is>
          <t xml:space="preserve">Mercedes-Benz</t>
        </is>
      </c>
      <c r="J248" s="46" t="inlineStr">
        <is>
          <t xml:space="preserve">280SL Pagoda</t>
        </is>
      </c>
      <c r="K248" s="46" t="inlineStr">
        <is>
          <t xml:space="preserve">H95YRY6X7ENKGKUW6</t>
        </is>
      </c>
      <c r="L248" s="48" t="inlineStr">
        <is>
          <t xml:space="preserve">09 - Youngtimer / Collectible (2000-2010)</t>
        </is>
      </c>
      <c r="M248" s="50">
        <v>535000</v>
      </c>
      <c r="N248" s="48" t="inlineStr">
        <is>
          <t xml:space="preserve">Personal</t>
        </is>
      </c>
      <c r="O248" s="46" t="inlineStr">
        <is>
          <t xml:space="preserve">Personal - regular use</t>
        </is>
      </c>
      <c r="P248" s="46" t="inlineStr">
        <is>
          <t xml:space="preserve">Under 1,000</t>
        </is>
      </c>
      <c r="Q248" s="46" t="inlineStr">
        <is>
          <t xml:space="preserve">Colorado</t>
        </is>
      </c>
      <c r="R248" s="46" t="inlineStr">
        <is>
          <t xml:space="preserve">80202</t>
        </is>
      </c>
      <c r="S248" s="48" t="inlineStr">
        <is>
          <t xml:space="preserve">Severe convective - hail alley (high)</t>
        </is>
      </c>
      <c r="T248" s="36">
        <f>IF($A248="","",IF($S248="","",IFERROR(INDEX('[1]natural catastrophe'!$D$6:$D$17,MATCH($S248,'[1]natural catastrophe'!$B$6:$B$17,0)),"?")))</f>
      </c>
      <c r="U248" s="46" t="inlineStr">
        <is>
          <t xml:space="preserve">$5,000</t>
        </is>
      </c>
      <c r="V248" s="48" t="inlineStr">
        <is>
          <t xml:space="preserve">Agreed Value</t>
        </is>
      </c>
      <c r="W248" s="46" t="inlineStr">
        <is>
          <t xml:space="preserve">$1,000</t>
        </is>
      </c>
      <c r="X248" s="48" t="inlineStr">
        <is>
          <t xml:space="preserve">$1,000,000 CSL</t>
        </is>
      </c>
      <c r="Y248" s="46"/>
      <c r="Z248" s="46"/>
      <c r="AA248" s="48" t="inlineStr">
        <is>
          <t xml:space="preserve">Surplus Lines</t>
        </is>
      </c>
      <c r="AB248" s="50">
        <v>4389.79</v>
      </c>
      <c r="AC248" s="51">
        <v>0</v>
      </c>
      <c r="AD248" s="38">
        <f>IF(ISNUMBER($AB248),$AB248*(1+N($AC248)),"")</f>
      </c>
      <c r="AE248" s="50">
        <v>350</v>
      </c>
      <c r="AF248" s="50">
        <v>0</v>
      </c>
      <c r="AG248" s="51"/>
      <c r="AH248" s="39">
        <f>IF(ISNUMBER($AD248),($AD248+$AE248+$AF248)*$AG248,"")</f>
      </c>
      <c r="AI248" s="50"/>
      <c r="AJ248" s="38">
        <f>IF(ISNUMBER($AD248),SUM($AD248:$AH248),"")</f>
      </c>
      <c r="AK248" s="40">
        <f>IF(AND(ISNUMBER($AB248),ISNUMBER($AD248)),IF($AB248&gt;0,$AD248/$AB248,""),"")</f>
      </c>
      <c r="AL248" s="48" t="inlineStr">
        <is>
          <t xml:space="preserve">At technical</t>
        </is>
      </c>
      <c r="AM248" s="41">
        <f>IF(ISNUMBER($AD248),Header!$I$3,"")</f>
      </c>
      <c r="AN248" s="39">
        <f>IF(ISNUMBER($AD248),$AO248+$AP248,"")</f>
      </c>
      <c r="AO248" s="39">
        <f>IF(ISNUMBER($AD248),ROUND($AD248*Header!$K$3,2),"")</f>
      </c>
      <c r="AP248" s="39">
        <f>IF(ISNUMBER($AD248),ROUND($AD248*Header!$M$3,2),"")</f>
      </c>
      <c r="AQ248" s="38">
        <f>IF(ISNUMBER($AD248),ROUND($AD248,2)-$AO248-$AP248,"")</f>
      </c>
      <c r="AR248" s="39">
        <f>IF(ISNUMBER($AD248),IF(Header!$D$34="","?",$AD248*Header!$D$34),"")</f>
      </c>
      <c r="AS248" s="39">
        <f>IF(ISNUMBER($AB248),IF(Header!$D$34="","?",$AB248*Header!$D$34),"")</f>
      </c>
      <c r="AT248" s="42">
        <f>IF(AND(ISNUMBER($AB248),$M248&gt;0),$AB248/$M248*100,"")</f>
      </c>
      <c r="AU248" s="42">
        <f>IF(AND(ISNUMBER($AD248),$M248&gt;0),$AD248/$M248*100,"")</f>
      </c>
      <c r="AV248" s="40">
        <f>IF(AND(ISNUMBER($AB248),ISNUMBER($AD248),ABS($AB248)&gt;0),$AD248/$AB248,"")</f>
      </c>
      <c r="AW248" s="39">
        <f>IF(ISNUMBER($AD248),MAX(0,(1-0.55-Header!$O$3)*Header!$Q$3*$AQ248),"")</f>
      </c>
      <c r="AX248" s="43">
        <f>IF($A248="","",IF(TRIM(IF($A248="","Missing certificate ref. ","") &amp; IF($C248="","Missing effective date. ","") &amp; IF($D248="","Missing binding status. ","") &amp; IF($E248="","Missing movement type. ","") &amp; IF($I248="","Missing make. ","") &amp; IF($L248="","Missing vehicle class. ","") &amp; IF($M248="","Missing agreed value. ","") &amp; IF($N248="","Missing policy type. ","") &amp; IF($Q248="","Missing garaging state. ","") &amp; IF($R248="","Missing garaging ZIP. ","") &amp; IF($S248="","Missing cat zone. ","") &amp; IF($V248="","Missing valuation basis. ","") &amp; IF($W248="","Missing PD deductible. ","") &amp; IF($X248="","Missing liability limit. ","") &amp; IF($AB248="","Missing technical premium. ","") &amp; IF($AF248="","Missing surplus lines tax %. ",""))="","PASS","FAIL: "&amp;TRIM(IF($A248="","Missing certificate ref. ","") &amp; IF($C248="","Missing effective date. ","") &amp; IF($D248="","Missing binding status. ","") &amp; IF($E248="","Missing movement type. ","") &amp; IF($I248="","Missing make. ","") &amp; IF($L248="","Missing vehicle class. ","") &amp; IF($M248="","Missing agreed value. ","") &amp; IF($N248="","Missing policy type. ","") &amp; IF($Q248="","Missing garaging state. ","") &amp; IF($R248="","Missing garaging ZIP. ","") &amp; IF($S248="","Missing cat zone. ","") &amp; IF($V248="","Missing valuation basis. ","") &amp; IF($W248="","Missing PD deductible. ","") &amp; IF($X248="","Missing liability limit. ","") &amp; IF($AB248="","Missing technical premium. ","") &amp; IF($AF248="","Missing surplus lines tax %. ",""))))</f>
      </c>
      <c r="AY248" s="44">
        <f>IF($M248="","",IF(ISNUMBER($M248),IF($M248&gt;=Header!$C$18,"YES — refer","No"),""))</f>
      </c>
      <c r="AZ248" s="44">
        <f>IF($AD248="","",IF(ISNUMBER($AD248),IF($AD248&lt;Header!$C$20,"BELOW MIN PREMIUM","OK"),""))</f>
      </c>
      <c r="BA248" s="48" t="inlineStr">
        <is>
          <t xml:space="preserve">Yes</t>
        </is>
      </c>
      <c r="BB248" s="48" t="inlineStr">
        <is>
          <t xml:space="preserve">Yes</t>
        </is>
      </c>
      <c r="BC248" s="46" t="inlineStr">
        <is>
          <t xml:space="preserve">Synthetic demo data</t>
        </is>
      </c>
      <c r="BE248" s="45">
        <f>IF(OR($A248="",$L248="",$H248=""),"",IF(AND(LEFT($L248,2)="06",$H248&gt;1945),"FAIL - pre-war class, year "&amp;$H248,IF(AND(LEFT($L248,2)="07",OR($H248&lt;1946,$H248&gt;1972)),"FAIL - 1946-72 class, year "&amp;$H248,IF(AND(LEFT($L248,2)="08",OR($H248&lt;1973,$H248&gt;1999)),"FAIL - 1973-99 class, year "&amp;$H248,IF(AND(LEFT($L248,2)="09",OR($H248&lt;2000,$H248&gt;2010)),"FAIL - 2000-10 class, year "&amp;$H248,"OK")))))</f>
      </c>
      <c r="BF248" s="45">
        <f>IF($AD248="","",IF(ROUND($AO248+$AP248+$AQ248-$AD248,2)=0,"OK","FAIL - out by "&amp;TEXT($AO248+$AP248+$AQ248-$AD248,"$0.00")))</f>
      </c>
    </row>
    <row r="249" spans="1:58" ht="18.75" customHeight="1" x14ac:dyDescent="0.25">
      <c r="A249" s="30" t="inlineStr">
        <is>
          <t xml:space="preserve">CANON-202511-002499</t>
        </is>
      </c>
      <c r="B249" s="30" t="inlineStr">
        <is>
          <t xml:space="preserve">Fenwick Nakashima</t>
        </is>
      </c>
      <c r="C249" s="31">
        <v>45962</v>
      </c>
      <c r="D249" s="32" t="inlineStr">
        <is>
          <t xml:space="preserve">Bound - within authority</t>
        </is>
      </c>
      <c r="E249" s="32" t="inlineStr">
        <is>
          <t xml:space="preserve">New business</t>
        </is>
      </c>
      <c r="F249" s="30" t="inlineStr">
        <is>
          <t xml:space="preserve">B1234EXOTIC26</t>
        </is>
      </c>
      <c r="G249" s="33">
        <f>IF($A249="","",IF($C249="","",YEAR($C249)))</f>
      </c>
      <c r="H249" s="34">
        <v>1965</v>
      </c>
      <c r="I249" s="30" t="inlineStr">
        <is>
          <t xml:space="preserve">Aston Martin</t>
        </is>
      </c>
      <c r="J249" s="30" t="inlineStr">
        <is>
          <t xml:space="preserve">DB12</t>
        </is>
      </c>
      <c r="K249" s="30" t="inlineStr">
        <is>
          <t xml:space="preserve">NU7TKL50GLSJPCAC2</t>
        </is>
      </c>
      <c r="L249" s="32" t="inlineStr">
        <is>
          <t xml:space="preserve">02 - Sports / GT</t>
        </is>
      </c>
      <c r="M249" s="35">
        <v>410000</v>
      </c>
      <c r="N249" s="32" t="inlineStr">
        <is>
          <t xml:space="preserve">Personal</t>
        </is>
      </c>
      <c r="O249" s="30" t="inlineStr">
        <is>
          <t xml:space="preserve">Personal - regular use</t>
        </is>
      </c>
      <c r="P249" s="30" t="inlineStr">
        <is>
          <t xml:space="preserve">Under 1,000</t>
        </is>
      </c>
      <c r="Q249" s="30" t="inlineStr">
        <is>
          <t xml:space="preserve">Delaware</t>
        </is>
      </c>
      <c r="R249" s="30" t="inlineStr">
        <is>
          <t xml:space="preserve">19801</t>
        </is>
      </c>
      <c r="S249" s="32" t="inlineStr">
        <is>
          <t xml:space="preserve">Tier 3 - Coastal wind (25-100 miles)</t>
        </is>
      </c>
      <c r="T249" s="36">
        <f>IF($A249="","",IF($S249="","",IFERROR(INDEX('[1]natural catastrophe'!$D$6:$D$17,MATCH($S249,'[1]natural catastrophe'!$B$6:$B$17,0)),"?")))</f>
      </c>
      <c r="U249" s="30" t="inlineStr">
        <is>
          <t xml:space="preserve">2% of agreed value, minimum $10,000</t>
        </is>
      </c>
      <c r="V249" s="32" t="inlineStr">
        <is>
          <t xml:space="preserve">Agreed Value</t>
        </is>
      </c>
      <c r="W249" s="30" t="inlineStr">
        <is>
          <t xml:space="preserve">$1,000</t>
        </is>
      </c>
      <c r="X249" s="32" t="inlineStr">
        <is>
          <t xml:space="preserve">$1,000,000 CSL</t>
        </is>
      </c>
      <c r="Y249" s="30"/>
      <c r="Z249" s="30"/>
      <c r="AA249" s="32" t="inlineStr">
        <is>
          <t xml:space="preserve">Surplus Lines</t>
        </is>
      </c>
      <c r="AB249" s="35">
        <v>6667.82</v>
      </c>
      <c r="AC249" s="37">
        <v>0</v>
      </c>
      <c r="AD249" s="38">
        <f>IF(ISNUMBER($AB249),$AB249*(1+N($AC249)),"")</f>
      </c>
      <c r="AE249" s="35">
        <v>350</v>
      </c>
      <c r="AF249" s="35">
        <v>0</v>
      </c>
      <c r="AG249" s="37"/>
      <c r="AH249" s="39">
        <f>IF(ISNUMBER($AD249),($AD249+$AE249+$AF249)*$AG249,"")</f>
      </c>
      <c r="AI249" s="35"/>
      <c r="AJ249" s="38">
        <f>IF(ISNUMBER($AD249),SUM($AD249:$AH249),"")</f>
      </c>
      <c r="AK249" s="40">
        <f>IF(AND(ISNUMBER($AB249),ISNUMBER($AD249)),IF($AB249&gt;0,$AD249/$AB249,""),"")</f>
      </c>
      <c r="AL249" s="32" t="inlineStr">
        <is>
          <t xml:space="preserve">At technical</t>
        </is>
      </c>
      <c r="AM249" s="41">
        <f>IF(ISNUMBER($AD249),Header!$I$3,"")</f>
      </c>
      <c r="AN249" s="39">
        <f>IF(ISNUMBER($AD249),$AO249+$AP249,"")</f>
      </c>
      <c r="AO249" s="39">
        <f>IF(ISNUMBER($AD249),ROUND($AD249*Header!$K$3,2),"")</f>
      </c>
      <c r="AP249" s="39">
        <f>IF(ISNUMBER($AD249),ROUND($AD249*Header!$M$3,2),"")</f>
      </c>
      <c r="AQ249" s="38">
        <f>IF(ISNUMBER($AD249),ROUND($AD249,2)-$AO249-$AP249,"")</f>
      </c>
      <c r="AR249" s="39">
        <f>IF(ISNUMBER($AD249),IF(Header!$D$34="","?",$AD249*Header!$D$34),"")</f>
      </c>
      <c r="AS249" s="39">
        <f>IF(ISNUMBER($AB249),IF(Header!$D$34="","?",$AB249*Header!$D$34),"")</f>
      </c>
      <c r="AT249" s="42">
        <f>IF(AND(ISNUMBER($AB249),$M249&gt;0),$AB249/$M249*100,"")</f>
      </c>
      <c r="AU249" s="42">
        <f>IF(AND(ISNUMBER($AD249),$M249&gt;0),$AD249/$M249*100,"")</f>
      </c>
      <c r="AV249" s="40">
        <f>IF(AND(ISNUMBER($AB249),ISNUMBER($AD249),ABS($AB249)&gt;0),$AD249/$AB249,"")</f>
      </c>
      <c r="AW249" s="39">
        <f>IF(ISNUMBER($AD249),MAX(0,(1-0.55-Header!$O$3)*Header!$Q$3*$AQ249),"")</f>
      </c>
      <c r="AX249" s="43">
        <f>IF($A249="","",IF(TRIM(IF($A249="","Missing certificate ref. ","") &amp; IF($C249="","Missing effective date. ","") &amp; IF($D249="","Missing binding status. ","") &amp; IF($E249="","Missing movement type. ","") &amp; IF($I249="","Missing make. ","") &amp; IF($L249="","Missing vehicle class. ","") &amp; IF($M249="","Missing agreed value. ","") &amp; IF($N249="","Missing policy type. ","") &amp; IF($Q249="","Missing garaging state. ","") &amp; IF($R249="","Missing garaging ZIP. ","") &amp; IF($S249="","Missing cat zone. ","") &amp; IF($V249="","Missing valuation basis. ","") &amp; IF($W249="","Missing PD deductible. ","") &amp; IF($X249="","Missing liability limit. ","") &amp; IF($AB249="","Missing technical premium. ","") &amp; IF($AF249="","Missing surplus lines tax %. ",""))="","PASS","FAIL: "&amp;TRIM(IF($A249="","Missing certificate ref. ","") &amp; IF($C249="","Missing effective date. ","") &amp; IF($D249="","Missing binding status. ","") &amp; IF($E249="","Missing movement type. ","") &amp; IF($I249="","Missing make. ","") &amp; IF($L249="","Missing vehicle class. ","") &amp; IF($M249="","Missing agreed value. ","") &amp; IF($N249="","Missing policy type. ","") &amp; IF($Q249="","Missing garaging state. ","") &amp; IF($R249="","Missing garaging ZIP. ","") &amp; IF($S249="","Missing cat zone. ","") &amp; IF($V249="","Missing valuation basis. ","") &amp; IF($W249="","Missing PD deductible. ","") &amp; IF($X249="","Missing liability limit. ","") &amp; IF($AB249="","Missing technical premium. ","") &amp; IF($AF249="","Missing surplus lines tax %. ",""))))</f>
      </c>
      <c r="AY249" s="44">
        <f>IF($M249="","",IF(ISNUMBER($M249),IF($M249&gt;=Header!$C$18,"YES — refer","No"),""))</f>
      </c>
      <c r="AZ249" s="44">
        <f>IF($AD249="","",IF(ISNUMBER($AD249),IF($AD249&lt;Header!$C$20,"BELOW MIN PREMIUM","OK"),""))</f>
      </c>
      <c r="BA249" s="32" t="inlineStr">
        <is>
          <t xml:space="preserve">Yes</t>
        </is>
      </c>
      <c r="BB249" s="32" t="inlineStr">
        <is>
          <t xml:space="preserve">Yes</t>
        </is>
      </c>
      <c r="BC249" s="30" t="inlineStr">
        <is>
          <t xml:space="preserve">Synthetic demo data</t>
        </is>
      </c>
      <c r="BE249" s="45">
        <f>IF(OR($A249="",$L249="",$H249=""),"",IF(AND(LEFT($L249,2)="06",$H249&gt;1945),"FAIL - pre-war class, year "&amp;$H249,IF(AND(LEFT($L249,2)="07",OR($H249&lt;1946,$H249&gt;1972)),"FAIL - 1946-72 class, year "&amp;$H249,IF(AND(LEFT($L249,2)="08",OR($H249&lt;1973,$H249&gt;1999)),"FAIL - 1973-99 class, year "&amp;$H249,IF(AND(LEFT($L249,2)="09",OR($H249&lt;2000,$H249&gt;2010)),"FAIL - 2000-10 class, year "&amp;$H249,"OK")))))</f>
      </c>
      <c r="BF249" s="45">
        <f>IF($AD249="","",IF(ROUND($AO249+$AP249+$AQ249-$AD249,2)=0,"OK","FAIL - out by "&amp;TEXT($AO249+$AP249+$AQ249-$AD249,"$0.00")))</f>
      </c>
    </row>
    <row r="250" spans="1:58" ht="18.75" customHeight="1" x14ac:dyDescent="0.25">
      <c r="A250" s="46" t="inlineStr">
        <is>
          <t xml:space="preserve">CANON-202511-002500</t>
        </is>
      </c>
      <c r="B250" s="46" t="inlineStr">
        <is>
          <t xml:space="preserve">Cassius Harrington</t>
        </is>
      </c>
      <c r="C250" s="47">
        <v>45987</v>
      </c>
      <c r="D250" s="48" t="inlineStr">
        <is>
          <t xml:space="preserve">Bound - within authority</t>
        </is>
      </c>
      <c r="E250" s="48" t="inlineStr">
        <is>
          <t xml:space="preserve">New business</t>
        </is>
      </c>
      <c r="F250" s="46" t="inlineStr">
        <is>
          <t xml:space="preserve">B1234EXOTIC26</t>
        </is>
      </c>
      <c r="G250" s="33">
        <f>IF($A250="","",IF($C250="","",YEAR($C250)))</f>
      </c>
      <c r="H250" s="49">
        <v>1988</v>
      </c>
      <c r="I250" s="46" t="inlineStr">
        <is>
          <t xml:space="preserve">Ferrari</t>
        </is>
      </c>
      <c r="J250" s="46" t="inlineStr">
        <is>
          <t xml:space="preserve">SF90 Stradale</t>
        </is>
      </c>
      <c r="K250" s="46" t="inlineStr">
        <is>
          <t xml:space="preserve">3NDZYZV9HE999LF1T</t>
        </is>
      </c>
      <c r="L250" s="48" t="inlineStr">
        <is>
          <t xml:space="preserve">03 - Supercar</t>
        </is>
      </c>
      <c r="M250" s="50">
        <v>475000</v>
      </c>
      <c r="N250" s="48" t="inlineStr">
        <is>
          <t xml:space="preserve">Personal</t>
        </is>
      </c>
      <c r="O250" s="46" t="inlineStr">
        <is>
          <t xml:space="preserve">Personal - regular use</t>
        </is>
      </c>
      <c r="P250" s="46" t="inlineStr">
        <is>
          <t xml:space="preserve">2,500 - 5,000</t>
        </is>
      </c>
      <c r="Q250" s="46" t="inlineStr">
        <is>
          <t xml:space="preserve">Ohio</t>
        </is>
      </c>
      <c r="R250" s="46" t="inlineStr">
        <is>
          <t xml:space="preserve">43215</t>
        </is>
      </c>
      <c r="S250" s="48" t="inlineStr">
        <is>
          <t xml:space="preserve">Severe convective - hail / tornado (moderate)</t>
        </is>
      </c>
      <c r="T250" s="36">
        <f>IF($A250="","",IF($S250="","",IFERROR(INDEX('[1]natural catastrophe'!$D$6:$D$17,MATCH($S250,'[1]natural catastrophe'!$B$6:$B$17,0)),"?")))</f>
      </c>
      <c r="U250" s="46" t="inlineStr">
        <is>
          <t xml:space="preserve">$5,000</t>
        </is>
      </c>
      <c r="V250" s="48" t="inlineStr">
        <is>
          <t xml:space="preserve">Agreed Value</t>
        </is>
      </c>
      <c r="W250" s="46" t="inlineStr">
        <is>
          <t xml:space="preserve">$1,000</t>
        </is>
      </c>
      <c r="X250" s="48" t="inlineStr">
        <is>
          <t xml:space="preserve">$1,000,000 CSL</t>
        </is>
      </c>
      <c r="Y250" s="46"/>
      <c r="Z250" s="46"/>
      <c r="AA250" s="48" t="inlineStr">
        <is>
          <t xml:space="preserve">Surplus Lines</t>
        </is>
      </c>
      <c r="AB250" s="50">
        <v>13171.49</v>
      </c>
      <c r="AC250" s="51">
        <v>0</v>
      </c>
      <c r="AD250" s="38">
        <f>IF(ISNUMBER($AB250),$AB250*(1+N($AC250)),"")</f>
      </c>
      <c r="AE250" s="50">
        <v>350</v>
      </c>
      <c r="AF250" s="50">
        <v>0</v>
      </c>
      <c r="AG250" s="51"/>
      <c r="AH250" s="39">
        <f>IF(ISNUMBER($AD250),($AD250+$AE250+$AF250)*$AG250,"")</f>
      </c>
      <c r="AI250" s="50"/>
      <c r="AJ250" s="38">
        <f>IF(ISNUMBER($AD250),SUM($AD250:$AH250),"")</f>
      </c>
      <c r="AK250" s="40">
        <f>IF(AND(ISNUMBER($AB250),ISNUMBER($AD250)),IF($AB250&gt;0,$AD250/$AB250,""),"")</f>
      </c>
      <c r="AL250" s="48" t="inlineStr">
        <is>
          <t xml:space="preserve">At technical</t>
        </is>
      </c>
      <c r="AM250" s="41">
        <f>IF(ISNUMBER($AD250),Header!$I$3,"")</f>
      </c>
      <c r="AN250" s="39">
        <f>IF(ISNUMBER($AD250),$AO250+$AP250,"")</f>
      </c>
      <c r="AO250" s="39">
        <f>IF(ISNUMBER($AD250),ROUND($AD250*Header!$K$3,2),"")</f>
      </c>
      <c r="AP250" s="39">
        <f>IF(ISNUMBER($AD250),ROUND($AD250*Header!$M$3,2),"")</f>
      </c>
      <c r="AQ250" s="38">
        <f>IF(ISNUMBER($AD250),ROUND($AD250,2)-$AO250-$AP250,"")</f>
      </c>
      <c r="AR250" s="39">
        <f>IF(ISNUMBER($AD250),IF(Header!$D$34="","?",$AD250*Header!$D$34),"")</f>
      </c>
      <c r="AS250" s="39">
        <f>IF(ISNUMBER($AB250),IF(Header!$D$34="","?",$AB250*Header!$D$34),"")</f>
      </c>
      <c r="AT250" s="42">
        <f>IF(AND(ISNUMBER($AB250),$M250&gt;0),$AB250/$M250*100,"")</f>
      </c>
      <c r="AU250" s="42">
        <f>IF(AND(ISNUMBER($AD250),$M250&gt;0),$AD250/$M250*100,"")</f>
      </c>
      <c r="AV250" s="40">
        <f>IF(AND(ISNUMBER($AB250),ISNUMBER($AD250),ABS($AB250)&gt;0),$AD250/$AB250,"")</f>
      </c>
      <c r="AW250" s="39">
        <f>IF(ISNUMBER($AD250),MAX(0,(1-0.55-Header!$O$3)*Header!$Q$3*$AQ250),"")</f>
      </c>
      <c r="AX250" s="43">
        <f>IF($A250="","",IF(TRIM(IF($A250="","Missing certificate ref. ","") &amp; IF($C250="","Missing effective date. ","") &amp; IF($D250="","Missing binding status. ","") &amp; IF($E250="","Missing movement type. ","") &amp; IF($I250="","Missing make. ","") &amp; IF($L250="","Missing vehicle class. ","") &amp; IF($M250="","Missing agreed value. ","") &amp; IF($N250="","Missing policy type. ","") &amp; IF($Q250="","Missing garaging state. ","") &amp; IF($R250="","Missing garaging ZIP. ","") &amp; IF($S250="","Missing cat zone. ","") &amp; IF($V250="","Missing valuation basis. ","") &amp; IF($W250="","Missing PD deductible. ","") &amp; IF($X250="","Missing liability limit. ","") &amp; IF($AB250="","Missing technical premium. ","") &amp; IF($AF250="","Missing surplus lines tax %. ",""))="","PASS","FAIL: "&amp;TRIM(IF($A250="","Missing certificate ref. ","") &amp; IF($C250="","Missing effective date. ","") &amp; IF($D250="","Missing binding status. ","") &amp; IF($E250="","Missing movement type. ","") &amp; IF($I250="","Missing make. ","") &amp; IF($L250="","Missing vehicle class. ","") &amp; IF($M250="","Missing agreed value. ","") &amp; IF($N250="","Missing policy type. ","") &amp; IF($Q250="","Missing garaging state. ","") &amp; IF($R250="","Missing garaging ZIP. ","") &amp; IF($S250="","Missing cat zone. ","") &amp; IF($V250="","Missing valuation basis. ","") &amp; IF($W250="","Missing PD deductible. ","") &amp; IF($X250="","Missing liability limit. ","") &amp; IF($AB250="","Missing technical premium. ","") &amp; IF($AF250="","Missing surplus lines tax %. ",""))))</f>
      </c>
      <c r="AY250" s="44">
        <f>IF($M250="","",IF(ISNUMBER($M250),IF($M250&gt;=Header!$C$18,"YES — refer","No"),""))</f>
      </c>
      <c r="AZ250" s="44">
        <f>IF($AD250="","",IF(ISNUMBER($AD250),IF($AD250&lt;Header!$C$20,"BELOW MIN PREMIUM","OK"),""))</f>
      </c>
      <c r="BA250" s="48" t="inlineStr">
        <is>
          <t xml:space="preserve">Yes</t>
        </is>
      </c>
      <c r="BB250" s="48" t="inlineStr">
        <is>
          <t xml:space="preserve">Yes</t>
        </is>
      </c>
      <c r="BC250" s="46" t="inlineStr">
        <is>
          <t xml:space="preserve">Synthetic demo data</t>
        </is>
      </c>
      <c r="BE250" s="45">
        <f>IF(OR($A250="",$L250="",$H250=""),"",IF(AND(LEFT($L250,2)="06",$H250&gt;1945),"FAIL - pre-war class, year "&amp;$H250,IF(AND(LEFT($L250,2)="07",OR($H250&lt;1946,$H250&gt;1972)),"FAIL - 1946-72 class, year "&amp;$H250,IF(AND(LEFT($L250,2)="08",OR($H250&lt;1973,$H250&gt;1999)),"FAIL - 1973-99 class, year "&amp;$H250,IF(AND(LEFT($L250,2)="09",OR($H250&lt;2000,$H250&gt;2010)),"FAIL - 2000-10 class, year "&amp;$H250,"OK")))))</f>
      </c>
      <c r="BF250" s="45">
        <f>IF($AD250="","",IF(ROUND($AO250+$AP250+$AQ250-$AD250,2)=0,"OK","FAIL - out by "&amp;TEXT($AO250+$AP250+$AQ250-$AD250,"$0.00")))</f>
      </c>
    </row>
    <row r="251" spans="1:58" ht="18.75" customHeight="1" x14ac:dyDescent="0.25">
      <c r="A251" s="30" t="inlineStr">
        <is>
          <t xml:space="preserve">CANON-202511-002501</t>
        </is>
      </c>
      <c r="B251" s="30" t="inlineStr">
        <is>
          <t xml:space="preserve">Sunniva Fairweather</t>
        </is>
      </c>
      <c r="C251" s="31">
        <v>45982</v>
      </c>
      <c r="D251" s="32" t="inlineStr">
        <is>
          <t xml:space="preserve">Bound - within authority</t>
        </is>
      </c>
      <c r="E251" s="32" t="inlineStr">
        <is>
          <t xml:space="preserve">New business</t>
        </is>
      </c>
      <c r="F251" s="30" t="inlineStr">
        <is>
          <t xml:space="preserve">B1234EXOTIC26</t>
        </is>
      </c>
      <c r="G251" s="33">
        <f>IF($A251="","",IF($C251="","",YEAR($C251)))</f>
      </c>
      <c r="H251" s="34">
        <v>2017</v>
      </c>
      <c r="I251" s="30" t="inlineStr">
        <is>
          <t xml:space="preserve">BMW</t>
        </is>
      </c>
      <c r="J251" s="30" t="inlineStr">
        <is>
          <t xml:space="preserve">M8 Competition</t>
        </is>
      </c>
      <c r="K251" s="30" t="inlineStr">
        <is>
          <t xml:space="preserve">HWGTNGR9Z9LXMMVPS</t>
        </is>
      </c>
      <c r="L251" s="32" t="inlineStr">
        <is>
          <t xml:space="preserve">02 - Sports / GT</t>
        </is>
      </c>
      <c r="M251" s="35">
        <v>310000</v>
      </c>
      <c r="N251" s="32" t="inlineStr">
        <is>
          <t xml:space="preserve">Personal</t>
        </is>
      </c>
      <c r="O251" s="30" t="inlineStr">
        <is>
          <t xml:space="preserve">Personal - regular use</t>
        </is>
      </c>
      <c r="P251" s="30" t="inlineStr">
        <is>
          <t xml:space="preserve">2,500 - 5,000</t>
        </is>
      </c>
      <c r="Q251" s="30" t="inlineStr">
        <is>
          <t xml:space="preserve">Washington</t>
        </is>
      </c>
      <c r="R251" s="30" t="inlineStr">
        <is>
          <t xml:space="preserve">98101</t>
        </is>
      </c>
      <c r="S251" s="32" t="inlineStr">
        <is>
          <t xml:space="preserve">Earthquake - high (CA, Cascadia, New Madrid)</t>
        </is>
      </c>
      <c r="T251" s="36">
        <f>IF($A251="","",IF($S251="","",IFERROR(INDEX('[1]natural catastrophe'!$D$6:$D$17,MATCH($S251,'[1]natural catastrophe'!$B$6:$B$17,0)),"?")))</f>
      </c>
      <c r="U251" s="30" t="inlineStr">
        <is>
          <t xml:space="preserve">$5,000</t>
        </is>
      </c>
      <c r="V251" s="32" t="inlineStr">
        <is>
          <t xml:space="preserve">Agreed Value</t>
        </is>
      </c>
      <c r="W251" s="30" t="inlineStr">
        <is>
          <t xml:space="preserve">$1,000</t>
        </is>
      </c>
      <c r="X251" s="32" t="inlineStr">
        <is>
          <t xml:space="preserve">$1,000,000 CSL</t>
        </is>
      </c>
      <c r="Y251" s="30"/>
      <c r="Z251" s="30"/>
      <c r="AA251" s="32" t="inlineStr">
        <is>
          <t xml:space="preserve">Surplus Lines</t>
        </is>
      </c>
      <c r="AB251" s="35">
        <v>3871.89</v>
      </c>
      <c r="AC251" s="37">
        <v>0</v>
      </c>
      <c r="AD251" s="38">
        <f>IF(ISNUMBER($AB251),$AB251*(1+N($AC251)),"")</f>
      </c>
      <c r="AE251" s="35">
        <v>350</v>
      </c>
      <c r="AF251" s="35">
        <v>0</v>
      </c>
      <c r="AG251" s="37"/>
      <c r="AH251" s="39">
        <f>IF(ISNUMBER($AD251),($AD251+$AE251+$AF251)*$AG251,"")</f>
      </c>
      <c r="AI251" s="35"/>
      <c r="AJ251" s="38">
        <f>IF(ISNUMBER($AD251),SUM($AD251:$AH251),"")</f>
      </c>
      <c r="AK251" s="40">
        <f>IF(AND(ISNUMBER($AB251),ISNUMBER($AD251)),IF($AB251&gt;0,$AD251/$AB251,""),"")</f>
      </c>
      <c r="AL251" s="32" t="inlineStr">
        <is>
          <t xml:space="preserve">At technical</t>
        </is>
      </c>
      <c r="AM251" s="41">
        <f>IF(ISNUMBER($AD251),Header!$I$3,"")</f>
      </c>
      <c r="AN251" s="39">
        <f>IF(ISNUMBER($AD251),$AO251+$AP251,"")</f>
      </c>
      <c r="AO251" s="39">
        <f>IF(ISNUMBER($AD251),ROUND($AD251*Header!$K$3,2),"")</f>
      </c>
      <c r="AP251" s="39">
        <f>IF(ISNUMBER($AD251),ROUND($AD251*Header!$M$3,2),"")</f>
      </c>
      <c r="AQ251" s="38">
        <f>IF(ISNUMBER($AD251),ROUND($AD251,2)-$AO251-$AP251,"")</f>
      </c>
      <c r="AR251" s="39">
        <f>IF(ISNUMBER($AD251),IF(Header!$D$34="","?",$AD251*Header!$D$34),"")</f>
      </c>
      <c r="AS251" s="39">
        <f>IF(ISNUMBER($AB251),IF(Header!$D$34="","?",$AB251*Header!$D$34),"")</f>
      </c>
      <c r="AT251" s="42">
        <f>IF(AND(ISNUMBER($AB251),$M251&gt;0),$AB251/$M251*100,"")</f>
      </c>
      <c r="AU251" s="42">
        <f>IF(AND(ISNUMBER($AD251),$M251&gt;0),$AD251/$M251*100,"")</f>
      </c>
      <c r="AV251" s="40">
        <f>IF(AND(ISNUMBER($AB251),ISNUMBER($AD251),ABS($AB251)&gt;0),$AD251/$AB251,"")</f>
      </c>
      <c r="AW251" s="39">
        <f>IF(ISNUMBER($AD251),MAX(0,(1-0.55-Header!$O$3)*Header!$Q$3*$AQ251),"")</f>
      </c>
      <c r="AX251" s="43">
        <f>IF($A251="","",IF(TRIM(IF($A251="","Missing certificate ref. ","") &amp; IF($C251="","Missing effective date. ","") &amp; IF($D251="","Missing binding status. ","") &amp; IF($E251="","Missing movement type. ","") &amp; IF($I251="","Missing make. ","") &amp; IF($L251="","Missing vehicle class. ","") &amp; IF($M251="","Missing agreed value. ","") &amp; IF($N251="","Missing policy type. ","") &amp; IF($Q251="","Missing garaging state. ","") &amp; IF($R251="","Missing garaging ZIP. ","") &amp; IF($S251="","Missing cat zone. ","") &amp; IF($V251="","Missing valuation basis. ","") &amp; IF($W251="","Missing PD deductible. ","") &amp; IF($X251="","Missing liability limit. ","") &amp; IF($AB251="","Missing technical premium. ","") &amp; IF($AF251="","Missing surplus lines tax %. ",""))="","PASS","FAIL: "&amp;TRIM(IF($A251="","Missing certificate ref. ","") &amp; IF($C251="","Missing effective date. ","") &amp; IF($D251="","Missing binding status. ","") &amp; IF($E251="","Missing movement type. ","") &amp; IF($I251="","Missing make. ","") &amp; IF($L251="","Missing vehicle class. ","") &amp; IF($M251="","Missing agreed value. ","") &amp; IF($N251="","Missing policy type. ","") &amp; IF($Q251="","Missing garaging state. ","") &amp; IF($R251="","Missing garaging ZIP. ","") &amp; IF($S251="","Missing cat zone. ","") &amp; IF($V251="","Missing valuation basis. ","") &amp; IF($W251="","Missing PD deductible. ","") &amp; IF($X251="","Missing liability limit. ","") &amp; IF($AB251="","Missing technical premium. ","") &amp; IF($AF251="","Missing surplus lines tax %. ",""))))</f>
      </c>
      <c r="AY251" s="44">
        <f>IF($M251="","",IF(ISNUMBER($M251),IF($M251&gt;=Header!$C$18,"YES — refer","No"),""))</f>
      </c>
      <c r="AZ251" s="44">
        <f>IF($AD251="","",IF(ISNUMBER($AD251),IF($AD251&lt;Header!$C$20,"BELOW MIN PREMIUM","OK"),""))</f>
      </c>
      <c r="BA251" s="32" t="inlineStr">
        <is>
          <t xml:space="preserve">Yes</t>
        </is>
      </c>
      <c r="BB251" s="32" t="inlineStr">
        <is>
          <t xml:space="preserve">Yes</t>
        </is>
      </c>
      <c r="BC251" s="30" t="inlineStr">
        <is>
          <t xml:space="preserve">Synthetic demo data</t>
        </is>
      </c>
      <c r="BE251" s="45">
        <f>IF(OR($A251="",$L251="",$H251=""),"",IF(AND(LEFT($L251,2)="06",$H251&gt;1945),"FAIL - pre-war class, year "&amp;$H251,IF(AND(LEFT($L251,2)="07",OR($H251&lt;1946,$H251&gt;1972)),"FAIL - 1946-72 class, year "&amp;$H251,IF(AND(LEFT($L251,2)="08",OR($H251&lt;1973,$H251&gt;1999)),"FAIL - 1973-99 class, year "&amp;$H251,IF(AND(LEFT($L251,2)="09",OR($H251&lt;2000,$H251&gt;2010)),"FAIL - 2000-10 class, year "&amp;$H251,"OK")))))</f>
      </c>
      <c r="BF251" s="45">
        <f>IF($AD251="","",IF(ROUND($AO251+$AP251+$AQ251-$AD251,2)=0,"OK","FAIL - out by "&amp;TEXT($AO251+$AP251+$AQ251-$AD251,"$0.00")))</f>
      </c>
    </row>
    <row r="252" spans="1:58" ht="18.75" customHeight="1" x14ac:dyDescent="0.25">
      <c r="A252" s="46" t="inlineStr">
        <is>
          <t xml:space="preserve">CANON-202511-002502</t>
        </is>
      </c>
      <c r="B252" s="46" t="inlineStr">
        <is>
          <t xml:space="preserve">Beatrix Larsson</t>
        </is>
      </c>
      <c r="C252" s="47">
        <v>45970</v>
      </c>
      <c r="D252" s="48" t="inlineStr">
        <is>
          <t xml:space="preserve">Bound - within authority</t>
        </is>
      </c>
      <c r="E252" s="48" t="inlineStr">
        <is>
          <t xml:space="preserve">New business</t>
        </is>
      </c>
      <c r="F252" s="46" t="inlineStr">
        <is>
          <t xml:space="preserve">B1234EXOTIC26</t>
        </is>
      </c>
      <c r="G252" s="33">
        <f>IF($A252="","",IF($C252="","",YEAR($C252)))</f>
      </c>
      <c r="H252" s="49">
        <v>2017</v>
      </c>
      <c r="I252" s="46" t="inlineStr">
        <is>
          <t xml:space="preserve">BMW</t>
        </is>
      </c>
      <c r="J252" s="46" t="inlineStr">
        <is>
          <t xml:space="preserve">M8 Competition</t>
        </is>
      </c>
      <c r="K252" s="46" t="inlineStr">
        <is>
          <t xml:space="preserve">8K26EGK95X241Z77B</t>
        </is>
      </c>
      <c r="L252" s="48" t="inlineStr">
        <is>
          <t xml:space="preserve">02 - Sports / GT</t>
        </is>
      </c>
      <c r="M252" s="50">
        <v>425000</v>
      </c>
      <c r="N252" s="48" t="inlineStr">
        <is>
          <t xml:space="preserve">Personal</t>
        </is>
      </c>
      <c r="O252" s="46" t="inlineStr">
        <is>
          <t xml:space="preserve">Personal - regular use</t>
        </is>
      </c>
      <c r="P252" s="46" t="inlineStr">
        <is>
          <t xml:space="preserve">2,500 - 5,000</t>
        </is>
      </c>
      <c r="Q252" s="46" t="inlineStr">
        <is>
          <t xml:space="preserve">Delaware</t>
        </is>
      </c>
      <c r="R252" s="46" t="inlineStr">
        <is>
          <t xml:space="preserve">19801</t>
        </is>
      </c>
      <c r="S252" s="48" t="inlineStr">
        <is>
          <t xml:space="preserve">Tier 3 - Coastal wind (25-100 miles)</t>
        </is>
      </c>
      <c r="T252" s="36">
        <f>IF($A252="","",IF($S252="","",IFERROR(INDEX('[1]natural catastrophe'!$D$6:$D$17,MATCH($S252,'[1]natural catastrophe'!$B$6:$B$17,0)),"?")))</f>
      </c>
      <c r="U252" s="46" t="inlineStr">
        <is>
          <t xml:space="preserve">2% of agreed value, minimum $10,000</t>
        </is>
      </c>
      <c r="V252" s="48" t="inlineStr">
        <is>
          <t xml:space="preserve">Agreed Value</t>
        </is>
      </c>
      <c r="W252" s="46" t="inlineStr">
        <is>
          <t xml:space="preserve">$1,000</t>
        </is>
      </c>
      <c r="X252" s="48" t="inlineStr">
        <is>
          <t xml:space="preserve">$1,000,000 CSL</t>
        </is>
      </c>
      <c r="Y252" s="46"/>
      <c r="Z252" s="46"/>
      <c r="AA252" s="48" t="inlineStr">
        <is>
          <t xml:space="preserve">Surplus Lines</t>
        </is>
      </c>
      <c r="AB252" s="50">
        <v>6911.76</v>
      </c>
      <c r="AC252" s="51">
        <v>0</v>
      </c>
      <c r="AD252" s="38">
        <f>IF(ISNUMBER($AB252),$AB252*(1+N($AC252)),"")</f>
      </c>
      <c r="AE252" s="50">
        <v>350</v>
      </c>
      <c r="AF252" s="50">
        <v>0</v>
      </c>
      <c r="AG252" s="51"/>
      <c r="AH252" s="39">
        <f>IF(ISNUMBER($AD252),($AD252+$AE252+$AF252)*$AG252,"")</f>
      </c>
      <c r="AI252" s="50"/>
      <c r="AJ252" s="38">
        <f>IF(ISNUMBER($AD252),SUM($AD252:$AH252),"")</f>
      </c>
      <c r="AK252" s="40">
        <f>IF(AND(ISNUMBER($AB252),ISNUMBER($AD252)),IF($AB252&gt;0,$AD252/$AB252,""),"")</f>
      </c>
      <c r="AL252" s="48" t="inlineStr">
        <is>
          <t xml:space="preserve">At technical</t>
        </is>
      </c>
      <c r="AM252" s="41">
        <f>IF(ISNUMBER($AD252),Header!$I$3,"")</f>
      </c>
      <c r="AN252" s="39">
        <f>IF(ISNUMBER($AD252),$AO252+$AP252,"")</f>
      </c>
      <c r="AO252" s="39">
        <f>IF(ISNUMBER($AD252),ROUND($AD252*Header!$K$3,2),"")</f>
      </c>
      <c r="AP252" s="39">
        <f>IF(ISNUMBER($AD252),ROUND($AD252*Header!$M$3,2),"")</f>
      </c>
      <c r="AQ252" s="38">
        <f>IF(ISNUMBER($AD252),ROUND($AD252,2)-$AO252-$AP252,"")</f>
      </c>
      <c r="AR252" s="39">
        <f>IF(ISNUMBER($AD252),IF(Header!$D$34="","?",$AD252*Header!$D$34),"")</f>
      </c>
      <c r="AS252" s="39">
        <f>IF(ISNUMBER($AB252),IF(Header!$D$34="","?",$AB252*Header!$D$34),"")</f>
      </c>
      <c r="AT252" s="42">
        <f>IF(AND(ISNUMBER($AB252),$M252&gt;0),$AB252/$M252*100,"")</f>
      </c>
      <c r="AU252" s="42">
        <f>IF(AND(ISNUMBER($AD252),$M252&gt;0),$AD252/$M252*100,"")</f>
      </c>
      <c r="AV252" s="40">
        <f>IF(AND(ISNUMBER($AB252),ISNUMBER($AD252),ABS($AB252)&gt;0),$AD252/$AB252,"")</f>
      </c>
      <c r="AW252" s="39">
        <f>IF(ISNUMBER($AD252),MAX(0,(1-0.55-Header!$O$3)*Header!$Q$3*$AQ252),"")</f>
      </c>
      <c r="AX252" s="43">
        <f>IF($A252="","",IF(TRIM(IF($A252="","Missing certificate ref. ","") &amp; IF($C252="","Missing effective date. ","") &amp; IF($D252="","Missing binding status. ","") &amp; IF($E252="","Missing movement type. ","") &amp; IF($I252="","Missing make. ","") &amp; IF($L252="","Missing vehicle class. ","") &amp; IF($M252="","Missing agreed value. ","") &amp; IF($N252="","Missing policy type. ","") &amp; IF($Q252="","Missing garaging state. ","") &amp; IF($R252="","Missing garaging ZIP. ","") &amp; IF($S252="","Missing cat zone. ","") &amp; IF($V252="","Missing valuation basis. ","") &amp; IF($W252="","Missing PD deductible. ","") &amp; IF($X252="","Missing liability limit. ","") &amp; IF($AB252="","Missing technical premium. ","") &amp; IF($AF252="","Missing surplus lines tax %. ",""))="","PASS","FAIL: "&amp;TRIM(IF($A252="","Missing certificate ref. ","") &amp; IF($C252="","Missing effective date. ","") &amp; IF($D252="","Missing binding status. ","") &amp; IF($E252="","Missing movement type. ","") &amp; IF($I252="","Missing make. ","") &amp; IF($L252="","Missing vehicle class. ","") &amp; IF($M252="","Missing agreed value. ","") &amp; IF($N252="","Missing policy type. ","") &amp; IF($Q252="","Missing garaging state. ","") &amp; IF($R252="","Missing garaging ZIP. ","") &amp; IF($S252="","Missing cat zone. ","") &amp; IF($V252="","Missing valuation basis. ","") &amp; IF($W252="","Missing PD deductible. ","") &amp; IF($X252="","Missing liability limit. ","") &amp; IF($AB252="","Missing technical premium. ","") &amp; IF($AF252="","Missing surplus lines tax %. ",""))))</f>
      </c>
      <c r="AY252" s="44">
        <f>IF($M252="","",IF(ISNUMBER($M252),IF($M252&gt;=Header!$C$18,"YES — refer","No"),""))</f>
      </c>
      <c r="AZ252" s="44">
        <f>IF($AD252="","",IF(ISNUMBER($AD252),IF($AD252&lt;Header!$C$20,"BELOW MIN PREMIUM","OK"),""))</f>
      </c>
      <c r="BA252" s="48" t="inlineStr">
        <is>
          <t xml:space="preserve">Yes</t>
        </is>
      </c>
      <c r="BB252" s="48" t="inlineStr">
        <is>
          <t xml:space="preserve">Yes</t>
        </is>
      </c>
      <c r="BC252" s="46" t="inlineStr">
        <is>
          <t xml:space="preserve">Synthetic demo data</t>
        </is>
      </c>
      <c r="BE252" s="45">
        <f>IF(OR($A252="",$L252="",$H252=""),"",IF(AND(LEFT($L252,2)="06",$H252&gt;1945),"FAIL - pre-war class, year "&amp;$H252,IF(AND(LEFT($L252,2)="07",OR($H252&lt;1946,$H252&gt;1972)),"FAIL - 1946-72 class, year "&amp;$H252,IF(AND(LEFT($L252,2)="08",OR($H252&lt;1973,$H252&gt;1999)),"FAIL - 1973-99 class, year "&amp;$H252,IF(AND(LEFT($L252,2)="09",OR($H252&lt;2000,$H252&gt;2010)),"FAIL - 2000-10 class, year "&amp;$H252,"OK")))))</f>
      </c>
      <c r="BF252" s="45">
        <f>IF($AD252="","",IF(ROUND($AO252+$AP252+$AQ252-$AD252,2)=0,"OK","FAIL - out by "&amp;TEXT($AO252+$AP252+$AQ252-$AD252,"$0.00")))</f>
      </c>
    </row>
    <row r="253" spans="1:58" ht="18.75" customHeight="1" x14ac:dyDescent="0.25">
      <c r="A253" s="30" t="inlineStr">
        <is>
          <t xml:space="preserve">CANON-202511-002503</t>
        </is>
      </c>
      <c r="B253" s="30" t="inlineStr">
        <is>
          <t xml:space="preserve">Leopold Ashcombe</t>
        </is>
      </c>
      <c r="C253" s="31">
        <v>45982</v>
      </c>
      <c r="D253" s="32" t="inlineStr">
        <is>
          <t xml:space="preserve">Bound - within authority</t>
        </is>
      </c>
      <c r="E253" s="32" t="inlineStr">
        <is>
          <t xml:space="preserve">New business</t>
        </is>
      </c>
      <c r="F253" s="30" t="inlineStr">
        <is>
          <t xml:space="preserve">B1234EXOTIC26</t>
        </is>
      </c>
      <c r="G253" s="33">
        <f>IF($A253="","",IF($C253="","",YEAR($C253)))</f>
      </c>
      <c r="H253" s="34">
        <v>1989</v>
      </c>
      <c r="I253" s="30" t="inlineStr">
        <is>
          <t xml:space="preserve">Ferrari</t>
        </is>
      </c>
      <c r="J253" s="30" t="inlineStr">
        <is>
          <t xml:space="preserve">296 GTB</t>
        </is>
      </c>
      <c r="K253" s="30" t="inlineStr">
        <is>
          <t xml:space="preserve">Y1WDT6UYX89HLPPWM</t>
        </is>
      </c>
      <c r="L253" s="32" t="inlineStr">
        <is>
          <t xml:space="preserve">03 - Supercar</t>
        </is>
      </c>
      <c r="M253" s="35">
        <v>1105000</v>
      </c>
      <c r="N253" s="32" t="inlineStr">
        <is>
          <t xml:space="preserve">Personal</t>
        </is>
      </c>
      <c r="O253" s="30" t="inlineStr">
        <is>
          <t xml:space="preserve">Personal - regular use</t>
        </is>
      </c>
      <c r="P253" s="30" t="inlineStr">
        <is>
          <t xml:space="preserve">Under 1,000</t>
        </is>
      </c>
      <c r="Q253" s="30" t="inlineStr">
        <is>
          <t xml:space="preserve">Massachusetts</t>
        </is>
      </c>
      <c r="R253" s="30" t="inlineStr">
        <is>
          <t xml:space="preserve">02108</t>
        </is>
      </c>
      <c r="S253" s="32" t="inlineStr">
        <is>
          <t xml:space="preserve">Tier 3 - Coastal wind (25-100 miles)</t>
        </is>
      </c>
      <c r="T253" s="36">
        <f>IF($A253="","",IF($S253="","",IFERROR(INDEX('[1]natural catastrophe'!$D$6:$D$17,MATCH($S253,'[1]natural catastrophe'!$B$6:$B$17,0)),"?")))</f>
      </c>
      <c r="U253" s="30" t="inlineStr">
        <is>
          <t xml:space="preserve">2% of agreed value, minimum $10,000</t>
        </is>
      </c>
      <c r="V253" s="32" t="inlineStr">
        <is>
          <t xml:space="preserve">Agreed Value</t>
        </is>
      </c>
      <c r="W253" s="30" t="inlineStr">
        <is>
          <t xml:space="preserve">$1,000</t>
        </is>
      </c>
      <c r="X253" s="32" t="inlineStr">
        <is>
          <t xml:space="preserve">$1,000,000 CSL</t>
        </is>
      </c>
      <c r="Y253" s="30"/>
      <c r="Z253" s="30"/>
      <c r="AA253" s="32" t="inlineStr">
        <is>
          <t xml:space="preserve">Surplus Lines</t>
        </is>
      </c>
      <c r="AB253" s="35">
        <v>19168.63</v>
      </c>
      <c r="AC253" s="37">
        <v>0</v>
      </c>
      <c r="AD253" s="38">
        <f>IF(ISNUMBER($AB253),$AB253*(1+N($AC253)),"")</f>
      </c>
      <c r="AE253" s="35">
        <v>350</v>
      </c>
      <c r="AF253" s="35">
        <v>250</v>
      </c>
      <c r="AG253" s="37"/>
      <c r="AH253" s="39">
        <f>IF(ISNUMBER($AD253),($AD253+$AE253+$AF253)*$AG253,"")</f>
      </c>
      <c r="AI253" s="35"/>
      <c r="AJ253" s="38">
        <f>IF(ISNUMBER($AD253),SUM($AD253:$AH253),"")</f>
      </c>
      <c r="AK253" s="40">
        <f>IF(AND(ISNUMBER($AB253),ISNUMBER($AD253)),IF($AB253&gt;0,$AD253/$AB253,""),"")</f>
      </c>
      <c r="AL253" s="32" t="inlineStr">
        <is>
          <t xml:space="preserve">At technical</t>
        </is>
      </c>
      <c r="AM253" s="41">
        <f>IF(ISNUMBER($AD253),Header!$I$3,"")</f>
      </c>
      <c r="AN253" s="39">
        <f>IF(ISNUMBER($AD253),$AO253+$AP253,"")</f>
      </c>
      <c r="AO253" s="39">
        <f>IF(ISNUMBER($AD253),ROUND($AD253*Header!$K$3,2),"")</f>
      </c>
      <c r="AP253" s="39">
        <f>IF(ISNUMBER($AD253),ROUND($AD253*Header!$M$3,2),"")</f>
      </c>
      <c r="AQ253" s="38">
        <f>IF(ISNUMBER($AD253),ROUND($AD253,2)-$AO253-$AP253,"")</f>
      </c>
      <c r="AR253" s="39">
        <f>IF(ISNUMBER($AD253),IF(Header!$D$34="","?",$AD253*Header!$D$34),"")</f>
      </c>
      <c r="AS253" s="39">
        <f>IF(ISNUMBER($AB253),IF(Header!$D$34="","?",$AB253*Header!$D$34),"")</f>
      </c>
      <c r="AT253" s="42">
        <f>IF(AND(ISNUMBER($AB253),$M253&gt;0),$AB253/$M253*100,"")</f>
      </c>
      <c r="AU253" s="42">
        <f>IF(AND(ISNUMBER($AD253),$M253&gt;0),$AD253/$M253*100,"")</f>
      </c>
      <c r="AV253" s="40">
        <f>IF(AND(ISNUMBER($AB253),ISNUMBER($AD253),ABS($AB253)&gt;0),$AD253/$AB253,"")</f>
      </c>
      <c r="AW253" s="39">
        <f>IF(ISNUMBER($AD253),MAX(0,(1-0.55-Header!$O$3)*Header!$Q$3*$AQ253),"")</f>
      </c>
      <c r="AX253" s="43">
        <f>IF($A253="","",IF(TRIM(IF($A253="","Missing certificate ref. ","") &amp; IF($C253="","Missing effective date. ","") &amp; IF($D253="","Missing binding status. ","") &amp; IF($E253="","Missing movement type. ","") &amp; IF($I253="","Missing make. ","") &amp; IF($L253="","Missing vehicle class. ","") &amp; IF($M253="","Missing agreed value. ","") &amp; IF($N253="","Missing policy type. ","") &amp; IF($Q253="","Missing garaging state. ","") &amp; IF($R253="","Missing garaging ZIP. ","") &amp; IF($S253="","Missing cat zone. ","") &amp; IF($V253="","Missing valuation basis. ","") &amp; IF($W253="","Missing PD deductible. ","") &amp; IF($X253="","Missing liability limit. ","") &amp; IF($AB253="","Missing technical premium. ","") &amp; IF($AF253="","Missing surplus lines tax %. ",""))="","PASS","FAIL: "&amp;TRIM(IF($A253="","Missing certificate ref. ","") &amp; IF($C253="","Missing effective date. ","") &amp; IF($D253="","Missing binding status. ","") &amp; IF($E253="","Missing movement type. ","") &amp; IF($I253="","Missing make. ","") &amp; IF($L253="","Missing vehicle class. ","") &amp; IF($M253="","Missing agreed value. ","") &amp; IF($N253="","Missing policy type. ","") &amp; IF($Q253="","Missing garaging state. ","") &amp; IF($R253="","Missing garaging ZIP. ","") &amp; IF($S253="","Missing cat zone. ","") &amp; IF($V253="","Missing valuation basis. ","") &amp; IF($W253="","Missing PD deductible. ","") &amp; IF($X253="","Missing liability limit. ","") &amp; IF($AB253="","Missing technical premium. ","") &amp; IF($AF253="","Missing surplus lines tax %. ",""))))</f>
      </c>
      <c r="AY253" s="44">
        <f>IF($M253="","",IF(ISNUMBER($M253),IF($M253&gt;=Header!$C$18,"YES — refer","No"),""))</f>
      </c>
      <c r="AZ253" s="44">
        <f>IF($AD253="","",IF(ISNUMBER($AD253),IF($AD253&lt;Header!$C$20,"BELOW MIN PREMIUM","OK"),""))</f>
      </c>
      <c r="BA253" s="32" t="inlineStr">
        <is>
          <t xml:space="preserve">Yes</t>
        </is>
      </c>
      <c r="BB253" s="32" t="inlineStr">
        <is>
          <t xml:space="preserve">Yes</t>
        </is>
      </c>
      <c r="BC253" s="30" t="inlineStr">
        <is>
          <t xml:space="preserve">Synthetic demo data</t>
        </is>
      </c>
      <c r="BE253" s="45">
        <f>IF(OR($A253="",$L253="",$H253=""),"",IF(AND(LEFT($L253,2)="06",$H253&gt;1945),"FAIL - pre-war class, year "&amp;$H253,IF(AND(LEFT($L253,2)="07",OR($H253&lt;1946,$H253&gt;1972)),"FAIL - 1946-72 class, year "&amp;$H253,IF(AND(LEFT($L253,2)="08",OR($H253&lt;1973,$H253&gt;1999)),"FAIL - 1973-99 class, year "&amp;$H253,IF(AND(LEFT($L253,2)="09",OR($H253&lt;2000,$H253&gt;2010)),"FAIL - 2000-10 class, year "&amp;$H253,"OK")))))</f>
      </c>
      <c r="BF253" s="45">
        <f>IF($AD253="","",IF(ROUND($AO253+$AP253+$AQ253-$AD253,2)=0,"OK","FAIL - out by "&amp;TEXT($AO253+$AP253+$AQ253-$AD253,"$0.00")))</f>
      </c>
    </row>
    <row r="254" spans="1:58" ht="18.75" customHeight="1" x14ac:dyDescent="0.25">
      <c r="A254" s="46" t="inlineStr">
        <is>
          <t xml:space="preserve">CANON-202511-002506</t>
        </is>
      </c>
      <c r="B254" s="46" t="inlineStr">
        <is>
          <t xml:space="preserve">Mireille Bellandi</t>
        </is>
      </c>
      <c r="C254" s="47">
        <v>45983</v>
      </c>
      <c r="D254" s="48" t="inlineStr">
        <is>
          <t xml:space="preserve">Bound - within authority</t>
        </is>
      </c>
      <c r="E254" s="48" t="inlineStr">
        <is>
          <t xml:space="preserve">New business</t>
        </is>
      </c>
      <c r="F254" s="46" t="inlineStr">
        <is>
          <t xml:space="preserve">B1234EXOTIC26</t>
        </is>
      </c>
      <c r="G254" s="33">
        <f>IF($A254="","",IF($C254="","",YEAR($C254)))</f>
      </c>
      <c r="H254" s="49">
        <v>1994</v>
      </c>
      <c r="I254" s="46" t="inlineStr">
        <is>
          <t xml:space="preserve">Ferrari</t>
        </is>
      </c>
      <c r="J254" s="46" t="inlineStr">
        <is>
          <t xml:space="preserve">SF90 Stradale</t>
        </is>
      </c>
      <c r="K254" s="46" t="inlineStr">
        <is>
          <t xml:space="preserve">CDLSHXY3S4700EAJX</t>
        </is>
      </c>
      <c r="L254" s="48" t="inlineStr">
        <is>
          <t xml:space="preserve">03 - Supercar</t>
        </is>
      </c>
      <c r="M254" s="50">
        <v>1200000</v>
      </c>
      <c r="N254" s="48" t="inlineStr">
        <is>
          <t xml:space="preserve">Personal</t>
        </is>
      </c>
      <c r="O254" s="46" t="inlineStr">
        <is>
          <t xml:space="preserve">Personal - regular use</t>
        </is>
      </c>
      <c r="P254" s="46" t="inlineStr">
        <is>
          <t xml:space="preserve">Under 1,000</t>
        </is>
      </c>
      <c r="Q254" s="46" t="inlineStr">
        <is>
          <t xml:space="preserve">South Carolina</t>
        </is>
      </c>
      <c r="R254" s="46" t="inlineStr">
        <is>
          <t xml:space="preserve">29401</t>
        </is>
      </c>
      <c r="S254" s="48" t="inlineStr">
        <is>
          <t xml:space="preserve">Tier 2 - Coastal wind (1-25 miles)</t>
        </is>
      </c>
      <c r="T254" s="36">
        <f>IF($A254="","",IF($S254="","",IFERROR(INDEX('[1]natural catastrophe'!$D$6:$D$17,MATCH($S254,'[1]natural catastrophe'!$B$6:$B$17,0)),"?")))</f>
      </c>
      <c r="U254" s="46" t="inlineStr">
        <is>
          <t xml:space="preserve">2% of agreed value, minimum $10,000</t>
        </is>
      </c>
      <c r="V254" s="48" t="inlineStr">
        <is>
          <t xml:space="preserve">Agreed Value</t>
        </is>
      </c>
      <c r="W254" s="46" t="inlineStr">
        <is>
          <t xml:space="preserve">$1,000</t>
        </is>
      </c>
      <c r="X254" s="48" t="inlineStr">
        <is>
          <t xml:space="preserve">$1,000,000 CSL</t>
        </is>
      </c>
      <c r="Y254" s="46"/>
      <c r="Z254" s="46"/>
      <c r="AA254" s="48" t="inlineStr">
        <is>
          <t xml:space="preserve">Surplus Lines</t>
        </is>
      </c>
      <c r="AB254" s="50">
        <v>20650.07</v>
      </c>
      <c r="AC254" s="51">
        <v>0</v>
      </c>
      <c r="AD254" s="38">
        <f>IF(ISNUMBER($AB254),$AB254*(1+N($AC254)),"")</f>
      </c>
      <c r="AE254" s="50">
        <v>350</v>
      </c>
      <c r="AF254" s="50">
        <v>250</v>
      </c>
      <c r="AG254" s="51"/>
      <c r="AH254" s="39">
        <f>IF(ISNUMBER($AD254),($AD254+$AE254+$AF254)*$AG254,"")</f>
      </c>
      <c r="AI254" s="50"/>
      <c r="AJ254" s="38">
        <f>IF(ISNUMBER($AD254),SUM($AD254:$AH254),"")</f>
      </c>
      <c r="AK254" s="40">
        <f>IF(AND(ISNUMBER($AB254),ISNUMBER($AD254)),IF($AB254&gt;0,$AD254/$AB254,""),"")</f>
      </c>
      <c r="AL254" s="48" t="inlineStr">
        <is>
          <t xml:space="preserve">At technical</t>
        </is>
      </c>
      <c r="AM254" s="41">
        <f>IF(ISNUMBER($AD254),Header!$I$3,"")</f>
      </c>
      <c r="AN254" s="39">
        <f>IF(ISNUMBER($AD254),$AO254+$AP254,"")</f>
      </c>
      <c r="AO254" s="39">
        <f>IF(ISNUMBER($AD254),ROUND($AD254*Header!$K$3,2),"")</f>
      </c>
      <c r="AP254" s="39">
        <f>IF(ISNUMBER($AD254),ROUND($AD254*Header!$M$3,2),"")</f>
      </c>
      <c r="AQ254" s="38">
        <f>IF(ISNUMBER($AD254),ROUND($AD254,2)-$AO254-$AP254,"")</f>
      </c>
      <c r="AR254" s="39">
        <f>IF(ISNUMBER($AD254),IF(Header!$D$34="","?",$AD254*Header!$D$34),"")</f>
      </c>
      <c r="AS254" s="39">
        <f>IF(ISNUMBER($AB254),IF(Header!$D$34="","?",$AB254*Header!$D$34),"")</f>
      </c>
      <c r="AT254" s="42">
        <f>IF(AND(ISNUMBER($AB254),$M254&gt;0),$AB254/$M254*100,"")</f>
      </c>
      <c r="AU254" s="42">
        <f>IF(AND(ISNUMBER($AD254),$M254&gt;0),$AD254/$M254*100,"")</f>
      </c>
      <c r="AV254" s="40">
        <f>IF(AND(ISNUMBER($AB254),ISNUMBER($AD254),ABS($AB254)&gt;0),$AD254/$AB254,"")</f>
      </c>
      <c r="AW254" s="39">
        <f>IF(ISNUMBER($AD254),MAX(0,(1-0.55-Header!$O$3)*Header!$Q$3*$AQ254),"")</f>
      </c>
      <c r="AX254" s="43">
        <f>IF($A254="","",IF(TRIM(IF($A254="","Missing certificate ref. ","") &amp; IF($C254="","Missing effective date. ","") &amp; IF($D254="","Missing binding status. ","") &amp; IF($E254="","Missing movement type. ","") &amp; IF($I254="","Missing make. ","") &amp; IF($L254="","Missing vehicle class. ","") &amp; IF($M254="","Missing agreed value. ","") &amp; IF($N254="","Missing policy type. ","") &amp; IF($Q254="","Missing garaging state. ","") &amp; IF($R254="","Missing garaging ZIP. ","") &amp; IF($S254="","Missing cat zone. ","") &amp; IF($V254="","Missing valuation basis. ","") &amp; IF($W254="","Missing PD deductible. ","") &amp; IF($X254="","Missing liability limit. ","") &amp; IF($AB254="","Missing technical premium. ","") &amp; IF($AF254="","Missing surplus lines tax %. ",""))="","PASS","FAIL: "&amp;TRIM(IF($A254="","Missing certificate ref. ","") &amp; IF($C254="","Missing effective date. ","") &amp; IF($D254="","Missing binding status. ","") &amp; IF($E254="","Missing movement type. ","") &amp; IF($I254="","Missing make. ","") &amp; IF($L254="","Missing vehicle class. ","") &amp; IF($M254="","Missing agreed value. ","") &amp; IF($N254="","Missing policy type. ","") &amp; IF($Q254="","Missing garaging state. ","") &amp; IF($R254="","Missing garaging ZIP. ","") &amp; IF($S254="","Missing cat zone. ","") &amp; IF($V254="","Missing valuation basis. ","") &amp; IF($W254="","Missing PD deductible. ","") &amp; IF($X254="","Missing liability limit. ","") &amp; IF($AB254="","Missing technical premium. ","") &amp; IF($AF254="","Missing surplus lines tax %. ",""))))</f>
      </c>
      <c r="AY254" s="44">
        <f>IF($M254="","",IF(ISNUMBER($M254),IF($M254&gt;=Header!$C$18,"YES — refer","No"),""))</f>
      </c>
      <c r="AZ254" s="44">
        <f>IF($AD254="","",IF(ISNUMBER($AD254),IF($AD254&lt;Header!$C$20,"BELOW MIN PREMIUM","OK"),""))</f>
      </c>
      <c r="BA254" s="48" t="inlineStr">
        <is>
          <t xml:space="preserve">Yes</t>
        </is>
      </c>
      <c r="BB254" s="48" t="inlineStr">
        <is>
          <t xml:space="preserve">Yes</t>
        </is>
      </c>
      <c r="BC254" s="46" t="inlineStr">
        <is>
          <t xml:space="preserve">Synthetic demo data</t>
        </is>
      </c>
      <c r="BE254" s="45">
        <f>IF(OR($A254="",$L254="",$H254=""),"",IF(AND(LEFT($L254,2)="06",$H254&gt;1945),"FAIL - pre-war class, year "&amp;$H254,IF(AND(LEFT($L254,2)="07",OR($H254&lt;1946,$H254&gt;1972)),"FAIL - 1946-72 class, year "&amp;$H254,IF(AND(LEFT($L254,2)="08",OR($H254&lt;1973,$H254&gt;1999)),"FAIL - 1973-99 class, year "&amp;$H254,IF(AND(LEFT($L254,2)="09",OR($H254&lt;2000,$H254&gt;2010)),"FAIL - 2000-10 class, year "&amp;$H254,"OK")))))</f>
      </c>
      <c r="BF254" s="45">
        <f>IF($AD254="","",IF(ROUND($AO254+$AP254+$AQ254-$AD254,2)=0,"OK","FAIL - out by "&amp;TEXT($AO254+$AP254+$AQ254-$AD254,"$0.00")))</f>
      </c>
    </row>
    <row r="255" spans="1:58" ht="18.75" customHeight="1" x14ac:dyDescent="0.25">
      <c r="A255" s="30" t="inlineStr">
        <is>
          <t xml:space="preserve">CANON-202511-002507</t>
        </is>
      </c>
      <c r="B255" s="30" t="inlineStr">
        <is>
          <t xml:space="preserve">Horace Castellanos</t>
        </is>
      </c>
      <c r="C255" s="31">
        <v>45980</v>
      </c>
      <c r="D255" s="32" t="inlineStr">
        <is>
          <t xml:space="preserve">Bound - within authority</t>
        </is>
      </c>
      <c r="E255" s="32" t="inlineStr">
        <is>
          <t xml:space="preserve">New business</t>
        </is>
      </c>
      <c r="F255" s="30" t="inlineStr">
        <is>
          <t xml:space="preserve">B1234EXOTIC26</t>
        </is>
      </c>
      <c r="G255" s="33">
        <f>IF($A255="","",IF($C255="","",YEAR($C255)))</f>
      </c>
      <c r="H255" s="34">
        <v>1984</v>
      </c>
      <c r="I255" s="30" t="inlineStr">
        <is>
          <t xml:space="preserve">Alfa Romeo</t>
        </is>
      </c>
      <c r="J255" s="30" t="inlineStr">
        <is>
          <t xml:space="preserve">8C 2900</t>
        </is>
      </c>
      <c r="K255" s="30" t="inlineStr">
        <is>
          <t xml:space="preserve">6A2A5SNC8LR3F13JJ</t>
        </is>
      </c>
      <c r="L255" s="32" t="inlineStr">
        <is>
          <t xml:space="preserve">08 - Modern Classic (1973-1999)</t>
        </is>
      </c>
      <c r="M255" s="35">
        <v>1950000</v>
      </c>
      <c r="N255" s="32" t="inlineStr">
        <is>
          <t xml:space="preserve">Personal</t>
        </is>
      </c>
      <c r="O255" s="30" t="inlineStr">
        <is>
          <t xml:space="preserve">Personal - regular use</t>
        </is>
      </c>
      <c r="P255" s="30" t="inlineStr">
        <is>
          <t xml:space="preserve">1,000 - 2,500</t>
        </is>
      </c>
      <c r="Q255" s="30" t="inlineStr">
        <is>
          <t xml:space="preserve">Arizona</t>
        </is>
      </c>
      <c r="R255" s="30" t="inlineStr">
        <is>
          <t xml:space="preserve">85001</t>
        </is>
      </c>
      <c r="S255" s="32" t="inlineStr">
        <is>
          <t xml:space="preserve">Wildfire - WUI high hazard</t>
        </is>
      </c>
      <c r="T255" s="36">
        <f>IF($A255="","",IF($S255="","",IFERROR(INDEX('[1]natural catastrophe'!$D$6:$D$17,MATCH($S255,'[1]natural catastrophe'!$B$6:$B$17,0)),"?")))</f>
      </c>
      <c r="U255" s="30" t="inlineStr">
        <is>
          <t xml:space="preserve">$5,000</t>
        </is>
      </c>
      <c r="V255" s="32" t="inlineStr">
        <is>
          <t xml:space="preserve">Agreed Value</t>
        </is>
      </c>
      <c r="W255" s="30" t="inlineStr">
        <is>
          <t xml:space="preserve">$1,000</t>
        </is>
      </c>
      <c r="X255" s="32" t="inlineStr">
        <is>
          <t xml:space="preserve">$1,000,000 CSL</t>
        </is>
      </c>
      <c r="Y255" s="30"/>
      <c r="Z255" s="30"/>
      <c r="AA255" s="32" t="inlineStr">
        <is>
          <t xml:space="preserve">Surplus Lines</t>
        </is>
      </c>
      <c r="AB255" s="35">
        <v>11616.19</v>
      </c>
      <c r="AC255" s="37">
        <v>0</v>
      </c>
      <c r="AD255" s="38">
        <f>IF(ISNUMBER($AB255),$AB255*(1+N($AC255)),"")</f>
      </c>
      <c r="AE255" s="35">
        <v>350</v>
      </c>
      <c r="AF255" s="35">
        <v>250</v>
      </c>
      <c r="AG255" s="37"/>
      <c r="AH255" s="39">
        <f>IF(ISNUMBER($AD255),($AD255+$AE255+$AF255)*$AG255,"")</f>
      </c>
      <c r="AI255" s="35"/>
      <c r="AJ255" s="38">
        <f>IF(ISNUMBER($AD255),SUM($AD255:$AH255),"")</f>
      </c>
      <c r="AK255" s="40">
        <f>IF(AND(ISNUMBER($AB255),ISNUMBER($AD255)),IF($AB255&gt;0,$AD255/$AB255,""),"")</f>
      </c>
      <c r="AL255" s="32" t="inlineStr">
        <is>
          <t xml:space="preserve">At technical</t>
        </is>
      </c>
      <c r="AM255" s="41">
        <f>IF(ISNUMBER($AD255),Header!$I$3,"")</f>
      </c>
      <c r="AN255" s="39">
        <f>IF(ISNUMBER($AD255),$AO255+$AP255,"")</f>
      </c>
      <c r="AO255" s="39">
        <f>IF(ISNUMBER($AD255),ROUND($AD255*Header!$K$3,2),"")</f>
      </c>
      <c r="AP255" s="39">
        <f>IF(ISNUMBER($AD255),ROUND($AD255*Header!$M$3,2),"")</f>
      </c>
      <c r="AQ255" s="38">
        <f>IF(ISNUMBER($AD255),ROUND($AD255,2)-$AO255-$AP255,"")</f>
      </c>
      <c r="AR255" s="39">
        <f>IF(ISNUMBER($AD255),IF(Header!$D$34="","?",$AD255*Header!$D$34),"")</f>
      </c>
      <c r="AS255" s="39">
        <f>IF(ISNUMBER($AB255),IF(Header!$D$34="","?",$AB255*Header!$D$34),"")</f>
      </c>
      <c r="AT255" s="42">
        <f>IF(AND(ISNUMBER($AB255),$M255&gt;0),$AB255/$M255*100,"")</f>
      </c>
      <c r="AU255" s="42">
        <f>IF(AND(ISNUMBER($AD255),$M255&gt;0),$AD255/$M255*100,"")</f>
      </c>
      <c r="AV255" s="40">
        <f>IF(AND(ISNUMBER($AB255),ISNUMBER($AD255),ABS($AB255)&gt;0),$AD255/$AB255,"")</f>
      </c>
      <c r="AW255" s="39">
        <f>IF(ISNUMBER($AD255),MAX(0,(1-0.55-Header!$O$3)*Header!$Q$3*$AQ255),"")</f>
      </c>
      <c r="AX255" s="43">
        <f>IF($A255="","",IF(TRIM(IF($A255="","Missing certificate ref. ","") &amp; IF($C255="","Missing effective date. ","") &amp; IF($D255="","Missing binding status. ","") &amp; IF($E255="","Missing movement type. ","") &amp; IF($I255="","Missing make. ","") &amp; IF($L255="","Missing vehicle class. ","") &amp; IF($M255="","Missing agreed value. ","") &amp; IF($N255="","Missing policy type. ","") &amp; IF($Q255="","Missing garaging state. ","") &amp; IF($R255="","Missing garaging ZIP. ","") &amp; IF($S255="","Missing cat zone. ","") &amp; IF($V255="","Missing valuation basis. ","") &amp; IF($W255="","Missing PD deductible. ","") &amp; IF($X255="","Missing liability limit. ","") &amp; IF($AB255="","Missing technical premium. ","") &amp; IF($AF255="","Missing surplus lines tax %. ",""))="","PASS","FAIL: "&amp;TRIM(IF($A255="","Missing certificate ref. ","") &amp; IF($C255="","Missing effective date. ","") &amp; IF($D255="","Missing binding status. ","") &amp; IF($E255="","Missing movement type. ","") &amp; IF($I255="","Missing make. ","") &amp; IF($L255="","Missing vehicle class. ","") &amp; IF($M255="","Missing agreed value. ","") &amp; IF($N255="","Missing policy type. ","") &amp; IF($Q255="","Missing garaging state. ","") &amp; IF($R255="","Missing garaging ZIP. ","") &amp; IF($S255="","Missing cat zone. ","") &amp; IF($V255="","Missing valuation basis. ","") &amp; IF($W255="","Missing PD deductible. ","") &amp; IF($X255="","Missing liability limit. ","") &amp; IF($AB255="","Missing technical premium. ","") &amp; IF($AF255="","Missing surplus lines tax %. ",""))))</f>
      </c>
      <c r="AY255" s="44">
        <f>IF($M255="","",IF(ISNUMBER($M255),IF($M255&gt;=Header!$C$18,"YES — refer","No"),""))</f>
      </c>
      <c r="AZ255" s="44">
        <f>IF($AD255="","",IF(ISNUMBER($AD255),IF($AD255&lt;Header!$C$20,"BELOW MIN PREMIUM","OK"),""))</f>
      </c>
      <c r="BA255" s="32" t="inlineStr">
        <is>
          <t xml:space="preserve">Yes</t>
        </is>
      </c>
      <c r="BB255" s="32" t="inlineStr">
        <is>
          <t xml:space="preserve">Yes</t>
        </is>
      </c>
      <c r="BC255" s="30" t="inlineStr">
        <is>
          <t xml:space="preserve">Synthetic demo data</t>
        </is>
      </c>
      <c r="BE255" s="45">
        <f>IF(OR($A255="",$L255="",$H255=""),"",IF(AND(LEFT($L255,2)="06",$H255&gt;1945),"FAIL - pre-war class, year "&amp;$H255,IF(AND(LEFT($L255,2)="07",OR($H255&lt;1946,$H255&gt;1972)),"FAIL - 1946-72 class, year "&amp;$H255,IF(AND(LEFT($L255,2)="08",OR($H255&lt;1973,$H255&gt;1999)),"FAIL - 1973-99 class, year "&amp;$H255,IF(AND(LEFT($L255,2)="09",OR($H255&lt;2000,$H255&gt;2010)),"FAIL - 2000-10 class, year "&amp;$H255,"OK")))))</f>
      </c>
      <c r="BF255" s="45">
        <f>IF($AD255="","",IF(ROUND($AO255+$AP255+$AQ255-$AD255,2)=0,"OK","FAIL - out by "&amp;TEXT($AO255+$AP255+$AQ255-$AD255,"$0.00")))</f>
      </c>
    </row>
    <row r="256" spans="1:58" ht="18.75" customHeight="1" x14ac:dyDescent="0.25">
      <c r="A256" s="46" t="inlineStr">
        <is>
          <t xml:space="preserve">CANON-202511-002509</t>
        </is>
      </c>
      <c r="B256" s="46" t="inlineStr">
        <is>
          <t xml:space="preserve">Beatrix Castellanos</t>
        </is>
      </c>
      <c r="C256" s="47">
        <v>45983</v>
      </c>
      <c r="D256" s="48" t="inlineStr">
        <is>
          <t xml:space="preserve">Bound - within authority</t>
        </is>
      </c>
      <c r="E256" s="48" t="inlineStr">
        <is>
          <t xml:space="preserve">New business</t>
        </is>
      </c>
      <c r="F256" s="46" t="inlineStr">
        <is>
          <t xml:space="preserve">B1234EXOTIC26</t>
        </is>
      </c>
      <c r="G256" s="33">
        <f>IF($A256="","",IF($C256="","",YEAR($C256)))</f>
      </c>
      <c r="H256" s="49">
        <v>1988</v>
      </c>
      <c r="I256" s="46" t="inlineStr">
        <is>
          <t xml:space="preserve">Bentley</t>
        </is>
      </c>
      <c r="J256" s="46" t="inlineStr">
        <is>
          <t xml:space="preserve">Continental GT</t>
        </is>
      </c>
      <c r="K256" s="46" t="inlineStr">
        <is>
          <t xml:space="preserve">MLCZP891ZM558VX2T</t>
        </is>
      </c>
      <c r="L256" s="48" t="inlineStr">
        <is>
          <t xml:space="preserve">02 - Sports / GT</t>
        </is>
      </c>
      <c r="M256" s="50">
        <v>1215000</v>
      </c>
      <c r="N256" s="48" t="inlineStr">
        <is>
          <t xml:space="preserve">Personal</t>
        </is>
      </c>
      <c r="O256" s="46" t="inlineStr">
        <is>
          <t xml:space="preserve">Personal - regular use</t>
        </is>
      </c>
      <c r="P256" s="46" t="inlineStr">
        <is>
          <t xml:space="preserve">Under 1,000</t>
        </is>
      </c>
      <c r="Q256" s="46" t="inlineStr">
        <is>
          <t xml:space="preserve">Florida</t>
        </is>
      </c>
      <c r="R256" s="46" t="inlineStr">
        <is>
          <t xml:space="preserve">33139</t>
        </is>
      </c>
      <c r="S256" s="48" t="inlineStr">
        <is>
          <t xml:space="preserve">Tier 2 - Coastal wind (1-25 miles)</t>
        </is>
      </c>
      <c r="T256" s="36">
        <f>IF($A256="","",IF($S256="","",IFERROR(INDEX('[1]natural catastrophe'!$D$6:$D$17,MATCH($S256,'[1]natural catastrophe'!$B$6:$B$17,0)),"?")))</f>
      </c>
      <c r="U256" s="46" t="inlineStr">
        <is>
          <t xml:space="preserve">2% of agreed value, minimum $10,000</t>
        </is>
      </c>
      <c r="V256" s="48" t="inlineStr">
        <is>
          <t xml:space="preserve">Agreed Value</t>
        </is>
      </c>
      <c r="W256" s="46" t="inlineStr">
        <is>
          <t xml:space="preserve">$1,000</t>
        </is>
      </c>
      <c r="X256" s="48" t="inlineStr">
        <is>
          <t xml:space="preserve">$1,000,000 CSL</t>
        </is>
      </c>
      <c r="Y256" s="46"/>
      <c r="Z256" s="46"/>
      <c r="AA256" s="48" t="inlineStr">
        <is>
          <t xml:space="preserve">Surplus Lines</t>
        </is>
      </c>
      <c r="AB256" s="50">
        <v>16460.99</v>
      </c>
      <c r="AC256" s="51">
        <v>0</v>
      </c>
      <c r="AD256" s="38">
        <f>IF(ISNUMBER($AB256),$AB256*(1+N($AC256)),"")</f>
      </c>
      <c r="AE256" s="50">
        <v>350</v>
      </c>
      <c r="AF256" s="50">
        <v>250</v>
      </c>
      <c r="AG256" s="51"/>
      <c r="AH256" s="39">
        <f>IF(ISNUMBER($AD256),($AD256+$AE256+$AF256)*$AG256,"")</f>
      </c>
      <c r="AI256" s="50"/>
      <c r="AJ256" s="38">
        <f>IF(ISNUMBER($AD256),SUM($AD256:$AH256),"")</f>
      </c>
      <c r="AK256" s="40">
        <f>IF(AND(ISNUMBER($AB256),ISNUMBER($AD256)),IF($AB256&gt;0,$AD256/$AB256,""),"")</f>
      </c>
      <c r="AL256" s="48" t="inlineStr">
        <is>
          <t xml:space="preserve">At technical</t>
        </is>
      </c>
      <c r="AM256" s="41">
        <f>IF(ISNUMBER($AD256),Header!$I$3,"")</f>
      </c>
      <c r="AN256" s="39">
        <f>IF(ISNUMBER($AD256),$AO256+$AP256,"")</f>
      </c>
      <c r="AO256" s="39">
        <f>IF(ISNUMBER($AD256),ROUND($AD256*Header!$K$3,2),"")</f>
      </c>
      <c r="AP256" s="39">
        <f>IF(ISNUMBER($AD256),ROUND($AD256*Header!$M$3,2),"")</f>
      </c>
      <c r="AQ256" s="38">
        <f>IF(ISNUMBER($AD256),ROUND($AD256,2)-$AO256-$AP256,"")</f>
      </c>
      <c r="AR256" s="39">
        <f>IF(ISNUMBER($AD256),IF(Header!$D$34="","?",$AD256*Header!$D$34),"")</f>
      </c>
      <c r="AS256" s="39">
        <f>IF(ISNUMBER($AB256),IF(Header!$D$34="","?",$AB256*Header!$D$34),"")</f>
      </c>
      <c r="AT256" s="42">
        <f>IF(AND(ISNUMBER($AB256),$M256&gt;0),$AB256/$M256*100,"")</f>
      </c>
      <c r="AU256" s="42">
        <f>IF(AND(ISNUMBER($AD256),$M256&gt;0),$AD256/$M256*100,"")</f>
      </c>
      <c r="AV256" s="40">
        <f>IF(AND(ISNUMBER($AB256),ISNUMBER($AD256),ABS($AB256)&gt;0),$AD256/$AB256,"")</f>
      </c>
      <c r="AW256" s="39">
        <f>IF(ISNUMBER($AD256),MAX(0,(1-0.55-Header!$O$3)*Header!$Q$3*$AQ256),"")</f>
      </c>
      <c r="AX256" s="43">
        <f>IF($A256="","",IF(TRIM(IF($A256="","Missing certificate ref. ","") &amp; IF($C256="","Missing effective date. ","") &amp; IF($D256="","Missing binding status. ","") &amp; IF($E256="","Missing movement type. ","") &amp; IF($I256="","Missing make. ","") &amp; IF($L256="","Missing vehicle class. ","") &amp; IF($M256="","Missing agreed value. ","") &amp; IF($N256="","Missing policy type. ","") &amp; IF($Q256="","Missing garaging state. ","") &amp; IF($R256="","Missing garaging ZIP. ","") &amp; IF($S256="","Missing cat zone. ","") &amp; IF($V256="","Missing valuation basis. ","") &amp; IF($W256="","Missing PD deductible. ","") &amp; IF($X256="","Missing liability limit. ","") &amp; IF($AB256="","Missing technical premium. ","") &amp; IF($AF256="","Missing surplus lines tax %. ",""))="","PASS","FAIL: "&amp;TRIM(IF($A256="","Missing certificate ref. ","") &amp; IF($C256="","Missing effective date. ","") &amp; IF($D256="","Missing binding status. ","") &amp; IF($E256="","Missing movement type. ","") &amp; IF($I256="","Missing make. ","") &amp; IF($L256="","Missing vehicle class. ","") &amp; IF($M256="","Missing agreed value. ","") &amp; IF($N256="","Missing policy type. ","") &amp; IF($Q256="","Missing garaging state. ","") &amp; IF($R256="","Missing garaging ZIP. ","") &amp; IF($S256="","Missing cat zone. ","") &amp; IF($V256="","Missing valuation basis. ","") &amp; IF($W256="","Missing PD deductible. ","") &amp; IF($X256="","Missing liability limit. ","") &amp; IF($AB256="","Missing technical premium. ","") &amp; IF($AF256="","Missing surplus lines tax %. ",""))))</f>
      </c>
      <c r="AY256" s="44">
        <f>IF($M256="","",IF(ISNUMBER($M256),IF($M256&gt;=Header!$C$18,"YES — refer","No"),""))</f>
      </c>
      <c r="AZ256" s="44">
        <f>IF($AD256="","",IF(ISNUMBER($AD256),IF($AD256&lt;Header!$C$20,"BELOW MIN PREMIUM","OK"),""))</f>
      </c>
      <c r="BA256" s="48" t="inlineStr">
        <is>
          <t xml:space="preserve">Yes</t>
        </is>
      </c>
      <c r="BB256" s="48" t="inlineStr">
        <is>
          <t xml:space="preserve">Yes</t>
        </is>
      </c>
      <c r="BC256" s="46" t="inlineStr">
        <is>
          <t xml:space="preserve">Synthetic demo data</t>
        </is>
      </c>
      <c r="BE256" s="45">
        <f>IF(OR($A256="",$L256="",$H256=""),"",IF(AND(LEFT($L256,2)="06",$H256&gt;1945),"FAIL - pre-war class, year "&amp;$H256,IF(AND(LEFT($L256,2)="07",OR($H256&lt;1946,$H256&gt;1972)),"FAIL - 1946-72 class, year "&amp;$H256,IF(AND(LEFT($L256,2)="08",OR($H256&lt;1973,$H256&gt;1999)),"FAIL - 1973-99 class, year "&amp;$H256,IF(AND(LEFT($L256,2)="09",OR($H256&lt;2000,$H256&gt;2010)),"FAIL - 2000-10 class, year "&amp;$H256,"OK")))))</f>
      </c>
      <c r="BF256" s="45">
        <f>IF($AD256="","",IF(ROUND($AO256+$AP256+$AQ256-$AD256,2)=0,"OK","FAIL - out by "&amp;TEXT($AO256+$AP256+$AQ256-$AD256,"$0.00")))</f>
      </c>
    </row>
    <row r="257" spans="1:58" ht="18.75" customHeight="1" x14ac:dyDescent="0.25">
      <c r="A257" s="30" t="inlineStr">
        <is>
          <t xml:space="preserve">CANON-202511-002510</t>
        </is>
      </c>
      <c r="B257" s="30" t="inlineStr">
        <is>
          <t xml:space="preserve">Cassius Merriweather</t>
        </is>
      </c>
      <c r="C257" s="31">
        <v>45979</v>
      </c>
      <c r="D257" s="32" t="inlineStr">
        <is>
          <t xml:space="preserve">Bound - within authority</t>
        </is>
      </c>
      <c r="E257" s="32" t="inlineStr">
        <is>
          <t xml:space="preserve">New business</t>
        </is>
      </c>
      <c r="F257" s="30" t="inlineStr">
        <is>
          <t xml:space="preserve">B1234EXOTIC26</t>
        </is>
      </c>
      <c r="G257" s="33">
        <f>IF($A257="","",IF($C257="","",YEAR($C257)))</f>
      </c>
      <c r="H257" s="34">
        <v>2016</v>
      </c>
      <c r="I257" s="30" t="inlineStr">
        <is>
          <t xml:space="preserve">Lamborghini</t>
        </is>
      </c>
      <c r="J257" s="30" t="inlineStr">
        <is>
          <t xml:space="preserve">Huracan EVO</t>
        </is>
      </c>
      <c r="K257" s="30" t="inlineStr">
        <is>
          <t xml:space="preserve">ASGDHRMNB7SNABXET</t>
        </is>
      </c>
      <c r="L257" s="32" t="inlineStr">
        <is>
          <t xml:space="preserve">03 - Supercar</t>
        </is>
      </c>
      <c r="M257" s="35">
        <v>520000</v>
      </c>
      <c r="N257" s="32" t="inlineStr">
        <is>
          <t xml:space="preserve">Personal</t>
        </is>
      </c>
      <c r="O257" s="30" t="inlineStr">
        <is>
          <t xml:space="preserve">Personal - regular use</t>
        </is>
      </c>
      <c r="P257" s="30" t="inlineStr">
        <is>
          <t xml:space="preserve">1,000 - 2,500</t>
        </is>
      </c>
      <c r="Q257" s="30" t="inlineStr">
        <is>
          <t xml:space="preserve">California</t>
        </is>
      </c>
      <c r="R257" s="30" t="inlineStr">
        <is>
          <t xml:space="preserve">90012</t>
        </is>
      </c>
      <c r="S257" s="32" t="inlineStr">
        <is>
          <t xml:space="preserve">Earthquake - high (CA, Cascadia, New Madrid)</t>
        </is>
      </c>
      <c r="T257" s="36">
        <f>IF($A257="","",IF($S257="","",IFERROR(INDEX('[1]natural catastrophe'!$D$6:$D$17,MATCH($S257,'[1]natural catastrophe'!$B$6:$B$17,0)),"?")))</f>
      </c>
      <c r="U257" s="30" t="inlineStr">
        <is>
          <t xml:space="preserve">$5,000</t>
        </is>
      </c>
      <c r="V257" s="32" t="inlineStr">
        <is>
          <t xml:space="preserve">Agreed Value</t>
        </is>
      </c>
      <c r="W257" s="30" t="inlineStr">
        <is>
          <t xml:space="preserve">$1,000</t>
        </is>
      </c>
      <c r="X257" s="32" t="inlineStr">
        <is>
          <t xml:space="preserve">$1,000,000 CSL</t>
        </is>
      </c>
      <c r="Y257" s="30"/>
      <c r="Z257" s="30"/>
      <c r="AA257" s="32" t="inlineStr">
        <is>
          <t xml:space="preserve">Surplus Lines</t>
        </is>
      </c>
      <c r="AB257" s="35">
        <v>11568.83</v>
      </c>
      <c r="AC257" s="37">
        <v>0</v>
      </c>
      <c r="AD257" s="38">
        <f>IF(ISNUMBER($AB257),$AB257*(1+N($AC257)),"")</f>
      </c>
      <c r="AE257" s="35">
        <v>350</v>
      </c>
      <c r="AF257" s="35">
        <v>0</v>
      </c>
      <c r="AG257" s="37"/>
      <c r="AH257" s="39">
        <f>IF(ISNUMBER($AD257),($AD257+$AE257+$AF257)*$AG257,"")</f>
      </c>
      <c r="AI257" s="35"/>
      <c r="AJ257" s="38">
        <f>IF(ISNUMBER($AD257),SUM($AD257:$AH257),"")</f>
      </c>
      <c r="AK257" s="40">
        <f>IF(AND(ISNUMBER($AB257),ISNUMBER($AD257)),IF($AB257&gt;0,$AD257/$AB257,""),"")</f>
      </c>
      <c r="AL257" s="32" t="inlineStr">
        <is>
          <t xml:space="preserve">At technical</t>
        </is>
      </c>
      <c r="AM257" s="41">
        <f>IF(ISNUMBER($AD257),Header!$I$3,"")</f>
      </c>
      <c r="AN257" s="39">
        <f>IF(ISNUMBER($AD257),$AO257+$AP257,"")</f>
      </c>
      <c r="AO257" s="39">
        <f>IF(ISNUMBER($AD257),ROUND($AD257*Header!$K$3,2),"")</f>
      </c>
      <c r="AP257" s="39">
        <f>IF(ISNUMBER($AD257),ROUND($AD257*Header!$M$3,2),"")</f>
      </c>
      <c r="AQ257" s="38">
        <f>IF(ISNUMBER($AD257),ROUND($AD257,2)-$AO257-$AP257,"")</f>
      </c>
      <c r="AR257" s="39">
        <f>IF(ISNUMBER($AD257),IF(Header!$D$34="","?",$AD257*Header!$D$34),"")</f>
      </c>
      <c r="AS257" s="39">
        <f>IF(ISNUMBER($AB257),IF(Header!$D$34="","?",$AB257*Header!$D$34),"")</f>
      </c>
      <c r="AT257" s="42">
        <f>IF(AND(ISNUMBER($AB257),$M257&gt;0),$AB257/$M257*100,"")</f>
      </c>
      <c r="AU257" s="42">
        <f>IF(AND(ISNUMBER($AD257),$M257&gt;0),$AD257/$M257*100,"")</f>
      </c>
      <c r="AV257" s="40">
        <f>IF(AND(ISNUMBER($AB257),ISNUMBER($AD257),ABS($AB257)&gt;0),$AD257/$AB257,"")</f>
      </c>
      <c r="AW257" s="39">
        <f>IF(ISNUMBER($AD257),MAX(0,(1-0.55-Header!$O$3)*Header!$Q$3*$AQ257),"")</f>
      </c>
      <c r="AX257" s="43">
        <f>IF($A257="","",IF(TRIM(IF($A257="","Missing certificate ref. ","") &amp; IF($C257="","Missing effective date. ","") &amp; IF($D257="","Missing binding status. ","") &amp; IF($E257="","Missing movement type. ","") &amp; IF($I257="","Missing make. ","") &amp; IF($L257="","Missing vehicle class. ","") &amp; IF($M257="","Missing agreed value. ","") &amp; IF($N257="","Missing policy type. ","") &amp; IF($Q257="","Missing garaging state. ","") &amp; IF($R257="","Missing garaging ZIP. ","") &amp; IF($S257="","Missing cat zone. ","") &amp; IF($V257="","Missing valuation basis. ","") &amp; IF($W257="","Missing PD deductible. ","") &amp; IF($X257="","Missing liability limit. ","") &amp; IF($AB257="","Missing technical premium. ","") &amp; IF($AF257="","Missing surplus lines tax %. ",""))="","PASS","FAIL: "&amp;TRIM(IF($A257="","Missing certificate ref. ","") &amp; IF($C257="","Missing effective date. ","") &amp; IF($D257="","Missing binding status. ","") &amp; IF($E257="","Missing movement type. ","") &amp; IF($I257="","Missing make. ","") &amp; IF($L257="","Missing vehicle class. ","") &amp; IF($M257="","Missing agreed value. ","") &amp; IF($N257="","Missing policy type. ","") &amp; IF($Q257="","Missing garaging state. ","") &amp; IF($R257="","Missing garaging ZIP. ","") &amp; IF($S257="","Missing cat zone. ","") &amp; IF($V257="","Missing valuation basis. ","") &amp; IF($W257="","Missing PD deductible. ","") &amp; IF($X257="","Missing liability limit. ","") &amp; IF($AB257="","Missing technical premium. ","") &amp; IF($AF257="","Missing surplus lines tax %. ",""))))</f>
      </c>
      <c r="AY257" s="44">
        <f>IF($M257="","",IF(ISNUMBER($M257),IF($M257&gt;=Header!$C$18,"YES — refer","No"),""))</f>
      </c>
      <c r="AZ257" s="44">
        <f>IF($AD257="","",IF(ISNUMBER($AD257),IF($AD257&lt;Header!$C$20,"BELOW MIN PREMIUM","OK"),""))</f>
      </c>
      <c r="BA257" s="32" t="inlineStr">
        <is>
          <t xml:space="preserve">Yes</t>
        </is>
      </c>
      <c r="BB257" s="32" t="inlineStr">
        <is>
          <t xml:space="preserve">Yes</t>
        </is>
      </c>
      <c r="BC257" s="30" t="inlineStr">
        <is>
          <t xml:space="preserve">Synthetic demo data</t>
        </is>
      </c>
      <c r="BE257" s="45">
        <f>IF(OR($A257="",$L257="",$H257=""),"",IF(AND(LEFT($L257,2)="06",$H257&gt;1945),"FAIL - pre-war class, year "&amp;$H257,IF(AND(LEFT($L257,2)="07",OR($H257&lt;1946,$H257&gt;1972)),"FAIL - 1946-72 class, year "&amp;$H257,IF(AND(LEFT($L257,2)="08",OR($H257&lt;1973,$H257&gt;1999)),"FAIL - 1973-99 class, year "&amp;$H257,IF(AND(LEFT($L257,2)="09",OR($H257&lt;2000,$H257&gt;2010)),"FAIL - 2000-10 class, year "&amp;$H257,"OK")))))</f>
      </c>
      <c r="BF257" s="45">
        <f>IF($AD257="","",IF(ROUND($AO257+$AP257+$AQ257-$AD257,2)=0,"OK","FAIL - out by "&amp;TEXT($AO257+$AP257+$AQ257-$AD257,"$0.00")))</f>
      </c>
    </row>
    <row r="258" spans="1:58" ht="18.75" customHeight="1" x14ac:dyDescent="0.25">
      <c r="A258" s="46" t="inlineStr">
        <is>
          <t xml:space="preserve">CANON-202511-002511</t>
        </is>
      </c>
      <c r="B258" s="46" t="inlineStr">
        <is>
          <t xml:space="preserve">Anouk Okonkwo</t>
        </is>
      </c>
      <c r="C258" s="47">
        <v>45977</v>
      </c>
      <c r="D258" s="48" t="inlineStr">
        <is>
          <t xml:space="preserve">Bound - within authority</t>
        </is>
      </c>
      <c r="E258" s="48" t="inlineStr">
        <is>
          <t xml:space="preserve">New business</t>
        </is>
      </c>
      <c r="F258" s="46" t="inlineStr">
        <is>
          <t xml:space="preserve">B1234EXOTIC26</t>
        </is>
      </c>
      <c r="G258" s="33">
        <f>IF($A258="","",IF($C258="","",YEAR($C258)))</f>
      </c>
      <c r="H258" s="49">
        <v>1989</v>
      </c>
      <c r="I258" s="46" t="inlineStr">
        <is>
          <t xml:space="preserve">Mercedes-Benz</t>
        </is>
      </c>
      <c r="J258" s="46" t="inlineStr">
        <is>
          <t xml:space="preserve">AMG GT</t>
        </is>
      </c>
      <c r="K258" s="46" t="inlineStr">
        <is>
          <t xml:space="preserve">Y3NNRX75B4S40PAP2</t>
        </is>
      </c>
      <c r="L258" s="48" t="inlineStr">
        <is>
          <t xml:space="preserve">02 - Sports / GT</t>
        </is>
      </c>
      <c r="M258" s="50">
        <v>950000</v>
      </c>
      <c r="N258" s="48" t="inlineStr">
        <is>
          <t xml:space="preserve">Personal</t>
        </is>
      </c>
      <c r="O258" s="46" t="inlineStr">
        <is>
          <t xml:space="preserve">Personal - regular use</t>
        </is>
      </c>
      <c r="P258" s="46" t="inlineStr">
        <is>
          <t xml:space="preserve">1,000 - 2,500</t>
        </is>
      </c>
      <c r="Q258" s="46" t="inlineStr">
        <is>
          <t xml:space="preserve">Oklahoma</t>
        </is>
      </c>
      <c r="R258" s="46" t="inlineStr">
        <is>
          <t xml:space="preserve">73102</t>
        </is>
      </c>
      <c r="S258" s="48" t="inlineStr">
        <is>
          <t xml:space="preserve">Severe convective - hail alley (high)</t>
        </is>
      </c>
      <c r="T258" s="36">
        <f>IF($A258="","",IF($S258="","",IFERROR(INDEX('[1]natural catastrophe'!$D$6:$D$17,MATCH($S258,'[1]natural catastrophe'!$B$6:$B$17,0)),"?")))</f>
      </c>
      <c r="U258" s="46" t="inlineStr">
        <is>
          <t xml:space="preserve">$5,000</t>
        </is>
      </c>
      <c r="V258" s="48" t="inlineStr">
        <is>
          <t xml:space="preserve">Agreed Value</t>
        </is>
      </c>
      <c r="W258" s="46" t="inlineStr">
        <is>
          <t xml:space="preserve">$1,000</t>
        </is>
      </c>
      <c r="X258" s="48" t="inlineStr">
        <is>
          <t xml:space="preserve">$1,000,000 CSL</t>
        </is>
      </c>
      <c r="Y258" s="46"/>
      <c r="Z258" s="46"/>
      <c r="AA258" s="48" t="inlineStr">
        <is>
          <t xml:space="preserve">Surplus Lines</t>
        </is>
      </c>
      <c r="AB258" s="50">
        <v>13496.97</v>
      </c>
      <c r="AC258" s="51">
        <v>0</v>
      </c>
      <c r="AD258" s="38">
        <f>IF(ISNUMBER($AB258),$AB258*(1+N($AC258)),"")</f>
      </c>
      <c r="AE258" s="50">
        <v>350</v>
      </c>
      <c r="AF258" s="50">
        <v>0</v>
      </c>
      <c r="AG258" s="51"/>
      <c r="AH258" s="39">
        <f>IF(ISNUMBER($AD258),($AD258+$AE258+$AF258)*$AG258,"")</f>
      </c>
      <c r="AI258" s="50"/>
      <c r="AJ258" s="38">
        <f>IF(ISNUMBER($AD258),SUM($AD258:$AH258),"")</f>
      </c>
      <c r="AK258" s="40">
        <f>IF(AND(ISNUMBER($AB258),ISNUMBER($AD258)),IF($AB258&gt;0,$AD258/$AB258,""),"")</f>
      </c>
      <c r="AL258" s="48" t="inlineStr">
        <is>
          <t xml:space="preserve">At technical</t>
        </is>
      </c>
      <c r="AM258" s="41">
        <f>IF(ISNUMBER($AD258),Header!$I$3,"")</f>
      </c>
      <c r="AN258" s="39">
        <f>IF(ISNUMBER($AD258),$AO258+$AP258,"")</f>
      </c>
      <c r="AO258" s="39">
        <f>IF(ISNUMBER($AD258),ROUND($AD258*Header!$K$3,2),"")</f>
      </c>
      <c r="AP258" s="39">
        <f>IF(ISNUMBER($AD258),ROUND($AD258*Header!$M$3,2),"")</f>
      </c>
      <c r="AQ258" s="38">
        <f>IF(ISNUMBER($AD258),ROUND($AD258,2)-$AO258-$AP258,"")</f>
      </c>
      <c r="AR258" s="39">
        <f>IF(ISNUMBER($AD258),IF(Header!$D$34="","?",$AD258*Header!$D$34),"")</f>
      </c>
      <c r="AS258" s="39">
        <f>IF(ISNUMBER($AB258),IF(Header!$D$34="","?",$AB258*Header!$D$34),"")</f>
      </c>
      <c r="AT258" s="42">
        <f>IF(AND(ISNUMBER($AB258),$M258&gt;0),$AB258/$M258*100,"")</f>
      </c>
      <c r="AU258" s="42">
        <f>IF(AND(ISNUMBER($AD258),$M258&gt;0),$AD258/$M258*100,"")</f>
      </c>
      <c r="AV258" s="40">
        <f>IF(AND(ISNUMBER($AB258),ISNUMBER($AD258),ABS($AB258)&gt;0),$AD258/$AB258,"")</f>
      </c>
      <c r="AW258" s="39">
        <f>IF(ISNUMBER($AD258),MAX(0,(1-0.55-Header!$O$3)*Header!$Q$3*$AQ258),"")</f>
      </c>
      <c r="AX258" s="43">
        <f>IF($A258="","",IF(TRIM(IF($A258="","Missing certificate ref. ","") &amp; IF($C258="","Missing effective date. ","") &amp; IF($D258="","Missing binding status. ","") &amp; IF($E258="","Missing movement type. ","") &amp; IF($I258="","Missing make. ","") &amp; IF($L258="","Missing vehicle class. ","") &amp; IF($M258="","Missing agreed value. ","") &amp; IF($N258="","Missing policy type. ","") &amp; IF($Q258="","Missing garaging state. ","") &amp; IF($R258="","Missing garaging ZIP. ","") &amp; IF($S258="","Missing cat zone. ","") &amp; IF($V258="","Missing valuation basis. ","") &amp; IF($W258="","Missing PD deductible. ","") &amp; IF($X258="","Missing liability limit. ","") &amp; IF($AB258="","Missing technical premium. ","") &amp; IF($AF258="","Missing surplus lines tax %. ",""))="","PASS","FAIL: "&amp;TRIM(IF($A258="","Missing certificate ref. ","") &amp; IF($C258="","Missing effective date. ","") &amp; IF($D258="","Missing binding status. ","") &amp; IF($E258="","Missing movement type. ","") &amp; IF($I258="","Missing make. ","") &amp; IF($L258="","Missing vehicle class. ","") &amp; IF($M258="","Missing agreed value. ","") &amp; IF($N258="","Missing policy type. ","") &amp; IF($Q258="","Missing garaging state. ","") &amp; IF($R258="","Missing garaging ZIP. ","") &amp; IF($S258="","Missing cat zone. ","") &amp; IF($V258="","Missing valuation basis. ","") &amp; IF($W258="","Missing PD deductible. ","") &amp; IF($X258="","Missing liability limit. ","") &amp; IF($AB258="","Missing technical premium. ","") &amp; IF($AF258="","Missing surplus lines tax %. ",""))))</f>
      </c>
      <c r="AY258" s="44">
        <f>IF($M258="","",IF(ISNUMBER($M258),IF($M258&gt;=Header!$C$18,"YES — refer","No"),""))</f>
      </c>
      <c r="AZ258" s="44">
        <f>IF($AD258="","",IF(ISNUMBER($AD258),IF($AD258&lt;Header!$C$20,"BELOW MIN PREMIUM","OK"),""))</f>
      </c>
      <c r="BA258" s="48" t="inlineStr">
        <is>
          <t xml:space="preserve">Yes</t>
        </is>
      </c>
      <c r="BB258" s="48" t="inlineStr">
        <is>
          <t xml:space="preserve">Yes</t>
        </is>
      </c>
      <c r="BC258" s="46" t="inlineStr">
        <is>
          <t xml:space="preserve">Synthetic demo data</t>
        </is>
      </c>
      <c r="BE258" s="45">
        <f>IF(OR($A258="",$L258="",$H258=""),"",IF(AND(LEFT($L258,2)="06",$H258&gt;1945),"FAIL - pre-war class, year "&amp;$H258,IF(AND(LEFT($L258,2)="07",OR($H258&lt;1946,$H258&gt;1972)),"FAIL - 1946-72 class, year "&amp;$H258,IF(AND(LEFT($L258,2)="08",OR($H258&lt;1973,$H258&gt;1999)),"FAIL - 1973-99 class, year "&amp;$H258,IF(AND(LEFT($L258,2)="09",OR($H258&lt;2000,$H258&gt;2010)),"FAIL - 2000-10 class, year "&amp;$H258,"OK")))))</f>
      </c>
      <c r="BF258" s="45">
        <f>IF($AD258="","",IF(ROUND($AO258+$AP258+$AQ258-$AD258,2)=0,"OK","FAIL - out by "&amp;TEXT($AO258+$AP258+$AQ258-$AD258,"$0.00")))</f>
      </c>
    </row>
    <row r="259" spans="1:58" ht="18.75" customHeight="1" x14ac:dyDescent="0.25">
      <c r="A259" s="30" t="inlineStr">
        <is>
          <t xml:space="preserve">CANON-202511-002513</t>
        </is>
      </c>
      <c r="B259" s="30" t="inlineStr">
        <is>
          <t xml:space="preserve">Ottilie Whitlock</t>
        </is>
      </c>
      <c r="C259" s="31">
        <v>45986</v>
      </c>
      <c r="D259" s="32" t="inlineStr">
        <is>
          <t xml:space="preserve">Bound - within authority</t>
        </is>
      </c>
      <c r="E259" s="32" t="inlineStr">
        <is>
          <t xml:space="preserve">New business</t>
        </is>
      </c>
      <c r="F259" s="30" t="inlineStr">
        <is>
          <t xml:space="preserve">B1234EXOTIC26</t>
        </is>
      </c>
      <c r="G259" s="33">
        <f>IF($A259="","",IF($C259="","",YEAR($C259)))</f>
      </c>
      <c r="H259" s="34">
        <v>1976</v>
      </c>
      <c r="I259" s="30" t="inlineStr">
        <is>
          <t xml:space="preserve">Porsche</t>
        </is>
      </c>
      <c r="J259" s="30" t="inlineStr">
        <is>
          <t xml:space="preserve">911 Turbo S</t>
        </is>
      </c>
      <c r="K259" s="30" t="inlineStr">
        <is>
          <t xml:space="preserve">4U26X4ZE7TPHT613L</t>
        </is>
      </c>
      <c r="L259" s="32" t="inlineStr">
        <is>
          <t xml:space="preserve">02 - Sports / GT</t>
        </is>
      </c>
      <c r="M259" s="35">
        <v>190000</v>
      </c>
      <c r="N259" s="32" t="inlineStr">
        <is>
          <t xml:space="preserve">Personal</t>
        </is>
      </c>
      <c r="O259" s="30" t="inlineStr">
        <is>
          <t xml:space="preserve">Personal - regular use</t>
        </is>
      </c>
      <c r="P259" s="30" t="inlineStr">
        <is>
          <t xml:space="preserve">Under 1,000</t>
        </is>
      </c>
      <c r="Q259" s="30" t="inlineStr">
        <is>
          <t xml:space="preserve">Maine</t>
        </is>
      </c>
      <c r="R259" s="30" t="inlineStr">
        <is>
          <t xml:space="preserve">04101</t>
        </is>
      </c>
      <c r="S259" s="32" t="inlineStr">
        <is>
          <t xml:space="preserve">Tier 3 - Coastal wind (25-100 miles)</t>
        </is>
      </c>
      <c r="T259" s="36">
        <f>IF($A259="","",IF($S259="","",IFERROR(INDEX('[1]natural catastrophe'!$D$6:$D$17,MATCH($S259,'[1]natural catastrophe'!$B$6:$B$17,0)),"?")))</f>
      </c>
      <c r="U259" s="30" t="inlineStr">
        <is>
          <t xml:space="preserve">2% of agreed value, minimum $10,000</t>
        </is>
      </c>
      <c r="V259" s="32" t="inlineStr">
        <is>
          <t xml:space="preserve">Agreed Value</t>
        </is>
      </c>
      <c r="W259" s="30" t="inlineStr">
        <is>
          <t xml:space="preserve">$1,000</t>
        </is>
      </c>
      <c r="X259" s="32" t="inlineStr">
        <is>
          <t xml:space="preserve">$1,000,000 CSL</t>
        </is>
      </c>
      <c r="Y259" s="30"/>
      <c r="Z259" s="30"/>
      <c r="AA259" s="32" t="inlineStr">
        <is>
          <t xml:space="preserve">Surplus Lines</t>
        </is>
      </c>
      <c r="AB259" s="35">
        <v>3274.87</v>
      </c>
      <c r="AC259" s="37">
        <v>0</v>
      </c>
      <c r="AD259" s="38">
        <f>IF(ISNUMBER($AB259),$AB259*(1+N($AC259)),"")</f>
      </c>
      <c r="AE259" s="35">
        <v>350</v>
      </c>
      <c r="AF259" s="35">
        <v>0</v>
      </c>
      <c r="AG259" s="37"/>
      <c r="AH259" s="39">
        <f>IF(ISNUMBER($AD259),($AD259+$AE259+$AF259)*$AG259,"")</f>
      </c>
      <c r="AI259" s="35"/>
      <c r="AJ259" s="38">
        <f>IF(ISNUMBER($AD259),SUM($AD259:$AH259),"")</f>
      </c>
      <c r="AK259" s="40">
        <f>IF(AND(ISNUMBER($AB259),ISNUMBER($AD259)),IF($AB259&gt;0,$AD259/$AB259,""),"")</f>
      </c>
      <c r="AL259" s="32" t="inlineStr">
        <is>
          <t xml:space="preserve">At technical</t>
        </is>
      </c>
      <c r="AM259" s="41">
        <f>IF(ISNUMBER($AD259),Header!$I$3,"")</f>
      </c>
      <c r="AN259" s="39">
        <f>IF(ISNUMBER($AD259),$AO259+$AP259,"")</f>
      </c>
      <c r="AO259" s="39">
        <f>IF(ISNUMBER($AD259),ROUND($AD259*Header!$K$3,2),"")</f>
      </c>
      <c r="AP259" s="39">
        <f>IF(ISNUMBER($AD259),ROUND($AD259*Header!$M$3,2),"")</f>
      </c>
      <c r="AQ259" s="38">
        <f>IF(ISNUMBER($AD259),ROUND($AD259,2)-$AO259-$AP259,"")</f>
      </c>
      <c r="AR259" s="39">
        <f>IF(ISNUMBER($AD259),IF(Header!$D$34="","?",$AD259*Header!$D$34),"")</f>
      </c>
      <c r="AS259" s="39">
        <f>IF(ISNUMBER($AB259),IF(Header!$D$34="","?",$AB259*Header!$D$34),"")</f>
      </c>
      <c r="AT259" s="42">
        <f>IF(AND(ISNUMBER($AB259),$M259&gt;0),$AB259/$M259*100,"")</f>
      </c>
      <c r="AU259" s="42">
        <f>IF(AND(ISNUMBER($AD259),$M259&gt;0),$AD259/$M259*100,"")</f>
      </c>
      <c r="AV259" s="40">
        <f>IF(AND(ISNUMBER($AB259),ISNUMBER($AD259),ABS($AB259)&gt;0),$AD259/$AB259,"")</f>
      </c>
      <c r="AW259" s="39">
        <f>IF(ISNUMBER($AD259),MAX(0,(1-0.55-Header!$O$3)*Header!$Q$3*$AQ259),"")</f>
      </c>
      <c r="AX259" s="43">
        <f>IF($A259="","",IF(TRIM(IF($A259="","Missing certificate ref. ","") &amp; IF($C259="","Missing effective date. ","") &amp; IF($D259="","Missing binding status. ","") &amp; IF($E259="","Missing movement type. ","") &amp; IF($I259="","Missing make. ","") &amp; IF($L259="","Missing vehicle class. ","") &amp; IF($M259="","Missing agreed value. ","") &amp; IF($N259="","Missing policy type. ","") &amp; IF($Q259="","Missing garaging state. ","") &amp; IF($R259="","Missing garaging ZIP. ","") &amp; IF($S259="","Missing cat zone. ","") &amp; IF($V259="","Missing valuation basis. ","") &amp; IF($W259="","Missing PD deductible. ","") &amp; IF($X259="","Missing liability limit. ","") &amp; IF($AB259="","Missing technical premium. ","") &amp; IF($AF259="","Missing surplus lines tax %. ",""))="","PASS","FAIL: "&amp;TRIM(IF($A259="","Missing certificate ref. ","") &amp; IF($C259="","Missing effective date. ","") &amp; IF($D259="","Missing binding status. ","") &amp; IF($E259="","Missing movement type. ","") &amp; IF($I259="","Missing make. ","") &amp; IF($L259="","Missing vehicle class. ","") &amp; IF($M259="","Missing agreed value. ","") &amp; IF($N259="","Missing policy type. ","") &amp; IF($Q259="","Missing garaging state. ","") &amp; IF($R259="","Missing garaging ZIP. ","") &amp; IF($S259="","Missing cat zone. ","") &amp; IF($V259="","Missing valuation basis. ","") &amp; IF($W259="","Missing PD deductible. ","") &amp; IF($X259="","Missing liability limit. ","") &amp; IF($AB259="","Missing technical premium. ","") &amp; IF($AF259="","Missing surplus lines tax %. ",""))))</f>
      </c>
      <c r="AY259" s="44">
        <f>IF($M259="","",IF(ISNUMBER($M259),IF($M259&gt;=Header!$C$18,"YES — refer","No"),""))</f>
      </c>
      <c r="AZ259" s="44">
        <f>IF($AD259="","",IF(ISNUMBER($AD259),IF($AD259&lt;Header!$C$20,"BELOW MIN PREMIUM","OK"),""))</f>
      </c>
      <c r="BA259" s="32" t="inlineStr">
        <is>
          <t xml:space="preserve">Yes</t>
        </is>
      </c>
      <c r="BB259" s="32" t="inlineStr">
        <is>
          <t xml:space="preserve">Yes</t>
        </is>
      </c>
      <c r="BC259" s="30" t="inlineStr">
        <is>
          <t xml:space="preserve">Synthetic demo data</t>
        </is>
      </c>
      <c r="BE259" s="45">
        <f>IF(OR($A259="",$L259="",$H259=""),"",IF(AND(LEFT($L259,2)="06",$H259&gt;1945),"FAIL - pre-war class, year "&amp;$H259,IF(AND(LEFT($L259,2)="07",OR($H259&lt;1946,$H259&gt;1972)),"FAIL - 1946-72 class, year "&amp;$H259,IF(AND(LEFT($L259,2)="08",OR($H259&lt;1973,$H259&gt;1999)),"FAIL - 1973-99 class, year "&amp;$H259,IF(AND(LEFT($L259,2)="09",OR($H259&lt;2000,$H259&gt;2010)),"FAIL - 2000-10 class, year "&amp;$H259,"OK")))))</f>
      </c>
      <c r="BF259" s="45">
        <f>IF($AD259="","",IF(ROUND($AO259+$AP259+$AQ259-$AD259,2)=0,"OK","FAIL - out by "&amp;TEXT($AO259+$AP259+$AQ259-$AD259,"$0.00")))</f>
      </c>
    </row>
    <row r="260" spans="1:58" ht="18.75" customHeight="1" x14ac:dyDescent="0.25">
      <c r="A260" s="46" t="inlineStr">
        <is>
          <t xml:space="preserve">CANON-202511-002514</t>
        </is>
      </c>
      <c r="B260" s="46" t="inlineStr">
        <is>
          <t xml:space="preserve">Mireille Underwood</t>
        </is>
      </c>
      <c r="C260" s="47">
        <v>45963</v>
      </c>
      <c r="D260" s="48" t="inlineStr">
        <is>
          <t xml:space="preserve">Bound - within authority</t>
        </is>
      </c>
      <c r="E260" s="48" t="inlineStr">
        <is>
          <t xml:space="preserve">New business</t>
        </is>
      </c>
      <c r="F260" s="46" t="inlineStr">
        <is>
          <t xml:space="preserve">B1234EXOTIC26</t>
        </is>
      </c>
      <c r="G260" s="33">
        <f>IF($A260="","",IF($C260="","",YEAR($C260)))</f>
      </c>
      <c r="H260" s="49">
        <v>1977</v>
      </c>
      <c r="I260" s="46" t="inlineStr">
        <is>
          <t xml:space="preserve">Ferrari</t>
        </is>
      </c>
      <c r="J260" s="46" t="inlineStr">
        <is>
          <t xml:space="preserve">275 GTB/4</t>
        </is>
      </c>
      <c r="K260" s="46" t="inlineStr">
        <is>
          <t xml:space="preserve">WA4VJN6MD2HWBZTBG</t>
        </is>
      </c>
      <c r="L260" s="48" t="inlineStr">
        <is>
          <t xml:space="preserve">08 - Modern Classic (1973-1999)</t>
        </is>
      </c>
      <c r="M260" s="50">
        <v>415000</v>
      </c>
      <c r="N260" s="48" t="inlineStr">
        <is>
          <t xml:space="preserve">Personal</t>
        </is>
      </c>
      <c r="O260" s="46" t="inlineStr">
        <is>
          <t xml:space="preserve">Personal - regular use</t>
        </is>
      </c>
      <c r="P260" s="46" t="inlineStr">
        <is>
          <t xml:space="preserve">1,000 - 2,500</t>
        </is>
      </c>
      <c r="Q260" s="46" t="inlineStr">
        <is>
          <t xml:space="preserve">West Virginia</t>
        </is>
      </c>
      <c r="R260" s="46" t="inlineStr">
        <is>
          <t xml:space="preserve">25301</t>
        </is>
      </c>
      <c r="S260" s="48" t="inlineStr">
        <is>
          <t xml:space="preserve">Low hazard - inland benign</t>
        </is>
      </c>
      <c r="T260" s="36">
        <f>IF($A260="","",IF($S260="","",IFERROR(INDEX('[1]natural catastrophe'!$D$6:$D$17,MATCH($S260,'[1]natural catastrophe'!$B$6:$B$17,0)),"?")))</f>
      </c>
      <c r="U260" s="46" t="inlineStr">
        <is>
          <t xml:space="preserve">$5,000</t>
        </is>
      </c>
      <c r="V260" s="48" t="inlineStr">
        <is>
          <t xml:space="preserve">Agreed Value</t>
        </is>
      </c>
      <c r="W260" s="46" t="inlineStr">
        <is>
          <t xml:space="preserve">$1,000</t>
        </is>
      </c>
      <c r="X260" s="48" t="inlineStr">
        <is>
          <t xml:space="preserve">$1,000,000 CSL</t>
        </is>
      </c>
      <c r="Y260" s="46"/>
      <c r="Z260" s="46"/>
      <c r="AA260" s="48" t="inlineStr">
        <is>
          <t xml:space="preserve">Surplus Lines</t>
        </is>
      </c>
      <c r="AB260" s="50">
        <v>4595.89</v>
      </c>
      <c r="AC260" s="51">
        <v>0</v>
      </c>
      <c r="AD260" s="38">
        <f>IF(ISNUMBER($AB260),$AB260*(1+N($AC260)),"")</f>
      </c>
      <c r="AE260" s="50">
        <v>350</v>
      </c>
      <c r="AF260" s="50">
        <v>0</v>
      </c>
      <c r="AG260" s="51"/>
      <c r="AH260" s="39">
        <f>IF(ISNUMBER($AD260),($AD260+$AE260+$AF260)*$AG260,"")</f>
      </c>
      <c r="AI260" s="50"/>
      <c r="AJ260" s="38">
        <f>IF(ISNUMBER($AD260),SUM($AD260:$AH260),"")</f>
      </c>
      <c r="AK260" s="40">
        <f>IF(AND(ISNUMBER($AB260),ISNUMBER($AD260)),IF($AB260&gt;0,$AD260/$AB260,""),"")</f>
      </c>
      <c r="AL260" s="48" t="inlineStr">
        <is>
          <t xml:space="preserve">At technical</t>
        </is>
      </c>
      <c r="AM260" s="41">
        <f>IF(ISNUMBER($AD260),Header!$I$3,"")</f>
      </c>
      <c r="AN260" s="39">
        <f>IF(ISNUMBER($AD260),$AO260+$AP260,"")</f>
      </c>
      <c r="AO260" s="39">
        <f>IF(ISNUMBER($AD260),ROUND($AD260*Header!$K$3,2),"")</f>
      </c>
      <c r="AP260" s="39">
        <f>IF(ISNUMBER($AD260),ROUND($AD260*Header!$M$3,2),"")</f>
      </c>
      <c r="AQ260" s="38">
        <f>IF(ISNUMBER($AD260),ROUND($AD260,2)-$AO260-$AP260,"")</f>
      </c>
      <c r="AR260" s="39">
        <f>IF(ISNUMBER($AD260),IF(Header!$D$34="","?",$AD260*Header!$D$34),"")</f>
      </c>
      <c r="AS260" s="39">
        <f>IF(ISNUMBER($AB260),IF(Header!$D$34="","?",$AB260*Header!$D$34),"")</f>
      </c>
      <c r="AT260" s="42">
        <f>IF(AND(ISNUMBER($AB260),$M260&gt;0),$AB260/$M260*100,"")</f>
      </c>
      <c r="AU260" s="42">
        <f>IF(AND(ISNUMBER($AD260),$M260&gt;0),$AD260/$M260*100,"")</f>
      </c>
      <c r="AV260" s="40">
        <f>IF(AND(ISNUMBER($AB260),ISNUMBER($AD260),ABS($AB260)&gt;0),$AD260/$AB260,"")</f>
      </c>
      <c r="AW260" s="39">
        <f>IF(ISNUMBER($AD260),MAX(0,(1-0.55-Header!$O$3)*Header!$Q$3*$AQ260),"")</f>
      </c>
      <c r="AX260" s="43">
        <f>IF($A260="","",IF(TRIM(IF($A260="","Missing certificate ref. ","") &amp; IF($C260="","Missing effective date. ","") &amp; IF($D260="","Missing binding status. ","") &amp; IF($E260="","Missing movement type. ","") &amp; IF($I260="","Missing make. ","") &amp; IF($L260="","Missing vehicle class. ","") &amp; IF($M260="","Missing agreed value. ","") &amp; IF($N260="","Missing policy type. ","") &amp; IF($Q260="","Missing garaging state. ","") &amp; IF($R260="","Missing garaging ZIP. ","") &amp; IF($S260="","Missing cat zone. ","") &amp; IF($V260="","Missing valuation basis. ","") &amp; IF($W260="","Missing PD deductible. ","") &amp; IF($X260="","Missing liability limit. ","") &amp; IF($AB260="","Missing technical premium. ","") &amp; IF($AF260="","Missing surplus lines tax %. ",""))="","PASS","FAIL: "&amp;TRIM(IF($A260="","Missing certificate ref. ","") &amp; IF($C260="","Missing effective date. ","") &amp; IF($D260="","Missing binding status. ","") &amp; IF($E260="","Missing movement type. ","") &amp; IF($I260="","Missing make. ","") &amp; IF($L260="","Missing vehicle class. ","") &amp; IF($M260="","Missing agreed value. ","") &amp; IF($N260="","Missing policy type. ","") &amp; IF($Q260="","Missing garaging state. ","") &amp; IF($R260="","Missing garaging ZIP. ","") &amp; IF($S260="","Missing cat zone. ","") &amp; IF($V260="","Missing valuation basis. ","") &amp; IF($W260="","Missing PD deductible. ","") &amp; IF($X260="","Missing liability limit. ","") &amp; IF($AB260="","Missing technical premium. ","") &amp; IF($AF260="","Missing surplus lines tax %. ",""))))</f>
      </c>
      <c r="AY260" s="44">
        <f>IF($M260="","",IF(ISNUMBER($M260),IF($M260&gt;=Header!$C$18,"YES — refer","No"),""))</f>
      </c>
      <c r="AZ260" s="44">
        <f>IF($AD260="","",IF(ISNUMBER($AD260),IF($AD260&lt;Header!$C$20,"BELOW MIN PREMIUM","OK"),""))</f>
      </c>
      <c r="BA260" s="48" t="inlineStr">
        <is>
          <t xml:space="preserve">Yes</t>
        </is>
      </c>
      <c r="BB260" s="48" t="inlineStr">
        <is>
          <t xml:space="preserve">Yes</t>
        </is>
      </c>
      <c r="BC260" s="46" t="inlineStr">
        <is>
          <t xml:space="preserve">Synthetic demo data</t>
        </is>
      </c>
      <c r="BE260" s="45">
        <f>IF(OR($A260="",$L260="",$H260=""),"",IF(AND(LEFT($L260,2)="06",$H260&gt;1945),"FAIL - pre-war class, year "&amp;$H260,IF(AND(LEFT($L260,2)="07",OR($H260&lt;1946,$H260&gt;1972)),"FAIL - 1946-72 class, year "&amp;$H260,IF(AND(LEFT($L260,2)="08",OR($H260&lt;1973,$H260&gt;1999)),"FAIL - 1973-99 class, year "&amp;$H260,IF(AND(LEFT($L260,2)="09",OR($H260&lt;2000,$H260&gt;2010)),"FAIL - 2000-10 class, year "&amp;$H260,"OK")))))</f>
      </c>
      <c r="BF260" s="45">
        <f>IF($AD260="","",IF(ROUND($AO260+$AP260+$AQ260-$AD260,2)=0,"OK","FAIL - out by "&amp;TEXT($AO260+$AP260+$AQ260-$AD260,"$0.00")))</f>
      </c>
    </row>
    <row r="261" spans="1:58" ht="18.75" customHeight="1" x14ac:dyDescent="0.25">
      <c r="A261" s="30" t="inlineStr">
        <is>
          <t xml:space="preserve">CANON-202511-002515</t>
        </is>
      </c>
      <c r="B261" s="30" t="inlineStr">
        <is>
          <t xml:space="preserve">Cassius Bellandi</t>
        </is>
      </c>
      <c r="C261" s="31">
        <v>45966</v>
      </c>
      <c r="D261" s="32" t="inlineStr">
        <is>
          <t xml:space="preserve">Bound - within authority</t>
        </is>
      </c>
      <c r="E261" s="32" t="inlineStr">
        <is>
          <t xml:space="preserve">New business</t>
        </is>
      </c>
      <c r="F261" s="30" t="inlineStr">
        <is>
          <t xml:space="preserve">B1234EXOTIC26</t>
        </is>
      </c>
      <c r="G261" s="33">
        <f>IF($A261="","",IF($C261="","",YEAR($C261)))</f>
      </c>
      <c r="H261" s="34">
        <v>2012</v>
      </c>
      <c r="I261" s="30" t="inlineStr">
        <is>
          <t xml:space="preserve">Bentley</t>
        </is>
      </c>
      <c r="J261" s="30" t="inlineStr">
        <is>
          <t xml:space="preserve">Continental GT</t>
        </is>
      </c>
      <c r="K261" s="30" t="inlineStr">
        <is>
          <t xml:space="preserve">M514RXGRP3UB6XBA6</t>
        </is>
      </c>
      <c r="L261" s="32" t="inlineStr">
        <is>
          <t xml:space="preserve">02 - Sports / GT</t>
        </is>
      </c>
      <c r="M261" s="35">
        <v>645000</v>
      </c>
      <c r="N261" s="32" t="inlineStr">
        <is>
          <t xml:space="preserve">Personal</t>
        </is>
      </c>
      <c r="O261" s="30" t="inlineStr">
        <is>
          <t xml:space="preserve">Personal - regular use</t>
        </is>
      </c>
      <c r="P261" s="30" t="inlineStr">
        <is>
          <t xml:space="preserve">Under 1,000</t>
        </is>
      </c>
      <c r="Q261" s="30" t="inlineStr">
        <is>
          <t xml:space="preserve">Pennsylvania</t>
        </is>
      </c>
      <c r="R261" s="30" t="inlineStr">
        <is>
          <t xml:space="preserve">19103</t>
        </is>
      </c>
      <c r="S261" s="32" t="inlineStr">
        <is>
          <t xml:space="preserve">Low hazard - inland benign</t>
        </is>
      </c>
      <c r="T261" s="36">
        <f>IF($A261="","",IF($S261="","",IFERROR(INDEX('[1]natural catastrophe'!$D$6:$D$17,MATCH($S261,'[1]natural catastrophe'!$B$6:$B$17,0)),"?")))</f>
      </c>
      <c r="U261" s="30" t="inlineStr">
        <is>
          <t xml:space="preserve">$5,000</t>
        </is>
      </c>
      <c r="V261" s="32" t="inlineStr">
        <is>
          <t xml:space="preserve">Agreed Value</t>
        </is>
      </c>
      <c r="W261" s="30" t="inlineStr">
        <is>
          <t xml:space="preserve">$1,000</t>
        </is>
      </c>
      <c r="X261" s="32" t="inlineStr">
        <is>
          <t xml:space="preserve">$1,000,000 CSL</t>
        </is>
      </c>
      <c r="Y261" s="30"/>
      <c r="Z261" s="30"/>
      <c r="AA261" s="32" t="inlineStr">
        <is>
          <t xml:space="preserve">Surplus Lines</t>
        </is>
      </c>
      <c r="AB261" s="35">
        <v>7272.8</v>
      </c>
      <c r="AC261" s="37">
        <v>0</v>
      </c>
      <c r="AD261" s="38">
        <f>IF(ISNUMBER($AB261),$AB261*(1+N($AC261)),"")</f>
      </c>
      <c r="AE261" s="35">
        <v>350</v>
      </c>
      <c r="AF261" s="35">
        <v>0</v>
      </c>
      <c r="AG261" s="37"/>
      <c r="AH261" s="39">
        <f>IF(ISNUMBER($AD261),($AD261+$AE261+$AF261)*$AG261,"")</f>
      </c>
      <c r="AI261" s="35"/>
      <c r="AJ261" s="38">
        <f>IF(ISNUMBER($AD261),SUM($AD261:$AH261),"")</f>
      </c>
      <c r="AK261" s="40">
        <f>IF(AND(ISNUMBER($AB261),ISNUMBER($AD261)),IF($AB261&gt;0,$AD261/$AB261,""),"")</f>
      </c>
      <c r="AL261" s="32" t="inlineStr">
        <is>
          <t xml:space="preserve">At technical</t>
        </is>
      </c>
      <c r="AM261" s="41">
        <f>IF(ISNUMBER($AD261),Header!$I$3,"")</f>
      </c>
      <c r="AN261" s="39">
        <f>IF(ISNUMBER($AD261),$AO261+$AP261,"")</f>
      </c>
      <c r="AO261" s="39">
        <f>IF(ISNUMBER($AD261),ROUND($AD261*Header!$K$3,2),"")</f>
      </c>
      <c r="AP261" s="39">
        <f>IF(ISNUMBER($AD261),ROUND($AD261*Header!$M$3,2),"")</f>
      </c>
      <c r="AQ261" s="38">
        <f>IF(ISNUMBER($AD261),ROUND($AD261,2)-$AO261-$AP261,"")</f>
      </c>
      <c r="AR261" s="39">
        <f>IF(ISNUMBER($AD261),IF(Header!$D$34="","?",$AD261*Header!$D$34),"")</f>
      </c>
      <c r="AS261" s="39">
        <f>IF(ISNUMBER($AB261),IF(Header!$D$34="","?",$AB261*Header!$D$34),"")</f>
      </c>
      <c r="AT261" s="42">
        <f>IF(AND(ISNUMBER($AB261),$M261&gt;0),$AB261/$M261*100,"")</f>
      </c>
      <c r="AU261" s="42">
        <f>IF(AND(ISNUMBER($AD261),$M261&gt;0),$AD261/$M261*100,"")</f>
      </c>
      <c r="AV261" s="40">
        <f>IF(AND(ISNUMBER($AB261),ISNUMBER($AD261),ABS($AB261)&gt;0),$AD261/$AB261,"")</f>
      </c>
      <c r="AW261" s="39">
        <f>IF(ISNUMBER($AD261),MAX(0,(1-0.55-Header!$O$3)*Header!$Q$3*$AQ261),"")</f>
      </c>
      <c r="AX261" s="43">
        <f>IF($A261="","",IF(TRIM(IF($A261="","Missing certificate ref. ","") &amp; IF($C261="","Missing effective date. ","") &amp; IF($D261="","Missing binding status. ","") &amp; IF($E261="","Missing movement type. ","") &amp; IF($I261="","Missing make. ","") &amp; IF($L261="","Missing vehicle class. ","") &amp; IF($M261="","Missing agreed value. ","") &amp; IF($N261="","Missing policy type. ","") &amp; IF($Q261="","Missing garaging state. ","") &amp; IF($R261="","Missing garaging ZIP. ","") &amp; IF($S261="","Missing cat zone. ","") &amp; IF($V261="","Missing valuation basis. ","") &amp; IF($W261="","Missing PD deductible. ","") &amp; IF($X261="","Missing liability limit. ","") &amp; IF($AB261="","Missing technical premium. ","") &amp; IF($AF261="","Missing surplus lines tax %. ",""))="","PASS","FAIL: "&amp;TRIM(IF($A261="","Missing certificate ref. ","") &amp; IF($C261="","Missing effective date. ","") &amp; IF($D261="","Missing binding status. ","") &amp; IF($E261="","Missing movement type. ","") &amp; IF($I261="","Missing make. ","") &amp; IF($L261="","Missing vehicle class. ","") &amp; IF($M261="","Missing agreed value. ","") &amp; IF($N261="","Missing policy type. ","") &amp; IF($Q261="","Missing garaging state. ","") &amp; IF($R261="","Missing garaging ZIP. ","") &amp; IF($S261="","Missing cat zone. ","") &amp; IF($V261="","Missing valuation basis. ","") &amp; IF($W261="","Missing PD deductible. ","") &amp; IF($X261="","Missing liability limit. ","") &amp; IF($AB261="","Missing technical premium. ","") &amp; IF($AF261="","Missing surplus lines tax %. ",""))))</f>
      </c>
      <c r="AY261" s="44">
        <f>IF($M261="","",IF(ISNUMBER($M261),IF($M261&gt;=Header!$C$18,"YES — refer","No"),""))</f>
      </c>
      <c r="AZ261" s="44">
        <f>IF($AD261="","",IF(ISNUMBER($AD261),IF($AD261&lt;Header!$C$20,"BELOW MIN PREMIUM","OK"),""))</f>
      </c>
      <c r="BA261" s="32" t="inlineStr">
        <is>
          <t xml:space="preserve">Yes</t>
        </is>
      </c>
      <c r="BB261" s="32" t="inlineStr">
        <is>
          <t xml:space="preserve">Yes</t>
        </is>
      </c>
      <c r="BC261" s="30" t="inlineStr">
        <is>
          <t xml:space="preserve">Synthetic demo data</t>
        </is>
      </c>
      <c r="BE261" s="45">
        <f>IF(OR($A261="",$L261="",$H261=""),"",IF(AND(LEFT($L261,2)="06",$H261&gt;1945),"FAIL - pre-war class, year "&amp;$H261,IF(AND(LEFT($L261,2)="07",OR($H261&lt;1946,$H261&gt;1972)),"FAIL - 1946-72 class, year "&amp;$H261,IF(AND(LEFT($L261,2)="08",OR($H261&lt;1973,$H261&gt;1999)),"FAIL - 1973-99 class, year "&amp;$H261,IF(AND(LEFT($L261,2)="09",OR($H261&lt;2000,$H261&gt;2010)),"FAIL - 2000-10 class, year "&amp;$H261,"OK")))))</f>
      </c>
      <c r="BF261" s="45">
        <f>IF($AD261="","",IF(ROUND($AO261+$AP261+$AQ261-$AD261,2)=0,"OK","FAIL - out by "&amp;TEXT($AO261+$AP261+$AQ261-$AD261,"$0.00")))</f>
      </c>
    </row>
    <row r="262" spans="1:58" ht="18.75" customHeight="1" x14ac:dyDescent="0.25">
      <c r="A262" s="46" t="inlineStr">
        <is>
          <t xml:space="preserve">CANON-202511-002516</t>
        </is>
      </c>
      <c r="B262" s="46" t="inlineStr">
        <is>
          <t xml:space="preserve">Fenwick Underwood</t>
        </is>
      </c>
      <c r="C262" s="47">
        <v>45989</v>
      </c>
      <c r="D262" s="48" t="inlineStr">
        <is>
          <t xml:space="preserve">Bound - within authority</t>
        </is>
      </c>
      <c r="E262" s="48" t="inlineStr">
        <is>
          <t xml:space="preserve">New business</t>
        </is>
      </c>
      <c r="F262" s="46" t="inlineStr">
        <is>
          <t xml:space="preserve">B1234EXOTIC26</t>
        </is>
      </c>
      <c r="G262" s="33">
        <f>IF($A262="","",IF($C262="","",YEAR($C262)))</f>
      </c>
      <c r="H262" s="49">
        <v>2024</v>
      </c>
      <c r="I262" s="46" t="inlineStr">
        <is>
          <t xml:space="preserve">Mercedes-Benz</t>
        </is>
      </c>
      <c r="J262" s="46" t="inlineStr">
        <is>
          <t xml:space="preserve">AMG GT</t>
        </is>
      </c>
      <c r="K262" s="46" t="inlineStr">
        <is>
          <t xml:space="preserve">TGMP1DVGWPK308964</t>
        </is>
      </c>
      <c r="L262" s="48" t="inlineStr">
        <is>
          <t xml:space="preserve">02 - Sports / GT</t>
        </is>
      </c>
      <c r="M262" s="50">
        <v>440000</v>
      </c>
      <c r="N262" s="48" t="inlineStr">
        <is>
          <t xml:space="preserve">Personal</t>
        </is>
      </c>
      <c r="O262" s="46" t="inlineStr">
        <is>
          <t xml:space="preserve">Personal - regular use</t>
        </is>
      </c>
      <c r="P262" s="46" t="inlineStr">
        <is>
          <t xml:space="preserve">1,000 - 2,500</t>
        </is>
      </c>
      <c r="Q262" s="46" t="inlineStr">
        <is>
          <t xml:space="preserve">Montana</t>
        </is>
      </c>
      <c r="R262" s="46" t="inlineStr">
        <is>
          <t xml:space="preserve">59601</t>
        </is>
      </c>
      <c r="S262" s="48" t="inlineStr">
        <is>
          <t xml:space="preserve">Wildfire - WUI high hazard</t>
        </is>
      </c>
      <c r="T262" s="36">
        <f>IF($A262="","",IF($S262="","",IFERROR(INDEX('[1]natural catastrophe'!$D$6:$D$17,MATCH($S262,'[1]natural catastrophe'!$B$6:$B$17,0)),"?")))</f>
      </c>
      <c r="U262" s="46" t="inlineStr">
        <is>
          <t xml:space="preserve">$5,000</t>
        </is>
      </c>
      <c r="V262" s="48" t="inlineStr">
        <is>
          <t xml:space="preserve">Agreed Value</t>
        </is>
      </c>
      <c r="W262" s="46" t="inlineStr">
        <is>
          <t xml:space="preserve">$1,000</t>
        </is>
      </c>
      <c r="X262" s="48" t="inlineStr">
        <is>
          <t xml:space="preserve">$1,000,000 CSL</t>
        </is>
      </c>
      <c r="Y262" s="46"/>
      <c r="Z262" s="46"/>
      <c r="AA262" s="48" t="inlineStr">
        <is>
          <t xml:space="preserve">Surplus Lines</t>
        </is>
      </c>
      <c r="AB262" s="50">
        <v>5323.85</v>
      </c>
      <c r="AC262" s="51">
        <v>0</v>
      </c>
      <c r="AD262" s="38">
        <f>IF(ISNUMBER($AB262),$AB262*(1+N($AC262)),"")</f>
      </c>
      <c r="AE262" s="50">
        <v>350</v>
      </c>
      <c r="AF262" s="50">
        <v>0</v>
      </c>
      <c r="AG262" s="51"/>
      <c r="AH262" s="39">
        <f>IF(ISNUMBER($AD262),($AD262+$AE262+$AF262)*$AG262,"")</f>
      </c>
      <c r="AI262" s="50"/>
      <c r="AJ262" s="38">
        <f>IF(ISNUMBER($AD262),SUM($AD262:$AH262),"")</f>
      </c>
      <c r="AK262" s="40">
        <f>IF(AND(ISNUMBER($AB262),ISNUMBER($AD262)),IF($AB262&gt;0,$AD262/$AB262,""),"")</f>
      </c>
      <c r="AL262" s="48" t="inlineStr">
        <is>
          <t xml:space="preserve">At technical</t>
        </is>
      </c>
      <c r="AM262" s="41">
        <f>IF(ISNUMBER($AD262),Header!$I$3,"")</f>
      </c>
      <c r="AN262" s="39">
        <f>IF(ISNUMBER($AD262),$AO262+$AP262,"")</f>
      </c>
      <c r="AO262" s="39">
        <f>IF(ISNUMBER($AD262),ROUND($AD262*Header!$K$3,2),"")</f>
      </c>
      <c r="AP262" s="39">
        <f>IF(ISNUMBER($AD262),ROUND($AD262*Header!$M$3,2),"")</f>
      </c>
      <c r="AQ262" s="38">
        <f>IF(ISNUMBER($AD262),ROUND($AD262,2)-$AO262-$AP262,"")</f>
      </c>
      <c r="AR262" s="39">
        <f>IF(ISNUMBER($AD262),IF(Header!$D$34="","?",$AD262*Header!$D$34),"")</f>
      </c>
      <c r="AS262" s="39">
        <f>IF(ISNUMBER($AB262),IF(Header!$D$34="","?",$AB262*Header!$D$34),"")</f>
      </c>
      <c r="AT262" s="42">
        <f>IF(AND(ISNUMBER($AB262),$M262&gt;0),$AB262/$M262*100,"")</f>
      </c>
      <c r="AU262" s="42">
        <f>IF(AND(ISNUMBER($AD262),$M262&gt;0),$AD262/$M262*100,"")</f>
      </c>
      <c r="AV262" s="40">
        <f>IF(AND(ISNUMBER($AB262),ISNUMBER($AD262),ABS($AB262)&gt;0),$AD262/$AB262,"")</f>
      </c>
      <c r="AW262" s="39">
        <f>IF(ISNUMBER($AD262),MAX(0,(1-0.55-Header!$O$3)*Header!$Q$3*$AQ262),"")</f>
      </c>
      <c r="AX262" s="43">
        <f>IF($A262="","",IF(TRIM(IF($A262="","Missing certificate ref. ","") &amp; IF($C262="","Missing effective date. ","") &amp; IF($D262="","Missing binding status. ","") &amp; IF($E262="","Missing movement type. ","") &amp; IF($I262="","Missing make. ","") &amp; IF($L262="","Missing vehicle class. ","") &amp; IF($M262="","Missing agreed value. ","") &amp; IF($N262="","Missing policy type. ","") &amp; IF($Q262="","Missing garaging state. ","") &amp; IF($R262="","Missing garaging ZIP. ","") &amp; IF($S262="","Missing cat zone. ","") &amp; IF($V262="","Missing valuation basis. ","") &amp; IF($W262="","Missing PD deductible. ","") &amp; IF($X262="","Missing liability limit. ","") &amp; IF($AB262="","Missing technical premium. ","") &amp; IF($AF262="","Missing surplus lines tax %. ",""))="","PASS","FAIL: "&amp;TRIM(IF($A262="","Missing certificate ref. ","") &amp; IF($C262="","Missing effective date. ","") &amp; IF($D262="","Missing binding status. ","") &amp; IF($E262="","Missing movement type. ","") &amp; IF($I262="","Missing make. ","") &amp; IF($L262="","Missing vehicle class. ","") &amp; IF($M262="","Missing agreed value. ","") &amp; IF($N262="","Missing policy type. ","") &amp; IF($Q262="","Missing garaging state. ","") &amp; IF($R262="","Missing garaging ZIP. ","") &amp; IF($S262="","Missing cat zone. ","") &amp; IF($V262="","Missing valuation basis. ","") &amp; IF($W262="","Missing PD deductible. ","") &amp; IF($X262="","Missing liability limit. ","") &amp; IF($AB262="","Missing technical premium. ","") &amp; IF($AF262="","Missing surplus lines tax %. ",""))))</f>
      </c>
      <c r="AY262" s="44">
        <f>IF($M262="","",IF(ISNUMBER($M262),IF($M262&gt;=Header!$C$18,"YES — refer","No"),""))</f>
      </c>
      <c r="AZ262" s="44">
        <f>IF($AD262="","",IF(ISNUMBER($AD262),IF($AD262&lt;Header!$C$20,"BELOW MIN PREMIUM","OK"),""))</f>
      </c>
      <c r="BA262" s="48" t="inlineStr">
        <is>
          <t xml:space="preserve">Yes</t>
        </is>
      </c>
      <c r="BB262" s="48" t="inlineStr">
        <is>
          <t xml:space="preserve">Yes</t>
        </is>
      </c>
      <c r="BC262" s="46" t="inlineStr">
        <is>
          <t xml:space="preserve">Synthetic demo data</t>
        </is>
      </c>
      <c r="BE262" s="45">
        <f>IF(OR($A262="",$L262="",$H262=""),"",IF(AND(LEFT($L262,2)="06",$H262&gt;1945),"FAIL - pre-war class, year "&amp;$H262,IF(AND(LEFT($L262,2)="07",OR($H262&lt;1946,$H262&gt;1972)),"FAIL - 1946-72 class, year "&amp;$H262,IF(AND(LEFT($L262,2)="08",OR($H262&lt;1973,$H262&gt;1999)),"FAIL - 1973-99 class, year "&amp;$H262,IF(AND(LEFT($L262,2)="09",OR($H262&lt;2000,$H262&gt;2010)),"FAIL - 2000-10 class, year "&amp;$H262,"OK")))))</f>
      </c>
      <c r="BF262" s="45">
        <f>IF($AD262="","",IF(ROUND($AO262+$AP262+$AQ262-$AD262,2)=0,"OK","FAIL - out by "&amp;TEXT($AO262+$AP262+$AQ262-$AD262,"$0.00")))</f>
      </c>
    </row>
    <row r="263" spans="1:58" ht="18.75" customHeight="1" x14ac:dyDescent="0.25">
      <c r="A263" s="30" t="inlineStr">
        <is>
          <t xml:space="preserve">CANON-202511-002517</t>
        </is>
      </c>
      <c r="B263" s="30" t="inlineStr">
        <is>
          <t xml:space="preserve">Everett Farkas</t>
        </is>
      </c>
      <c r="C263" s="31">
        <v>45972</v>
      </c>
      <c r="D263" s="32" t="inlineStr">
        <is>
          <t xml:space="preserve">Bound - within authority</t>
        </is>
      </c>
      <c r="E263" s="32" t="inlineStr">
        <is>
          <t xml:space="preserve">New business</t>
        </is>
      </c>
      <c r="F263" s="30" t="inlineStr">
        <is>
          <t xml:space="preserve">B1234EXOTIC26</t>
        </is>
      </c>
      <c r="G263" s="33">
        <f>IF($A263="","",IF($C263="","",YEAR($C263)))</f>
      </c>
      <c r="H263" s="34">
        <v>2004</v>
      </c>
      <c r="I263" s="30" t="inlineStr">
        <is>
          <t xml:space="preserve">Icon</t>
        </is>
      </c>
      <c r="J263" s="30" t="inlineStr">
        <is>
          <t xml:space="preserve">Derelict</t>
        </is>
      </c>
      <c r="K263" s="30" t="inlineStr">
        <is>
          <t xml:space="preserve">WKD60C282T6G2ATYM</t>
        </is>
      </c>
      <c r="L263" s="32" t="inlineStr">
        <is>
          <t xml:space="preserve">11 - Restomod / Coachbuilt / Bespoke</t>
        </is>
      </c>
      <c r="M263" s="35">
        <v>475000</v>
      </c>
      <c r="N263" s="32" t="inlineStr">
        <is>
          <t xml:space="preserve">Personal</t>
        </is>
      </c>
      <c r="O263" s="30" t="inlineStr">
        <is>
          <t xml:space="preserve">Personal - regular use</t>
        </is>
      </c>
      <c r="P263" s="30" t="inlineStr">
        <is>
          <t xml:space="preserve">1,000 - 2,500</t>
        </is>
      </c>
      <c r="Q263" s="30" t="inlineStr">
        <is>
          <t xml:space="preserve">Texas</t>
        </is>
      </c>
      <c r="R263" s="30" t="inlineStr">
        <is>
          <t xml:space="preserve">75201</t>
        </is>
      </c>
      <c r="S263" s="32" t="inlineStr">
        <is>
          <t xml:space="preserve">Tier 2 - Coastal wind (1-25 miles)</t>
        </is>
      </c>
      <c r="T263" s="36">
        <f>IF($A263="","",IF($S263="","",IFERROR(INDEX('[1]natural catastrophe'!$D$6:$D$17,MATCH($S263,'[1]natural catastrophe'!$B$6:$B$17,0)),"?")))</f>
      </c>
      <c r="U263" s="30" t="inlineStr">
        <is>
          <t xml:space="preserve">2% of agreed value, minimum $10,000</t>
        </is>
      </c>
      <c r="V263" s="32" t="inlineStr">
        <is>
          <t xml:space="preserve">Agreed Value</t>
        </is>
      </c>
      <c r="W263" s="30" t="inlineStr">
        <is>
          <t xml:space="preserve">$1,000</t>
        </is>
      </c>
      <c r="X263" s="32" t="inlineStr">
        <is>
          <t xml:space="preserve">$1,000,000 CSL</t>
        </is>
      </c>
      <c r="Y263" s="30"/>
      <c r="Z263" s="30"/>
      <c r="AA263" s="32" t="inlineStr">
        <is>
          <t xml:space="preserve">Surplus Lines</t>
        </is>
      </c>
      <c r="AB263" s="35">
        <v>8338.78</v>
      </c>
      <c r="AC263" s="37">
        <v>0</v>
      </c>
      <c r="AD263" s="38">
        <f>IF(ISNUMBER($AB263),$AB263*(1+N($AC263)),"")</f>
      </c>
      <c r="AE263" s="35">
        <v>350</v>
      </c>
      <c r="AF263" s="35">
        <v>0</v>
      </c>
      <c r="AG263" s="37"/>
      <c r="AH263" s="39">
        <f>IF(ISNUMBER($AD263),($AD263+$AE263+$AF263)*$AG263,"")</f>
      </c>
      <c r="AI263" s="35"/>
      <c r="AJ263" s="38">
        <f>IF(ISNUMBER($AD263),SUM($AD263:$AH263),"")</f>
      </c>
      <c r="AK263" s="40">
        <f>IF(AND(ISNUMBER($AB263),ISNUMBER($AD263)),IF($AB263&gt;0,$AD263/$AB263,""),"")</f>
      </c>
      <c r="AL263" s="32" t="inlineStr">
        <is>
          <t xml:space="preserve">At technical</t>
        </is>
      </c>
      <c r="AM263" s="41">
        <f>IF(ISNUMBER($AD263),Header!$I$3,"")</f>
      </c>
      <c r="AN263" s="39">
        <f>IF(ISNUMBER($AD263),$AO263+$AP263,"")</f>
      </c>
      <c r="AO263" s="39">
        <f>IF(ISNUMBER($AD263),ROUND($AD263*Header!$K$3,2),"")</f>
      </c>
      <c r="AP263" s="39">
        <f>IF(ISNUMBER($AD263),ROUND($AD263*Header!$M$3,2),"")</f>
      </c>
      <c r="AQ263" s="38">
        <f>IF(ISNUMBER($AD263),ROUND($AD263,2)-$AO263-$AP263,"")</f>
      </c>
      <c r="AR263" s="39">
        <f>IF(ISNUMBER($AD263),IF(Header!$D$34="","?",$AD263*Header!$D$34),"")</f>
      </c>
      <c r="AS263" s="39">
        <f>IF(ISNUMBER($AB263),IF(Header!$D$34="","?",$AB263*Header!$D$34),"")</f>
      </c>
      <c r="AT263" s="42">
        <f>IF(AND(ISNUMBER($AB263),$M263&gt;0),$AB263/$M263*100,"")</f>
      </c>
      <c r="AU263" s="42">
        <f>IF(AND(ISNUMBER($AD263),$M263&gt;0),$AD263/$M263*100,"")</f>
      </c>
      <c r="AV263" s="40">
        <f>IF(AND(ISNUMBER($AB263),ISNUMBER($AD263),ABS($AB263)&gt;0),$AD263/$AB263,"")</f>
      </c>
      <c r="AW263" s="39">
        <f>IF(ISNUMBER($AD263),MAX(0,(1-0.55-Header!$O$3)*Header!$Q$3*$AQ263),"")</f>
      </c>
      <c r="AX263" s="43">
        <f>IF($A263="","",IF(TRIM(IF($A263="","Missing certificate ref. ","") &amp; IF($C263="","Missing effective date. ","") &amp; IF($D263="","Missing binding status. ","") &amp; IF($E263="","Missing movement type. ","") &amp; IF($I263="","Missing make. ","") &amp; IF($L263="","Missing vehicle class. ","") &amp; IF($M263="","Missing agreed value. ","") &amp; IF($N263="","Missing policy type. ","") &amp; IF($Q263="","Missing garaging state. ","") &amp; IF($R263="","Missing garaging ZIP. ","") &amp; IF($S263="","Missing cat zone. ","") &amp; IF($V263="","Missing valuation basis. ","") &amp; IF($W263="","Missing PD deductible. ","") &amp; IF($X263="","Missing liability limit. ","") &amp; IF($AB263="","Missing technical premium. ","") &amp; IF($AF263="","Missing surplus lines tax %. ",""))="","PASS","FAIL: "&amp;TRIM(IF($A263="","Missing certificate ref. ","") &amp; IF($C263="","Missing effective date. ","") &amp; IF($D263="","Missing binding status. ","") &amp; IF($E263="","Missing movement type. ","") &amp; IF($I263="","Missing make. ","") &amp; IF($L263="","Missing vehicle class. ","") &amp; IF($M263="","Missing agreed value. ","") &amp; IF($N263="","Missing policy type. ","") &amp; IF($Q263="","Missing garaging state. ","") &amp; IF($R263="","Missing garaging ZIP. ","") &amp; IF($S263="","Missing cat zone. ","") &amp; IF($V263="","Missing valuation basis. ","") &amp; IF($W263="","Missing PD deductible. ","") &amp; IF($X263="","Missing liability limit. ","") &amp; IF($AB263="","Missing technical premium. ","") &amp; IF($AF263="","Missing surplus lines tax %. ",""))))</f>
      </c>
      <c r="AY263" s="44">
        <f>IF($M263="","",IF(ISNUMBER($M263),IF($M263&gt;=Header!$C$18,"YES — refer","No"),""))</f>
      </c>
      <c r="AZ263" s="44">
        <f>IF($AD263="","",IF(ISNUMBER($AD263),IF($AD263&lt;Header!$C$20,"BELOW MIN PREMIUM","OK"),""))</f>
      </c>
      <c r="BA263" s="32" t="inlineStr">
        <is>
          <t xml:space="preserve">Yes</t>
        </is>
      </c>
      <c r="BB263" s="32" t="inlineStr">
        <is>
          <t xml:space="preserve">Yes</t>
        </is>
      </c>
      <c r="BC263" s="30" t="inlineStr">
        <is>
          <t xml:space="preserve">Synthetic demo data</t>
        </is>
      </c>
      <c r="BE263" s="45">
        <f>IF(OR($A263="",$L263="",$H263=""),"",IF(AND(LEFT($L263,2)="06",$H263&gt;1945),"FAIL - pre-war class, year "&amp;$H263,IF(AND(LEFT($L263,2)="07",OR($H263&lt;1946,$H263&gt;1972)),"FAIL - 1946-72 class, year "&amp;$H263,IF(AND(LEFT($L263,2)="08",OR($H263&lt;1973,$H263&gt;1999)),"FAIL - 1973-99 class, year "&amp;$H263,IF(AND(LEFT($L263,2)="09",OR($H263&lt;2000,$H263&gt;2010)),"FAIL - 2000-10 class, year "&amp;$H263,"OK")))))</f>
      </c>
      <c r="BF263" s="45">
        <f>IF($AD263="","",IF(ROUND($AO263+$AP263+$AQ263-$AD263,2)=0,"OK","FAIL - out by "&amp;TEXT($AO263+$AP263+$AQ263-$AD263,"$0.00")))</f>
      </c>
    </row>
    <row r="264" spans="1:58" ht="18.75" customHeight="1" x14ac:dyDescent="0.25">
      <c r="A264" s="46" t="inlineStr">
        <is>
          <t xml:space="preserve">CANON-202511-002521</t>
        </is>
      </c>
      <c r="B264" s="46" t="inlineStr">
        <is>
          <t xml:space="preserve">Fitzgerald Vasquez</t>
        </is>
      </c>
      <c r="C264" s="47">
        <v>45981</v>
      </c>
      <c r="D264" s="48" t="inlineStr">
        <is>
          <t xml:space="preserve">Bound - within authority</t>
        </is>
      </c>
      <c r="E264" s="48" t="inlineStr">
        <is>
          <t xml:space="preserve">New business</t>
        </is>
      </c>
      <c r="F264" s="46" t="inlineStr">
        <is>
          <t xml:space="preserve">B1234EXOTIC26</t>
        </is>
      </c>
      <c r="G264" s="33">
        <f>IF($A264="","",IF($C264="","",YEAR($C264)))</f>
      </c>
      <c r="H264" s="49">
        <v>1970</v>
      </c>
      <c r="I264" s="46" t="inlineStr">
        <is>
          <t xml:space="preserve">Lamborghini</t>
        </is>
      </c>
      <c r="J264" s="46" t="inlineStr">
        <is>
          <t xml:space="preserve">Huracan EVO</t>
        </is>
      </c>
      <c r="K264" s="46" t="inlineStr">
        <is>
          <t xml:space="preserve">B3ZC0NF69NAV9KYEL</t>
        </is>
      </c>
      <c r="L264" s="48" t="inlineStr">
        <is>
          <t xml:space="preserve">03 - Supercar</t>
        </is>
      </c>
      <c r="M264" s="50">
        <v>1950000</v>
      </c>
      <c r="N264" s="48" t="inlineStr">
        <is>
          <t xml:space="preserve">Personal</t>
        </is>
      </c>
      <c r="O264" s="46" t="inlineStr">
        <is>
          <t xml:space="preserve">Personal - regular use</t>
        </is>
      </c>
      <c r="P264" s="46" t="inlineStr">
        <is>
          <t xml:space="preserve">1,000 - 2,500</t>
        </is>
      </c>
      <c r="Q264" s="46" t="inlineStr">
        <is>
          <t xml:space="preserve">Washington</t>
        </is>
      </c>
      <c r="R264" s="46" t="inlineStr">
        <is>
          <t xml:space="preserve">98101</t>
        </is>
      </c>
      <c r="S264" s="48" t="inlineStr">
        <is>
          <t xml:space="preserve">Earthquake - high (CA, Cascadia, New Madrid)</t>
        </is>
      </c>
      <c r="T264" s="36">
        <f>IF($A264="","",IF($S264="","",IFERROR(INDEX('[1]natural catastrophe'!$D$6:$D$17,MATCH($S264,'[1]natural catastrophe'!$B$6:$B$17,0)),"?")))</f>
      </c>
      <c r="U264" s="46" t="inlineStr">
        <is>
          <t xml:space="preserve">$5,000</t>
        </is>
      </c>
      <c r="V264" s="48" t="inlineStr">
        <is>
          <t xml:space="preserve">Agreed Value</t>
        </is>
      </c>
      <c r="W264" s="46" t="inlineStr">
        <is>
          <t xml:space="preserve">$1,000</t>
        </is>
      </c>
      <c r="X264" s="48" t="inlineStr">
        <is>
          <t xml:space="preserve">$1,000,000 CSL</t>
        </is>
      </c>
      <c r="Y264" s="46"/>
      <c r="Z264" s="46"/>
      <c r="AA264" s="48" t="inlineStr">
        <is>
          <t xml:space="preserve">Surplus Lines</t>
        </is>
      </c>
      <c r="AB264" s="50">
        <v>25979.12</v>
      </c>
      <c r="AC264" s="51">
        <v>0</v>
      </c>
      <c r="AD264" s="38">
        <f>IF(ISNUMBER($AB264),$AB264*(1+N($AC264)),"")</f>
      </c>
      <c r="AE264" s="50">
        <v>350</v>
      </c>
      <c r="AF264" s="50">
        <v>250</v>
      </c>
      <c r="AG264" s="51"/>
      <c r="AH264" s="39">
        <f>IF(ISNUMBER($AD264),($AD264+$AE264+$AF264)*$AG264,"")</f>
      </c>
      <c r="AI264" s="50"/>
      <c r="AJ264" s="38">
        <f>IF(ISNUMBER($AD264),SUM($AD264:$AH264),"")</f>
      </c>
      <c r="AK264" s="40">
        <f>IF(AND(ISNUMBER($AB264),ISNUMBER($AD264)),IF($AB264&gt;0,$AD264/$AB264,""),"")</f>
      </c>
      <c r="AL264" s="48" t="inlineStr">
        <is>
          <t xml:space="preserve">At technical</t>
        </is>
      </c>
      <c r="AM264" s="41">
        <f>IF(ISNUMBER($AD264),Header!$I$3,"")</f>
      </c>
      <c r="AN264" s="39">
        <f>IF(ISNUMBER($AD264),$AO264+$AP264,"")</f>
      </c>
      <c r="AO264" s="39">
        <f>IF(ISNUMBER($AD264),ROUND($AD264*Header!$K$3,2),"")</f>
      </c>
      <c r="AP264" s="39">
        <f>IF(ISNUMBER($AD264),ROUND($AD264*Header!$M$3,2),"")</f>
      </c>
      <c r="AQ264" s="38">
        <f>IF(ISNUMBER($AD264),ROUND($AD264,2)-$AO264-$AP264,"")</f>
      </c>
      <c r="AR264" s="39">
        <f>IF(ISNUMBER($AD264),IF(Header!$D$34="","?",$AD264*Header!$D$34),"")</f>
      </c>
      <c r="AS264" s="39">
        <f>IF(ISNUMBER($AB264),IF(Header!$D$34="","?",$AB264*Header!$D$34),"")</f>
      </c>
      <c r="AT264" s="42">
        <f>IF(AND(ISNUMBER($AB264),$M264&gt;0),$AB264/$M264*100,"")</f>
      </c>
      <c r="AU264" s="42">
        <f>IF(AND(ISNUMBER($AD264),$M264&gt;0),$AD264/$M264*100,"")</f>
      </c>
      <c r="AV264" s="40">
        <f>IF(AND(ISNUMBER($AB264),ISNUMBER($AD264),ABS($AB264)&gt;0),$AD264/$AB264,"")</f>
      </c>
      <c r="AW264" s="39">
        <f>IF(ISNUMBER($AD264),MAX(0,(1-0.55-Header!$O$3)*Header!$Q$3*$AQ264),"")</f>
      </c>
      <c r="AX264" s="43">
        <f>IF($A264="","",IF(TRIM(IF($A264="","Missing certificate ref. ","") &amp; IF($C264="","Missing effective date. ","") &amp; IF($D264="","Missing binding status. ","") &amp; IF($E264="","Missing movement type. ","") &amp; IF($I264="","Missing make. ","") &amp; IF($L264="","Missing vehicle class. ","") &amp; IF($M264="","Missing agreed value. ","") &amp; IF($N264="","Missing policy type. ","") &amp; IF($Q264="","Missing garaging state. ","") &amp; IF($R264="","Missing garaging ZIP. ","") &amp; IF($S264="","Missing cat zone. ","") &amp; IF($V264="","Missing valuation basis. ","") &amp; IF($W264="","Missing PD deductible. ","") &amp; IF($X264="","Missing liability limit. ","") &amp; IF($AB264="","Missing technical premium. ","") &amp; IF($AF264="","Missing surplus lines tax %. ",""))="","PASS","FAIL: "&amp;TRIM(IF($A264="","Missing certificate ref. ","") &amp; IF($C264="","Missing effective date. ","") &amp; IF($D264="","Missing binding status. ","") &amp; IF($E264="","Missing movement type. ","") &amp; IF($I264="","Missing make. ","") &amp; IF($L264="","Missing vehicle class. ","") &amp; IF($M264="","Missing agreed value. ","") &amp; IF($N264="","Missing policy type. ","") &amp; IF($Q264="","Missing garaging state. ","") &amp; IF($R264="","Missing garaging ZIP. ","") &amp; IF($S264="","Missing cat zone. ","") &amp; IF($V264="","Missing valuation basis. ","") &amp; IF($W264="","Missing PD deductible. ","") &amp; IF($X264="","Missing liability limit. ","") &amp; IF($AB264="","Missing technical premium. ","") &amp; IF($AF264="","Missing surplus lines tax %. ",""))))</f>
      </c>
      <c r="AY264" s="44">
        <f>IF($M264="","",IF(ISNUMBER($M264),IF($M264&gt;=Header!$C$18,"YES — refer","No"),""))</f>
      </c>
      <c r="AZ264" s="44">
        <f>IF($AD264="","",IF(ISNUMBER($AD264),IF($AD264&lt;Header!$C$20,"BELOW MIN PREMIUM","OK"),""))</f>
      </c>
      <c r="BA264" s="48" t="inlineStr">
        <is>
          <t xml:space="preserve">Yes</t>
        </is>
      </c>
      <c r="BB264" s="48" t="inlineStr">
        <is>
          <t xml:space="preserve">Yes</t>
        </is>
      </c>
      <c r="BC264" s="46" t="inlineStr">
        <is>
          <t xml:space="preserve">Synthetic demo data</t>
        </is>
      </c>
      <c r="BE264" s="45">
        <f>IF(OR($A264="",$L264="",$H264=""),"",IF(AND(LEFT($L264,2)="06",$H264&gt;1945),"FAIL - pre-war class, year "&amp;$H264,IF(AND(LEFT($L264,2)="07",OR($H264&lt;1946,$H264&gt;1972)),"FAIL - 1946-72 class, year "&amp;$H264,IF(AND(LEFT($L264,2)="08",OR($H264&lt;1973,$H264&gt;1999)),"FAIL - 1973-99 class, year "&amp;$H264,IF(AND(LEFT($L264,2)="09",OR($H264&lt;2000,$H264&gt;2010)),"FAIL - 2000-10 class, year "&amp;$H264,"OK")))))</f>
      </c>
      <c r="BF264" s="45">
        <f>IF($AD264="","",IF(ROUND($AO264+$AP264+$AQ264-$AD264,2)=0,"OK","FAIL - out by "&amp;TEXT($AO264+$AP264+$AQ264-$AD264,"$0.00")))</f>
      </c>
    </row>
    <row r="265" spans="1:58" ht="18.75" customHeight="1" x14ac:dyDescent="0.25">
      <c r="A265" s="30" t="inlineStr">
        <is>
          <t xml:space="preserve">CANON-202511-002522</t>
        </is>
      </c>
      <c r="B265" s="30" t="inlineStr">
        <is>
          <t xml:space="preserve">Mireille Chattopadhyay</t>
        </is>
      </c>
      <c r="C265" s="31">
        <v>45964</v>
      </c>
      <c r="D265" s="32" t="inlineStr">
        <is>
          <t xml:space="preserve">Bound - within authority</t>
        </is>
      </c>
      <c r="E265" s="32" t="inlineStr">
        <is>
          <t xml:space="preserve">New business</t>
        </is>
      </c>
      <c r="F265" s="30" t="inlineStr">
        <is>
          <t xml:space="preserve">B1234EXOTIC26</t>
        </is>
      </c>
      <c r="G265" s="33">
        <f>IF($A265="","",IF($C265="","",YEAR($C265)))</f>
      </c>
      <c r="H265" s="34">
        <v>1960</v>
      </c>
      <c r="I265" s="30" t="inlineStr">
        <is>
          <t xml:space="preserve">Aston Martin</t>
        </is>
      </c>
      <c r="J265" s="30" t="inlineStr">
        <is>
          <t xml:space="preserve">DB12</t>
        </is>
      </c>
      <c r="K265" s="30" t="inlineStr">
        <is>
          <t xml:space="preserve">72S0D22FYA076K977</t>
        </is>
      </c>
      <c r="L265" s="32" t="inlineStr">
        <is>
          <t xml:space="preserve">02 - Sports / GT</t>
        </is>
      </c>
      <c r="M265" s="35">
        <v>275000</v>
      </c>
      <c r="N265" s="32" t="inlineStr">
        <is>
          <t xml:space="preserve">Personal</t>
        </is>
      </c>
      <c r="O265" s="30" t="inlineStr">
        <is>
          <t xml:space="preserve">Personal - regular use</t>
        </is>
      </c>
      <c r="P265" s="30" t="inlineStr">
        <is>
          <t xml:space="preserve">2,500 - 5,000</t>
        </is>
      </c>
      <c r="Q265" s="30" t="inlineStr">
        <is>
          <t xml:space="preserve">Mississippi</t>
        </is>
      </c>
      <c r="R265" s="30" t="inlineStr">
        <is>
          <t xml:space="preserve">39201</t>
        </is>
      </c>
      <c r="S265" s="32" t="inlineStr">
        <is>
          <t xml:space="preserve">Tier 2 - Coastal wind (1-25 miles)</t>
        </is>
      </c>
      <c r="T265" s="36">
        <f>IF($A265="","",IF($S265="","",IFERROR(INDEX('[1]natural catastrophe'!$D$6:$D$17,MATCH($S265,'[1]natural catastrophe'!$B$6:$B$17,0)),"?")))</f>
      </c>
      <c r="U265" s="30" t="inlineStr">
        <is>
          <t xml:space="preserve">2% of agreed value, minimum $10,000</t>
        </is>
      </c>
      <c r="V265" s="32" t="inlineStr">
        <is>
          <t xml:space="preserve">Agreed Value</t>
        </is>
      </c>
      <c r="W265" s="30" t="inlineStr">
        <is>
          <t xml:space="preserve">$1,000</t>
        </is>
      </c>
      <c r="X265" s="32" t="inlineStr">
        <is>
          <t xml:space="preserve">$1,000,000 CSL</t>
        </is>
      </c>
      <c r="Y265" s="30"/>
      <c r="Z265" s="30"/>
      <c r="AA265" s="32" t="inlineStr">
        <is>
          <t xml:space="preserve">Surplus Lines</t>
        </is>
      </c>
      <c r="AB265" s="35">
        <v>4257.65</v>
      </c>
      <c r="AC265" s="37">
        <v>0</v>
      </c>
      <c r="AD265" s="38">
        <f>IF(ISNUMBER($AB265),$AB265*(1+N($AC265)),"")</f>
      </c>
      <c r="AE265" s="35">
        <v>350</v>
      </c>
      <c r="AF265" s="35">
        <v>0</v>
      </c>
      <c r="AG265" s="37"/>
      <c r="AH265" s="39">
        <f>IF(ISNUMBER($AD265),($AD265+$AE265+$AF265)*$AG265,"")</f>
      </c>
      <c r="AI265" s="35"/>
      <c r="AJ265" s="38">
        <f>IF(ISNUMBER($AD265),SUM($AD265:$AH265),"")</f>
      </c>
      <c r="AK265" s="40">
        <f>IF(AND(ISNUMBER($AB265),ISNUMBER($AD265)),IF($AB265&gt;0,$AD265/$AB265,""),"")</f>
      </c>
      <c r="AL265" s="32" t="inlineStr">
        <is>
          <t xml:space="preserve">At technical</t>
        </is>
      </c>
      <c r="AM265" s="41">
        <f>IF(ISNUMBER($AD265),Header!$I$3,"")</f>
      </c>
      <c r="AN265" s="39">
        <f>IF(ISNUMBER($AD265),$AO265+$AP265,"")</f>
      </c>
      <c r="AO265" s="39">
        <f>IF(ISNUMBER($AD265),ROUND($AD265*Header!$K$3,2),"")</f>
      </c>
      <c r="AP265" s="39">
        <f>IF(ISNUMBER($AD265),ROUND($AD265*Header!$M$3,2),"")</f>
      </c>
      <c r="AQ265" s="38">
        <f>IF(ISNUMBER($AD265),ROUND($AD265,2)-$AO265-$AP265,"")</f>
      </c>
      <c r="AR265" s="39">
        <f>IF(ISNUMBER($AD265),IF(Header!$D$34="","?",$AD265*Header!$D$34),"")</f>
      </c>
      <c r="AS265" s="39">
        <f>IF(ISNUMBER($AB265),IF(Header!$D$34="","?",$AB265*Header!$D$34),"")</f>
      </c>
      <c r="AT265" s="42">
        <f>IF(AND(ISNUMBER($AB265),$M265&gt;0),$AB265/$M265*100,"")</f>
      </c>
      <c r="AU265" s="42">
        <f>IF(AND(ISNUMBER($AD265),$M265&gt;0),$AD265/$M265*100,"")</f>
      </c>
      <c r="AV265" s="40">
        <f>IF(AND(ISNUMBER($AB265),ISNUMBER($AD265),ABS($AB265)&gt;0),$AD265/$AB265,"")</f>
      </c>
      <c r="AW265" s="39">
        <f>IF(ISNUMBER($AD265),MAX(0,(1-0.55-Header!$O$3)*Header!$Q$3*$AQ265),"")</f>
      </c>
      <c r="AX265" s="43">
        <f>IF($A265="","",IF(TRIM(IF($A265="","Missing certificate ref. ","") &amp; IF($C265="","Missing effective date. ","") &amp; IF($D265="","Missing binding status. ","") &amp; IF($E265="","Missing movement type. ","") &amp; IF($I265="","Missing make. ","") &amp; IF($L265="","Missing vehicle class. ","") &amp; IF($M265="","Missing agreed value. ","") &amp; IF($N265="","Missing policy type. ","") &amp; IF($Q265="","Missing garaging state. ","") &amp; IF($R265="","Missing garaging ZIP. ","") &amp; IF($S265="","Missing cat zone. ","") &amp; IF($V265="","Missing valuation basis. ","") &amp; IF($W265="","Missing PD deductible. ","") &amp; IF($X265="","Missing liability limit. ","") &amp; IF($AB265="","Missing technical premium. ","") &amp; IF($AF265="","Missing surplus lines tax %. ",""))="","PASS","FAIL: "&amp;TRIM(IF($A265="","Missing certificate ref. ","") &amp; IF($C265="","Missing effective date. ","") &amp; IF($D265="","Missing binding status. ","") &amp; IF($E265="","Missing movement type. ","") &amp; IF($I265="","Missing make. ","") &amp; IF($L265="","Missing vehicle class. ","") &amp; IF($M265="","Missing agreed value. ","") &amp; IF($N265="","Missing policy type. ","") &amp; IF($Q265="","Missing garaging state. ","") &amp; IF($R265="","Missing garaging ZIP. ","") &amp; IF($S265="","Missing cat zone. ","") &amp; IF($V265="","Missing valuation basis. ","") &amp; IF($W265="","Missing PD deductible. ","") &amp; IF($X265="","Missing liability limit. ","") &amp; IF($AB265="","Missing technical premium. ","") &amp; IF($AF265="","Missing surplus lines tax %. ",""))))</f>
      </c>
      <c r="AY265" s="44">
        <f>IF($M265="","",IF(ISNUMBER($M265),IF($M265&gt;=Header!$C$18,"YES — refer","No"),""))</f>
      </c>
      <c r="AZ265" s="44">
        <f>IF($AD265="","",IF(ISNUMBER($AD265),IF($AD265&lt;Header!$C$20,"BELOW MIN PREMIUM","OK"),""))</f>
      </c>
      <c r="BA265" s="32" t="inlineStr">
        <is>
          <t xml:space="preserve">Yes</t>
        </is>
      </c>
      <c r="BB265" s="32" t="inlineStr">
        <is>
          <t xml:space="preserve">Yes</t>
        </is>
      </c>
      <c r="BC265" s="30" t="inlineStr">
        <is>
          <t xml:space="preserve">Synthetic demo data</t>
        </is>
      </c>
      <c r="BE265" s="45">
        <f>IF(OR($A265="",$L265="",$H265=""),"",IF(AND(LEFT($L265,2)="06",$H265&gt;1945),"FAIL - pre-war class, year "&amp;$H265,IF(AND(LEFT($L265,2)="07",OR($H265&lt;1946,$H265&gt;1972)),"FAIL - 1946-72 class, year "&amp;$H265,IF(AND(LEFT($L265,2)="08",OR($H265&lt;1973,$H265&gt;1999)),"FAIL - 1973-99 class, year "&amp;$H265,IF(AND(LEFT($L265,2)="09",OR($H265&lt;2000,$H265&gt;2010)),"FAIL - 2000-10 class, year "&amp;$H265,"OK")))))</f>
      </c>
      <c r="BF265" s="45">
        <f>IF($AD265="","",IF(ROUND($AO265+$AP265+$AQ265-$AD265,2)=0,"OK","FAIL - out by "&amp;TEXT($AO265+$AP265+$AQ265-$AD265,"$0.00")))</f>
      </c>
    </row>
    <row r="266" spans="1:58" ht="18.75" customHeight="1" x14ac:dyDescent="0.25">
      <c r="A266" s="46" t="inlineStr">
        <is>
          <t xml:space="preserve">CANON-202511-002523</t>
        </is>
      </c>
      <c r="B266" s="46" t="inlineStr">
        <is>
          <t xml:space="preserve">Ingrid Okonkwo</t>
        </is>
      </c>
      <c r="C266" s="47">
        <v>45989</v>
      </c>
      <c r="D266" s="48" t="inlineStr">
        <is>
          <t xml:space="preserve">Bound - within authority</t>
        </is>
      </c>
      <c r="E266" s="48" t="inlineStr">
        <is>
          <t xml:space="preserve">New business</t>
        </is>
      </c>
      <c r="F266" s="46" t="inlineStr">
        <is>
          <t xml:space="preserve">B1234EXOTIC26</t>
        </is>
      </c>
      <c r="G266" s="33">
        <f>IF($A266="","",IF($C266="","",YEAR($C266)))</f>
      </c>
      <c r="H266" s="49">
        <v>1993</v>
      </c>
      <c r="I266" s="46" t="inlineStr">
        <is>
          <t xml:space="preserve">BMW</t>
        </is>
      </c>
      <c r="J266" s="46" t="inlineStr">
        <is>
          <t xml:space="preserve">M8 Competition</t>
        </is>
      </c>
      <c r="K266" s="46" t="inlineStr">
        <is>
          <t xml:space="preserve">8DR4LB84VPF28RUVG</t>
        </is>
      </c>
      <c r="L266" s="48" t="inlineStr">
        <is>
          <t xml:space="preserve">02 - Sports / GT</t>
        </is>
      </c>
      <c r="M266" s="50">
        <v>645000</v>
      </c>
      <c r="N266" s="48" t="inlineStr">
        <is>
          <t xml:space="preserve">Personal</t>
        </is>
      </c>
      <c r="O266" s="46" t="inlineStr">
        <is>
          <t xml:space="preserve">Personal - regular use</t>
        </is>
      </c>
      <c r="P266" s="46" t="inlineStr">
        <is>
          <t xml:space="preserve">Under 1,000</t>
        </is>
      </c>
      <c r="Q266" s="46" t="inlineStr">
        <is>
          <t xml:space="preserve">Tennessee</t>
        </is>
      </c>
      <c r="R266" s="46" t="inlineStr">
        <is>
          <t xml:space="preserve">37203</t>
        </is>
      </c>
      <c r="S266" s="48" t="inlineStr">
        <is>
          <t xml:space="preserve">Severe convective - hail / tornado (moderate)</t>
        </is>
      </c>
      <c r="T266" s="36">
        <f>IF($A266="","",IF($S266="","",IFERROR(INDEX('[1]natural catastrophe'!$D$6:$D$17,MATCH($S266,'[1]natural catastrophe'!$B$6:$B$17,0)),"?")))</f>
      </c>
      <c r="U266" s="46" t="inlineStr">
        <is>
          <t xml:space="preserve">$5,000</t>
        </is>
      </c>
      <c r="V266" s="48" t="inlineStr">
        <is>
          <t xml:space="preserve">Agreed Value</t>
        </is>
      </c>
      <c r="W266" s="46" t="inlineStr">
        <is>
          <t xml:space="preserve">$1,000</t>
        </is>
      </c>
      <c r="X266" s="48" t="inlineStr">
        <is>
          <t xml:space="preserve">$1,000,000 CSL</t>
        </is>
      </c>
      <c r="Y266" s="46"/>
      <c r="Z266" s="46"/>
      <c r="AA266" s="48" t="inlineStr">
        <is>
          <t xml:space="preserve">Surplus Lines</t>
        </is>
      </c>
      <c r="AB266" s="50">
        <v>7127.35</v>
      </c>
      <c r="AC266" s="51">
        <v>0</v>
      </c>
      <c r="AD266" s="38">
        <f>IF(ISNUMBER($AB266),$AB266*(1+N($AC266)),"")</f>
      </c>
      <c r="AE266" s="50">
        <v>350</v>
      </c>
      <c r="AF266" s="50">
        <v>0</v>
      </c>
      <c r="AG266" s="51"/>
      <c r="AH266" s="39">
        <f>IF(ISNUMBER($AD266),($AD266+$AE266+$AF266)*$AG266,"")</f>
      </c>
      <c r="AI266" s="50"/>
      <c r="AJ266" s="38">
        <f>IF(ISNUMBER($AD266),SUM($AD266:$AH266),"")</f>
      </c>
      <c r="AK266" s="40">
        <f>IF(AND(ISNUMBER($AB266),ISNUMBER($AD266)),IF($AB266&gt;0,$AD266/$AB266,""),"")</f>
      </c>
      <c r="AL266" s="48" t="inlineStr">
        <is>
          <t xml:space="preserve">At technical</t>
        </is>
      </c>
      <c r="AM266" s="41">
        <f>IF(ISNUMBER($AD266),Header!$I$3,"")</f>
      </c>
      <c r="AN266" s="39">
        <f>IF(ISNUMBER($AD266),$AO266+$AP266,"")</f>
      </c>
      <c r="AO266" s="39">
        <f>IF(ISNUMBER($AD266),ROUND($AD266*Header!$K$3,2),"")</f>
      </c>
      <c r="AP266" s="39">
        <f>IF(ISNUMBER($AD266),ROUND($AD266*Header!$M$3,2),"")</f>
      </c>
      <c r="AQ266" s="38">
        <f>IF(ISNUMBER($AD266),ROUND($AD266,2)-$AO266-$AP266,"")</f>
      </c>
      <c r="AR266" s="39">
        <f>IF(ISNUMBER($AD266),IF(Header!$D$34="","?",$AD266*Header!$D$34),"")</f>
      </c>
      <c r="AS266" s="39">
        <f>IF(ISNUMBER($AB266),IF(Header!$D$34="","?",$AB266*Header!$D$34),"")</f>
      </c>
      <c r="AT266" s="42">
        <f>IF(AND(ISNUMBER($AB266),$M266&gt;0),$AB266/$M266*100,"")</f>
      </c>
      <c r="AU266" s="42">
        <f>IF(AND(ISNUMBER($AD266),$M266&gt;0),$AD266/$M266*100,"")</f>
      </c>
      <c r="AV266" s="40">
        <f>IF(AND(ISNUMBER($AB266),ISNUMBER($AD266),ABS($AB266)&gt;0),$AD266/$AB266,"")</f>
      </c>
      <c r="AW266" s="39">
        <f>IF(ISNUMBER($AD266),MAX(0,(1-0.55-Header!$O$3)*Header!$Q$3*$AQ266),"")</f>
      </c>
      <c r="AX266" s="43">
        <f>IF($A266="","",IF(TRIM(IF($A266="","Missing certificate ref. ","") &amp; IF($C266="","Missing effective date. ","") &amp; IF($D266="","Missing binding status. ","") &amp; IF($E266="","Missing movement type. ","") &amp; IF($I266="","Missing make. ","") &amp; IF($L266="","Missing vehicle class. ","") &amp; IF($M266="","Missing agreed value. ","") &amp; IF($N266="","Missing policy type. ","") &amp; IF($Q266="","Missing garaging state. ","") &amp; IF($R266="","Missing garaging ZIP. ","") &amp; IF($S266="","Missing cat zone. ","") &amp; IF($V266="","Missing valuation basis. ","") &amp; IF($W266="","Missing PD deductible. ","") &amp; IF($X266="","Missing liability limit. ","") &amp; IF($AB266="","Missing technical premium. ","") &amp; IF($AF266="","Missing surplus lines tax %. ",""))="","PASS","FAIL: "&amp;TRIM(IF($A266="","Missing certificate ref. ","") &amp; IF($C266="","Missing effective date. ","") &amp; IF($D266="","Missing binding status. ","") &amp; IF($E266="","Missing movement type. ","") &amp; IF($I266="","Missing make. ","") &amp; IF($L266="","Missing vehicle class. ","") &amp; IF($M266="","Missing agreed value. ","") &amp; IF($N266="","Missing policy type. ","") &amp; IF($Q266="","Missing garaging state. ","") &amp; IF($R266="","Missing garaging ZIP. ","") &amp; IF($S266="","Missing cat zone. ","") &amp; IF($V266="","Missing valuation basis. ","") &amp; IF($W266="","Missing PD deductible. ","") &amp; IF($X266="","Missing liability limit. ","") &amp; IF($AB266="","Missing technical premium. ","") &amp; IF($AF266="","Missing surplus lines tax %. ",""))))</f>
      </c>
      <c r="AY266" s="44">
        <f>IF($M266="","",IF(ISNUMBER($M266),IF($M266&gt;=Header!$C$18,"YES — refer","No"),""))</f>
      </c>
      <c r="AZ266" s="44">
        <f>IF($AD266="","",IF(ISNUMBER($AD266),IF($AD266&lt;Header!$C$20,"BELOW MIN PREMIUM","OK"),""))</f>
      </c>
      <c r="BA266" s="48" t="inlineStr">
        <is>
          <t xml:space="preserve">Yes</t>
        </is>
      </c>
      <c r="BB266" s="48" t="inlineStr">
        <is>
          <t xml:space="preserve">Yes</t>
        </is>
      </c>
      <c r="BC266" s="46" t="inlineStr">
        <is>
          <t xml:space="preserve">Synthetic demo data</t>
        </is>
      </c>
      <c r="BE266" s="45">
        <f>IF(OR($A266="",$L266="",$H266=""),"",IF(AND(LEFT($L266,2)="06",$H266&gt;1945),"FAIL - pre-war class, year "&amp;$H266,IF(AND(LEFT($L266,2)="07",OR($H266&lt;1946,$H266&gt;1972)),"FAIL - 1946-72 class, year "&amp;$H266,IF(AND(LEFT($L266,2)="08",OR($H266&lt;1973,$H266&gt;1999)),"FAIL - 1973-99 class, year "&amp;$H266,IF(AND(LEFT($L266,2)="09",OR($H266&lt;2000,$H266&gt;2010)),"FAIL - 2000-10 class, year "&amp;$H266,"OK")))))</f>
      </c>
      <c r="BF266" s="45">
        <f>IF($AD266="","",IF(ROUND($AO266+$AP266+$AQ266-$AD266,2)=0,"OK","FAIL - out by "&amp;TEXT($AO266+$AP266+$AQ266-$AD266,"$0.00")))</f>
      </c>
    </row>
    <row r="267" spans="1:58" ht="18.75" customHeight="1" x14ac:dyDescent="0.25">
      <c r="A267" s="30" t="inlineStr">
        <is>
          <t xml:space="preserve">CANON-202511-002525</t>
        </is>
      </c>
      <c r="B267" s="30" t="inlineStr">
        <is>
          <t xml:space="preserve">Wilhelmina Underwood</t>
        </is>
      </c>
      <c r="C267" s="31">
        <v>45964</v>
      </c>
      <c r="D267" s="32" t="inlineStr">
        <is>
          <t xml:space="preserve">Bound - within authority</t>
        </is>
      </c>
      <c r="E267" s="32" t="inlineStr">
        <is>
          <t xml:space="preserve">New business</t>
        </is>
      </c>
      <c r="F267" s="30" t="inlineStr">
        <is>
          <t xml:space="preserve">B1234EXOTIC26</t>
        </is>
      </c>
      <c r="G267" s="33">
        <f>IF($A267="","",IF($C267="","",YEAR($C267)))</f>
      </c>
      <c r="H267" s="34">
        <v>1985</v>
      </c>
      <c r="I267" s="30" t="inlineStr">
        <is>
          <t xml:space="preserve">Ferrari</t>
        </is>
      </c>
      <c r="J267" s="30" t="inlineStr">
        <is>
          <t xml:space="preserve">275 GTB/4</t>
        </is>
      </c>
      <c r="K267" s="30" t="inlineStr">
        <is>
          <t xml:space="preserve">KBDEBWSZ8D87VXLZM</t>
        </is>
      </c>
      <c r="L267" s="32" t="inlineStr">
        <is>
          <t xml:space="preserve">08 - Modern Classic (1973-1999)</t>
        </is>
      </c>
      <c r="M267" s="35">
        <v>470000</v>
      </c>
      <c r="N267" s="32" t="inlineStr">
        <is>
          <t xml:space="preserve">Personal</t>
        </is>
      </c>
      <c r="O267" s="30" t="inlineStr">
        <is>
          <t xml:space="preserve">Personal - regular use</t>
        </is>
      </c>
      <c r="P267" s="30" t="inlineStr">
        <is>
          <t xml:space="preserve">2,500 - 5,000</t>
        </is>
      </c>
      <c r="Q267" s="30" t="inlineStr">
        <is>
          <t xml:space="preserve">New Jersey</t>
        </is>
      </c>
      <c r="R267" s="30" t="inlineStr">
        <is>
          <t xml:space="preserve">07102</t>
        </is>
      </c>
      <c r="S267" s="32" t="inlineStr">
        <is>
          <t xml:space="preserve">Tier 3 - Coastal wind (25-100 miles)</t>
        </is>
      </c>
      <c r="T267" s="36">
        <f>IF($A267="","",IF($S267="","",IFERROR(INDEX('[1]natural catastrophe'!$D$6:$D$17,MATCH($S267,'[1]natural catastrophe'!$B$6:$B$17,0)),"?")))</f>
      </c>
      <c r="U267" s="30" t="inlineStr">
        <is>
          <t xml:space="preserve">2% of agreed value, minimum $10,000</t>
        </is>
      </c>
      <c r="V267" s="32" t="inlineStr">
        <is>
          <t xml:space="preserve">Agreed Value</t>
        </is>
      </c>
      <c r="W267" s="30" t="inlineStr">
        <is>
          <t xml:space="preserve">$1,000</t>
        </is>
      </c>
      <c r="X267" s="32" t="inlineStr">
        <is>
          <t xml:space="preserve">$1,000,000 CSL</t>
        </is>
      </c>
      <c r="Y267" s="30"/>
      <c r="Z267" s="30"/>
      <c r="AA267" s="32" t="inlineStr">
        <is>
          <t xml:space="preserve">Surplus Lines</t>
        </is>
      </c>
      <c r="AB267" s="35">
        <v>3561.31</v>
      </c>
      <c r="AC267" s="37">
        <v>0</v>
      </c>
      <c r="AD267" s="38">
        <f>IF(ISNUMBER($AB267),$AB267*(1+N($AC267)),"")</f>
      </c>
      <c r="AE267" s="35">
        <v>350</v>
      </c>
      <c r="AF267" s="35">
        <v>0</v>
      </c>
      <c r="AG267" s="37"/>
      <c r="AH267" s="39">
        <f>IF(ISNUMBER($AD267),($AD267+$AE267+$AF267)*$AG267,"")</f>
      </c>
      <c r="AI267" s="35"/>
      <c r="AJ267" s="38">
        <f>IF(ISNUMBER($AD267),SUM($AD267:$AH267),"")</f>
      </c>
      <c r="AK267" s="40">
        <f>IF(AND(ISNUMBER($AB267),ISNUMBER($AD267)),IF($AB267&gt;0,$AD267/$AB267,""),"")</f>
      </c>
      <c r="AL267" s="32" t="inlineStr">
        <is>
          <t xml:space="preserve">At technical</t>
        </is>
      </c>
      <c r="AM267" s="41">
        <f>IF(ISNUMBER($AD267),Header!$I$3,"")</f>
      </c>
      <c r="AN267" s="39">
        <f>IF(ISNUMBER($AD267),$AO267+$AP267,"")</f>
      </c>
      <c r="AO267" s="39">
        <f>IF(ISNUMBER($AD267),ROUND($AD267*Header!$K$3,2),"")</f>
      </c>
      <c r="AP267" s="39">
        <f>IF(ISNUMBER($AD267),ROUND($AD267*Header!$M$3,2),"")</f>
      </c>
      <c r="AQ267" s="38">
        <f>IF(ISNUMBER($AD267),ROUND($AD267,2)-$AO267-$AP267,"")</f>
      </c>
      <c r="AR267" s="39">
        <f>IF(ISNUMBER($AD267),IF(Header!$D$34="","?",$AD267*Header!$D$34),"")</f>
      </c>
      <c r="AS267" s="39">
        <f>IF(ISNUMBER($AB267),IF(Header!$D$34="","?",$AB267*Header!$D$34),"")</f>
      </c>
      <c r="AT267" s="42">
        <f>IF(AND(ISNUMBER($AB267),$M267&gt;0),$AB267/$M267*100,"")</f>
      </c>
      <c r="AU267" s="42">
        <f>IF(AND(ISNUMBER($AD267),$M267&gt;0),$AD267/$M267*100,"")</f>
      </c>
      <c r="AV267" s="40">
        <f>IF(AND(ISNUMBER($AB267),ISNUMBER($AD267),ABS($AB267)&gt;0),$AD267/$AB267,"")</f>
      </c>
      <c r="AW267" s="39">
        <f>IF(ISNUMBER($AD267),MAX(0,(1-0.55-Header!$O$3)*Header!$Q$3*$AQ267),"")</f>
      </c>
      <c r="AX267" s="43">
        <f>IF($A267="","",IF(TRIM(IF($A267="","Missing certificate ref. ","") &amp; IF($C267="","Missing effective date. ","") &amp; IF($D267="","Missing binding status. ","") &amp; IF($E267="","Missing movement type. ","") &amp; IF($I267="","Missing make. ","") &amp; IF($L267="","Missing vehicle class. ","") &amp; IF($M267="","Missing agreed value. ","") &amp; IF($N267="","Missing policy type. ","") &amp; IF($Q267="","Missing garaging state. ","") &amp; IF($R267="","Missing garaging ZIP. ","") &amp; IF($S267="","Missing cat zone. ","") &amp; IF($V267="","Missing valuation basis. ","") &amp; IF($W267="","Missing PD deductible. ","") &amp; IF($X267="","Missing liability limit. ","") &amp; IF($AB267="","Missing technical premium. ","") &amp; IF($AF267="","Missing surplus lines tax %. ",""))="","PASS","FAIL: "&amp;TRIM(IF($A267="","Missing certificate ref. ","") &amp; IF($C267="","Missing effective date. ","") &amp; IF($D267="","Missing binding status. ","") &amp; IF($E267="","Missing movement type. ","") &amp; IF($I267="","Missing make. ","") &amp; IF($L267="","Missing vehicle class. ","") &amp; IF($M267="","Missing agreed value. ","") &amp; IF($N267="","Missing policy type. ","") &amp; IF($Q267="","Missing garaging state. ","") &amp; IF($R267="","Missing garaging ZIP. ","") &amp; IF($S267="","Missing cat zone. ","") &amp; IF($V267="","Missing valuation basis. ","") &amp; IF($W267="","Missing PD deductible. ","") &amp; IF($X267="","Missing liability limit. ","") &amp; IF($AB267="","Missing technical premium. ","") &amp; IF($AF267="","Missing surplus lines tax %. ",""))))</f>
      </c>
      <c r="AY267" s="44">
        <f>IF($M267="","",IF(ISNUMBER($M267),IF($M267&gt;=Header!$C$18,"YES — refer","No"),""))</f>
      </c>
      <c r="AZ267" s="44">
        <f>IF($AD267="","",IF(ISNUMBER($AD267),IF($AD267&lt;Header!$C$20,"BELOW MIN PREMIUM","OK"),""))</f>
      </c>
      <c r="BA267" s="32" t="inlineStr">
        <is>
          <t xml:space="preserve">Yes</t>
        </is>
      </c>
      <c r="BB267" s="32" t="inlineStr">
        <is>
          <t xml:space="preserve">Yes</t>
        </is>
      </c>
      <c r="BC267" s="30" t="inlineStr">
        <is>
          <t xml:space="preserve">Synthetic demo data</t>
        </is>
      </c>
      <c r="BE267" s="45">
        <f>IF(OR($A267="",$L267="",$H267=""),"",IF(AND(LEFT($L267,2)="06",$H267&gt;1945),"FAIL - pre-war class, year "&amp;$H267,IF(AND(LEFT($L267,2)="07",OR($H267&lt;1946,$H267&gt;1972)),"FAIL - 1946-72 class, year "&amp;$H267,IF(AND(LEFT($L267,2)="08",OR($H267&lt;1973,$H267&gt;1999)),"FAIL - 1973-99 class, year "&amp;$H267,IF(AND(LEFT($L267,2)="09",OR($H267&lt;2000,$H267&gt;2010)),"FAIL - 2000-10 class, year "&amp;$H267,"OK")))))</f>
      </c>
      <c r="BF267" s="45">
        <f>IF($AD267="","",IF(ROUND($AO267+$AP267+$AQ267-$AD267,2)=0,"OK","FAIL - out by "&amp;TEXT($AO267+$AP267+$AQ267-$AD267,"$0.00")))</f>
      </c>
    </row>
    <row r="268" spans="1:58" ht="18.75" customHeight="1" x14ac:dyDescent="0.25">
      <c r="A268" s="46" t="inlineStr">
        <is>
          <t xml:space="preserve">CANON-202511-002526</t>
        </is>
      </c>
      <c r="B268" s="46" t="inlineStr">
        <is>
          <t xml:space="preserve">Saoirse Okonkwo</t>
        </is>
      </c>
      <c r="C268" s="47">
        <v>45974</v>
      </c>
      <c r="D268" s="48" t="inlineStr">
        <is>
          <t xml:space="preserve">Bound - within authority</t>
        </is>
      </c>
      <c r="E268" s="48" t="inlineStr">
        <is>
          <t xml:space="preserve">New business</t>
        </is>
      </c>
      <c r="F268" s="46" t="inlineStr">
        <is>
          <t xml:space="preserve">B1234EXOTIC26</t>
        </is>
      </c>
      <c r="G268" s="33">
        <f>IF($A268="","",IF($C268="","",YEAR($C268)))</f>
      </c>
      <c r="H268" s="49">
        <v>1963</v>
      </c>
      <c r="I268" s="46" t="inlineStr">
        <is>
          <t xml:space="preserve">Porsche</t>
        </is>
      </c>
      <c r="J268" s="46" t="inlineStr">
        <is>
          <t xml:space="preserve">911 Turbo S</t>
        </is>
      </c>
      <c r="K268" s="46" t="inlineStr">
        <is>
          <t xml:space="preserve">20UKPGLJS201CK4N9</t>
        </is>
      </c>
      <c r="L268" s="48" t="inlineStr">
        <is>
          <t xml:space="preserve">02 - Sports / GT</t>
        </is>
      </c>
      <c r="M268" s="50">
        <v>490000</v>
      </c>
      <c r="N268" s="48" t="inlineStr">
        <is>
          <t xml:space="preserve">Personal</t>
        </is>
      </c>
      <c r="O268" s="46" t="inlineStr">
        <is>
          <t xml:space="preserve">Personal - regular use</t>
        </is>
      </c>
      <c r="P268" s="46" t="inlineStr">
        <is>
          <t xml:space="preserve">Under 1,000</t>
        </is>
      </c>
      <c r="Q268" s="46" t="inlineStr">
        <is>
          <t xml:space="preserve">Colorado</t>
        </is>
      </c>
      <c r="R268" s="46" t="inlineStr">
        <is>
          <t xml:space="preserve">80202</t>
        </is>
      </c>
      <c r="S268" s="48" t="inlineStr">
        <is>
          <t xml:space="preserve">Severe convective - hail alley (high)</t>
        </is>
      </c>
      <c r="T268" s="36">
        <f>IF($A268="","",IF($S268="","",IFERROR(INDEX('[1]natural catastrophe'!$D$6:$D$17,MATCH($S268,'[1]natural catastrophe'!$B$6:$B$17,0)),"?")))</f>
      </c>
      <c r="U268" s="46" t="inlineStr">
        <is>
          <t xml:space="preserve">$5,000</t>
        </is>
      </c>
      <c r="V268" s="48" t="inlineStr">
        <is>
          <t xml:space="preserve">Agreed Value</t>
        </is>
      </c>
      <c r="W268" s="46" t="inlineStr">
        <is>
          <t xml:space="preserve">$1,000</t>
        </is>
      </c>
      <c r="X268" s="48" t="inlineStr">
        <is>
          <t xml:space="preserve">$1,000,000 CSL</t>
        </is>
      </c>
      <c r="Y268" s="46"/>
      <c r="Z268" s="46"/>
      <c r="AA268" s="48" t="inlineStr">
        <is>
          <t xml:space="preserve">Surplus Lines</t>
        </is>
      </c>
      <c r="AB268" s="50">
        <v>7012.59</v>
      </c>
      <c r="AC268" s="51">
        <v>0</v>
      </c>
      <c r="AD268" s="38">
        <f>IF(ISNUMBER($AB268),$AB268*(1+N($AC268)),"")</f>
      </c>
      <c r="AE268" s="50">
        <v>350</v>
      </c>
      <c r="AF268" s="50">
        <v>0</v>
      </c>
      <c r="AG268" s="51"/>
      <c r="AH268" s="39">
        <f>IF(ISNUMBER($AD268),($AD268+$AE268+$AF268)*$AG268,"")</f>
      </c>
      <c r="AI268" s="50"/>
      <c r="AJ268" s="38">
        <f>IF(ISNUMBER($AD268),SUM($AD268:$AH268),"")</f>
      </c>
      <c r="AK268" s="40">
        <f>IF(AND(ISNUMBER($AB268),ISNUMBER($AD268)),IF($AB268&gt;0,$AD268/$AB268,""),"")</f>
      </c>
      <c r="AL268" s="48" t="inlineStr">
        <is>
          <t xml:space="preserve">At technical</t>
        </is>
      </c>
      <c r="AM268" s="41">
        <f>IF(ISNUMBER($AD268),Header!$I$3,"")</f>
      </c>
      <c r="AN268" s="39">
        <f>IF(ISNUMBER($AD268),$AO268+$AP268,"")</f>
      </c>
      <c r="AO268" s="39">
        <f>IF(ISNUMBER($AD268),ROUND($AD268*Header!$K$3,2),"")</f>
      </c>
      <c r="AP268" s="39">
        <f>IF(ISNUMBER($AD268),ROUND($AD268*Header!$M$3,2),"")</f>
      </c>
      <c r="AQ268" s="38">
        <f>IF(ISNUMBER($AD268),ROUND($AD268,2)-$AO268-$AP268,"")</f>
      </c>
      <c r="AR268" s="39">
        <f>IF(ISNUMBER($AD268),IF(Header!$D$34="","?",$AD268*Header!$D$34),"")</f>
      </c>
      <c r="AS268" s="39">
        <f>IF(ISNUMBER($AB268),IF(Header!$D$34="","?",$AB268*Header!$D$34),"")</f>
      </c>
      <c r="AT268" s="42">
        <f>IF(AND(ISNUMBER($AB268),$M268&gt;0),$AB268/$M268*100,"")</f>
      </c>
      <c r="AU268" s="42">
        <f>IF(AND(ISNUMBER($AD268),$M268&gt;0),$AD268/$M268*100,"")</f>
      </c>
      <c r="AV268" s="40">
        <f>IF(AND(ISNUMBER($AB268),ISNUMBER($AD268),ABS($AB268)&gt;0),$AD268/$AB268,"")</f>
      </c>
      <c r="AW268" s="39">
        <f>IF(ISNUMBER($AD268),MAX(0,(1-0.55-Header!$O$3)*Header!$Q$3*$AQ268),"")</f>
      </c>
      <c r="AX268" s="43">
        <f>IF($A268="","",IF(TRIM(IF($A268="","Missing certificate ref. ","") &amp; IF($C268="","Missing effective date. ","") &amp; IF($D268="","Missing binding status. ","") &amp; IF($E268="","Missing movement type. ","") &amp; IF($I268="","Missing make. ","") &amp; IF($L268="","Missing vehicle class. ","") &amp; IF($M268="","Missing agreed value. ","") &amp; IF($N268="","Missing policy type. ","") &amp; IF($Q268="","Missing garaging state. ","") &amp; IF($R268="","Missing garaging ZIP. ","") &amp; IF($S268="","Missing cat zone. ","") &amp; IF($V268="","Missing valuation basis. ","") &amp; IF($W268="","Missing PD deductible. ","") &amp; IF($X268="","Missing liability limit. ","") &amp; IF($AB268="","Missing technical premium. ","") &amp; IF($AF268="","Missing surplus lines tax %. ",""))="","PASS","FAIL: "&amp;TRIM(IF($A268="","Missing certificate ref. ","") &amp; IF($C268="","Missing effective date. ","") &amp; IF($D268="","Missing binding status. ","") &amp; IF($E268="","Missing movement type. ","") &amp; IF($I268="","Missing make. ","") &amp; IF($L268="","Missing vehicle class. ","") &amp; IF($M268="","Missing agreed value. ","") &amp; IF($N268="","Missing policy type. ","") &amp; IF($Q268="","Missing garaging state. ","") &amp; IF($R268="","Missing garaging ZIP. ","") &amp; IF($S268="","Missing cat zone. ","") &amp; IF($V268="","Missing valuation basis. ","") &amp; IF($W268="","Missing PD deductible. ","") &amp; IF($X268="","Missing liability limit. ","") &amp; IF($AB268="","Missing technical premium. ","") &amp; IF($AF268="","Missing surplus lines tax %. ",""))))</f>
      </c>
      <c r="AY268" s="44">
        <f>IF($M268="","",IF(ISNUMBER($M268),IF($M268&gt;=Header!$C$18,"YES — refer","No"),""))</f>
      </c>
      <c r="AZ268" s="44">
        <f>IF($AD268="","",IF(ISNUMBER($AD268),IF($AD268&lt;Header!$C$20,"BELOW MIN PREMIUM","OK"),""))</f>
      </c>
      <c r="BA268" s="48" t="inlineStr">
        <is>
          <t xml:space="preserve">Yes</t>
        </is>
      </c>
      <c r="BB268" s="48" t="inlineStr">
        <is>
          <t xml:space="preserve">Yes</t>
        </is>
      </c>
      <c r="BC268" s="46" t="inlineStr">
        <is>
          <t xml:space="preserve">Synthetic demo data</t>
        </is>
      </c>
      <c r="BE268" s="45">
        <f>IF(OR($A268="",$L268="",$H268=""),"",IF(AND(LEFT($L268,2)="06",$H268&gt;1945),"FAIL - pre-war class, year "&amp;$H268,IF(AND(LEFT($L268,2)="07",OR($H268&lt;1946,$H268&gt;1972)),"FAIL - 1946-72 class, year "&amp;$H268,IF(AND(LEFT($L268,2)="08",OR($H268&lt;1973,$H268&gt;1999)),"FAIL - 1973-99 class, year "&amp;$H268,IF(AND(LEFT($L268,2)="09",OR($H268&lt;2000,$H268&gt;2010)),"FAIL - 2000-10 class, year "&amp;$H268,"OK")))))</f>
      </c>
      <c r="BF268" s="45">
        <f>IF($AD268="","",IF(ROUND($AO268+$AP268+$AQ268-$AD268,2)=0,"OK","FAIL - out by "&amp;TEXT($AO268+$AP268+$AQ268-$AD268,"$0.00")))</f>
      </c>
    </row>
    <row r="269" spans="1:58" ht="18.75" customHeight="1" x14ac:dyDescent="0.25">
      <c r="A269" s="30" t="inlineStr">
        <is>
          <t xml:space="preserve">CANON-202511-002528</t>
        </is>
      </c>
      <c r="B269" s="30" t="inlineStr">
        <is>
          <t xml:space="preserve">Saoirse Kingsford</t>
        </is>
      </c>
      <c r="C269" s="31">
        <v>45991</v>
      </c>
      <c r="D269" s="32" t="inlineStr">
        <is>
          <t xml:space="preserve">Bound - within authority</t>
        </is>
      </c>
      <c r="E269" s="32" t="inlineStr">
        <is>
          <t xml:space="preserve">New business</t>
        </is>
      </c>
      <c r="F269" s="30" t="inlineStr">
        <is>
          <t xml:space="preserve">B1234EXOTIC26</t>
        </is>
      </c>
      <c r="G269" s="33">
        <f>IF($A269="","",IF($C269="","",YEAR($C269)))</f>
      </c>
      <c r="H269" s="34">
        <v>2008</v>
      </c>
      <c r="I269" s="30" t="inlineStr">
        <is>
          <t xml:space="preserve">Ferrari</t>
        </is>
      </c>
      <c r="J269" s="30" t="inlineStr">
        <is>
          <t xml:space="preserve">275 GTB/4</t>
        </is>
      </c>
      <c r="K269" s="30" t="inlineStr">
        <is>
          <t xml:space="preserve">YVZHH0YC2GYFE2MRT</t>
        </is>
      </c>
      <c r="L269" s="32" t="inlineStr">
        <is>
          <t xml:space="preserve">09 - Youngtimer / Collectible (2000-2010)</t>
        </is>
      </c>
      <c r="M269" s="35">
        <v>1260000</v>
      </c>
      <c r="N269" s="32" t="inlineStr">
        <is>
          <t xml:space="preserve">Personal</t>
        </is>
      </c>
      <c r="O269" s="30" t="inlineStr">
        <is>
          <t xml:space="preserve">Personal - regular use</t>
        </is>
      </c>
      <c r="P269" s="30" t="inlineStr">
        <is>
          <t xml:space="preserve">2,500 - 5,000</t>
        </is>
      </c>
      <c r="Q269" s="30" t="inlineStr">
        <is>
          <t xml:space="preserve">Alaska</t>
        </is>
      </c>
      <c r="R269" s="30" t="inlineStr">
        <is>
          <t xml:space="preserve">99501</t>
        </is>
      </c>
      <c r="S269" s="32" t="inlineStr">
        <is>
          <t xml:space="preserve">Earthquake - high (CA, Cascadia, New Madrid)</t>
        </is>
      </c>
      <c r="T269" s="36">
        <f>IF($A269="","",IF($S269="","",IFERROR(INDEX('[1]natural catastrophe'!$D$6:$D$17,MATCH($S269,'[1]natural catastrophe'!$B$6:$B$17,0)),"?")))</f>
      </c>
      <c r="U269" s="30" t="inlineStr">
        <is>
          <t xml:space="preserve">$5,000</t>
        </is>
      </c>
      <c r="V269" s="32" t="inlineStr">
        <is>
          <t xml:space="preserve">Agreed Value</t>
        </is>
      </c>
      <c r="W269" s="30" t="inlineStr">
        <is>
          <t xml:space="preserve">$1,000</t>
        </is>
      </c>
      <c r="X269" s="32" t="inlineStr">
        <is>
          <t xml:space="preserve">$1,000,000 CSL</t>
        </is>
      </c>
      <c r="Y269" s="30"/>
      <c r="Z269" s="30"/>
      <c r="AA269" s="32" t="inlineStr">
        <is>
          <t xml:space="preserve">Surplus Lines</t>
        </is>
      </c>
      <c r="AB269" s="35">
        <v>9468.64</v>
      </c>
      <c r="AC269" s="37">
        <v>0</v>
      </c>
      <c r="AD269" s="38">
        <f>IF(ISNUMBER($AB269),$AB269*(1+N($AC269)),"")</f>
      </c>
      <c r="AE269" s="35">
        <v>350</v>
      </c>
      <c r="AF269" s="35">
        <v>250</v>
      </c>
      <c r="AG269" s="37"/>
      <c r="AH269" s="39">
        <f>IF(ISNUMBER($AD269),($AD269+$AE269+$AF269)*$AG269,"")</f>
      </c>
      <c r="AI269" s="35"/>
      <c r="AJ269" s="38">
        <f>IF(ISNUMBER($AD269),SUM($AD269:$AH269),"")</f>
      </c>
      <c r="AK269" s="40">
        <f>IF(AND(ISNUMBER($AB269),ISNUMBER($AD269)),IF($AB269&gt;0,$AD269/$AB269,""),"")</f>
      </c>
      <c r="AL269" s="32" t="inlineStr">
        <is>
          <t xml:space="preserve">At technical</t>
        </is>
      </c>
      <c r="AM269" s="41">
        <f>IF(ISNUMBER($AD269),Header!$I$3,"")</f>
      </c>
      <c r="AN269" s="39">
        <f>IF(ISNUMBER($AD269),$AO269+$AP269,"")</f>
      </c>
      <c r="AO269" s="39">
        <f>IF(ISNUMBER($AD269),ROUND($AD269*Header!$K$3,2),"")</f>
      </c>
      <c r="AP269" s="39">
        <f>IF(ISNUMBER($AD269),ROUND($AD269*Header!$M$3,2),"")</f>
      </c>
      <c r="AQ269" s="38">
        <f>IF(ISNUMBER($AD269),ROUND($AD269,2)-$AO269-$AP269,"")</f>
      </c>
      <c r="AR269" s="39">
        <f>IF(ISNUMBER($AD269),IF(Header!$D$34="","?",$AD269*Header!$D$34),"")</f>
      </c>
      <c r="AS269" s="39">
        <f>IF(ISNUMBER($AB269),IF(Header!$D$34="","?",$AB269*Header!$D$34),"")</f>
      </c>
      <c r="AT269" s="42">
        <f>IF(AND(ISNUMBER($AB269),$M269&gt;0),$AB269/$M269*100,"")</f>
      </c>
      <c r="AU269" s="42">
        <f>IF(AND(ISNUMBER($AD269),$M269&gt;0),$AD269/$M269*100,"")</f>
      </c>
      <c r="AV269" s="40">
        <f>IF(AND(ISNUMBER($AB269),ISNUMBER($AD269),ABS($AB269)&gt;0),$AD269/$AB269,"")</f>
      </c>
      <c r="AW269" s="39">
        <f>IF(ISNUMBER($AD269),MAX(0,(1-0.55-Header!$O$3)*Header!$Q$3*$AQ269),"")</f>
      </c>
      <c r="AX269" s="43">
        <f>IF($A269="","",IF(TRIM(IF($A269="","Missing certificate ref. ","") &amp; IF($C269="","Missing effective date. ","") &amp; IF($D269="","Missing binding status. ","") &amp; IF($E269="","Missing movement type. ","") &amp; IF($I269="","Missing make. ","") &amp; IF($L269="","Missing vehicle class. ","") &amp; IF($M269="","Missing agreed value. ","") &amp; IF($N269="","Missing policy type. ","") &amp; IF($Q269="","Missing garaging state. ","") &amp; IF($R269="","Missing garaging ZIP. ","") &amp; IF($S269="","Missing cat zone. ","") &amp; IF($V269="","Missing valuation basis. ","") &amp; IF($W269="","Missing PD deductible. ","") &amp; IF($X269="","Missing liability limit. ","") &amp; IF($AB269="","Missing technical premium. ","") &amp; IF($AF269="","Missing surplus lines tax %. ",""))="","PASS","FAIL: "&amp;TRIM(IF($A269="","Missing certificate ref. ","") &amp; IF($C269="","Missing effective date. ","") &amp; IF($D269="","Missing binding status. ","") &amp; IF($E269="","Missing movement type. ","") &amp; IF($I269="","Missing make. ","") &amp; IF($L269="","Missing vehicle class. ","") &amp; IF($M269="","Missing agreed value. ","") &amp; IF($N269="","Missing policy type. ","") &amp; IF($Q269="","Missing garaging state. ","") &amp; IF($R269="","Missing garaging ZIP. ","") &amp; IF($S269="","Missing cat zone. ","") &amp; IF($V269="","Missing valuation basis. ","") &amp; IF($W269="","Missing PD deductible. ","") &amp; IF($X269="","Missing liability limit. ","") &amp; IF($AB269="","Missing technical premium. ","") &amp; IF($AF269="","Missing surplus lines tax %. ",""))))</f>
      </c>
      <c r="AY269" s="44">
        <f>IF($M269="","",IF(ISNUMBER($M269),IF($M269&gt;=Header!$C$18,"YES — refer","No"),""))</f>
      </c>
      <c r="AZ269" s="44">
        <f>IF($AD269="","",IF(ISNUMBER($AD269),IF($AD269&lt;Header!$C$20,"BELOW MIN PREMIUM","OK"),""))</f>
      </c>
      <c r="BA269" s="32" t="inlineStr">
        <is>
          <t xml:space="preserve">Yes</t>
        </is>
      </c>
      <c r="BB269" s="32" t="inlineStr">
        <is>
          <t xml:space="preserve">Yes</t>
        </is>
      </c>
      <c r="BC269" s="30" t="inlineStr">
        <is>
          <t xml:space="preserve">Synthetic demo data</t>
        </is>
      </c>
      <c r="BE269" s="45">
        <f>IF(OR($A269="",$L269="",$H269=""),"",IF(AND(LEFT($L269,2)="06",$H269&gt;1945),"FAIL - pre-war class, year "&amp;$H269,IF(AND(LEFT($L269,2)="07",OR($H269&lt;1946,$H269&gt;1972)),"FAIL - 1946-72 class, year "&amp;$H269,IF(AND(LEFT($L269,2)="08",OR($H269&lt;1973,$H269&gt;1999)),"FAIL - 1973-99 class, year "&amp;$H269,IF(AND(LEFT($L269,2)="09",OR($H269&lt;2000,$H269&gt;2010)),"FAIL - 2000-10 class, year "&amp;$H269,"OK")))))</f>
      </c>
      <c r="BF269" s="45">
        <f>IF($AD269="","",IF(ROUND($AO269+$AP269+$AQ269-$AD269,2)=0,"OK","FAIL - out by "&amp;TEXT($AO269+$AP269+$AQ269-$AD269,"$0.00")))</f>
      </c>
    </row>
    <row r="270" spans="1:58" ht="18.75" customHeight="1" x14ac:dyDescent="0.25">
      <c r="A270" s="46" t="inlineStr">
        <is>
          <t xml:space="preserve">CANON-202511-002529</t>
        </is>
      </c>
      <c r="B270" s="46" t="inlineStr">
        <is>
          <t xml:space="preserve">Ottilie Delacroix</t>
        </is>
      </c>
      <c r="C270" s="47">
        <v>45962</v>
      </c>
      <c r="D270" s="48" t="inlineStr">
        <is>
          <t xml:space="preserve">Bound - within authority</t>
        </is>
      </c>
      <c r="E270" s="48" t="inlineStr">
        <is>
          <t xml:space="preserve">New business</t>
        </is>
      </c>
      <c r="F270" s="46" t="inlineStr">
        <is>
          <t xml:space="preserve">B1234EXOTIC26</t>
        </is>
      </c>
      <c r="G270" s="33">
        <f>IF($A270="","",IF($C270="","",YEAR($C270)))</f>
      </c>
      <c r="H270" s="49">
        <v>1991</v>
      </c>
      <c r="I270" s="46" t="inlineStr">
        <is>
          <t xml:space="preserve">Aston Martin</t>
        </is>
      </c>
      <c r="J270" s="46" t="inlineStr">
        <is>
          <t xml:space="preserve">DB12</t>
        </is>
      </c>
      <c r="K270" s="46" t="inlineStr">
        <is>
          <t xml:space="preserve">AKY42G27U2B8V6ZFJ</t>
        </is>
      </c>
      <c r="L270" s="48" t="inlineStr">
        <is>
          <t xml:space="preserve">02 - Sports / GT</t>
        </is>
      </c>
      <c r="M270" s="50">
        <v>290000</v>
      </c>
      <c r="N270" s="48" t="inlineStr">
        <is>
          <t xml:space="preserve">Personal</t>
        </is>
      </c>
      <c r="O270" s="46" t="inlineStr">
        <is>
          <t xml:space="preserve">Personal - regular use</t>
        </is>
      </c>
      <c r="P270" s="46" t="inlineStr">
        <is>
          <t xml:space="preserve">1,000 - 2,500</t>
        </is>
      </c>
      <c r="Q270" s="46" t="inlineStr">
        <is>
          <t xml:space="preserve">Indiana</t>
        </is>
      </c>
      <c r="R270" s="46" t="inlineStr">
        <is>
          <t xml:space="preserve">46204</t>
        </is>
      </c>
      <c r="S270" s="48" t="inlineStr">
        <is>
          <t xml:space="preserve">Severe convective - hail / tornado (moderate)</t>
        </is>
      </c>
      <c r="T270" s="36">
        <f>IF($A270="","",IF($S270="","",IFERROR(INDEX('[1]natural catastrophe'!$D$6:$D$17,MATCH($S270,'[1]natural catastrophe'!$B$6:$B$17,0)),"?")))</f>
      </c>
      <c r="U270" s="46" t="inlineStr">
        <is>
          <t xml:space="preserve">$5,000</t>
        </is>
      </c>
      <c r="V270" s="48" t="inlineStr">
        <is>
          <t xml:space="preserve">Agreed Value</t>
        </is>
      </c>
      <c r="W270" s="46" t="inlineStr">
        <is>
          <t xml:space="preserve">$1,000</t>
        </is>
      </c>
      <c r="X270" s="48" t="inlineStr">
        <is>
          <t xml:space="preserve">$1,000,000 CSL</t>
        </is>
      </c>
      <c r="Y270" s="46"/>
      <c r="Z270" s="46"/>
      <c r="AA270" s="48" t="inlineStr">
        <is>
          <t xml:space="preserve">Surplus Lines</t>
        </is>
      </c>
      <c r="AB270" s="50">
        <v>4640.8</v>
      </c>
      <c r="AC270" s="51">
        <v>0</v>
      </c>
      <c r="AD270" s="38">
        <f>IF(ISNUMBER($AB270),$AB270*(1+N($AC270)),"")</f>
      </c>
      <c r="AE270" s="50">
        <v>350</v>
      </c>
      <c r="AF270" s="50">
        <v>0</v>
      </c>
      <c r="AG270" s="51"/>
      <c r="AH270" s="39">
        <f>IF(ISNUMBER($AD270),($AD270+$AE270+$AF270)*$AG270,"")</f>
      </c>
      <c r="AI270" s="50"/>
      <c r="AJ270" s="38">
        <f>IF(ISNUMBER($AD270),SUM($AD270:$AH270),"")</f>
      </c>
      <c r="AK270" s="40">
        <f>IF(AND(ISNUMBER($AB270),ISNUMBER($AD270)),IF($AB270&gt;0,$AD270/$AB270,""),"")</f>
      </c>
      <c r="AL270" s="48" t="inlineStr">
        <is>
          <t xml:space="preserve">At technical</t>
        </is>
      </c>
      <c r="AM270" s="41">
        <f>IF(ISNUMBER($AD270),Header!$I$3,"")</f>
      </c>
      <c r="AN270" s="39">
        <f>IF(ISNUMBER($AD270),$AO270+$AP270,"")</f>
      </c>
      <c r="AO270" s="39">
        <f>IF(ISNUMBER($AD270),ROUND($AD270*Header!$K$3,2),"")</f>
      </c>
      <c r="AP270" s="39">
        <f>IF(ISNUMBER($AD270),ROUND($AD270*Header!$M$3,2),"")</f>
      </c>
      <c r="AQ270" s="38">
        <f>IF(ISNUMBER($AD270),ROUND($AD270,2)-$AO270-$AP270,"")</f>
      </c>
      <c r="AR270" s="39">
        <f>IF(ISNUMBER($AD270),IF(Header!$D$34="","?",$AD270*Header!$D$34),"")</f>
      </c>
      <c r="AS270" s="39">
        <f>IF(ISNUMBER($AB270),IF(Header!$D$34="","?",$AB270*Header!$D$34),"")</f>
      </c>
      <c r="AT270" s="42">
        <f>IF(AND(ISNUMBER($AB270),$M270&gt;0),$AB270/$M270*100,"")</f>
      </c>
      <c r="AU270" s="42">
        <f>IF(AND(ISNUMBER($AD270),$M270&gt;0),$AD270/$M270*100,"")</f>
      </c>
      <c r="AV270" s="40">
        <f>IF(AND(ISNUMBER($AB270),ISNUMBER($AD270),ABS($AB270)&gt;0),$AD270/$AB270,"")</f>
      </c>
      <c r="AW270" s="39">
        <f>IF(ISNUMBER($AD270),MAX(0,(1-0.55-Header!$O$3)*Header!$Q$3*$AQ270),"")</f>
      </c>
      <c r="AX270" s="43">
        <f>IF($A270="","",IF(TRIM(IF($A270="","Missing certificate ref. ","") &amp; IF($C270="","Missing effective date. ","") &amp; IF($D270="","Missing binding status. ","") &amp; IF($E270="","Missing movement type. ","") &amp; IF($I270="","Missing make. ","") &amp; IF($L270="","Missing vehicle class. ","") &amp; IF($M270="","Missing agreed value. ","") &amp; IF($N270="","Missing policy type. ","") &amp; IF($Q270="","Missing garaging state. ","") &amp; IF($R270="","Missing garaging ZIP. ","") &amp; IF($S270="","Missing cat zone. ","") &amp; IF($V270="","Missing valuation basis. ","") &amp; IF($W270="","Missing PD deductible. ","") &amp; IF($X270="","Missing liability limit. ","") &amp; IF($AB270="","Missing technical premium. ","") &amp; IF($AF270="","Missing surplus lines tax %. ",""))="","PASS","FAIL: "&amp;TRIM(IF($A270="","Missing certificate ref. ","") &amp; IF($C270="","Missing effective date. ","") &amp; IF($D270="","Missing binding status. ","") &amp; IF($E270="","Missing movement type. ","") &amp; IF($I270="","Missing make. ","") &amp; IF($L270="","Missing vehicle class. ","") &amp; IF($M270="","Missing agreed value. ","") &amp; IF($N270="","Missing policy type. ","") &amp; IF($Q270="","Missing garaging state. ","") &amp; IF($R270="","Missing garaging ZIP. ","") &amp; IF($S270="","Missing cat zone. ","") &amp; IF($V270="","Missing valuation basis. ","") &amp; IF($W270="","Missing PD deductible. ","") &amp; IF($X270="","Missing liability limit. ","") &amp; IF($AB270="","Missing technical premium. ","") &amp; IF($AF270="","Missing surplus lines tax %. ",""))))</f>
      </c>
      <c r="AY270" s="44">
        <f>IF($M270="","",IF(ISNUMBER($M270),IF($M270&gt;=Header!$C$18,"YES — refer","No"),""))</f>
      </c>
      <c r="AZ270" s="44">
        <f>IF($AD270="","",IF(ISNUMBER($AD270),IF($AD270&lt;Header!$C$20,"BELOW MIN PREMIUM","OK"),""))</f>
      </c>
      <c r="BA270" s="48" t="inlineStr">
        <is>
          <t xml:space="preserve">Yes</t>
        </is>
      </c>
      <c r="BB270" s="48" t="inlineStr">
        <is>
          <t xml:space="preserve">Yes</t>
        </is>
      </c>
      <c r="BC270" s="46" t="inlineStr">
        <is>
          <t xml:space="preserve">Synthetic demo data</t>
        </is>
      </c>
      <c r="BE270" s="45">
        <f>IF(OR($A270="",$L270="",$H270=""),"",IF(AND(LEFT($L270,2)="06",$H270&gt;1945),"FAIL - pre-war class, year "&amp;$H270,IF(AND(LEFT($L270,2)="07",OR($H270&lt;1946,$H270&gt;1972)),"FAIL - 1946-72 class, year "&amp;$H270,IF(AND(LEFT($L270,2)="08",OR($H270&lt;1973,$H270&gt;1999)),"FAIL - 1973-99 class, year "&amp;$H270,IF(AND(LEFT($L270,2)="09",OR($H270&lt;2000,$H270&gt;2010)),"FAIL - 2000-10 class, year "&amp;$H270,"OK")))))</f>
      </c>
      <c r="BF270" s="45">
        <f>IF($AD270="","",IF(ROUND($AO270+$AP270+$AQ270-$AD270,2)=0,"OK","FAIL - out by "&amp;TEXT($AO270+$AP270+$AQ270-$AD270,"$0.00")))</f>
      </c>
    </row>
    <row r="271" spans="1:58" ht="18.75" customHeight="1" x14ac:dyDescent="0.25">
      <c r="A271" s="30" t="inlineStr">
        <is>
          <t xml:space="preserve">CANON-202511-002530</t>
        </is>
      </c>
      <c r="B271" s="30" t="inlineStr">
        <is>
          <t xml:space="preserve">Sunniva Pennington</t>
        </is>
      </c>
      <c r="C271" s="31">
        <v>45965</v>
      </c>
      <c r="D271" s="32" t="inlineStr">
        <is>
          <t xml:space="preserve">Bound - within authority</t>
        </is>
      </c>
      <c r="E271" s="32" t="inlineStr">
        <is>
          <t xml:space="preserve">New business</t>
        </is>
      </c>
      <c r="F271" s="30" t="inlineStr">
        <is>
          <t xml:space="preserve">B1234EXOTIC26</t>
        </is>
      </c>
      <c r="G271" s="33">
        <f>IF($A271="","",IF($C271="","",YEAR($C271)))</f>
      </c>
      <c r="H271" s="34">
        <v>1968</v>
      </c>
      <c r="I271" s="30" t="inlineStr">
        <is>
          <t xml:space="preserve">Aston Martin</t>
        </is>
      </c>
      <c r="J271" s="30" t="inlineStr">
        <is>
          <t xml:space="preserve">DB12</t>
        </is>
      </c>
      <c r="K271" s="30" t="inlineStr">
        <is>
          <t xml:space="preserve">DB4FAP0X33BSBVECB</t>
        </is>
      </c>
      <c r="L271" s="32" t="inlineStr">
        <is>
          <t xml:space="preserve">02 - Sports / GT</t>
        </is>
      </c>
      <c r="M271" s="35">
        <v>740000</v>
      </c>
      <c r="N271" s="32" t="inlineStr">
        <is>
          <t xml:space="preserve">Personal</t>
        </is>
      </c>
      <c r="O271" s="30" t="inlineStr">
        <is>
          <t xml:space="preserve">Personal - regular use</t>
        </is>
      </c>
      <c r="P271" s="30" t="inlineStr">
        <is>
          <t xml:space="preserve">1,000 - 2,500</t>
        </is>
      </c>
      <c r="Q271" s="30" t="inlineStr">
        <is>
          <t xml:space="preserve">New York</t>
        </is>
      </c>
      <c r="R271" s="30" t="inlineStr">
        <is>
          <t xml:space="preserve">10022</t>
        </is>
      </c>
      <c r="S271" s="32" t="inlineStr">
        <is>
          <t xml:space="preserve">Tier 3 - Coastal wind (25-100 miles)</t>
        </is>
      </c>
      <c r="T271" s="36">
        <f>IF($A271="","",IF($S271="","",IFERROR(INDEX('[1]natural catastrophe'!$D$6:$D$17,MATCH($S271,'[1]natural catastrophe'!$B$6:$B$17,0)),"?")))</f>
      </c>
      <c r="U271" s="30" t="inlineStr">
        <is>
          <t xml:space="preserve">2% of agreed value, minimum $10,000</t>
        </is>
      </c>
      <c r="V271" s="32" t="inlineStr">
        <is>
          <t xml:space="preserve">Agreed Value</t>
        </is>
      </c>
      <c r="W271" s="30" t="inlineStr">
        <is>
          <t xml:space="preserve">$1,000</t>
        </is>
      </c>
      <c r="X271" s="32" t="inlineStr">
        <is>
          <t xml:space="preserve">$1,000,000 CSL</t>
        </is>
      </c>
      <c r="Y271" s="30"/>
      <c r="Z271" s="30"/>
      <c r="AA271" s="32" t="inlineStr">
        <is>
          <t xml:space="preserve">Surplus Lines</t>
        </is>
      </c>
      <c r="AB271" s="35">
        <v>10680.3</v>
      </c>
      <c r="AC271" s="37">
        <v>0</v>
      </c>
      <c r="AD271" s="38">
        <f>IF(ISNUMBER($AB271),$AB271*(1+N($AC271)),"")</f>
      </c>
      <c r="AE271" s="35">
        <v>350</v>
      </c>
      <c r="AF271" s="35">
        <v>0</v>
      </c>
      <c r="AG271" s="37"/>
      <c r="AH271" s="39">
        <f>IF(ISNUMBER($AD271),($AD271+$AE271+$AF271)*$AG271,"")</f>
      </c>
      <c r="AI271" s="35"/>
      <c r="AJ271" s="38">
        <f>IF(ISNUMBER($AD271),SUM($AD271:$AH271),"")</f>
      </c>
      <c r="AK271" s="40">
        <f>IF(AND(ISNUMBER($AB271),ISNUMBER($AD271)),IF($AB271&gt;0,$AD271/$AB271,""),"")</f>
      </c>
      <c r="AL271" s="32" t="inlineStr">
        <is>
          <t xml:space="preserve">At technical</t>
        </is>
      </c>
      <c r="AM271" s="41">
        <f>IF(ISNUMBER($AD271),Header!$I$3,"")</f>
      </c>
      <c r="AN271" s="39">
        <f>IF(ISNUMBER($AD271),$AO271+$AP271,"")</f>
      </c>
      <c r="AO271" s="39">
        <f>IF(ISNUMBER($AD271),ROUND($AD271*Header!$K$3,2),"")</f>
      </c>
      <c r="AP271" s="39">
        <f>IF(ISNUMBER($AD271),ROUND($AD271*Header!$M$3,2),"")</f>
      </c>
      <c r="AQ271" s="38">
        <f>IF(ISNUMBER($AD271),ROUND($AD271,2)-$AO271-$AP271,"")</f>
      </c>
      <c r="AR271" s="39">
        <f>IF(ISNUMBER($AD271),IF(Header!$D$34="","?",$AD271*Header!$D$34),"")</f>
      </c>
      <c r="AS271" s="39">
        <f>IF(ISNUMBER($AB271),IF(Header!$D$34="","?",$AB271*Header!$D$34),"")</f>
      </c>
      <c r="AT271" s="42">
        <f>IF(AND(ISNUMBER($AB271),$M271&gt;0),$AB271/$M271*100,"")</f>
      </c>
      <c r="AU271" s="42">
        <f>IF(AND(ISNUMBER($AD271),$M271&gt;0),$AD271/$M271*100,"")</f>
      </c>
      <c r="AV271" s="40">
        <f>IF(AND(ISNUMBER($AB271),ISNUMBER($AD271),ABS($AB271)&gt;0),$AD271/$AB271,"")</f>
      </c>
      <c r="AW271" s="39">
        <f>IF(ISNUMBER($AD271),MAX(0,(1-0.55-Header!$O$3)*Header!$Q$3*$AQ271),"")</f>
      </c>
      <c r="AX271" s="43">
        <f>IF($A271="","",IF(TRIM(IF($A271="","Missing certificate ref. ","") &amp; IF($C271="","Missing effective date. ","") &amp; IF($D271="","Missing binding status. ","") &amp; IF($E271="","Missing movement type. ","") &amp; IF($I271="","Missing make. ","") &amp; IF($L271="","Missing vehicle class. ","") &amp; IF($M271="","Missing agreed value. ","") &amp; IF($N271="","Missing policy type. ","") &amp; IF($Q271="","Missing garaging state. ","") &amp; IF($R271="","Missing garaging ZIP. ","") &amp; IF($S271="","Missing cat zone. ","") &amp; IF($V271="","Missing valuation basis. ","") &amp; IF($W271="","Missing PD deductible. ","") &amp; IF($X271="","Missing liability limit. ","") &amp; IF($AB271="","Missing technical premium. ","") &amp; IF($AF271="","Missing surplus lines tax %. ",""))="","PASS","FAIL: "&amp;TRIM(IF($A271="","Missing certificate ref. ","") &amp; IF($C271="","Missing effective date. ","") &amp; IF($D271="","Missing binding status. ","") &amp; IF($E271="","Missing movement type. ","") &amp; IF($I271="","Missing make. ","") &amp; IF($L271="","Missing vehicle class. ","") &amp; IF($M271="","Missing agreed value. ","") &amp; IF($N271="","Missing policy type. ","") &amp; IF($Q271="","Missing garaging state. ","") &amp; IF($R271="","Missing garaging ZIP. ","") &amp; IF($S271="","Missing cat zone. ","") &amp; IF($V271="","Missing valuation basis. ","") &amp; IF($W271="","Missing PD deductible. ","") &amp; IF($X271="","Missing liability limit. ","") &amp; IF($AB271="","Missing technical premium. ","") &amp; IF($AF271="","Missing surplus lines tax %. ",""))))</f>
      </c>
      <c r="AY271" s="44">
        <f>IF($M271="","",IF(ISNUMBER($M271),IF($M271&gt;=Header!$C$18,"YES — refer","No"),""))</f>
      </c>
      <c r="AZ271" s="44">
        <f>IF($AD271="","",IF(ISNUMBER($AD271),IF($AD271&lt;Header!$C$20,"BELOW MIN PREMIUM","OK"),""))</f>
      </c>
      <c r="BA271" s="32" t="inlineStr">
        <is>
          <t xml:space="preserve">Yes</t>
        </is>
      </c>
      <c r="BB271" s="32" t="inlineStr">
        <is>
          <t xml:space="preserve">Yes</t>
        </is>
      </c>
      <c r="BC271" s="30" t="inlineStr">
        <is>
          <t xml:space="preserve">Synthetic demo data</t>
        </is>
      </c>
      <c r="BE271" s="45">
        <f>IF(OR($A271="",$L271="",$H271=""),"",IF(AND(LEFT($L271,2)="06",$H271&gt;1945),"FAIL - pre-war class, year "&amp;$H271,IF(AND(LEFT($L271,2)="07",OR($H271&lt;1946,$H271&gt;1972)),"FAIL - 1946-72 class, year "&amp;$H271,IF(AND(LEFT($L271,2)="08",OR($H271&lt;1973,$H271&gt;1999)),"FAIL - 1973-99 class, year "&amp;$H271,IF(AND(LEFT($L271,2)="09",OR($H271&lt;2000,$H271&gt;2010)),"FAIL - 2000-10 class, year "&amp;$H271,"OK")))))</f>
      </c>
      <c r="BF271" s="45">
        <f>IF($AD271="","",IF(ROUND($AO271+$AP271+$AQ271-$AD271,2)=0,"OK","FAIL - out by "&amp;TEXT($AO271+$AP271+$AQ271-$AD271,"$0.00")))</f>
      </c>
    </row>
    <row r="272" spans="1:58" ht="18.75" customHeight="1" x14ac:dyDescent="0.25">
      <c r="A272" s="46" t="inlineStr">
        <is>
          <t xml:space="preserve">CANON-202511-002531</t>
        </is>
      </c>
      <c r="B272" s="46" t="inlineStr">
        <is>
          <t xml:space="preserve">Marisol Kingsford</t>
        </is>
      </c>
      <c r="C272" s="47">
        <v>45978</v>
      </c>
      <c r="D272" s="48" t="inlineStr">
        <is>
          <t xml:space="preserve">Bound - within authority</t>
        </is>
      </c>
      <c r="E272" s="48" t="inlineStr">
        <is>
          <t xml:space="preserve">New business</t>
        </is>
      </c>
      <c r="F272" s="46" t="inlineStr">
        <is>
          <t xml:space="preserve">B1234EXOTIC26</t>
        </is>
      </c>
      <c r="G272" s="33">
        <f>IF($A272="","",IF($C272="","",YEAR($C272)))</f>
      </c>
      <c r="H272" s="49">
        <v>2005</v>
      </c>
      <c r="I272" s="46" t="inlineStr">
        <is>
          <t xml:space="preserve">Bentley</t>
        </is>
      </c>
      <c r="J272" s="46" t="inlineStr">
        <is>
          <t xml:space="preserve">Continental GT</t>
        </is>
      </c>
      <c r="K272" s="46" t="inlineStr">
        <is>
          <t xml:space="preserve">LH73KTGF7H3B1JFU3</t>
        </is>
      </c>
      <c r="L272" s="48" t="inlineStr">
        <is>
          <t xml:space="preserve">02 - Sports / GT</t>
        </is>
      </c>
      <c r="M272" s="50">
        <v>240000</v>
      </c>
      <c r="N272" s="48" t="inlineStr">
        <is>
          <t xml:space="preserve">Personal</t>
        </is>
      </c>
      <c r="O272" s="46" t="inlineStr">
        <is>
          <t xml:space="preserve">Personal - regular use</t>
        </is>
      </c>
      <c r="P272" s="46" t="inlineStr">
        <is>
          <t xml:space="preserve">2,500 - 5,000</t>
        </is>
      </c>
      <c r="Q272" s="46" t="inlineStr">
        <is>
          <t xml:space="preserve">Virginia</t>
        </is>
      </c>
      <c r="R272" s="46" t="inlineStr">
        <is>
          <t xml:space="preserve">23219</t>
        </is>
      </c>
      <c r="S272" s="48" t="inlineStr">
        <is>
          <t xml:space="preserve">Tier 3 - Coastal wind (25-100 miles)</t>
        </is>
      </c>
      <c r="T272" s="36">
        <f>IF($A272="","",IF($S272="","",IFERROR(INDEX('[1]natural catastrophe'!$D$6:$D$17,MATCH($S272,'[1]natural catastrophe'!$B$6:$B$17,0)),"?")))</f>
      </c>
      <c r="U272" s="46" t="inlineStr">
        <is>
          <t xml:space="preserve">2% of agreed value, minimum $10,000</t>
        </is>
      </c>
      <c r="V272" s="48" t="inlineStr">
        <is>
          <t xml:space="preserve">Agreed Value</t>
        </is>
      </c>
      <c r="W272" s="46" t="inlineStr">
        <is>
          <t xml:space="preserve">$1,000</t>
        </is>
      </c>
      <c r="X272" s="48" t="inlineStr">
        <is>
          <t xml:space="preserve">$1,000,000 CSL</t>
        </is>
      </c>
      <c r="Y272" s="46"/>
      <c r="Z272" s="46"/>
      <c r="AA272" s="48" t="inlineStr">
        <is>
          <t xml:space="preserve">Surplus Lines</t>
        </is>
      </c>
      <c r="AB272" s="50">
        <v>4174.98</v>
      </c>
      <c r="AC272" s="51">
        <v>0</v>
      </c>
      <c r="AD272" s="38">
        <f>IF(ISNUMBER($AB272),$AB272*(1+N($AC272)),"")</f>
      </c>
      <c r="AE272" s="50">
        <v>350</v>
      </c>
      <c r="AF272" s="50">
        <v>0</v>
      </c>
      <c r="AG272" s="51"/>
      <c r="AH272" s="39">
        <f>IF(ISNUMBER($AD272),($AD272+$AE272+$AF272)*$AG272,"")</f>
      </c>
      <c r="AI272" s="50"/>
      <c r="AJ272" s="38">
        <f>IF(ISNUMBER($AD272),SUM($AD272:$AH272),"")</f>
      </c>
      <c r="AK272" s="40">
        <f>IF(AND(ISNUMBER($AB272),ISNUMBER($AD272)),IF($AB272&gt;0,$AD272/$AB272,""),"")</f>
      </c>
      <c r="AL272" s="48" t="inlineStr">
        <is>
          <t xml:space="preserve">At technical</t>
        </is>
      </c>
      <c r="AM272" s="41">
        <f>IF(ISNUMBER($AD272),Header!$I$3,"")</f>
      </c>
      <c r="AN272" s="39">
        <f>IF(ISNUMBER($AD272),$AO272+$AP272,"")</f>
      </c>
      <c r="AO272" s="39">
        <f>IF(ISNUMBER($AD272),ROUND($AD272*Header!$K$3,2),"")</f>
      </c>
      <c r="AP272" s="39">
        <f>IF(ISNUMBER($AD272),ROUND($AD272*Header!$M$3,2),"")</f>
      </c>
      <c r="AQ272" s="38">
        <f>IF(ISNUMBER($AD272),ROUND($AD272,2)-$AO272-$AP272,"")</f>
      </c>
      <c r="AR272" s="39">
        <f>IF(ISNUMBER($AD272),IF(Header!$D$34="","?",$AD272*Header!$D$34),"")</f>
      </c>
      <c r="AS272" s="39">
        <f>IF(ISNUMBER($AB272),IF(Header!$D$34="","?",$AB272*Header!$D$34),"")</f>
      </c>
      <c r="AT272" s="42">
        <f>IF(AND(ISNUMBER($AB272),$M272&gt;0),$AB272/$M272*100,"")</f>
      </c>
      <c r="AU272" s="42">
        <f>IF(AND(ISNUMBER($AD272),$M272&gt;0),$AD272/$M272*100,"")</f>
      </c>
      <c r="AV272" s="40">
        <f>IF(AND(ISNUMBER($AB272),ISNUMBER($AD272),ABS($AB272)&gt;0),$AD272/$AB272,"")</f>
      </c>
      <c r="AW272" s="39">
        <f>IF(ISNUMBER($AD272),MAX(0,(1-0.55-Header!$O$3)*Header!$Q$3*$AQ272),"")</f>
      </c>
      <c r="AX272" s="43">
        <f>IF($A272="","",IF(TRIM(IF($A272="","Missing certificate ref. ","") &amp; IF($C272="","Missing effective date. ","") &amp; IF($D272="","Missing binding status. ","") &amp; IF($E272="","Missing movement type. ","") &amp; IF($I272="","Missing make. ","") &amp; IF($L272="","Missing vehicle class. ","") &amp; IF($M272="","Missing agreed value. ","") &amp; IF($N272="","Missing policy type. ","") &amp; IF($Q272="","Missing garaging state. ","") &amp; IF($R272="","Missing garaging ZIP. ","") &amp; IF($S272="","Missing cat zone. ","") &amp; IF($V272="","Missing valuation basis. ","") &amp; IF($W272="","Missing PD deductible. ","") &amp; IF($X272="","Missing liability limit. ","") &amp; IF($AB272="","Missing technical premium. ","") &amp; IF($AF272="","Missing surplus lines tax %. ",""))="","PASS","FAIL: "&amp;TRIM(IF($A272="","Missing certificate ref. ","") &amp; IF($C272="","Missing effective date. ","") &amp; IF($D272="","Missing binding status. ","") &amp; IF($E272="","Missing movement type. ","") &amp; IF($I272="","Missing make. ","") &amp; IF($L272="","Missing vehicle class. ","") &amp; IF($M272="","Missing agreed value. ","") &amp; IF($N272="","Missing policy type. ","") &amp; IF($Q272="","Missing garaging state. ","") &amp; IF($R272="","Missing garaging ZIP. ","") &amp; IF($S272="","Missing cat zone. ","") &amp; IF($V272="","Missing valuation basis. ","") &amp; IF($W272="","Missing PD deductible. ","") &amp; IF($X272="","Missing liability limit. ","") &amp; IF($AB272="","Missing technical premium. ","") &amp; IF($AF272="","Missing surplus lines tax %. ",""))))</f>
      </c>
      <c r="AY272" s="44">
        <f>IF($M272="","",IF(ISNUMBER($M272),IF($M272&gt;=Header!$C$18,"YES — refer","No"),""))</f>
      </c>
      <c r="AZ272" s="44">
        <f>IF($AD272="","",IF(ISNUMBER($AD272),IF($AD272&lt;Header!$C$20,"BELOW MIN PREMIUM","OK"),""))</f>
      </c>
      <c r="BA272" s="48" t="inlineStr">
        <is>
          <t xml:space="preserve">Yes</t>
        </is>
      </c>
      <c r="BB272" s="48" t="inlineStr">
        <is>
          <t xml:space="preserve">Yes</t>
        </is>
      </c>
      <c r="BC272" s="46" t="inlineStr">
        <is>
          <t xml:space="preserve">Synthetic demo data</t>
        </is>
      </c>
      <c r="BE272" s="45">
        <f>IF(OR($A272="",$L272="",$H272=""),"",IF(AND(LEFT($L272,2)="06",$H272&gt;1945),"FAIL - pre-war class, year "&amp;$H272,IF(AND(LEFT($L272,2)="07",OR($H272&lt;1946,$H272&gt;1972)),"FAIL - 1946-72 class, year "&amp;$H272,IF(AND(LEFT($L272,2)="08",OR($H272&lt;1973,$H272&gt;1999)),"FAIL - 1973-99 class, year "&amp;$H272,IF(AND(LEFT($L272,2)="09",OR($H272&lt;2000,$H272&gt;2010)),"FAIL - 2000-10 class, year "&amp;$H272,"OK")))))</f>
      </c>
      <c r="BF272" s="45">
        <f>IF($AD272="","",IF(ROUND($AO272+$AP272+$AQ272-$AD272,2)=0,"OK","FAIL - out by "&amp;TEXT($AO272+$AP272+$AQ272-$AD272,"$0.00")))</f>
      </c>
    </row>
    <row r="273" spans="1:58" ht="18.75" customHeight="1" x14ac:dyDescent="0.25">
      <c r="A273" s="30" t="inlineStr">
        <is>
          <t xml:space="preserve">CANON-202511-002533</t>
        </is>
      </c>
      <c r="B273" s="30" t="inlineStr">
        <is>
          <t xml:space="preserve">Beatrix Chattopadhyay</t>
        </is>
      </c>
      <c r="C273" s="31">
        <v>45978</v>
      </c>
      <c r="D273" s="32" t="inlineStr">
        <is>
          <t xml:space="preserve">Bound - within authority</t>
        </is>
      </c>
      <c r="E273" s="32" t="inlineStr">
        <is>
          <t xml:space="preserve">New business</t>
        </is>
      </c>
      <c r="F273" s="30" t="inlineStr">
        <is>
          <t xml:space="preserve">B1234EXOTIC26</t>
        </is>
      </c>
      <c r="G273" s="33">
        <f>IF($A273="","",IF($C273="","",YEAR($C273)))</f>
      </c>
      <c r="H273" s="34">
        <v>1971</v>
      </c>
      <c r="I273" s="30" t="inlineStr">
        <is>
          <t xml:space="preserve">Aston Martin</t>
        </is>
      </c>
      <c r="J273" s="30" t="inlineStr">
        <is>
          <t xml:space="preserve">DB12</t>
        </is>
      </c>
      <c r="K273" s="30" t="inlineStr">
        <is>
          <t xml:space="preserve">XJ0CAUNN6U90TZNAZ</t>
        </is>
      </c>
      <c r="L273" s="32" t="inlineStr">
        <is>
          <t xml:space="preserve">02 - Sports / GT</t>
        </is>
      </c>
      <c r="M273" s="35">
        <v>290000</v>
      </c>
      <c r="N273" s="32" t="inlineStr">
        <is>
          <t xml:space="preserve">Personal</t>
        </is>
      </c>
      <c r="O273" s="30" t="inlineStr">
        <is>
          <t xml:space="preserve">Personal - regular use</t>
        </is>
      </c>
      <c r="P273" s="30" t="inlineStr">
        <is>
          <t xml:space="preserve">1,000 - 2,500</t>
        </is>
      </c>
      <c r="Q273" s="30" t="inlineStr">
        <is>
          <t xml:space="preserve">Washington</t>
        </is>
      </c>
      <c r="R273" s="30" t="inlineStr">
        <is>
          <t xml:space="preserve">98101</t>
        </is>
      </c>
      <c r="S273" s="32" t="inlineStr">
        <is>
          <t xml:space="preserve">Earthquake - high (CA, Cascadia, New Madrid)</t>
        </is>
      </c>
      <c r="T273" s="36">
        <f>IF($A273="","",IF($S273="","",IFERROR(INDEX('[1]natural catastrophe'!$D$6:$D$17,MATCH($S273,'[1]natural catastrophe'!$B$6:$B$17,0)),"?")))</f>
      </c>
      <c r="U273" s="30" t="inlineStr">
        <is>
          <t xml:space="preserve">$5,000</t>
        </is>
      </c>
      <c r="V273" s="32" t="inlineStr">
        <is>
          <t xml:space="preserve">Agreed Value</t>
        </is>
      </c>
      <c r="W273" s="30" t="inlineStr">
        <is>
          <t xml:space="preserve">$1,000</t>
        </is>
      </c>
      <c r="X273" s="32" t="inlineStr">
        <is>
          <t xml:space="preserve">$1,000,000 CSL</t>
        </is>
      </c>
      <c r="Y273" s="30"/>
      <c r="Z273" s="30"/>
      <c r="AA273" s="32" t="inlineStr">
        <is>
          <t xml:space="preserve">Surplus Lines</t>
        </is>
      </c>
      <c r="AB273" s="35">
        <v>3622.09</v>
      </c>
      <c r="AC273" s="37">
        <v>0</v>
      </c>
      <c r="AD273" s="38">
        <f>IF(ISNUMBER($AB273),$AB273*(1+N($AC273)),"")</f>
      </c>
      <c r="AE273" s="35">
        <v>350</v>
      </c>
      <c r="AF273" s="35">
        <v>0</v>
      </c>
      <c r="AG273" s="37"/>
      <c r="AH273" s="39">
        <f>IF(ISNUMBER($AD273),($AD273+$AE273+$AF273)*$AG273,"")</f>
      </c>
      <c r="AI273" s="35"/>
      <c r="AJ273" s="38">
        <f>IF(ISNUMBER($AD273),SUM($AD273:$AH273),"")</f>
      </c>
      <c r="AK273" s="40">
        <f>IF(AND(ISNUMBER($AB273),ISNUMBER($AD273)),IF($AB273&gt;0,$AD273/$AB273,""),"")</f>
      </c>
      <c r="AL273" s="32" t="inlineStr">
        <is>
          <t xml:space="preserve">At technical</t>
        </is>
      </c>
      <c r="AM273" s="41">
        <f>IF(ISNUMBER($AD273),Header!$I$3,"")</f>
      </c>
      <c r="AN273" s="39">
        <f>IF(ISNUMBER($AD273),$AO273+$AP273,"")</f>
      </c>
      <c r="AO273" s="39">
        <f>IF(ISNUMBER($AD273),ROUND($AD273*Header!$K$3,2),"")</f>
      </c>
      <c r="AP273" s="39">
        <f>IF(ISNUMBER($AD273),ROUND($AD273*Header!$M$3,2),"")</f>
      </c>
      <c r="AQ273" s="38">
        <f>IF(ISNUMBER($AD273),ROUND($AD273,2)-$AO273-$AP273,"")</f>
      </c>
      <c r="AR273" s="39">
        <f>IF(ISNUMBER($AD273),IF(Header!$D$34="","?",$AD273*Header!$D$34),"")</f>
      </c>
      <c r="AS273" s="39">
        <f>IF(ISNUMBER($AB273),IF(Header!$D$34="","?",$AB273*Header!$D$34),"")</f>
      </c>
      <c r="AT273" s="42">
        <f>IF(AND(ISNUMBER($AB273),$M273&gt;0),$AB273/$M273*100,"")</f>
      </c>
      <c r="AU273" s="42">
        <f>IF(AND(ISNUMBER($AD273),$M273&gt;0),$AD273/$M273*100,"")</f>
      </c>
      <c r="AV273" s="40">
        <f>IF(AND(ISNUMBER($AB273),ISNUMBER($AD273),ABS($AB273)&gt;0),$AD273/$AB273,"")</f>
      </c>
      <c r="AW273" s="39">
        <f>IF(ISNUMBER($AD273),MAX(0,(1-0.55-Header!$O$3)*Header!$Q$3*$AQ273),"")</f>
      </c>
      <c r="AX273" s="43">
        <f>IF($A273="","",IF(TRIM(IF($A273="","Missing certificate ref. ","") &amp; IF($C273="","Missing effective date. ","") &amp; IF($D273="","Missing binding status. ","") &amp; IF($E273="","Missing movement type. ","") &amp; IF($I273="","Missing make. ","") &amp; IF($L273="","Missing vehicle class. ","") &amp; IF($M273="","Missing agreed value. ","") &amp; IF($N273="","Missing policy type. ","") &amp; IF($Q273="","Missing garaging state. ","") &amp; IF($R273="","Missing garaging ZIP. ","") &amp; IF($S273="","Missing cat zone. ","") &amp; IF($V273="","Missing valuation basis. ","") &amp; IF($W273="","Missing PD deductible. ","") &amp; IF($X273="","Missing liability limit. ","") &amp; IF($AB273="","Missing technical premium. ","") &amp; IF($AF273="","Missing surplus lines tax %. ",""))="","PASS","FAIL: "&amp;TRIM(IF($A273="","Missing certificate ref. ","") &amp; IF($C273="","Missing effective date. ","") &amp; IF($D273="","Missing binding status. ","") &amp; IF($E273="","Missing movement type. ","") &amp; IF($I273="","Missing make. ","") &amp; IF($L273="","Missing vehicle class. ","") &amp; IF($M273="","Missing agreed value. ","") &amp; IF($N273="","Missing policy type. ","") &amp; IF($Q273="","Missing garaging state. ","") &amp; IF($R273="","Missing garaging ZIP. ","") &amp; IF($S273="","Missing cat zone. ","") &amp; IF($V273="","Missing valuation basis. ","") &amp; IF($W273="","Missing PD deductible. ","") &amp; IF($X273="","Missing liability limit. ","") &amp; IF($AB273="","Missing technical premium. ","") &amp; IF($AF273="","Missing surplus lines tax %. ",""))))</f>
      </c>
      <c r="AY273" s="44">
        <f>IF($M273="","",IF(ISNUMBER($M273),IF($M273&gt;=Header!$C$18,"YES — refer","No"),""))</f>
      </c>
      <c r="AZ273" s="44">
        <f>IF($AD273="","",IF(ISNUMBER($AD273),IF($AD273&lt;Header!$C$20,"BELOW MIN PREMIUM","OK"),""))</f>
      </c>
      <c r="BA273" s="32" t="inlineStr">
        <is>
          <t xml:space="preserve">Yes</t>
        </is>
      </c>
      <c r="BB273" s="32" t="inlineStr">
        <is>
          <t xml:space="preserve">Yes</t>
        </is>
      </c>
      <c r="BC273" s="30" t="inlineStr">
        <is>
          <t xml:space="preserve">Synthetic demo data</t>
        </is>
      </c>
      <c r="BE273" s="45">
        <f>IF(OR($A273="",$L273="",$H273=""),"",IF(AND(LEFT($L273,2)="06",$H273&gt;1945),"FAIL - pre-war class, year "&amp;$H273,IF(AND(LEFT($L273,2)="07",OR($H273&lt;1946,$H273&gt;1972)),"FAIL - 1946-72 class, year "&amp;$H273,IF(AND(LEFT($L273,2)="08",OR($H273&lt;1973,$H273&gt;1999)),"FAIL - 1973-99 class, year "&amp;$H273,IF(AND(LEFT($L273,2)="09",OR($H273&lt;2000,$H273&gt;2010)),"FAIL - 2000-10 class, year "&amp;$H273,"OK")))))</f>
      </c>
      <c r="BF273" s="45">
        <f>IF($AD273="","",IF(ROUND($AO273+$AP273+$AQ273-$AD273,2)=0,"OK","FAIL - out by "&amp;TEXT($AO273+$AP273+$AQ273-$AD273,"$0.00")))</f>
      </c>
    </row>
    <row r="274" spans="1:58" ht="18.75" customHeight="1" x14ac:dyDescent="0.25">
      <c r="A274" s="46" t="inlineStr">
        <is>
          <t xml:space="preserve">CANON-202511-002534</t>
        </is>
      </c>
      <c r="B274" s="46" t="inlineStr">
        <is>
          <t xml:space="preserve">Ottilie Nakashima</t>
        </is>
      </c>
      <c r="C274" s="47">
        <v>45982</v>
      </c>
      <c r="D274" s="48" t="inlineStr">
        <is>
          <t xml:space="preserve">Bound - within authority</t>
        </is>
      </c>
      <c r="E274" s="48" t="inlineStr">
        <is>
          <t xml:space="preserve">New business</t>
        </is>
      </c>
      <c r="F274" s="46" t="inlineStr">
        <is>
          <t xml:space="preserve">B1234EXOTIC26</t>
        </is>
      </c>
      <c r="G274" s="33">
        <f>IF($A274="","",IF($C274="","",YEAR($C274)))</f>
      </c>
      <c r="H274" s="49">
        <v>2005</v>
      </c>
      <c r="I274" s="46" t="inlineStr">
        <is>
          <t xml:space="preserve">Ferrari</t>
        </is>
      </c>
      <c r="J274" s="46" t="inlineStr">
        <is>
          <t xml:space="preserve">296 GTB</t>
        </is>
      </c>
      <c r="K274" s="46" t="inlineStr">
        <is>
          <t xml:space="preserve">HL9B9C1ES34N94HLU</t>
        </is>
      </c>
      <c r="L274" s="48" t="inlineStr">
        <is>
          <t xml:space="preserve">03 - Supercar</t>
        </is>
      </c>
      <c r="M274" s="50">
        <v>500000</v>
      </c>
      <c r="N274" s="48" t="inlineStr">
        <is>
          <t xml:space="preserve">Personal</t>
        </is>
      </c>
      <c r="O274" s="46" t="inlineStr">
        <is>
          <t xml:space="preserve">Personal - regular use</t>
        </is>
      </c>
      <c r="P274" s="46" t="inlineStr">
        <is>
          <t xml:space="preserve">2,500 - 5,000</t>
        </is>
      </c>
      <c r="Q274" s="46" t="inlineStr">
        <is>
          <t xml:space="preserve">Washington</t>
        </is>
      </c>
      <c r="R274" s="46" t="inlineStr">
        <is>
          <t xml:space="preserve">98101</t>
        </is>
      </c>
      <c r="S274" s="48" t="inlineStr">
        <is>
          <t xml:space="preserve">Earthquake - high (CA, Cascadia, New Madrid)</t>
        </is>
      </c>
      <c r="T274" s="36">
        <f>IF($A274="","",IF($S274="","",IFERROR(INDEX('[1]natural catastrophe'!$D$6:$D$17,MATCH($S274,'[1]natural catastrophe'!$B$6:$B$17,0)),"?")))</f>
      </c>
      <c r="U274" s="46" t="inlineStr">
        <is>
          <t xml:space="preserve">$5,000</t>
        </is>
      </c>
      <c r="V274" s="48" t="inlineStr">
        <is>
          <t xml:space="preserve">Agreed Value</t>
        </is>
      </c>
      <c r="W274" s="46" t="inlineStr">
        <is>
          <t xml:space="preserve">$1,000</t>
        </is>
      </c>
      <c r="X274" s="48" t="inlineStr">
        <is>
          <t xml:space="preserve">$1,000,000 CSL</t>
        </is>
      </c>
      <c r="Y274" s="46"/>
      <c r="Z274" s="46"/>
      <c r="AA274" s="48" t="inlineStr">
        <is>
          <t xml:space="preserve">Surplus Lines</t>
        </is>
      </c>
      <c r="AB274" s="50">
        <v>7910.31</v>
      </c>
      <c r="AC274" s="51">
        <v>0</v>
      </c>
      <c r="AD274" s="38">
        <f>IF(ISNUMBER($AB274),$AB274*(1+N($AC274)),"")</f>
      </c>
      <c r="AE274" s="50">
        <v>350</v>
      </c>
      <c r="AF274" s="50">
        <v>0</v>
      </c>
      <c r="AG274" s="51"/>
      <c r="AH274" s="39">
        <f>IF(ISNUMBER($AD274),($AD274+$AE274+$AF274)*$AG274,"")</f>
      </c>
      <c r="AI274" s="50"/>
      <c r="AJ274" s="38">
        <f>IF(ISNUMBER($AD274),SUM($AD274:$AH274),"")</f>
      </c>
      <c r="AK274" s="40">
        <f>IF(AND(ISNUMBER($AB274),ISNUMBER($AD274)),IF($AB274&gt;0,$AD274/$AB274,""),"")</f>
      </c>
      <c r="AL274" s="48" t="inlineStr">
        <is>
          <t xml:space="preserve">At technical</t>
        </is>
      </c>
      <c r="AM274" s="41">
        <f>IF(ISNUMBER($AD274),Header!$I$3,"")</f>
      </c>
      <c r="AN274" s="39">
        <f>IF(ISNUMBER($AD274),$AO274+$AP274,"")</f>
      </c>
      <c r="AO274" s="39">
        <f>IF(ISNUMBER($AD274),ROUND($AD274*Header!$K$3,2),"")</f>
      </c>
      <c r="AP274" s="39">
        <f>IF(ISNUMBER($AD274),ROUND($AD274*Header!$M$3,2),"")</f>
      </c>
      <c r="AQ274" s="38">
        <f>IF(ISNUMBER($AD274),ROUND($AD274,2)-$AO274-$AP274,"")</f>
      </c>
      <c r="AR274" s="39">
        <f>IF(ISNUMBER($AD274),IF(Header!$D$34="","?",$AD274*Header!$D$34),"")</f>
      </c>
      <c r="AS274" s="39">
        <f>IF(ISNUMBER($AB274),IF(Header!$D$34="","?",$AB274*Header!$D$34),"")</f>
      </c>
      <c r="AT274" s="42">
        <f>IF(AND(ISNUMBER($AB274),$M274&gt;0),$AB274/$M274*100,"")</f>
      </c>
      <c r="AU274" s="42">
        <f>IF(AND(ISNUMBER($AD274),$M274&gt;0),$AD274/$M274*100,"")</f>
      </c>
      <c r="AV274" s="40">
        <f>IF(AND(ISNUMBER($AB274),ISNUMBER($AD274),ABS($AB274)&gt;0),$AD274/$AB274,"")</f>
      </c>
      <c r="AW274" s="39">
        <f>IF(ISNUMBER($AD274),MAX(0,(1-0.55-Header!$O$3)*Header!$Q$3*$AQ274),"")</f>
      </c>
      <c r="AX274" s="43">
        <f>IF($A274="","",IF(TRIM(IF($A274="","Missing certificate ref. ","") &amp; IF($C274="","Missing effective date. ","") &amp; IF($D274="","Missing binding status. ","") &amp; IF($E274="","Missing movement type. ","") &amp; IF($I274="","Missing make. ","") &amp; IF($L274="","Missing vehicle class. ","") &amp; IF($M274="","Missing agreed value. ","") &amp; IF($N274="","Missing policy type. ","") &amp; IF($Q274="","Missing garaging state. ","") &amp; IF($R274="","Missing garaging ZIP. ","") &amp; IF($S274="","Missing cat zone. ","") &amp; IF($V274="","Missing valuation basis. ","") &amp; IF($W274="","Missing PD deductible. ","") &amp; IF($X274="","Missing liability limit. ","") &amp; IF($AB274="","Missing technical premium. ","") &amp; IF($AF274="","Missing surplus lines tax %. ",""))="","PASS","FAIL: "&amp;TRIM(IF($A274="","Missing certificate ref. ","") &amp; IF($C274="","Missing effective date. ","") &amp; IF($D274="","Missing binding status. ","") &amp; IF($E274="","Missing movement type. ","") &amp; IF($I274="","Missing make. ","") &amp; IF($L274="","Missing vehicle class. ","") &amp; IF($M274="","Missing agreed value. ","") &amp; IF($N274="","Missing policy type. ","") &amp; IF($Q274="","Missing garaging state. ","") &amp; IF($R274="","Missing garaging ZIP. ","") &amp; IF($S274="","Missing cat zone. ","") &amp; IF($V274="","Missing valuation basis. ","") &amp; IF($W274="","Missing PD deductible. ","") &amp; IF($X274="","Missing liability limit. ","") &amp; IF($AB274="","Missing technical premium. ","") &amp; IF($AF274="","Missing surplus lines tax %. ",""))))</f>
      </c>
      <c r="AY274" s="44">
        <f>IF($M274="","",IF(ISNUMBER($M274),IF($M274&gt;=Header!$C$18,"YES — refer","No"),""))</f>
      </c>
      <c r="AZ274" s="44">
        <f>IF($AD274="","",IF(ISNUMBER($AD274),IF($AD274&lt;Header!$C$20,"BELOW MIN PREMIUM","OK"),""))</f>
      </c>
      <c r="BA274" s="48" t="inlineStr">
        <is>
          <t xml:space="preserve">Yes</t>
        </is>
      </c>
      <c r="BB274" s="48" t="inlineStr">
        <is>
          <t xml:space="preserve">Yes</t>
        </is>
      </c>
      <c r="BC274" s="46" t="inlineStr">
        <is>
          <t xml:space="preserve">Synthetic demo data</t>
        </is>
      </c>
      <c r="BE274" s="45">
        <f>IF(OR($A274="",$L274="",$H274=""),"",IF(AND(LEFT($L274,2)="06",$H274&gt;1945),"FAIL - pre-war class, year "&amp;$H274,IF(AND(LEFT($L274,2)="07",OR($H274&lt;1946,$H274&gt;1972)),"FAIL - 1946-72 class, year "&amp;$H274,IF(AND(LEFT($L274,2)="08",OR($H274&lt;1973,$H274&gt;1999)),"FAIL - 1973-99 class, year "&amp;$H274,IF(AND(LEFT($L274,2)="09",OR($H274&lt;2000,$H274&gt;2010)),"FAIL - 2000-10 class, year "&amp;$H274,"OK")))))</f>
      </c>
      <c r="BF274" s="45">
        <f>IF($AD274="","",IF(ROUND($AO274+$AP274+$AQ274-$AD274,2)=0,"OK","FAIL - out by "&amp;TEXT($AO274+$AP274+$AQ274-$AD274,"$0.00")))</f>
      </c>
    </row>
    <row r="275" spans="1:58" ht="18.75" customHeight="1" x14ac:dyDescent="0.25">
      <c r="A275" s="30" t="inlineStr">
        <is>
          <t xml:space="preserve">CANON-202511-002538</t>
        </is>
      </c>
      <c r="B275" s="30" t="inlineStr">
        <is>
          <t xml:space="preserve">Horace Montoya</t>
        </is>
      </c>
      <c r="C275" s="31">
        <v>45969</v>
      </c>
      <c r="D275" s="32" t="inlineStr">
        <is>
          <t xml:space="preserve">Bound - within authority</t>
        </is>
      </c>
      <c r="E275" s="32" t="inlineStr">
        <is>
          <t xml:space="preserve">New business</t>
        </is>
      </c>
      <c r="F275" s="30" t="inlineStr">
        <is>
          <t xml:space="preserve">B1234EXOTIC26</t>
        </is>
      </c>
      <c r="G275" s="33">
        <f>IF($A275="","",IF($C275="","",YEAR($C275)))</f>
      </c>
      <c r="H275" s="34">
        <v>1965</v>
      </c>
      <c r="I275" s="30" t="inlineStr">
        <is>
          <t xml:space="preserve">BMW</t>
        </is>
      </c>
      <c r="J275" s="30" t="inlineStr">
        <is>
          <t xml:space="preserve">M8 Competition</t>
        </is>
      </c>
      <c r="K275" s="30" t="inlineStr">
        <is>
          <t xml:space="preserve">T2MK1NUHESEKU2N2F</t>
        </is>
      </c>
      <c r="L275" s="32" t="inlineStr">
        <is>
          <t xml:space="preserve">02 - Sports / GT</t>
        </is>
      </c>
      <c r="M275" s="35">
        <v>1530000</v>
      </c>
      <c r="N275" s="32" t="inlineStr">
        <is>
          <t xml:space="preserve">Personal</t>
        </is>
      </c>
      <c r="O275" s="30" t="inlineStr">
        <is>
          <t xml:space="preserve">Personal - regular use</t>
        </is>
      </c>
      <c r="P275" s="30" t="inlineStr">
        <is>
          <t xml:space="preserve">1,000 - 2,500</t>
        </is>
      </c>
      <c r="Q275" s="30" t="inlineStr">
        <is>
          <t xml:space="preserve">Kansas</t>
        </is>
      </c>
      <c r="R275" s="30" t="inlineStr">
        <is>
          <t xml:space="preserve">66603</t>
        </is>
      </c>
      <c r="S275" s="32" t="inlineStr">
        <is>
          <t xml:space="preserve">Severe convective - hail alley (high)</t>
        </is>
      </c>
      <c r="T275" s="36">
        <f>IF($A275="","",IF($S275="","",IFERROR(INDEX('[1]natural catastrophe'!$D$6:$D$17,MATCH($S275,'[1]natural catastrophe'!$B$6:$B$17,0)),"?")))</f>
      </c>
      <c r="U275" s="30" t="inlineStr">
        <is>
          <t xml:space="preserve">$5,000</t>
        </is>
      </c>
      <c r="V275" s="32" t="inlineStr">
        <is>
          <t xml:space="preserve">Agreed Value</t>
        </is>
      </c>
      <c r="W275" s="30" t="inlineStr">
        <is>
          <t xml:space="preserve">$1,000</t>
        </is>
      </c>
      <c r="X275" s="32" t="inlineStr">
        <is>
          <t xml:space="preserve">$1,000,000 CSL</t>
        </is>
      </c>
      <c r="Y275" s="30"/>
      <c r="Z275" s="30"/>
      <c r="AA275" s="32" t="inlineStr">
        <is>
          <t xml:space="preserve">Surplus Lines</t>
        </is>
      </c>
      <c r="AB275" s="35">
        <v>14159.72</v>
      </c>
      <c r="AC275" s="37">
        <v>0</v>
      </c>
      <c r="AD275" s="38">
        <f>IF(ISNUMBER($AB275),$AB275*(1+N($AC275)),"")</f>
      </c>
      <c r="AE275" s="35">
        <v>350</v>
      </c>
      <c r="AF275" s="35">
        <v>250</v>
      </c>
      <c r="AG275" s="37"/>
      <c r="AH275" s="39">
        <f>IF(ISNUMBER($AD275),($AD275+$AE275+$AF275)*$AG275,"")</f>
      </c>
      <c r="AI275" s="35"/>
      <c r="AJ275" s="38">
        <f>IF(ISNUMBER($AD275),SUM($AD275:$AH275),"")</f>
      </c>
      <c r="AK275" s="40">
        <f>IF(AND(ISNUMBER($AB275),ISNUMBER($AD275)),IF($AB275&gt;0,$AD275/$AB275,""),"")</f>
      </c>
      <c r="AL275" s="32" t="inlineStr">
        <is>
          <t xml:space="preserve">At technical</t>
        </is>
      </c>
      <c r="AM275" s="41">
        <f>IF(ISNUMBER($AD275),Header!$I$3,"")</f>
      </c>
      <c r="AN275" s="39">
        <f>IF(ISNUMBER($AD275),$AO275+$AP275,"")</f>
      </c>
      <c r="AO275" s="39">
        <f>IF(ISNUMBER($AD275),ROUND($AD275*Header!$K$3,2),"")</f>
      </c>
      <c r="AP275" s="39">
        <f>IF(ISNUMBER($AD275),ROUND($AD275*Header!$M$3,2),"")</f>
      </c>
      <c r="AQ275" s="38">
        <f>IF(ISNUMBER($AD275),ROUND($AD275,2)-$AO275-$AP275,"")</f>
      </c>
      <c r="AR275" s="39">
        <f>IF(ISNUMBER($AD275),IF(Header!$D$34="","?",$AD275*Header!$D$34),"")</f>
      </c>
      <c r="AS275" s="39">
        <f>IF(ISNUMBER($AB275),IF(Header!$D$34="","?",$AB275*Header!$D$34),"")</f>
      </c>
      <c r="AT275" s="42">
        <f>IF(AND(ISNUMBER($AB275),$M275&gt;0),$AB275/$M275*100,"")</f>
      </c>
      <c r="AU275" s="42">
        <f>IF(AND(ISNUMBER($AD275),$M275&gt;0),$AD275/$M275*100,"")</f>
      </c>
      <c r="AV275" s="40">
        <f>IF(AND(ISNUMBER($AB275),ISNUMBER($AD275),ABS($AB275)&gt;0),$AD275/$AB275,"")</f>
      </c>
      <c r="AW275" s="39">
        <f>IF(ISNUMBER($AD275),MAX(0,(1-0.55-Header!$O$3)*Header!$Q$3*$AQ275),"")</f>
      </c>
      <c r="AX275" s="43">
        <f>IF($A275="","",IF(TRIM(IF($A275="","Missing certificate ref. ","") &amp; IF($C275="","Missing effective date. ","") &amp; IF($D275="","Missing binding status. ","") &amp; IF($E275="","Missing movement type. ","") &amp; IF($I275="","Missing make. ","") &amp; IF($L275="","Missing vehicle class. ","") &amp; IF($M275="","Missing agreed value. ","") &amp; IF($N275="","Missing policy type. ","") &amp; IF($Q275="","Missing garaging state. ","") &amp; IF($R275="","Missing garaging ZIP. ","") &amp; IF($S275="","Missing cat zone. ","") &amp; IF($V275="","Missing valuation basis. ","") &amp; IF($W275="","Missing PD deductible. ","") &amp; IF($X275="","Missing liability limit. ","") &amp; IF($AB275="","Missing technical premium. ","") &amp; IF($AF275="","Missing surplus lines tax %. ",""))="","PASS","FAIL: "&amp;TRIM(IF($A275="","Missing certificate ref. ","") &amp; IF($C275="","Missing effective date. ","") &amp; IF($D275="","Missing binding status. ","") &amp; IF($E275="","Missing movement type. ","") &amp; IF($I275="","Missing make. ","") &amp; IF($L275="","Missing vehicle class. ","") &amp; IF($M275="","Missing agreed value. ","") &amp; IF($N275="","Missing policy type. ","") &amp; IF($Q275="","Missing garaging state. ","") &amp; IF($R275="","Missing garaging ZIP. ","") &amp; IF($S275="","Missing cat zone. ","") &amp; IF($V275="","Missing valuation basis. ","") &amp; IF($W275="","Missing PD deductible. ","") &amp; IF($X275="","Missing liability limit. ","") &amp; IF($AB275="","Missing technical premium. ","") &amp; IF($AF275="","Missing surplus lines tax %. ",""))))</f>
      </c>
      <c r="AY275" s="44">
        <f>IF($M275="","",IF(ISNUMBER($M275),IF($M275&gt;=Header!$C$18,"YES — refer","No"),""))</f>
      </c>
      <c r="AZ275" s="44">
        <f>IF($AD275="","",IF(ISNUMBER($AD275),IF($AD275&lt;Header!$C$20,"BELOW MIN PREMIUM","OK"),""))</f>
      </c>
      <c r="BA275" s="32" t="inlineStr">
        <is>
          <t xml:space="preserve">Yes</t>
        </is>
      </c>
      <c r="BB275" s="32" t="inlineStr">
        <is>
          <t xml:space="preserve">Yes</t>
        </is>
      </c>
      <c r="BC275" s="30" t="inlineStr">
        <is>
          <t xml:space="preserve">Synthetic demo data</t>
        </is>
      </c>
      <c r="BE275" s="45">
        <f>IF(OR($A275="",$L275="",$H275=""),"",IF(AND(LEFT($L275,2)="06",$H275&gt;1945),"FAIL - pre-war class, year "&amp;$H275,IF(AND(LEFT($L275,2)="07",OR($H275&lt;1946,$H275&gt;1972)),"FAIL - 1946-72 class, year "&amp;$H275,IF(AND(LEFT($L275,2)="08",OR($H275&lt;1973,$H275&gt;1999)),"FAIL - 1973-99 class, year "&amp;$H275,IF(AND(LEFT($L275,2)="09",OR($H275&lt;2000,$H275&gt;2010)),"FAIL - 2000-10 class, year "&amp;$H275,"OK")))))</f>
      </c>
      <c r="BF275" s="45">
        <f>IF($AD275="","",IF(ROUND($AO275+$AP275+$AQ275-$AD275,2)=0,"OK","FAIL - out by "&amp;TEXT($AO275+$AP275+$AQ275-$AD275,"$0.00")))</f>
      </c>
    </row>
    <row r="276" spans="1:58" ht="18.75" customHeight="1" x14ac:dyDescent="0.25">
      <c r="A276" s="46" t="inlineStr">
        <is>
          <t xml:space="preserve">CANON-202511-002539</t>
        </is>
      </c>
      <c r="B276" s="46" t="inlineStr">
        <is>
          <t xml:space="preserve">Desmond Bellandi</t>
        </is>
      </c>
      <c r="C276" s="47">
        <v>45991</v>
      </c>
      <c r="D276" s="48" t="inlineStr">
        <is>
          <t xml:space="preserve">Bound - within authority</t>
        </is>
      </c>
      <c r="E276" s="48" t="inlineStr">
        <is>
          <t xml:space="preserve">New business</t>
        </is>
      </c>
      <c r="F276" s="46" t="inlineStr">
        <is>
          <t xml:space="preserve">B1234EXOTIC26</t>
        </is>
      </c>
      <c r="G276" s="33">
        <f>IF($A276="","",IF($C276="","",YEAR($C276)))</f>
      </c>
      <c r="H276" s="49">
        <v>1968</v>
      </c>
      <c r="I276" s="46" t="inlineStr">
        <is>
          <t xml:space="preserve">Aston Martin</t>
        </is>
      </c>
      <c r="J276" s="46" t="inlineStr">
        <is>
          <t xml:space="preserve">DB12</t>
        </is>
      </c>
      <c r="K276" s="46" t="inlineStr">
        <is>
          <t xml:space="preserve">CEH4CM4S1U0XJGVNX</t>
        </is>
      </c>
      <c r="L276" s="48" t="inlineStr">
        <is>
          <t xml:space="preserve">02 - Sports / GT</t>
        </is>
      </c>
      <c r="M276" s="50">
        <v>235000</v>
      </c>
      <c r="N276" s="48" t="inlineStr">
        <is>
          <t xml:space="preserve">Personal</t>
        </is>
      </c>
      <c r="O276" s="46" t="inlineStr">
        <is>
          <t xml:space="preserve">Personal - regular use</t>
        </is>
      </c>
      <c r="P276" s="46" t="inlineStr">
        <is>
          <t xml:space="preserve">Under 1,000</t>
        </is>
      </c>
      <c r="Q276" s="46" t="inlineStr">
        <is>
          <t xml:space="preserve">Minnesota</t>
        </is>
      </c>
      <c r="R276" s="46" t="inlineStr">
        <is>
          <t xml:space="preserve">55401</t>
        </is>
      </c>
      <c r="S276" s="48" t="inlineStr">
        <is>
          <t xml:space="preserve">Severe convective - hail / tornado (moderate)</t>
        </is>
      </c>
      <c r="T276" s="36">
        <f>IF($A276="","",IF($S276="","",IFERROR(INDEX('[1]natural catastrophe'!$D$6:$D$17,MATCH($S276,'[1]natural catastrophe'!$B$6:$B$17,0)),"?")))</f>
      </c>
      <c r="U276" s="46" t="inlineStr">
        <is>
          <t xml:space="preserve">$5,000</t>
        </is>
      </c>
      <c r="V276" s="48" t="inlineStr">
        <is>
          <t xml:space="preserve">Agreed Value</t>
        </is>
      </c>
      <c r="W276" s="46" t="inlineStr">
        <is>
          <t xml:space="preserve">$1,000</t>
        </is>
      </c>
      <c r="X276" s="48" t="inlineStr">
        <is>
          <t xml:space="preserve">$1,000,000 CSL</t>
        </is>
      </c>
      <c r="Y276" s="46"/>
      <c r="Z276" s="46"/>
      <c r="AA276" s="48" t="inlineStr">
        <is>
          <t xml:space="preserve">Surplus Lines</t>
        </is>
      </c>
      <c r="AB276" s="50">
        <v>4950.6</v>
      </c>
      <c r="AC276" s="51">
        <v>0</v>
      </c>
      <c r="AD276" s="38">
        <f>IF(ISNUMBER($AB276),$AB276*(1+N($AC276)),"")</f>
      </c>
      <c r="AE276" s="50">
        <v>350</v>
      </c>
      <c r="AF276" s="50">
        <v>0</v>
      </c>
      <c r="AG276" s="51"/>
      <c r="AH276" s="39">
        <f>IF(ISNUMBER($AD276),($AD276+$AE276+$AF276)*$AG276,"")</f>
      </c>
      <c r="AI276" s="50"/>
      <c r="AJ276" s="38">
        <f>IF(ISNUMBER($AD276),SUM($AD276:$AH276),"")</f>
      </c>
      <c r="AK276" s="40">
        <f>IF(AND(ISNUMBER($AB276),ISNUMBER($AD276)),IF($AB276&gt;0,$AD276/$AB276,""),"")</f>
      </c>
      <c r="AL276" s="48" t="inlineStr">
        <is>
          <t xml:space="preserve">At technical</t>
        </is>
      </c>
      <c r="AM276" s="41">
        <f>IF(ISNUMBER($AD276),Header!$I$3,"")</f>
      </c>
      <c r="AN276" s="39">
        <f>IF(ISNUMBER($AD276),$AO276+$AP276,"")</f>
      </c>
      <c r="AO276" s="39">
        <f>IF(ISNUMBER($AD276),ROUND($AD276*Header!$K$3,2),"")</f>
      </c>
      <c r="AP276" s="39">
        <f>IF(ISNUMBER($AD276),ROUND($AD276*Header!$M$3,2),"")</f>
      </c>
      <c r="AQ276" s="38">
        <f>IF(ISNUMBER($AD276),ROUND($AD276,2)-$AO276-$AP276,"")</f>
      </c>
      <c r="AR276" s="39">
        <f>IF(ISNUMBER($AD276),IF(Header!$D$34="","?",$AD276*Header!$D$34),"")</f>
      </c>
      <c r="AS276" s="39">
        <f>IF(ISNUMBER($AB276),IF(Header!$D$34="","?",$AB276*Header!$D$34),"")</f>
      </c>
      <c r="AT276" s="42">
        <f>IF(AND(ISNUMBER($AB276),$M276&gt;0),$AB276/$M276*100,"")</f>
      </c>
      <c r="AU276" s="42">
        <f>IF(AND(ISNUMBER($AD276),$M276&gt;0),$AD276/$M276*100,"")</f>
      </c>
      <c r="AV276" s="40">
        <f>IF(AND(ISNUMBER($AB276),ISNUMBER($AD276),ABS($AB276)&gt;0),$AD276/$AB276,"")</f>
      </c>
      <c r="AW276" s="39">
        <f>IF(ISNUMBER($AD276),MAX(0,(1-0.55-Header!$O$3)*Header!$Q$3*$AQ276),"")</f>
      </c>
      <c r="AX276" s="43">
        <f>IF($A276="","",IF(TRIM(IF($A276="","Missing certificate ref. ","") &amp; IF($C276="","Missing effective date. ","") &amp; IF($D276="","Missing binding status. ","") &amp; IF($E276="","Missing movement type. ","") &amp; IF($I276="","Missing make. ","") &amp; IF($L276="","Missing vehicle class. ","") &amp; IF($M276="","Missing agreed value. ","") &amp; IF($N276="","Missing policy type. ","") &amp; IF($Q276="","Missing garaging state. ","") &amp; IF($R276="","Missing garaging ZIP. ","") &amp; IF($S276="","Missing cat zone. ","") &amp; IF($V276="","Missing valuation basis. ","") &amp; IF($W276="","Missing PD deductible. ","") &amp; IF($X276="","Missing liability limit. ","") &amp; IF($AB276="","Missing technical premium. ","") &amp; IF($AF276="","Missing surplus lines tax %. ",""))="","PASS","FAIL: "&amp;TRIM(IF($A276="","Missing certificate ref. ","") &amp; IF($C276="","Missing effective date. ","") &amp; IF($D276="","Missing binding status. ","") &amp; IF($E276="","Missing movement type. ","") &amp; IF($I276="","Missing make. ","") &amp; IF($L276="","Missing vehicle class. ","") &amp; IF($M276="","Missing agreed value. ","") &amp; IF($N276="","Missing policy type. ","") &amp; IF($Q276="","Missing garaging state. ","") &amp; IF($R276="","Missing garaging ZIP. ","") &amp; IF($S276="","Missing cat zone. ","") &amp; IF($V276="","Missing valuation basis. ","") &amp; IF($W276="","Missing PD deductible. ","") &amp; IF($X276="","Missing liability limit. ","") &amp; IF($AB276="","Missing technical premium. ","") &amp; IF($AF276="","Missing surplus lines tax %. ",""))))</f>
      </c>
      <c r="AY276" s="44">
        <f>IF($M276="","",IF(ISNUMBER($M276),IF($M276&gt;=Header!$C$18,"YES — refer","No"),""))</f>
      </c>
      <c r="AZ276" s="44">
        <f>IF($AD276="","",IF(ISNUMBER($AD276),IF($AD276&lt;Header!$C$20,"BELOW MIN PREMIUM","OK"),""))</f>
      </c>
      <c r="BA276" s="48" t="inlineStr">
        <is>
          <t xml:space="preserve">Yes</t>
        </is>
      </c>
      <c r="BB276" s="48" t="inlineStr">
        <is>
          <t xml:space="preserve">Yes</t>
        </is>
      </c>
      <c r="BC276" s="46" t="inlineStr">
        <is>
          <t xml:space="preserve">Synthetic demo data</t>
        </is>
      </c>
      <c r="BE276" s="45">
        <f>IF(OR($A276="",$L276="",$H276=""),"",IF(AND(LEFT($L276,2)="06",$H276&gt;1945),"FAIL - pre-war class, year "&amp;$H276,IF(AND(LEFT($L276,2)="07",OR($H276&lt;1946,$H276&gt;1972)),"FAIL - 1946-72 class, year "&amp;$H276,IF(AND(LEFT($L276,2)="08",OR($H276&lt;1973,$H276&gt;1999)),"FAIL - 1973-99 class, year "&amp;$H276,IF(AND(LEFT($L276,2)="09",OR($H276&lt;2000,$H276&gt;2010)),"FAIL - 2000-10 class, year "&amp;$H276,"OK")))))</f>
      </c>
      <c r="BF276" s="45">
        <f>IF($AD276="","",IF(ROUND($AO276+$AP276+$AQ276-$AD276,2)=0,"OK","FAIL - out by "&amp;TEXT($AO276+$AP276+$AQ276-$AD276,"$0.00")))</f>
      </c>
    </row>
    <row r="277" spans="1:58" ht="18.75" customHeight="1" x14ac:dyDescent="0.25">
      <c r="A277" s="30" t="inlineStr">
        <is>
          <t xml:space="preserve">CANON-202511-002540</t>
        </is>
      </c>
      <c r="B277" s="30" t="inlineStr">
        <is>
          <t xml:space="preserve">Fitzgerald Vandermeer</t>
        </is>
      </c>
      <c r="C277" s="31">
        <v>45981</v>
      </c>
      <c r="D277" s="32" t="inlineStr">
        <is>
          <t xml:space="preserve">Bound - within authority</t>
        </is>
      </c>
      <c r="E277" s="32" t="inlineStr">
        <is>
          <t xml:space="preserve">New business</t>
        </is>
      </c>
      <c r="F277" s="30" t="inlineStr">
        <is>
          <t xml:space="preserve">B1234EXOTIC26</t>
        </is>
      </c>
      <c r="G277" s="33">
        <f>IF($A277="","",IF($C277="","",YEAR($C277)))</f>
      </c>
      <c r="H277" s="34">
        <v>2001</v>
      </c>
      <c r="I277" s="30" t="inlineStr">
        <is>
          <t xml:space="preserve">Aston Martin</t>
        </is>
      </c>
      <c r="J277" s="30" t="inlineStr">
        <is>
          <t xml:space="preserve">DB12</t>
        </is>
      </c>
      <c r="K277" s="30" t="inlineStr">
        <is>
          <t xml:space="preserve">JMPKHMSMRFXY73H42</t>
        </is>
      </c>
      <c r="L277" s="32" t="inlineStr">
        <is>
          <t xml:space="preserve">02 - Sports / GT</t>
        </is>
      </c>
      <c r="M277" s="35">
        <v>410000</v>
      </c>
      <c r="N277" s="32" t="inlineStr">
        <is>
          <t xml:space="preserve">Personal</t>
        </is>
      </c>
      <c r="O277" s="30" t="inlineStr">
        <is>
          <t xml:space="preserve">Personal - regular use</t>
        </is>
      </c>
      <c r="P277" s="30" t="inlineStr">
        <is>
          <t xml:space="preserve">2,500 - 5,000</t>
        </is>
      </c>
      <c r="Q277" s="30" t="inlineStr">
        <is>
          <t xml:space="preserve">New Jersey</t>
        </is>
      </c>
      <c r="R277" s="30" t="inlineStr">
        <is>
          <t xml:space="preserve">07102</t>
        </is>
      </c>
      <c r="S277" s="32" t="inlineStr">
        <is>
          <t xml:space="preserve">Tier 3 - Coastal wind (25-100 miles)</t>
        </is>
      </c>
      <c r="T277" s="36">
        <f>IF($A277="","",IF($S277="","",IFERROR(INDEX('[1]natural catastrophe'!$D$6:$D$17,MATCH($S277,'[1]natural catastrophe'!$B$6:$B$17,0)),"?")))</f>
      </c>
      <c r="U277" s="30" t="inlineStr">
        <is>
          <t xml:space="preserve">2% of agreed value, minimum $10,000</t>
        </is>
      </c>
      <c r="V277" s="32" t="inlineStr">
        <is>
          <t xml:space="preserve">Agreed Value</t>
        </is>
      </c>
      <c r="W277" s="30" t="inlineStr">
        <is>
          <t xml:space="preserve">$1,000</t>
        </is>
      </c>
      <c r="X277" s="32" t="inlineStr">
        <is>
          <t xml:space="preserve">$1,000,000 CSL</t>
        </is>
      </c>
      <c r="Y277" s="30"/>
      <c r="Z277" s="30"/>
      <c r="AA277" s="32" t="inlineStr">
        <is>
          <t xml:space="preserve">Surplus Lines</t>
        </is>
      </c>
      <c r="AB277" s="35">
        <v>4854.17</v>
      </c>
      <c r="AC277" s="37">
        <v>0</v>
      </c>
      <c r="AD277" s="38">
        <f>IF(ISNUMBER($AB277),$AB277*(1+N($AC277)),"")</f>
      </c>
      <c r="AE277" s="35">
        <v>350</v>
      </c>
      <c r="AF277" s="35">
        <v>0</v>
      </c>
      <c r="AG277" s="37"/>
      <c r="AH277" s="39">
        <f>IF(ISNUMBER($AD277),($AD277+$AE277+$AF277)*$AG277,"")</f>
      </c>
      <c r="AI277" s="35"/>
      <c r="AJ277" s="38">
        <f>IF(ISNUMBER($AD277),SUM($AD277:$AH277),"")</f>
      </c>
      <c r="AK277" s="40">
        <f>IF(AND(ISNUMBER($AB277),ISNUMBER($AD277)),IF($AB277&gt;0,$AD277/$AB277,""),"")</f>
      </c>
      <c r="AL277" s="32" t="inlineStr">
        <is>
          <t xml:space="preserve">At technical</t>
        </is>
      </c>
      <c r="AM277" s="41">
        <f>IF(ISNUMBER($AD277),Header!$I$3,"")</f>
      </c>
      <c r="AN277" s="39">
        <f>IF(ISNUMBER($AD277),$AO277+$AP277,"")</f>
      </c>
      <c r="AO277" s="39">
        <f>IF(ISNUMBER($AD277),ROUND($AD277*Header!$K$3,2),"")</f>
      </c>
      <c r="AP277" s="39">
        <f>IF(ISNUMBER($AD277),ROUND($AD277*Header!$M$3,2),"")</f>
      </c>
      <c r="AQ277" s="38">
        <f>IF(ISNUMBER($AD277),ROUND($AD277,2)-$AO277-$AP277,"")</f>
      </c>
      <c r="AR277" s="39">
        <f>IF(ISNUMBER($AD277),IF(Header!$D$34="","?",$AD277*Header!$D$34),"")</f>
      </c>
      <c r="AS277" s="39">
        <f>IF(ISNUMBER($AB277),IF(Header!$D$34="","?",$AB277*Header!$D$34),"")</f>
      </c>
      <c r="AT277" s="42">
        <f>IF(AND(ISNUMBER($AB277),$M277&gt;0),$AB277/$M277*100,"")</f>
      </c>
      <c r="AU277" s="42">
        <f>IF(AND(ISNUMBER($AD277),$M277&gt;0),$AD277/$M277*100,"")</f>
      </c>
      <c r="AV277" s="40">
        <f>IF(AND(ISNUMBER($AB277),ISNUMBER($AD277),ABS($AB277)&gt;0),$AD277/$AB277,"")</f>
      </c>
      <c r="AW277" s="39">
        <f>IF(ISNUMBER($AD277),MAX(0,(1-0.55-Header!$O$3)*Header!$Q$3*$AQ277),"")</f>
      </c>
      <c r="AX277" s="43">
        <f>IF($A277="","",IF(TRIM(IF($A277="","Missing certificate ref. ","") &amp; IF($C277="","Missing effective date. ","") &amp; IF($D277="","Missing binding status. ","") &amp; IF($E277="","Missing movement type. ","") &amp; IF($I277="","Missing make. ","") &amp; IF($L277="","Missing vehicle class. ","") &amp; IF($M277="","Missing agreed value. ","") &amp; IF($N277="","Missing policy type. ","") &amp; IF($Q277="","Missing garaging state. ","") &amp; IF($R277="","Missing garaging ZIP. ","") &amp; IF($S277="","Missing cat zone. ","") &amp; IF($V277="","Missing valuation basis. ","") &amp; IF($W277="","Missing PD deductible. ","") &amp; IF($X277="","Missing liability limit. ","") &amp; IF($AB277="","Missing technical premium. ","") &amp; IF($AF277="","Missing surplus lines tax %. ",""))="","PASS","FAIL: "&amp;TRIM(IF($A277="","Missing certificate ref. ","") &amp; IF($C277="","Missing effective date. ","") &amp; IF($D277="","Missing binding status. ","") &amp; IF($E277="","Missing movement type. ","") &amp; IF($I277="","Missing make. ","") &amp; IF($L277="","Missing vehicle class. ","") &amp; IF($M277="","Missing agreed value. ","") &amp; IF($N277="","Missing policy type. ","") &amp; IF($Q277="","Missing garaging state. ","") &amp; IF($R277="","Missing garaging ZIP. ","") &amp; IF($S277="","Missing cat zone. ","") &amp; IF($V277="","Missing valuation basis. ","") &amp; IF($W277="","Missing PD deductible. ","") &amp; IF($X277="","Missing liability limit. ","") &amp; IF($AB277="","Missing technical premium. ","") &amp; IF($AF277="","Missing surplus lines tax %. ",""))))</f>
      </c>
      <c r="AY277" s="44">
        <f>IF($M277="","",IF(ISNUMBER($M277),IF($M277&gt;=Header!$C$18,"YES — refer","No"),""))</f>
      </c>
      <c r="AZ277" s="44">
        <f>IF($AD277="","",IF(ISNUMBER($AD277),IF($AD277&lt;Header!$C$20,"BELOW MIN PREMIUM","OK"),""))</f>
      </c>
      <c r="BA277" s="32" t="inlineStr">
        <is>
          <t xml:space="preserve">Yes</t>
        </is>
      </c>
      <c r="BB277" s="32" t="inlineStr">
        <is>
          <t xml:space="preserve">Yes</t>
        </is>
      </c>
      <c r="BC277" s="30" t="inlineStr">
        <is>
          <t xml:space="preserve">Synthetic demo data</t>
        </is>
      </c>
      <c r="BE277" s="45">
        <f>IF(OR($A277="",$L277="",$H277=""),"",IF(AND(LEFT($L277,2)="06",$H277&gt;1945),"FAIL - pre-war class, year "&amp;$H277,IF(AND(LEFT($L277,2)="07",OR($H277&lt;1946,$H277&gt;1972)),"FAIL - 1946-72 class, year "&amp;$H277,IF(AND(LEFT($L277,2)="08",OR($H277&lt;1973,$H277&gt;1999)),"FAIL - 1973-99 class, year "&amp;$H277,IF(AND(LEFT($L277,2)="09",OR($H277&lt;2000,$H277&gt;2010)),"FAIL - 2000-10 class, year "&amp;$H277,"OK")))))</f>
      </c>
      <c r="BF277" s="45">
        <f>IF($AD277="","",IF(ROUND($AO277+$AP277+$AQ277-$AD277,2)=0,"OK","FAIL - out by "&amp;TEXT($AO277+$AP277+$AQ277-$AD277,"$0.00")))</f>
      </c>
    </row>
    <row r="278" spans="1:58" ht="18.75" customHeight="1" x14ac:dyDescent="0.25">
      <c r="A278" s="46" t="inlineStr">
        <is>
          <t xml:space="preserve">CANON-202511-002541</t>
        </is>
      </c>
      <c r="B278" s="46" t="inlineStr">
        <is>
          <t xml:space="preserve">Beatrix Nakashima</t>
        </is>
      </c>
      <c r="C278" s="47">
        <v>45969</v>
      </c>
      <c r="D278" s="48" t="inlineStr">
        <is>
          <t xml:space="preserve">Bound - within authority</t>
        </is>
      </c>
      <c r="E278" s="48" t="inlineStr">
        <is>
          <t xml:space="preserve">New business</t>
        </is>
      </c>
      <c r="F278" s="46" t="inlineStr">
        <is>
          <t xml:space="preserve">B1234EXOTIC26</t>
        </is>
      </c>
      <c r="G278" s="33">
        <f>IF($A278="","",IF($C278="","",YEAR($C278)))</f>
      </c>
      <c r="H278" s="49">
        <v>1982</v>
      </c>
      <c r="I278" s="46" t="inlineStr">
        <is>
          <t xml:space="preserve">Mercedes-Benz</t>
        </is>
      </c>
      <c r="J278" s="46" t="inlineStr">
        <is>
          <t xml:space="preserve">AMG GT</t>
        </is>
      </c>
      <c r="K278" s="46" t="inlineStr">
        <is>
          <t xml:space="preserve">ETP8EPZ31X9WNLBEU</t>
        </is>
      </c>
      <c r="L278" s="48" t="inlineStr">
        <is>
          <t xml:space="preserve">02 - Sports / GT</t>
        </is>
      </c>
      <c r="M278" s="50">
        <v>970000</v>
      </c>
      <c r="N278" s="48" t="inlineStr">
        <is>
          <t xml:space="preserve">Personal</t>
        </is>
      </c>
      <c r="O278" s="46" t="inlineStr">
        <is>
          <t xml:space="preserve">Personal - regular use</t>
        </is>
      </c>
      <c r="P278" s="46" t="inlineStr">
        <is>
          <t xml:space="preserve">2,500 - 5,000</t>
        </is>
      </c>
      <c r="Q278" s="46" t="inlineStr">
        <is>
          <t xml:space="preserve">Massachusetts</t>
        </is>
      </c>
      <c r="R278" s="46" t="inlineStr">
        <is>
          <t xml:space="preserve">02108</t>
        </is>
      </c>
      <c r="S278" s="48" t="inlineStr">
        <is>
          <t xml:space="preserve">Tier 3 - Coastal wind (25-100 miles)</t>
        </is>
      </c>
      <c r="T278" s="36">
        <f>IF($A278="","",IF($S278="","",IFERROR(INDEX('[1]natural catastrophe'!$D$6:$D$17,MATCH($S278,'[1]natural catastrophe'!$B$6:$B$17,0)),"?")))</f>
      </c>
      <c r="U278" s="46" t="inlineStr">
        <is>
          <t xml:space="preserve">2% of agreed value, minimum $10,000</t>
        </is>
      </c>
      <c r="V278" s="48" t="inlineStr">
        <is>
          <t xml:space="preserve">Agreed Value</t>
        </is>
      </c>
      <c r="W278" s="46" t="inlineStr">
        <is>
          <t xml:space="preserve">$1,000</t>
        </is>
      </c>
      <c r="X278" s="48" t="inlineStr">
        <is>
          <t xml:space="preserve">$1,000,000 CSL</t>
        </is>
      </c>
      <c r="Y278" s="46"/>
      <c r="Z278" s="46"/>
      <c r="AA278" s="48" t="inlineStr">
        <is>
          <t xml:space="preserve">Surplus Lines</t>
        </is>
      </c>
      <c r="AB278" s="50">
        <v>13671.74</v>
      </c>
      <c r="AC278" s="51">
        <v>0</v>
      </c>
      <c r="AD278" s="38">
        <f>IF(ISNUMBER($AB278),$AB278*(1+N($AC278)),"")</f>
      </c>
      <c r="AE278" s="50">
        <v>350</v>
      </c>
      <c r="AF278" s="50">
        <v>0</v>
      </c>
      <c r="AG278" s="51"/>
      <c r="AH278" s="39">
        <f>IF(ISNUMBER($AD278),($AD278+$AE278+$AF278)*$AG278,"")</f>
      </c>
      <c r="AI278" s="50"/>
      <c r="AJ278" s="38">
        <f>IF(ISNUMBER($AD278),SUM($AD278:$AH278),"")</f>
      </c>
      <c r="AK278" s="40">
        <f>IF(AND(ISNUMBER($AB278),ISNUMBER($AD278)),IF($AB278&gt;0,$AD278/$AB278,""),"")</f>
      </c>
      <c r="AL278" s="48" t="inlineStr">
        <is>
          <t xml:space="preserve">At technical</t>
        </is>
      </c>
      <c r="AM278" s="41">
        <f>IF(ISNUMBER($AD278),Header!$I$3,"")</f>
      </c>
      <c r="AN278" s="39">
        <f>IF(ISNUMBER($AD278),$AO278+$AP278,"")</f>
      </c>
      <c r="AO278" s="39">
        <f>IF(ISNUMBER($AD278),ROUND($AD278*Header!$K$3,2),"")</f>
      </c>
      <c r="AP278" s="39">
        <f>IF(ISNUMBER($AD278),ROUND($AD278*Header!$M$3,2),"")</f>
      </c>
      <c r="AQ278" s="38">
        <f>IF(ISNUMBER($AD278),ROUND($AD278,2)-$AO278-$AP278,"")</f>
      </c>
      <c r="AR278" s="39">
        <f>IF(ISNUMBER($AD278),IF(Header!$D$34="","?",$AD278*Header!$D$34),"")</f>
      </c>
      <c r="AS278" s="39">
        <f>IF(ISNUMBER($AB278),IF(Header!$D$34="","?",$AB278*Header!$D$34),"")</f>
      </c>
      <c r="AT278" s="42">
        <f>IF(AND(ISNUMBER($AB278),$M278&gt;0),$AB278/$M278*100,"")</f>
      </c>
      <c r="AU278" s="42">
        <f>IF(AND(ISNUMBER($AD278),$M278&gt;0),$AD278/$M278*100,"")</f>
      </c>
      <c r="AV278" s="40">
        <f>IF(AND(ISNUMBER($AB278),ISNUMBER($AD278),ABS($AB278)&gt;0),$AD278/$AB278,"")</f>
      </c>
      <c r="AW278" s="39">
        <f>IF(ISNUMBER($AD278),MAX(0,(1-0.55-Header!$O$3)*Header!$Q$3*$AQ278),"")</f>
      </c>
      <c r="AX278" s="43">
        <f>IF($A278="","",IF(TRIM(IF($A278="","Missing certificate ref. ","") &amp; IF($C278="","Missing effective date. ","") &amp; IF($D278="","Missing binding status. ","") &amp; IF($E278="","Missing movement type. ","") &amp; IF($I278="","Missing make. ","") &amp; IF($L278="","Missing vehicle class. ","") &amp; IF($M278="","Missing agreed value. ","") &amp; IF($N278="","Missing policy type. ","") &amp; IF($Q278="","Missing garaging state. ","") &amp; IF($R278="","Missing garaging ZIP. ","") &amp; IF($S278="","Missing cat zone. ","") &amp; IF($V278="","Missing valuation basis. ","") &amp; IF($W278="","Missing PD deductible. ","") &amp; IF($X278="","Missing liability limit. ","") &amp; IF($AB278="","Missing technical premium. ","") &amp; IF($AF278="","Missing surplus lines tax %. ",""))="","PASS","FAIL: "&amp;TRIM(IF($A278="","Missing certificate ref. ","") &amp; IF($C278="","Missing effective date. ","") &amp; IF($D278="","Missing binding status. ","") &amp; IF($E278="","Missing movement type. ","") &amp; IF($I278="","Missing make. ","") &amp; IF($L278="","Missing vehicle class. ","") &amp; IF($M278="","Missing agreed value. ","") &amp; IF($N278="","Missing policy type. ","") &amp; IF($Q278="","Missing garaging state. ","") &amp; IF($R278="","Missing garaging ZIP. ","") &amp; IF($S278="","Missing cat zone. ","") &amp; IF($V278="","Missing valuation basis. ","") &amp; IF($W278="","Missing PD deductible. ","") &amp; IF($X278="","Missing liability limit. ","") &amp; IF($AB278="","Missing technical premium. ","") &amp; IF($AF278="","Missing surplus lines tax %. ",""))))</f>
      </c>
      <c r="AY278" s="44">
        <f>IF($M278="","",IF(ISNUMBER($M278),IF($M278&gt;=Header!$C$18,"YES — refer","No"),""))</f>
      </c>
      <c r="AZ278" s="44">
        <f>IF($AD278="","",IF(ISNUMBER($AD278),IF($AD278&lt;Header!$C$20,"BELOW MIN PREMIUM","OK"),""))</f>
      </c>
      <c r="BA278" s="48" t="inlineStr">
        <is>
          <t xml:space="preserve">Yes</t>
        </is>
      </c>
      <c r="BB278" s="48" t="inlineStr">
        <is>
          <t xml:space="preserve">Yes</t>
        </is>
      </c>
      <c r="BC278" s="46" t="inlineStr">
        <is>
          <t xml:space="preserve">Synthetic demo data</t>
        </is>
      </c>
      <c r="BE278" s="45">
        <f>IF(OR($A278="",$L278="",$H278=""),"",IF(AND(LEFT($L278,2)="06",$H278&gt;1945),"FAIL - pre-war class, year "&amp;$H278,IF(AND(LEFT($L278,2)="07",OR($H278&lt;1946,$H278&gt;1972)),"FAIL - 1946-72 class, year "&amp;$H278,IF(AND(LEFT($L278,2)="08",OR($H278&lt;1973,$H278&gt;1999)),"FAIL - 1973-99 class, year "&amp;$H278,IF(AND(LEFT($L278,2)="09",OR($H278&lt;2000,$H278&gt;2010)),"FAIL - 2000-10 class, year "&amp;$H278,"OK")))))</f>
      </c>
      <c r="BF278" s="45">
        <f>IF($AD278="","",IF(ROUND($AO278+$AP278+$AQ278-$AD278,2)=0,"OK","FAIL - out by "&amp;TEXT($AO278+$AP278+$AQ278-$AD278,"$0.00")))</f>
      </c>
    </row>
    <row r="279" spans="1:58" ht="18.75" customHeight="1" x14ac:dyDescent="0.25">
      <c r="A279" s="30" t="inlineStr">
        <is>
          <t xml:space="preserve">CANON-202511-002542</t>
        </is>
      </c>
      <c r="B279" s="30" t="inlineStr">
        <is>
          <t xml:space="preserve">Saoirse Chattopadhyay</t>
        </is>
      </c>
      <c r="C279" s="31">
        <v>45980</v>
      </c>
      <c r="D279" s="32" t="inlineStr">
        <is>
          <t xml:space="preserve">Bound - within authority</t>
        </is>
      </c>
      <c r="E279" s="32" t="inlineStr">
        <is>
          <t xml:space="preserve">New business</t>
        </is>
      </c>
      <c r="F279" s="30" t="inlineStr">
        <is>
          <t xml:space="preserve">B1234EXOTIC26</t>
        </is>
      </c>
      <c r="G279" s="33">
        <f>IF($A279="","",IF($C279="","",YEAR($C279)))</f>
      </c>
      <c r="H279" s="34">
        <v>1991</v>
      </c>
      <c r="I279" s="30" t="inlineStr">
        <is>
          <t xml:space="preserve">Maserati</t>
        </is>
      </c>
      <c r="J279" s="30" t="inlineStr">
        <is>
          <t xml:space="preserve">GranTurismo</t>
        </is>
      </c>
      <c r="K279" s="30" t="inlineStr">
        <is>
          <t xml:space="preserve">1XW7GAH15FAC5HPYD</t>
        </is>
      </c>
      <c r="L279" s="32" t="inlineStr">
        <is>
          <t xml:space="preserve">02 - Sports / GT</t>
        </is>
      </c>
      <c r="M279" s="35">
        <v>265000</v>
      </c>
      <c r="N279" s="32" t="inlineStr">
        <is>
          <t xml:space="preserve">Personal</t>
        </is>
      </c>
      <c r="O279" s="30" t="inlineStr">
        <is>
          <t xml:space="preserve">Personal - regular use</t>
        </is>
      </c>
      <c r="P279" s="30" t="inlineStr">
        <is>
          <t xml:space="preserve">2,500 - 5,000</t>
        </is>
      </c>
      <c r="Q279" s="30" t="inlineStr">
        <is>
          <t xml:space="preserve">Vermont</t>
        </is>
      </c>
      <c r="R279" s="30" t="inlineStr">
        <is>
          <t xml:space="preserve">05601</t>
        </is>
      </c>
      <c r="S279" s="32" t="inlineStr">
        <is>
          <t xml:space="preserve">Low hazard - inland benign</t>
        </is>
      </c>
      <c r="T279" s="36">
        <f>IF($A279="","",IF($S279="","",IFERROR(INDEX('[1]natural catastrophe'!$D$6:$D$17,MATCH($S279,'[1]natural catastrophe'!$B$6:$B$17,0)),"?")))</f>
      </c>
      <c r="U279" s="30" t="inlineStr">
        <is>
          <t xml:space="preserve">$5,000</t>
        </is>
      </c>
      <c r="V279" s="32" t="inlineStr">
        <is>
          <t xml:space="preserve">Agreed Value</t>
        </is>
      </c>
      <c r="W279" s="30" t="inlineStr">
        <is>
          <t xml:space="preserve">$1,000</t>
        </is>
      </c>
      <c r="X279" s="32" t="inlineStr">
        <is>
          <t xml:space="preserve">$1,000,000 CSL</t>
        </is>
      </c>
      <c r="Y279" s="30"/>
      <c r="Z279" s="30"/>
      <c r="AA279" s="32" t="inlineStr">
        <is>
          <t xml:space="preserve">Surplus Lines</t>
        </is>
      </c>
      <c r="AB279" s="35">
        <v>4206.26</v>
      </c>
      <c r="AC279" s="37">
        <v>0</v>
      </c>
      <c r="AD279" s="38">
        <f>IF(ISNUMBER($AB279),$AB279*(1+N($AC279)),"")</f>
      </c>
      <c r="AE279" s="35">
        <v>350</v>
      </c>
      <c r="AF279" s="35">
        <v>0</v>
      </c>
      <c r="AG279" s="37"/>
      <c r="AH279" s="39">
        <f>IF(ISNUMBER($AD279),($AD279+$AE279+$AF279)*$AG279,"")</f>
      </c>
      <c r="AI279" s="35"/>
      <c r="AJ279" s="38">
        <f>IF(ISNUMBER($AD279),SUM($AD279:$AH279),"")</f>
      </c>
      <c r="AK279" s="40">
        <f>IF(AND(ISNUMBER($AB279),ISNUMBER($AD279)),IF($AB279&gt;0,$AD279/$AB279,""),"")</f>
      </c>
      <c r="AL279" s="32" t="inlineStr">
        <is>
          <t xml:space="preserve">At technical</t>
        </is>
      </c>
      <c r="AM279" s="41">
        <f>IF(ISNUMBER($AD279),Header!$I$3,"")</f>
      </c>
      <c r="AN279" s="39">
        <f>IF(ISNUMBER($AD279),$AO279+$AP279,"")</f>
      </c>
      <c r="AO279" s="39">
        <f>IF(ISNUMBER($AD279),ROUND($AD279*Header!$K$3,2),"")</f>
      </c>
      <c r="AP279" s="39">
        <f>IF(ISNUMBER($AD279),ROUND($AD279*Header!$M$3,2),"")</f>
      </c>
      <c r="AQ279" s="38">
        <f>IF(ISNUMBER($AD279),ROUND($AD279,2)-$AO279-$AP279,"")</f>
      </c>
      <c r="AR279" s="39">
        <f>IF(ISNUMBER($AD279),IF(Header!$D$34="","?",$AD279*Header!$D$34),"")</f>
      </c>
      <c r="AS279" s="39">
        <f>IF(ISNUMBER($AB279),IF(Header!$D$34="","?",$AB279*Header!$D$34),"")</f>
      </c>
      <c r="AT279" s="42">
        <f>IF(AND(ISNUMBER($AB279),$M279&gt;0),$AB279/$M279*100,"")</f>
      </c>
      <c r="AU279" s="42">
        <f>IF(AND(ISNUMBER($AD279),$M279&gt;0),$AD279/$M279*100,"")</f>
      </c>
      <c r="AV279" s="40">
        <f>IF(AND(ISNUMBER($AB279),ISNUMBER($AD279),ABS($AB279)&gt;0),$AD279/$AB279,"")</f>
      </c>
      <c r="AW279" s="39">
        <f>IF(ISNUMBER($AD279),MAX(0,(1-0.55-Header!$O$3)*Header!$Q$3*$AQ279),"")</f>
      </c>
      <c r="AX279" s="43">
        <f>IF($A279="","",IF(TRIM(IF($A279="","Missing certificate ref. ","") &amp; IF($C279="","Missing effective date. ","") &amp; IF($D279="","Missing binding status. ","") &amp; IF($E279="","Missing movement type. ","") &amp; IF($I279="","Missing make. ","") &amp; IF($L279="","Missing vehicle class. ","") &amp; IF($M279="","Missing agreed value. ","") &amp; IF($N279="","Missing policy type. ","") &amp; IF($Q279="","Missing garaging state. ","") &amp; IF($R279="","Missing garaging ZIP. ","") &amp; IF($S279="","Missing cat zone. ","") &amp; IF($V279="","Missing valuation basis. ","") &amp; IF($W279="","Missing PD deductible. ","") &amp; IF($X279="","Missing liability limit. ","") &amp; IF($AB279="","Missing technical premium. ","") &amp; IF($AF279="","Missing surplus lines tax %. ",""))="","PASS","FAIL: "&amp;TRIM(IF($A279="","Missing certificate ref. ","") &amp; IF($C279="","Missing effective date. ","") &amp; IF($D279="","Missing binding status. ","") &amp; IF($E279="","Missing movement type. ","") &amp; IF($I279="","Missing make. ","") &amp; IF($L279="","Missing vehicle class. ","") &amp; IF($M279="","Missing agreed value. ","") &amp; IF($N279="","Missing policy type. ","") &amp; IF($Q279="","Missing garaging state. ","") &amp; IF($R279="","Missing garaging ZIP. ","") &amp; IF($S279="","Missing cat zone. ","") &amp; IF($V279="","Missing valuation basis. ","") &amp; IF($W279="","Missing PD deductible. ","") &amp; IF($X279="","Missing liability limit. ","") &amp; IF($AB279="","Missing technical premium. ","") &amp; IF($AF279="","Missing surplus lines tax %. ",""))))</f>
      </c>
      <c r="AY279" s="44">
        <f>IF($M279="","",IF(ISNUMBER($M279),IF($M279&gt;=Header!$C$18,"YES — refer","No"),""))</f>
      </c>
      <c r="AZ279" s="44">
        <f>IF($AD279="","",IF(ISNUMBER($AD279),IF($AD279&lt;Header!$C$20,"BELOW MIN PREMIUM","OK"),""))</f>
      </c>
      <c r="BA279" s="32" t="inlineStr">
        <is>
          <t xml:space="preserve">Yes</t>
        </is>
      </c>
      <c r="BB279" s="32" t="inlineStr">
        <is>
          <t xml:space="preserve">Yes</t>
        </is>
      </c>
      <c r="BC279" s="30" t="inlineStr">
        <is>
          <t xml:space="preserve">Synthetic demo data</t>
        </is>
      </c>
      <c r="BE279" s="45">
        <f>IF(OR($A279="",$L279="",$H279=""),"",IF(AND(LEFT($L279,2)="06",$H279&gt;1945),"FAIL - pre-war class, year "&amp;$H279,IF(AND(LEFT($L279,2)="07",OR($H279&lt;1946,$H279&gt;1972)),"FAIL - 1946-72 class, year "&amp;$H279,IF(AND(LEFT($L279,2)="08",OR($H279&lt;1973,$H279&gt;1999)),"FAIL - 1973-99 class, year "&amp;$H279,IF(AND(LEFT($L279,2)="09",OR($H279&lt;2000,$H279&gt;2010)),"FAIL - 2000-10 class, year "&amp;$H279,"OK")))))</f>
      </c>
      <c r="BF279" s="45">
        <f>IF($AD279="","",IF(ROUND($AO279+$AP279+$AQ279-$AD279,2)=0,"OK","FAIL - out by "&amp;TEXT($AO279+$AP279+$AQ279-$AD279,"$0.00")))</f>
      </c>
    </row>
    <row r="280" spans="1:58" ht="18.75" customHeight="1" x14ac:dyDescent="0.25">
      <c r="A280" s="46" t="inlineStr">
        <is>
          <t xml:space="preserve">CANON-202511-002546</t>
        </is>
      </c>
      <c r="B280" s="46" t="inlineStr">
        <is>
          <t xml:space="preserve">Ramona Delacroix</t>
        </is>
      </c>
      <c r="C280" s="47">
        <v>45987</v>
      </c>
      <c r="D280" s="48" t="inlineStr">
        <is>
          <t xml:space="preserve">Bound - within authority</t>
        </is>
      </c>
      <c r="E280" s="48" t="inlineStr">
        <is>
          <t xml:space="preserve">New business</t>
        </is>
      </c>
      <c r="F280" s="46" t="inlineStr">
        <is>
          <t xml:space="preserve">B1234EXOTIC26</t>
        </is>
      </c>
      <c r="G280" s="33">
        <f>IF($A280="","",IF($C280="","",YEAR($C280)))</f>
      </c>
      <c r="H280" s="49">
        <v>2023</v>
      </c>
      <c r="I280" s="46" t="inlineStr">
        <is>
          <t xml:space="preserve">Maserati</t>
        </is>
      </c>
      <c r="J280" s="46" t="inlineStr">
        <is>
          <t xml:space="preserve">GranTurismo</t>
        </is>
      </c>
      <c r="K280" s="46" t="inlineStr">
        <is>
          <t xml:space="preserve">MMFMSVMYLK117LTST</t>
        </is>
      </c>
      <c r="L280" s="48" t="inlineStr">
        <is>
          <t xml:space="preserve">02 - Sports / GT</t>
        </is>
      </c>
      <c r="M280" s="50">
        <v>805000</v>
      </c>
      <c r="N280" s="48" t="inlineStr">
        <is>
          <t xml:space="preserve">Personal</t>
        </is>
      </c>
      <c r="O280" s="46" t="inlineStr">
        <is>
          <t xml:space="preserve">Personal - regular use</t>
        </is>
      </c>
      <c r="P280" s="46" t="inlineStr">
        <is>
          <t xml:space="preserve">Under 1,000</t>
        </is>
      </c>
      <c r="Q280" s="46" t="inlineStr">
        <is>
          <t xml:space="preserve">Maryland</t>
        </is>
      </c>
      <c r="R280" s="46" t="inlineStr">
        <is>
          <t xml:space="preserve">21201</t>
        </is>
      </c>
      <c r="S280" s="48" t="inlineStr">
        <is>
          <t xml:space="preserve">Tier 3 - Coastal wind (25-100 miles)</t>
        </is>
      </c>
      <c r="T280" s="36">
        <f>IF($A280="","",IF($S280="","",IFERROR(INDEX('[1]natural catastrophe'!$D$6:$D$17,MATCH($S280,'[1]natural catastrophe'!$B$6:$B$17,0)),"?")))</f>
      </c>
      <c r="U280" s="46" t="inlineStr">
        <is>
          <t xml:space="preserve">2% of agreed value, minimum $10,000</t>
        </is>
      </c>
      <c r="V280" s="48" t="inlineStr">
        <is>
          <t xml:space="preserve">Agreed Value</t>
        </is>
      </c>
      <c r="W280" s="46" t="inlineStr">
        <is>
          <t xml:space="preserve">$1,000</t>
        </is>
      </c>
      <c r="X280" s="48" t="inlineStr">
        <is>
          <t xml:space="preserve">$1,000,000 CSL</t>
        </is>
      </c>
      <c r="Y280" s="46"/>
      <c r="Z280" s="46"/>
      <c r="AA280" s="48" t="inlineStr">
        <is>
          <t xml:space="preserve">Surplus Lines</t>
        </is>
      </c>
      <c r="AB280" s="50">
        <v>8623.06</v>
      </c>
      <c r="AC280" s="51">
        <v>0</v>
      </c>
      <c r="AD280" s="38">
        <f>IF(ISNUMBER($AB280),$AB280*(1+N($AC280)),"")</f>
      </c>
      <c r="AE280" s="50">
        <v>350</v>
      </c>
      <c r="AF280" s="50">
        <v>0</v>
      </c>
      <c r="AG280" s="51"/>
      <c r="AH280" s="39">
        <f>IF(ISNUMBER($AD280),($AD280+$AE280+$AF280)*$AG280,"")</f>
      </c>
      <c r="AI280" s="50"/>
      <c r="AJ280" s="38">
        <f>IF(ISNUMBER($AD280),SUM($AD280:$AH280),"")</f>
      </c>
      <c r="AK280" s="40">
        <f>IF(AND(ISNUMBER($AB280),ISNUMBER($AD280)),IF($AB280&gt;0,$AD280/$AB280,""),"")</f>
      </c>
      <c r="AL280" s="48" t="inlineStr">
        <is>
          <t xml:space="preserve">At technical</t>
        </is>
      </c>
      <c r="AM280" s="41">
        <f>IF(ISNUMBER($AD280),Header!$I$3,"")</f>
      </c>
      <c r="AN280" s="39">
        <f>IF(ISNUMBER($AD280),$AO280+$AP280,"")</f>
      </c>
      <c r="AO280" s="39">
        <f>IF(ISNUMBER($AD280),ROUND($AD280*Header!$K$3,2),"")</f>
      </c>
      <c r="AP280" s="39">
        <f>IF(ISNUMBER($AD280),ROUND($AD280*Header!$M$3,2),"")</f>
      </c>
      <c r="AQ280" s="38">
        <f>IF(ISNUMBER($AD280),ROUND($AD280,2)-$AO280-$AP280,"")</f>
      </c>
      <c r="AR280" s="39">
        <f>IF(ISNUMBER($AD280),IF(Header!$D$34="","?",$AD280*Header!$D$34),"")</f>
      </c>
      <c r="AS280" s="39">
        <f>IF(ISNUMBER($AB280),IF(Header!$D$34="","?",$AB280*Header!$D$34),"")</f>
      </c>
      <c r="AT280" s="42">
        <f>IF(AND(ISNUMBER($AB280),$M280&gt;0),$AB280/$M280*100,"")</f>
      </c>
      <c r="AU280" s="42">
        <f>IF(AND(ISNUMBER($AD280),$M280&gt;0),$AD280/$M280*100,"")</f>
      </c>
      <c r="AV280" s="40">
        <f>IF(AND(ISNUMBER($AB280),ISNUMBER($AD280),ABS($AB280)&gt;0),$AD280/$AB280,"")</f>
      </c>
      <c r="AW280" s="39">
        <f>IF(ISNUMBER($AD280),MAX(0,(1-0.55-Header!$O$3)*Header!$Q$3*$AQ280),"")</f>
      </c>
      <c r="AX280" s="43">
        <f>IF($A280="","",IF(TRIM(IF($A280="","Missing certificate ref. ","") &amp; IF($C280="","Missing effective date. ","") &amp; IF($D280="","Missing binding status. ","") &amp; IF($E280="","Missing movement type. ","") &amp; IF($I280="","Missing make. ","") &amp; IF($L280="","Missing vehicle class. ","") &amp; IF($M280="","Missing agreed value. ","") &amp; IF($N280="","Missing policy type. ","") &amp; IF($Q280="","Missing garaging state. ","") &amp; IF($R280="","Missing garaging ZIP. ","") &amp; IF($S280="","Missing cat zone. ","") &amp; IF($V280="","Missing valuation basis. ","") &amp; IF($W280="","Missing PD deductible. ","") &amp; IF($X280="","Missing liability limit. ","") &amp; IF($AB280="","Missing technical premium. ","") &amp; IF($AF280="","Missing surplus lines tax %. ",""))="","PASS","FAIL: "&amp;TRIM(IF($A280="","Missing certificate ref. ","") &amp; IF($C280="","Missing effective date. ","") &amp; IF($D280="","Missing binding status. ","") &amp; IF($E280="","Missing movement type. ","") &amp; IF($I280="","Missing make. ","") &amp; IF($L280="","Missing vehicle class. ","") &amp; IF($M280="","Missing agreed value. ","") &amp; IF($N280="","Missing policy type. ","") &amp; IF($Q280="","Missing garaging state. ","") &amp; IF($R280="","Missing garaging ZIP. ","") &amp; IF($S280="","Missing cat zone. ","") &amp; IF($V280="","Missing valuation basis. ","") &amp; IF($W280="","Missing PD deductible. ","") &amp; IF($X280="","Missing liability limit. ","") &amp; IF($AB280="","Missing technical premium. ","") &amp; IF($AF280="","Missing surplus lines tax %. ",""))))</f>
      </c>
      <c r="AY280" s="44">
        <f>IF($M280="","",IF(ISNUMBER($M280),IF($M280&gt;=Header!$C$18,"YES — refer","No"),""))</f>
      </c>
      <c r="AZ280" s="44">
        <f>IF($AD280="","",IF(ISNUMBER($AD280),IF($AD280&lt;Header!$C$20,"BELOW MIN PREMIUM","OK"),""))</f>
      </c>
      <c r="BA280" s="48" t="inlineStr">
        <is>
          <t xml:space="preserve">Yes</t>
        </is>
      </c>
      <c r="BB280" s="48" t="inlineStr">
        <is>
          <t xml:space="preserve">Yes</t>
        </is>
      </c>
      <c r="BC280" s="46" t="inlineStr">
        <is>
          <t xml:space="preserve">Synthetic demo data</t>
        </is>
      </c>
      <c r="BE280" s="45">
        <f>IF(OR($A280="",$L280="",$H280=""),"",IF(AND(LEFT($L280,2)="06",$H280&gt;1945),"FAIL - pre-war class, year "&amp;$H280,IF(AND(LEFT($L280,2)="07",OR($H280&lt;1946,$H280&gt;1972)),"FAIL - 1946-72 class, year "&amp;$H280,IF(AND(LEFT($L280,2)="08",OR($H280&lt;1973,$H280&gt;1999)),"FAIL - 1973-99 class, year "&amp;$H280,IF(AND(LEFT($L280,2)="09",OR($H280&lt;2000,$H280&gt;2010)),"FAIL - 2000-10 class, year "&amp;$H280,"OK")))))</f>
      </c>
      <c r="BF280" s="45">
        <f>IF($AD280="","",IF(ROUND($AO280+$AP280+$AQ280-$AD280,2)=0,"OK","FAIL - out by "&amp;TEXT($AO280+$AP280+$AQ280-$AD280,"$0.00")))</f>
      </c>
    </row>
    <row r="281" spans="1:58" ht="18.75" customHeight="1" x14ac:dyDescent="0.25">
      <c r="A281" s="30" t="inlineStr">
        <is>
          <t xml:space="preserve">CANON-202511-002547</t>
        </is>
      </c>
      <c r="B281" s="30" t="inlineStr">
        <is>
          <t xml:space="preserve">Ottilie Ashcombe</t>
        </is>
      </c>
      <c r="C281" s="31">
        <v>45980</v>
      </c>
      <c r="D281" s="32" t="inlineStr">
        <is>
          <t xml:space="preserve">Bound - within authority</t>
        </is>
      </c>
      <c r="E281" s="32" t="inlineStr">
        <is>
          <t xml:space="preserve">New business</t>
        </is>
      </c>
      <c r="F281" s="30" t="inlineStr">
        <is>
          <t xml:space="preserve">B1234EXOTIC26</t>
        </is>
      </c>
      <c r="G281" s="33">
        <f>IF($A281="","",IF($C281="","",YEAR($C281)))</f>
      </c>
      <c r="H281" s="34">
        <v>2006</v>
      </c>
      <c r="I281" s="30" t="inlineStr">
        <is>
          <t xml:space="preserve">Ferrari</t>
        </is>
      </c>
      <c r="J281" s="30" t="inlineStr">
        <is>
          <t xml:space="preserve">SF90 Stradale</t>
        </is>
      </c>
      <c r="K281" s="30" t="inlineStr">
        <is>
          <t xml:space="preserve">JS238RYWVSFVZK632</t>
        </is>
      </c>
      <c r="L281" s="32" t="inlineStr">
        <is>
          <t xml:space="preserve">03 - Supercar</t>
        </is>
      </c>
      <c r="M281" s="35">
        <v>1215000</v>
      </c>
      <c r="N281" s="32" t="inlineStr">
        <is>
          <t xml:space="preserve">Personal</t>
        </is>
      </c>
      <c r="O281" s="30" t="inlineStr">
        <is>
          <t xml:space="preserve">Personal - regular use</t>
        </is>
      </c>
      <c r="P281" s="30" t="inlineStr">
        <is>
          <t xml:space="preserve">Under 1,000</t>
        </is>
      </c>
      <c r="Q281" s="30" t="inlineStr">
        <is>
          <t xml:space="preserve">West Virginia</t>
        </is>
      </c>
      <c r="R281" s="30" t="inlineStr">
        <is>
          <t xml:space="preserve">25301</t>
        </is>
      </c>
      <c r="S281" s="32" t="inlineStr">
        <is>
          <t xml:space="preserve">Low hazard - inland benign</t>
        </is>
      </c>
      <c r="T281" s="36">
        <f>IF($A281="","",IF($S281="","",IFERROR(INDEX('[1]natural catastrophe'!$D$6:$D$17,MATCH($S281,'[1]natural catastrophe'!$B$6:$B$17,0)),"?")))</f>
      </c>
      <c r="U281" s="30" t="inlineStr">
        <is>
          <t xml:space="preserve">$5,000</t>
        </is>
      </c>
      <c r="V281" s="32" t="inlineStr">
        <is>
          <t xml:space="preserve">Agreed Value</t>
        </is>
      </c>
      <c r="W281" s="30" t="inlineStr">
        <is>
          <t xml:space="preserve">$1,000</t>
        </is>
      </c>
      <c r="X281" s="32" t="inlineStr">
        <is>
          <t xml:space="preserve">$1,000,000 CSL</t>
        </is>
      </c>
      <c r="Y281" s="30"/>
      <c r="Z281" s="30"/>
      <c r="AA281" s="32" t="inlineStr">
        <is>
          <t xml:space="preserve">Surplus Lines</t>
        </is>
      </c>
      <c r="AB281" s="35">
        <v>22425.73</v>
      </c>
      <c r="AC281" s="37">
        <v>0</v>
      </c>
      <c r="AD281" s="38">
        <f>IF(ISNUMBER($AB281),$AB281*(1+N($AC281)),"")</f>
      </c>
      <c r="AE281" s="35">
        <v>350</v>
      </c>
      <c r="AF281" s="35">
        <v>250</v>
      </c>
      <c r="AG281" s="37"/>
      <c r="AH281" s="39">
        <f>IF(ISNUMBER($AD281),($AD281+$AE281+$AF281)*$AG281,"")</f>
      </c>
      <c r="AI281" s="35"/>
      <c r="AJ281" s="38">
        <f>IF(ISNUMBER($AD281),SUM($AD281:$AH281),"")</f>
      </c>
      <c r="AK281" s="40">
        <f>IF(AND(ISNUMBER($AB281),ISNUMBER($AD281)),IF($AB281&gt;0,$AD281/$AB281,""),"")</f>
      </c>
      <c r="AL281" s="32" t="inlineStr">
        <is>
          <t xml:space="preserve">At technical</t>
        </is>
      </c>
      <c r="AM281" s="41">
        <f>IF(ISNUMBER($AD281),Header!$I$3,"")</f>
      </c>
      <c r="AN281" s="39">
        <f>IF(ISNUMBER($AD281),$AO281+$AP281,"")</f>
      </c>
      <c r="AO281" s="39">
        <f>IF(ISNUMBER($AD281),ROUND($AD281*Header!$K$3,2),"")</f>
      </c>
      <c r="AP281" s="39">
        <f>IF(ISNUMBER($AD281),ROUND($AD281*Header!$M$3,2),"")</f>
      </c>
      <c r="AQ281" s="38">
        <f>IF(ISNUMBER($AD281),ROUND($AD281,2)-$AO281-$AP281,"")</f>
      </c>
      <c r="AR281" s="39">
        <f>IF(ISNUMBER($AD281),IF(Header!$D$34="","?",$AD281*Header!$D$34),"")</f>
      </c>
      <c r="AS281" s="39">
        <f>IF(ISNUMBER($AB281),IF(Header!$D$34="","?",$AB281*Header!$D$34),"")</f>
      </c>
      <c r="AT281" s="42">
        <f>IF(AND(ISNUMBER($AB281),$M281&gt;0),$AB281/$M281*100,"")</f>
      </c>
      <c r="AU281" s="42">
        <f>IF(AND(ISNUMBER($AD281),$M281&gt;0),$AD281/$M281*100,"")</f>
      </c>
      <c r="AV281" s="40">
        <f>IF(AND(ISNUMBER($AB281),ISNUMBER($AD281),ABS($AB281)&gt;0),$AD281/$AB281,"")</f>
      </c>
      <c r="AW281" s="39">
        <f>IF(ISNUMBER($AD281),MAX(0,(1-0.55-Header!$O$3)*Header!$Q$3*$AQ281),"")</f>
      </c>
      <c r="AX281" s="43">
        <f>IF($A281="","",IF(TRIM(IF($A281="","Missing certificate ref. ","") &amp; IF($C281="","Missing effective date. ","") &amp; IF($D281="","Missing binding status. ","") &amp; IF($E281="","Missing movement type. ","") &amp; IF($I281="","Missing make. ","") &amp; IF($L281="","Missing vehicle class. ","") &amp; IF($M281="","Missing agreed value. ","") &amp; IF($N281="","Missing policy type. ","") &amp; IF($Q281="","Missing garaging state. ","") &amp; IF($R281="","Missing garaging ZIP. ","") &amp; IF($S281="","Missing cat zone. ","") &amp; IF($V281="","Missing valuation basis. ","") &amp; IF($W281="","Missing PD deductible. ","") &amp; IF($X281="","Missing liability limit. ","") &amp; IF($AB281="","Missing technical premium. ","") &amp; IF($AF281="","Missing surplus lines tax %. ",""))="","PASS","FAIL: "&amp;TRIM(IF($A281="","Missing certificate ref. ","") &amp; IF($C281="","Missing effective date. ","") &amp; IF($D281="","Missing binding status. ","") &amp; IF($E281="","Missing movement type. ","") &amp; IF($I281="","Missing make. ","") &amp; IF($L281="","Missing vehicle class. ","") &amp; IF($M281="","Missing agreed value. ","") &amp; IF($N281="","Missing policy type. ","") &amp; IF($Q281="","Missing garaging state. ","") &amp; IF($R281="","Missing garaging ZIP. ","") &amp; IF($S281="","Missing cat zone. ","") &amp; IF($V281="","Missing valuation basis. ","") &amp; IF($W281="","Missing PD deductible. ","") &amp; IF($X281="","Missing liability limit. ","") &amp; IF($AB281="","Missing technical premium. ","") &amp; IF($AF281="","Missing surplus lines tax %. ",""))))</f>
      </c>
      <c r="AY281" s="44">
        <f>IF($M281="","",IF(ISNUMBER($M281),IF($M281&gt;=Header!$C$18,"YES — refer","No"),""))</f>
      </c>
      <c r="AZ281" s="44">
        <f>IF($AD281="","",IF(ISNUMBER($AD281),IF($AD281&lt;Header!$C$20,"BELOW MIN PREMIUM","OK"),""))</f>
      </c>
      <c r="BA281" s="32" t="inlineStr">
        <is>
          <t xml:space="preserve">Yes</t>
        </is>
      </c>
      <c r="BB281" s="32" t="inlineStr">
        <is>
          <t xml:space="preserve">Yes</t>
        </is>
      </c>
      <c r="BC281" s="30" t="inlineStr">
        <is>
          <t xml:space="preserve">Synthetic demo data</t>
        </is>
      </c>
      <c r="BE281" s="45">
        <f>IF(OR($A281="",$L281="",$H281=""),"",IF(AND(LEFT($L281,2)="06",$H281&gt;1945),"FAIL - pre-war class, year "&amp;$H281,IF(AND(LEFT($L281,2)="07",OR($H281&lt;1946,$H281&gt;1972)),"FAIL - 1946-72 class, year "&amp;$H281,IF(AND(LEFT($L281,2)="08",OR($H281&lt;1973,$H281&gt;1999)),"FAIL - 1973-99 class, year "&amp;$H281,IF(AND(LEFT($L281,2)="09",OR($H281&lt;2000,$H281&gt;2010)),"FAIL - 2000-10 class, year "&amp;$H281,"OK")))))</f>
      </c>
      <c r="BF281" s="45">
        <f>IF($AD281="","",IF(ROUND($AO281+$AP281+$AQ281-$AD281,2)=0,"OK","FAIL - out by "&amp;TEXT($AO281+$AP281+$AQ281-$AD281,"$0.00")))</f>
      </c>
    </row>
    <row r="282" spans="1:58" ht="18.75" customHeight="1" x14ac:dyDescent="0.25">
      <c r="A282" s="46" t="inlineStr">
        <is>
          <t xml:space="preserve">CANON-202511-002549</t>
        </is>
      </c>
      <c r="B282" s="46" t="inlineStr">
        <is>
          <t xml:space="preserve">Noor Vandermeer</t>
        </is>
      </c>
      <c r="C282" s="47">
        <v>45975</v>
      </c>
      <c r="D282" s="48" t="inlineStr">
        <is>
          <t xml:space="preserve">Bound - within authority</t>
        </is>
      </c>
      <c r="E282" s="48" t="inlineStr">
        <is>
          <t xml:space="preserve">New business</t>
        </is>
      </c>
      <c r="F282" s="46" t="inlineStr">
        <is>
          <t xml:space="preserve">B1234EXOTIC26</t>
        </is>
      </c>
      <c r="G282" s="33">
        <f>IF($A282="","",IF($C282="","",YEAR($C282)))</f>
      </c>
      <c r="H282" s="49">
        <v>1971</v>
      </c>
      <c r="I282" s="46" t="inlineStr">
        <is>
          <t xml:space="preserve">BMW</t>
        </is>
      </c>
      <c r="J282" s="46" t="inlineStr">
        <is>
          <t xml:space="preserve">M8 Competition</t>
        </is>
      </c>
      <c r="K282" s="46" t="inlineStr">
        <is>
          <t xml:space="preserve">B7CADAU5N7TLLBYT7</t>
        </is>
      </c>
      <c r="L282" s="48" t="inlineStr">
        <is>
          <t xml:space="preserve">02 - Sports / GT</t>
        </is>
      </c>
      <c r="M282" s="50">
        <v>490000</v>
      </c>
      <c r="N282" s="48" t="inlineStr">
        <is>
          <t xml:space="preserve">Personal</t>
        </is>
      </c>
      <c r="O282" s="46" t="inlineStr">
        <is>
          <t xml:space="preserve">Personal - regular use</t>
        </is>
      </c>
      <c r="P282" s="46" t="inlineStr">
        <is>
          <t xml:space="preserve">2,500 - 5,000</t>
        </is>
      </c>
      <c r="Q282" s="46" t="inlineStr">
        <is>
          <t xml:space="preserve">Pennsylvania</t>
        </is>
      </c>
      <c r="R282" s="46" t="inlineStr">
        <is>
          <t xml:space="preserve">19103</t>
        </is>
      </c>
      <c r="S282" s="48" t="inlineStr">
        <is>
          <t xml:space="preserve">Low hazard - inland benign</t>
        </is>
      </c>
      <c r="T282" s="36">
        <f>IF($A282="","",IF($S282="","",IFERROR(INDEX('[1]natural catastrophe'!$D$6:$D$17,MATCH($S282,'[1]natural catastrophe'!$B$6:$B$17,0)),"?")))</f>
      </c>
      <c r="U282" s="46" t="inlineStr">
        <is>
          <t xml:space="preserve">$5,000</t>
        </is>
      </c>
      <c r="V282" s="48" t="inlineStr">
        <is>
          <t xml:space="preserve">Agreed Value</t>
        </is>
      </c>
      <c r="W282" s="46" t="inlineStr">
        <is>
          <t xml:space="preserve">$1,000</t>
        </is>
      </c>
      <c r="X282" s="48" t="inlineStr">
        <is>
          <t xml:space="preserve">$1,000,000 CSL</t>
        </is>
      </c>
      <c r="Y282" s="46"/>
      <c r="Z282" s="46"/>
      <c r="AA282" s="48" t="inlineStr">
        <is>
          <t xml:space="preserve">Surplus Lines</t>
        </is>
      </c>
      <c r="AB282" s="50">
        <v>6375.08</v>
      </c>
      <c r="AC282" s="51">
        <v>0</v>
      </c>
      <c r="AD282" s="38">
        <f>IF(ISNUMBER($AB282),$AB282*(1+N($AC282)),"")</f>
      </c>
      <c r="AE282" s="50">
        <v>350</v>
      </c>
      <c r="AF282" s="50">
        <v>0</v>
      </c>
      <c r="AG282" s="51"/>
      <c r="AH282" s="39">
        <f>IF(ISNUMBER($AD282),($AD282+$AE282+$AF282)*$AG282,"")</f>
      </c>
      <c r="AI282" s="50"/>
      <c r="AJ282" s="38">
        <f>IF(ISNUMBER($AD282),SUM($AD282:$AH282),"")</f>
      </c>
      <c r="AK282" s="40">
        <f>IF(AND(ISNUMBER($AB282),ISNUMBER($AD282)),IF($AB282&gt;0,$AD282/$AB282,""),"")</f>
      </c>
      <c r="AL282" s="48" t="inlineStr">
        <is>
          <t xml:space="preserve">At technical</t>
        </is>
      </c>
      <c r="AM282" s="41">
        <f>IF(ISNUMBER($AD282),Header!$I$3,"")</f>
      </c>
      <c r="AN282" s="39">
        <f>IF(ISNUMBER($AD282),$AO282+$AP282,"")</f>
      </c>
      <c r="AO282" s="39">
        <f>IF(ISNUMBER($AD282),ROUND($AD282*Header!$K$3,2),"")</f>
      </c>
      <c r="AP282" s="39">
        <f>IF(ISNUMBER($AD282),ROUND($AD282*Header!$M$3,2),"")</f>
      </c>
      <c r="AQ282" s="38">
        <f>IF(ISNUMBER($AD282),ROUND($AD282,2)-$AO282-$AP282,"")</f>
      </c>
      <c r="AR282" s="39">
        <f>IF(ISNUMBER($AD282),IF(Header!$D$34="","?",$AD282*Header!$D$34),"")</f>
      </c>
      <c r="AS282" s="39">
        <f>IF(ISNUMBER($AB282),IF(Header!$D$34="","?",$AB282*Header!$D$34),"")</f>
      </c>
      <c r="AT282" s="42">
        <f>IF(AND(ISNUMBER($AB282),$M282&gt;0),$AB282/$M282*100,"")</f>
      </c>
      <c r="AU282" s="42">
        <f>IF(AND(ISNUMBER($AD282),$M282&gt;0),$AD282/$M282*100,"")</f>
      </c>
      <c r="AV282" s="40">
        <f>IF(AND(ISNUMBER($AB282),ISNUMBER($AD282),ABS($AB282)&gt;0),$AD282/$AB282,"")</f>
      </c>
      <c r="AW282" s="39">
        <f>IF(ISNUMBER($AD282),MAX(0,(1-0.55-Header!$O$3)*Header!$Q$3*$AQ282),"")</f>
      </c>
      <c r="AX282" s="43">
        <f>IF($A282="","",IF(TRIM(IF($A282="","Missing certificate ref. ","") &amp; IF($C282="","Missing effective date. ","") &amp; IF($D282="","Missing binding status. ","") &amp; IF($E282="","Missing movement type. ","") &amp; IF($I282="","Missing make. ","") &amp; IF($L282="","Missing vehicle class. ","") &amp; IF($M282="","Missing agreed value. ","") &amp; IF($N282="","Missing policy type. ","") &amp; IF($Q282="","Missing garaging state. ","") &amp; IF($R282="","Missing garaging ZIP. ","") &amp; IF($S282="","Missing cat zone. ","") &amp; IF($V282="","Missing valuation basis. ","") &amp; IF($W282="","Missing PD deductible. ","") &amp; IF($X282="","Missing liability limit. ","") &amp; IF($AB282="","Missing technical premium. ","") &amp; IF($AF282="","Missing surplus lines tax %. ",""))="","PASS","FAIL: "&amp;TRIM(IF($A282="","Missing certificate ref. ","") &amp; IF($C282="","Missing effective date. ","") &amp; IF($D282="","Missing binding status. ","") &amp; IF($E282="","Missing movement type. ","") &amp; IF($I282="","Missing make. ","") &amp; IF($L282="","Missing vehicle class. ","") &amp; IF($M282="","Missing agreed value. ","") &amp; IF($N282="","Missing policy type. ","") &amp; IF($Q282="","Missing garaging state. ","") &amp; IF($R282="","Missing garaging ZIP. ","") &amp; IF($S282="","Missing cat zone. ","") &amp; IF($V282="","Missing valuation basis. ","") &amp; IF($W282="","Missing PD deductible. ","") &amp; IF($X282="","Missing liability limit. ","") &amp; IF($AB282="","Missing technical premium. ","") &amp; IF($AF282="","Missing surplus lines tax %. ",""))))</f>
      </c>
      <c r="AY282" s="44">
        <f>IF($M282="","",IF(ISNUMBER($M282),IF($M282&gt;=Header!$C$18,"YES — refer","No"),""))</f>
      </c>
      <c r="AZ282" s="44">
        <f>IF($AD282="","",IF(ISNUMBER($AD282),IF($AD282&lt;Header!$C$20,"BELOW MIN PREMIUM","OK"),""))</f>
      </c>
      <c r="BA282" s="48" t="inlineStr">
        <is>
          <t xml:space="preserve">Yes</t>
        </is>
      </c>
      <c r="BB282" s="48" t="inlineStr">
        <is>
          <t xml:space="preserve">Yes</t>
        </is>
      </c>
      <c r="BC282" s="46" t="inlineStr">
        <is>
          <t xml:space="preserve">Synthetic demo data</t>
        </is>
      </c>
      <c r="BE282" s="45">
        <f>IF(OR($A282="",$L282="",$H282=""),"",IF(AND(LEFT($L282,2)="06",$H282&gt;1945),"FAIL - pre-war class, year "&amp;$H282,IF(AND(LEFT($L282,2)="07",OR($H282&lt;1946,$H282&gt;1972)),"FAIL - 1946-72 class, year "&amp;$H282,IF(AND(LEFT($L282,2)="08",OR($H282&lt;1973,$H282&gt;1999)),"FAIL - 1973-99 class, year "&amp;$H282,IF(AND(LEFT($L282,2)="09",OR($H282&lt;2000,$H282&gt;2010)),"FAIL - 2000-10 class, year "&amp;$H282,"OK")))))</f>
      </c>
      <c r="BF282" s="45">
        <f>IF($AD282="","",IF(ROUND($AO282+$AP282+$AQ282-$AD282,2)=0,"OK","FAIL - out by "&amp;TEXT($AO282+$AP282+$AQ282-$AD282,"$0.00")))</f>
      </c>
    </row>
    <row r="283" spans="1:58" ht="18.75" customHeight="1" x14ac:dyDescent="0.25">
      <c r="A283" s="30" t="inlineStr">
        <is>
          <t xml:space="preserve">CANON-202511-002550</t>
        </is>
      </c>
      <c r="B283" s="30" t="inlineStr">
        <is>
          <t xml:space="preserve">Ramona Nakashima</t>
        </is>
      </c>
      <c r="C283" s="31">
        <v>45963</v>
      </c>
      <c r="D283" s="32" t="inlineStr">
        <is>
          <t xml:space="preserve">Bound - within authority</t>
        </is>
      </c>
      <c r="E283" s="32" t="inlineStr">
        <is>
          <t xml:space="preserve">New business</t>
        </is>
      </c>
      <c r="F283" s="30" t="inlineStr">
        <is>
          <t xml:space="preserve">B1234EXOTIC26</t>
        </is>
      </c>
      <c r="G283" s="33">
        <f>IF($A283="","",IF($C283="","",YEAR($C283)))</f>
      </c>
      <c r="H283" s="34">
        <v>1981</v>
      </c>
      <c r="I283" s="30" t="inlineStr">
        <is>
          <t xml:space="preserve">Porsche</t>
        </is>
      </c>
      <c r="J283" s="30" t="inlineStr">
        <is>
          <t xml:space="preserve">911 Turbo S</t>
        </is>
      </c>
      <c r="K283" s="30" t="inlineStr">
        <is>
          <t xml:space="preserve">6D0ED6DBRZUXN13VE</t>
        </is>
      </c>
      <c r="L283" s="32" t="inlineStr">
        <is>
          <t xml:space="preserve">02 - Sports / GT</t>
        </is>
      </c>
      <c r="M283" s="35">
        <v>390000</v>
      </c>
      <c r="N283" s="32" t="inlineStr">
        <is>
          <t xml:space="preserve">Personal</t>
        </is>
      </c>
      <c r="O283" s="30" t="inlineStr">
        <is>
          <t xml:space="preserve">Personal - regular use</t>
        </is>
      </c>
      <c r="P283" s="30" t="inlineStr">
        <is>
          <t xml:space="preserve">Under 1,000</t>
        </is>
      </c>
      <c r="Q283" s="30" t="inlineStr">
        <is>
          <t xml:space="preserve">Massachusetts</t>
        </is>
      </c>
      <c r="R283" s="30" t="inlineStr">
        <is>
          <t xml:space="preserve">02108</t>
        </is>
      </c>
      <c r="S283" s="32" t="inlineStr">
        <is>
          <t xml:space="preserve">Tier 3 - Coastal wind (25-100 miles)</t>
        </is>
      </c>
      <c r="T283" s="36">
        <f>IF($A283="","",IF($S283="","",IFERROR(INDEX('[1]natural catastrophe'!$D$6:$D$17,MATCH($S283,'[1]natural catastrophe'!$B$6:$B$17,0)),"?")))</f>
      </c>
      <c r="U283" s="30" t="inlineStr">
        <is>
          <t xml:space="preserve">2% of agreed value, minimum $10,000</t>
        </is>
      </c>
      <c r="V283" s="32" t="inlineStr">
        <is>
          <t xml:space="preserve">Agreed Value</t>
        </is>
      </c>
      <c r="W283" s="30" t="inlineStr">
        <is>
          <t xml:space="preserve">$1,000</t>
        </is>
      </c>
      <c r="X283" s="32" t="inlineStr">
        <is>
          <t xml:space="preserve">$1,000,000 CSL</t>
        </is>
      </c>
      <c r="Y283" s="30"/>
      <c r="Z283" s="30"/>
      <c r="AA283" s="32" t="inlineStr">
        <is>
          <t xml:space="preserve">Surplus Lines</t>
        </is>
      </c>
      <c r="AB283" s="35">
        <v>6342.55</v>
      </c>
      <c r="AC283" s="37">
        <v>0</v>
      </c>
      <c r="AD283" s="38">
        <f>IF(ISNUMBER($AB283),$AB283*(1+N($AC283)),"")</f>
      </c>
      <c r="AE283" s="35">
        <v>350</v>
      </c>
      <c r="AF283" s="35">
        <v>0</v>
      </c>
      <c r="AG283" s="37"/>
      <c r="AH283" s="39">
        <f>IF(ISNUMBER($AD283),($AD283+$AE283+$AF283)*$AG283,"")</f>
      </c>
      <c r="AI283" s="35"/>
      <c r="AJ283" s="38">
        <f>IF(ISNUMBER($AD283),SUM($AD283:$AH283),"")</f>
      </c>
      <c r="AK283" s="40">
        <f>IF(AND(ISNUMBER($AB283),ISNUMBER($AD283)),IF($AB283&gt;0,$AD283/$AB283,""),"")</f>
      </c>
      <c r="AL283" s="32" t="inlineStr">
        <is>
          <t xml:space="preserve">At technical</t>
        </is>
      </c>
      <c r="AM283" s="41">
        <f>IF(ISNUMBER($AD283),Header!$I$3,"")</f>
      </c>
      <c r="AN283" s="39">
        <f>IF(ISNUMBER($AD283),$AO283+$AP283,"")</f>
      </c>
      <c r="AO283" s="39">
        <f>IF(ISNUMBER($AD283),ROUND($AD283*Header!$K$3,2),"")</f>
      </c>
      <c r="AP283" s="39">
        <f>IF(ISNUMBER($AD283),ROUND($AD283*Header!$M$3,2),"")</f>
      </c>
      <c r="AQ283" s="38">
        <f>IF(ISNUMBER($AD283),ROUND($AD283,2)-$AO283-$AP283,"")</f>
      </c>
      <c r="AR283" s="39">
        <f>IF(ISNUMBER($AD283),IF(Header!$D$34="","?",$AD283*Header!$D$34),"")</f>
      </c>
      <c r="AS283" s="39">
        <f>IF(ISNUMBER($AB283),IF(Header!$D$34="","?",$AB283*Header!$D$34),"")</f>
      </c>
      <c r="AT283" s="42">
        <f>IF(AND(ISNUMBER($AB283),$M283&gt;0),$AB283/$M283*100,"")</f>
      </c>
      <c r="AU283" s="42">
        <f>IF(AND(ISNUMBER($AD283),$M283&gt;0),$AD283/$M283*100,"")</f>
      </c>
      <c r="AV283" s="40">
        <f>IF(AND(ISNUMBER($AB283),ISNUMBER($AD283),ABS($AB283)&gt;0),$AD283/$AB283,"")</f>
      </c>
      <c r="AW283" s="39">
        <f>IF(ISNUMBER($AD283),MAX(0,(1-0.55-Header!$O$3)*Header!$Q$3*$AQ283),"")</f>
      </c>
      <c r="AX283" s="43">
        <f>IF($A283="","",IF(TRIM(IF($A283="","Missing certificate ref. ","") &amp; IF($C283="","Missing effective date. ","") &amp; IF($D283="","Missing binding status. ","") &amp; IF($E283="","Missing movement type. ","") &amp; IF($I283="","Missing make. ","") &amp; IF($L283="","Missing vehicle class. ","") &amp; IF($M283="","Missing agreed value. ","") &amp; IF($N283="","Missing policy type. ","") &amp; IF($Q283="","Missing garaging state. ","") &amp; IF($R283="","Missing garaging ZIP. ","") &amp; IF($S283="","Missing cat zone. ","") &amp; IF($V283="","Missing valuation basis. ","") &amp; IF($W283="","Missing PD deductible. ","") &amp; IF($X283="","Missing liability limit. ","") &amp; IF($AB283="","Missing technical premium. ","") &amp; IF($AF283="","Missing surplus lines tax %. ",""))="","PASS","FAIL: "&amp;TRIM(IF($A283="","Missing certificate ref. ","") &amp; IF($C283="","Missing effective date. ","") &amp; IF($D283="","Missing binding status. ","") &amp; IF($E283="","Missing movement type. ","") &amp; IF($I283="","Missing make. ","") &amp; IF($L283="","Missing vehicle class. ","") &amp; IF($M283="","Missing agreed value. ","") &amp; IF($N283="","Missing policy type. ","") &amp; IF($Q283="","Missing garaging state. ","") &amp; IF($R283="","Missing garaging ZIP. ","") &amp; IF($S283="","Missing cat zone. ","") &amp; IF($V283="","Missing valuation basis. ","") &amp; IF($W283="","Missing PD deductible. ","") &amp; IF($X283="","Missing liability limit. ","") &amp; IF($AB283="","Missing technical premium. ","") &amp; IF($AF283="","Missing surplus lines tax %. ",""))))</f>
      </c>
      <c r="AY283" s="44">
        <f>IF($M283="","",IF(ISNUMBER($M283),IF($M283&gt;=Header!$C$18,"YES — refer","No"),""))</f>
      </c>
      <c r="AZ283" s="44">
        <f>IF($AD283="","",IF(ISNUMBER($AD283),IF($AD283&lt;Header!$C$20,"BELOW MIN PREMIUM","OK"),""))</f>
      </c>
      <c r="BA283" s="32" t="inlineStr">
        <is>
          <t xml:space="preserve">Yes</t>
        </is>
      </c>
      <c r="BB283" s="32" t="inlineStr">
        <is>
          <t xml:space="preserve">Yes</t>
        </is>
      </c>
      <c r="BC283" s="30" t="inlineStr">
        <is>
          <t xml:space="preserve">Synthetic demo data</t>
        </is>
      </c>
      <c r="BE283" s="45">
        <f>IF(OR($A283="",$L283="",$H283=""),"",IF(AND(LEFT($L283,2)="06",$H283&gt;1945),"FAIL - pre-war class, year "&amp;$H283,IF(AND(LEFT($L283,2)="07",OR($H283&lt;1946,$H283&gt;1972)),"FAIL - 1946-72 class, year "&amp;$H283,IF(AND(LEFT($L283,2)="08",OR($H283&lt;1973,$H283&gt;1999)),"FAIL - 1973-99 class, year "&amp;$H283,IF(AND(LEFT($L283,2)="09",OR($H283&lt;2000,$H283&gt;2010)),"FAIL - 2000-10 class, year "&amp;$H283,"OK")))))</f>
      </c>
      <c r="BF283" s="45">
        <f>IF($AD283="","",IF(ROUND($AO283+$AP283+$AQ283-$AD283,2)=0,"OK","FAIL - out by "&amp;TEXT($AO283+$AP283+$AQ283-$AD283,"$0.00")))</f>
      </c>
    </row>
    <row r="284" spans="1:58" ht="18.75" customHeight="1" x14ac:dyDescent="0.25">
      <c r="A284" s="46" t="inlineStr">
        <is>
          <t xml:space="preserve">CANON-202511-002553</t>
        </is>
      </c>
      <c r="B284" s="46" t="inlineStr">
        <is>
          <t xml:space="preserve">Everett Fairweather</t>
        </is>
      </c>
      <c r="C284" s="47">
        <v>45987</v>
      </c>
      <c r="D284" s="48" t="inlineStr">
        <is>
          <t xml:space="preserve">Bound - within authority</t>
        </is>
      </c>
      <c r="E284" s="48" t="inlineStr">
        <is>
          <t xml:space="preserve">New business</t>
        </is>
      </c>
      <c r="F284" s="46" t="inlineStr">
        <is>
          <t xml:space="preserve">B1234EXOTIC26</t>
        </is>
      </c>
      <c r="G284" s="33">
        <f>IF($A284="","",IF($C284="","",YEAR($C284)))</f>
      </c>
      <c r="H284" s="49">
        <v>1998</v>
      </c>
      <c r="I284" s="46" t="inlineStr">
        <is>
          <t xml:space="preserve">Maserati</t>
        </is>
      </c>
      <c r="J284" s="46" t="inlineStr">
        <is>
          <t xml:space="preserve">GranTurismo</t>
        </is>
      </c>
      <c r="K284" s="46" t="inlineStr">
        <is>
          <t xml:space="preserve">P5XR75ZV5TWU6F98P</t>
        </is>
      </c>
      <c r="L284" s="48" t="inlineStr">
        <is>
          <t xml:space="preserve">02 - Sports / GT</t>
        </is>
      </c>
      <c r="M284" s="50">
        <v>715000</v>
      </c>
      <c r="N284" s="48" t="inlineStr">
        <is>
          <t xml:space="preserve">Personal</t>
        </is>
      </c>
      <c r="O284" s="46" t="inlineStr">
        <is>
          <t xml:space="preserve">Personal - regular use</t>
        </is>
      </c>
      <c r="P284" s="46" t="inlineStr">
        <is>
          <t xml:space="preserve">2,500 - 5,000</t>
        </is>
      </c>
      <c r="Q284" s="46" t="inlineStr">
        <is>
          <t xml:space="preserve">Alabama</t>
        </is>
      </c>
      <c r="R284" s="46" t="inlineStr">
        <is>
          <t xml:space="preserve">35203</t>
        </is>
      </c>
      <c r="S284" s="48" t="inlineStr">
        <is>
          <t xml:space="preserve">Tier 2 - Coastal wind (1-25 miles)</t>
        </is>
      </c>
      <c r="T284" s="36">
        <f>IF($A284="","",IF($S284="","",IFERROR(INDEX('[1]natural catastrophe'!$D$6:$D$17,MATCH($S284,'[1]natural catastrophe'!$B$6:$B$17,0)),"?")))</f>
      </c>
      <c r="U284" s="46" t="inlineStr">
        <is>
          <t xml:space="preserve">2% of agreed value, minimum $10,000</t>
        </is>
      </c>
      <c r="V284" s="48" t="inlineStr">
        <is>
          <t xml:space="preserve">Agreed Value</t>
        </is>
      </c>
      <c r="W284" s="46" t="inlineStr">
        <is>
          <t xml:space="preserve">$1,000</t>
        </is>
      </c>
      <c r="X284" s="48" t="inlineStr">
        <is>
          <t xml:space="preserve">$1,000,000 CSL</t>
        </is>
      </c>
      <c r="Y284" s="46"/>
      <c r="Z284" s="46"/>
      <c r="AA284" s="48" t="inlineStr">
        <is>
          <t xml:space="preserve">Surplus Lines</t>
        </is>
      </c>
      <c r="AB284" s="50">
        <v>10238.86</v>
      </c>
      <c r="AC284" s="51">
        <v>0</v>
      </c>
      <c r="AD284" s="38">
        <f>IF(ISNUMBER($AB284),$AB284*(1+N($AC284)),"")</f>
      </c>
      <c r="AE284" s="50">
        <v>350</v>
      </c>
      <c r="AF284" s="50">
        <v>0</v>
      </c>
      <c r="AG284" s="51"/>
      <c r="AH284" s="39">
        <f>IF(ISNUMBER($AD284),($AD284+$AE284+$AF284)*$AG284,"")</f>
      </c>
      <c r="AI284" s="50"/>
      <c r="AJ284" s="38">
        <f>IF(ISNUMBER($AD284),SUM($AD284:$AH284),"")</f>
      </c>
      <c r="AK284" s="40">
        <f>IF(AND(ISNUMBER($AB284),ISNUMBER($AD284)),IF($AB284&gt;0,$AD284/$AB284,""),"")</f>
      </c>
      <c r="AL284" s="48" t="inlineStr">
        <is>
          <t xml:space="preserve">At technical</t>
        </is>
      </c>
      <c r="AM284" s="41">
        <f>IF(ISNUMBER($AD284),Header!$I$3,"")</f>
      </c>
      <c r="AN284" s="39">
        <f>IF(ISNUMBER($AD284),$AO284+$AP284,"")</f>
      </c>
      <c r="AO284" s="39">
        <f>IF(ISNUMBER($AD284),ROUND($AD284*Header!$K$3,2),"")</f>
      </c>
      <c r="AP284" s="39">
        <f>IF(ISNUMBER($AD284),ROUND($AD284*Header!$M$3,2),"")</f>
      </c>
      <c r="AQ284" s="38">
        <f>IF(ISNUMBER($AD284),ROUND($AD284,2)-$AO284-$AP284,"")</f>
      </c>
      <c r="AR284" s="39">
        <f>IF(ISNUMBER($AD284),IF(Header!$D$34="","?",$AD284*Header!$D$34),"")</f>
      </c>
      <c r="AS284" s="39">
        <f>IF(ISNUMBER($AB284),IF(Header!$D$34="","?",$AB284*Header!$D$34),"")</f>
      </c>
      <c r="AT284" s="42">
        <f>IF(AND(ISNUMBER($AB284),$M284&gt;0),$AB284/$M284*100,"")</f>
      </c>
      <c r="AU284" s="42">
        <f>IF(AND(ISNUMBER($AD284),$M284&gt;0),$AD284/$M284*100,"")</f>
      </c>
      <c r="AV284" s="40">
        <f>IF(AND(ISNUMBER($AB284),ISNUMBER($AD284),ABS($AB284)&gt;0),$AD284/$AB284,"")</f>
      </c>
      <c r="AW284" s="39">
        <f>IF(ISNUMBER($AD284),MAX(0,(1-0.55-Header!$O$3)*Header!$Q$3*$AQ284),"")</f>
      </c>
      <c r="AX284" s="43">
        <f>IF($A284="","",IF(TRIM(IF($A284="","Missing certificate ref. ","") &amp; IF($C284="","Missing effective date. ","") &amp; IF($D284="","Missing binding status. ","") &amp; IF($E284="","Missing movement type. ","") &amp; IF($I284="","Missing make. ","") &amp; IF($L284="","Missing vehicle class. ","") &amp; IF($M284="","Missing agreed value. ","") &amp; IF($N284="","Missing policy type. ","") &amp; IF($Q284="","Missing garaging state. ","") &amp; IF($R284="","Missing garaging ZIP. ","") &amp; IF($S284="","Missing cat zone. ","") &amp; IF($V284="","Missing valuation basis. ","") &amp; IF($W284="","Missing PD deductible. ","") &amp; IF($X284="","Missing liability limit. ","") &amp; IF($AB284="","Missing technical premium. ","") &amp; IF($AF284="","Missing surplus lines tax %. ",""))="","PASS","FAIL: "&amp;TRIM(IF($A284="","Missing certificate ref. ","") &amp; IF($C284="","Missing effective date. ","") &amp; IF($D284="","Missing binding status. ","") &amp; IF($E284="","Missing movement type. ","") &amp; IF($I284="","Missing make. ","") &amp; IF($L284="","Missing vehicle class. ","") &amp; IF($M284="","Missing agreed value. ","") &amp; IF($N284="","Missing policy type. ","") &amp; IF($Q284="","Missing garaging state. ","") &amp; IF($R284="","Missing garaging ZIP. ","") &amp; IF($S284="","Missing cat zone. ","") &amp; IF($V284="","Missing valuation basis. ","") &amp; IF($W284="","Missing PD deductible. ","") &amp; IF($X284="","Missing liability limit. ","") &amp; IF($AB284="","Missing technical premium. ","") &amp; IF($AF284="","Missing surplus lines tax %. ",""))))</f>
      </c>
      <c r="AY284" s="44">
        <f>IF($M284="","",IF(ISNUMBER($M284),IF($M284&gt;=Header!$C$18,"YES — refer","No"),""))</f>
      </c>
      <c r="AZ284" s="44">
        <f>IF($AD284="","",IF(ISNUMBER($AD284),IF($AD284&lt;Header!$C$20,"BELOW MIN PREMIUM","OK"),""))</f>
      </c>
      <c r="BA284" s="48" t="inlineStr">
        <is>
          <t xml:space="preserve">Yes</t>
        </is>
      </c>
      <c r="BB284" s="48" t="inlineStr">
        <is>
          <t xml:space="preserve">Yes</t>
        </is>
      </c>
      <c r="BC284" s="46" t="inlineStr">
        <is>
          <t xml:space="preserve">Synthetic demo data</t>
        </is>
      </c>
      <c r="BE284" s="45">
        <f>IF(OR($A284="",$L284="",$H284=""),"",IF(AND(LEFT($L284,2)="06",$H284&gt;1945),"FAIL - pre-war class, year "&amp;$H284,IF(AND(LEFT($L284,2)="07",OR($H284&lt;1946,$H284&gt;1972)),"FAIL - 1946-72 class, year "&amp;$H284,IF(AND(LEFT($L284,2)="08",OR($H284&lt;1973,$H284&gt;1999)),"FAIL - 1973-99 class, year "&amp;$H284,IF(AND(LEFT($L284,2)="09",OR($H284&lt;2000,$H284&gt;2010)),"FAIL - 2000-10 class, year "&amp;$H284,"OK")))))</f>
      </c>
      <c r="BF284" s="45">
        <f>IF($AD284="","",IF(ROUND($AO284+$AP284+$AQ284-$AD284,2)=0,"OK","FAIL - out by "&amp;TEXT($AO284+$AP284+$AQ284-$AD284,"$0.00")))</f>
      </c>
    </row>
    <row r="285" spans="1:58" ht="18.75" customHeight="1" x14ac:dyDescent="0.25">
      <c r="A285" s="30" t="inlineStr">
        <is>
          <t xml:space="preserve">CANON-202511-002554</t>
        </is>
      </c>
      <c r="B285" s="30" t="inlineStr">
        <is>
          <t xml:space="preserve">Anouk Pennington</t>
        </is>
      </c>
      <c r="C285" s="31">
        <v>45981</v>
      </c>
      <c r="D285" s="32" t="inlineStr">
        <is>
          <t xml:space="preserve">Bound - within authority</t>
        </is>
      </c>
      <c r="E285" s="32" t="inlineStr">
        <is>
          <t xml:space="preserve">New business</t>
        </is>
      </c>
      <c r="F285" s="30" t="inlineStr">
        <is>
          <t xml:space="preserve">B1234EXOTIC26</t>
        </is>
      </c>
      <c r="G285" s="33">
        <f>IF($A285="","",IF($C285="","",YEAR($C285)))</f>
      </c>
      <c r="H285" s="34">
        <v>2023</v>
      </c>
      <c r="I285" s="30" t="inlineStr">
        <is>
          <t xml:space="preserve">Bentley</t>
        </is>
      </c>
      <c r="J285" s="30" t="inlineStr">
        <is>
          <t xml:space="preserve">Continental GT</t>
        </is>
      </c>
      <c r="K285" s="30" t="inlineStr">
        <is>
          <t xml:space="preserve">VBR4W8XMPN64GSVTN</t>
        </is>
      </c>
      <c r="L285" s="32" t="inlineStr">
        <is>
          <t xml:space="preserve">02 - Sports / GT</t>
        </is>
      </c>
      <c r="M285" s="35">
        <v>365000</v>
      </c>
      <c r="N285" s="32" t="inlineStr">
        <is>
          <t xml:space="preserve">Personal</t>
        </is>
      </c>
      <c r="O285" s="30" t="inlineStr">
        <is>
          <t xml:space="preserve">Personal - regular use</t>
        </is>
      </c>
      <c r="P285" s="30" t="inlineStr">
        <is>
          <t xml:space="preserve">2,500 - 5,000</t>
        </is>
      </c>
      <c r="Q285" s="30" t="inlineStr">
        <is>
          <t xml:space="preserve">Idaho</t>
        </is>
      </c>
      <c r="R285" s="30" t="inlineStr">
        <is>
          <t xml:space="preserve">83702</t>
        </is>
      </c>
      <c r="S285" s="32" t="inlineStr">
        <is>
          <t xml:space="preserve">Wildfire - WUI high hazard</t>
        </is>
      </c>
      <c r="T285" s="36">
        <f>IF($A285="","",IF($S285="","",IFERROR(INDEX('[1]natural catastrophe'!$D$6:$D$17,MATCH($S285,'[1]natural catastrophe'!$B$6:$B$17,0)),"?")))</f>
      </c>
      <c r="U285" s="30" t="inlineStr">
        <is>
          <t xml:space="preserve">$5,000</t>
        </is>
      </c>
      <c r="V285" s="32" t="inlineStr">
        <is>
          <t xml:space="preserve">Agreed Value</t>
        </is>
      </c>
      <c r="W285" s="30" t="inlineStr">
        <is>
          <t xml:space="preserve">$1,000</t>
        </is>
      </c>
      <c r="X285" s="32" t="inlineStr">
        <is>
          <t xml:space="preserve">$1,000,000 CSL</t>
        </is>
      </c>
      <c r="Y285" s="30"/>
      <c r="Z285" s="30"/>
      <c r="AA285" s="32" t="inlineStr">
        <is>
          <t xml:space="preserve">Surplus Lines</t>
        </is>
      </c>
      <c r="AB285" s="35">
        <v>4701.3</v>
      </c>
      <c r="AC285" s="37">
        <v>0</v>
      </c>
      <c r="AD285" s="38">
        <f>IF(ISNUMBER($AB285),$AB285*(1+N($AC285)),"")</f>
      </c>
      <c r="AE285" s="35">
        <v>350</v>
      </c>
      <c r="AF285" s="35">
        <v>0</v>
      </c>
      <c r="AG285" s="37"/>
      <c r="AH285" s="39">
        <f>IF(ISNUMBER($AD285),($AD285+$AE285+$AF285)*$AG285,"")</f>
      </c>
      <c r="AI285" s="35"/>
      <c r="AJ285" s="38">
        <f>IF(ISNUMBER($AD285),SUM($AD285:$AH285),"")</f>
      </c>
      <c r="AK285" s="40">
        <f>IF(AND(ISNUMBER($AB285),ISNUMBER($AD285)),IF($AB285&gt;0,$AD285/$AB285,""),"")</f>
      </c>
      <c r="AL285" s="32" t="inlineStr">
        <is>
          <t xml:space="preserve">At technical</t>
        </is>
      </c>
      <c r="AM285" s="41">
        <f>IF(ISNUMBER($AD285),Header!$I$3,"")</f>
      </c>
      <c r="AN285" s="39">
        <f>IF(ISNUMBER($AD285),$AO285+$AP285,"")</f>
      </c>
      <c r="AO285" s="39">
        <f>IF(ISNUMBER($AD285),ROUND($AD285*Header!$K$3,2),"")</f>
      </c>
      <c r="AP285" s="39">
        <f>IF(ISNUMBER($AD285),ROUND($AD285*Header!$M$3,2),"")</f>
      </c>
      <c r="AQ285" s="38">
        <f>IF(ISNUMBER($AD285),ROUND($AD285,2)-$AO285-$AP285,"")</f>
      </c>
      <c r="AR285" s="39">
        <f>IF(ISNUMBER($AD285),IF(Header!$D$34="","?",$AD285*Header!$D$34),"")</f>
      </c>
      <c r="AS285" s="39">
        <f>IF(ISNUMBER($AB285),IF(Header!$D$34="","?",$AB285*Header!$D$34),"")</f>
      </c>
      <c r="AT285" s="42">
        <f>IF(AND(ISNUMBER($AB285),$M285&gt;0),$AB285/$M285*100,"")</f>
      </c>
      <c r="AU285" s="42">
        <f>IF(AND(ISNUMBER($AD285),$M285&gt;0),$AD285/$M285*100,"")</f>
      </c>
      <c r="AV285" s="40">
        <f>IF(AND(ISNUMBER($AB285),ISNUMBER($AD285),ABS($AB285)&gt;0),$AD285/$AB285,"")</f>
      </c>
      <c r="AW285" s="39">
        <f>IF(ISNUMBER($AD285),MAX(0,(1-0.55-Header!$O$3)*Header!$Q$3*$AQ285),"")</f>
      </c>
      <c r="AX285" s="43">
        <f>IF($A285="","",IF(TRIM(IF($A285="","Missing certificate ref. ","") &amp; IF($C285="","Missing effective date. ","") &amp; IF($D285="","Missing binding status. ","") &amp; IF($E285="","Missing movement type. ","") &amp; IF($I285="","Missing make. ","") &amp; IF($L285="","Missing vehicle class. ","") &amp; IF($M285="","Missing agreed value. ","") &amp; IF($N285="","Missing policy type. ","") &amp; IF($Q285="","Missing garaging state. ","") &amp; IF($R285="","Missing garaging ZIP. ","") &amp; IF($S285="","Missing cat zone. ","") &amp; IF($V285="","Missing valuation basis. ","") &amp; IF($W285="","Missing PD deductible. ","") &amp; IF($X285="","Missing liability limit. ","") &amp; IF($AB285="","Missing technical premium. ","") &amp; IF($AF285="","Missing surplus lines tax %. ",""))="","PASS","FAIL: "&amp;TRIM(IF($A285="","Missing certificate ref. ","") &amp; IF($C285="","Missing effective date. ","") &amp; IF($D285="","Missing binding status. ","") &amp; IF($E285="","Missing movement type. ","") &amp; IF($I285="","Missing make. ","") &amp; IF($L285="","Missing vehicle class. ","") &amp; IF($M285="","Missing agreed value. ","") &amp; IF($N285="","Missing policy type. ","") &amp; IF($Q285="","Missing garaging state. ","") &amp; IF($R285="","Missing garaging ZIP. ","") &amp; IF($S285="","Missing cat zone. ","") &amp; IF($V285="","Missing valuation basis. ","") &amp; IF($W285="","Missing PD deductible. ","") &amp; IF($X285="","Missing liability limit. ","") &amp; IF($AB285="","Missing technical premium. ","") &amp; IF($AF285="","Missing surplus lines tax %. ",""))))</f>
      </c>
      <c r="AY285" s="44">
        <f>IF($M285="","",IF(ISNUMBER($M285),IF($M285&gt;=Header!$C$18,"YES — refer","No"),""))</f>
      </c>
      <c r="AZ285" s="44">
        <f>IF($AD285="","",IF(ISNUMBER($AD285),IF($AD285&lt;Header!$C$20,"BELOW MIN PREMIUM","OK"),""))</f>
      </c>
      <c r="BA285" s="32" t="inlineStr">
        <is>
          <t xml:space="preserve">Yes</t>
        </is>
      </c>
      <c r="BB285" s="32" t="inlineStr">
        <is>
          <t xml:space="preserve">Yes</t>
        </is>
      </c>
      <c r="BC285" s="30" t="inlineStr">
        <is>
          <t xml:space="preserve">Synthetic demo data</t>
        </is>
      </c>
      <c r="BE285" s="45">
        <f>IF(OR($A285="",$L285="",$H285=""),"",IF(AND(LEFT($L285,2)="06",$H285&gt;1945),"FAIL - pre-war class, year "&amp;$H285,IF(AND(LEFT($L285,2)="07",OR($H285&lt;1946,$H285&gt;1972)),"FAIL - 1946-72 class, year "&amp;$H285,IF(AND(LEFT($L285,2)="08",OR($H285&lt;1973,$H285&gt;1999)),"FAIL - 1973-99 class, year "&amp;$H285,IF(AND(LEFT($L285,2)="09",OR($H285&lt;2000,$H285&gt;2010)),"FAIL - 2000-10 class, year "&amp;$H285,"OK")))))</f>
      </c>
      <c r="BF285" s="45">
        <f>IF($AD285="","",IF(ROUND($AO285+$AP285+$AQ285-$AD285,2)=0,"OK","FAIL - out by "&amp;TEXT($AO285+$AP285+$AQ285-$AD285,"$0.00")))</f>
      </c>
    </row>
    <row r="286" spans="1:58" ht="18.75" customHeight="1" x14ac:dyDescent="0.25">
      <c r="A286" s="46" t="inlineStr">
        <is>
          <t xml:space="preserve">CANON-202511-002556</t>
        </is>
      </c>
      <c r="B286" s="46" t="inlineStr">
        <is>
          <t xml:space="preserve">Ingrid Kingsford</t>
        </is>
      </c>
      <c r="C286" s="47">
        <v>45991</v>
      </c>
      <c r="D286" s="48" t="inlineStr">
        <is>
          <t xml:space="preserve">Bound - within authority</t>
        </is>
      </c>
      <c r="E286" s="48" t="inlineStr">
        <is>
          <t xml:space="preserve">New business</t>
        </is>
      </c>
      <c r="F286" s="46" t="inlineStr">
        <is>
          <t xml:space="preserve">B1234EXOTIC26</t>
        </is>
      </c>
      <c r="G286" s="33">
        <f>IF($A286="","",IF($C286="","",YEAR($C286)))</f>
      </c>
      <c r="H286" s="49">
        <v>1989</v>
      </c>
      <c r="I286" s="46" t="inlineStr">
        <is>
          <t xml:space="preserve">Bentley</t>
        </is>
      </c>
      <c r="J286" s="46" t="inlineStr">
        <is>
          <t xml:space="preserve">Continental GT</t>
        </is>
      </c>
      <c r="K286" s="46" t="inlineStr">
        <is>
          <t xml:space="preserve">UD4T86X1HNGUKYA60</t>
        </is>
      </c>
      <c r="L286" s="48" t="inlineStr">
        <is>
          <t xml:space="preserve">02 - Sports / GT</t>
        </is>
      </c>
      <c r="M286" s="50">
        <v>460000</v>
      </c>
      <c r="N286" s="48" t="inlineStr">
        <is>
          <t xml:space="preserve">Personal</t>
        </is>
      </c>
      <c r="O286" s="46" t="inlineStr">
        <is>
          <t xml:space="preserve">Personal - regular use</t>
        </is>
      </c>
      <c r="P286" s="46" t="inlineStr">
        <is>
          <t xml:space="preserve">2,500 - 5,000</t>
        </is>
      </c>
      <c r="Q286" s="46" t="inlineStr">
        <is>
          <t xml:space="preserve">Illinois</t>
        </is>
      </c>
      <c r="R286" s="46" t="inlineStr">
        <is>
          <t xml:space="preserve">60601</t>
        </is>
      </c>
      <c r="S286" s="48" t="inlineStr">
        <is>
          <t xml:space="preserve">Severe convective - hail / tornado (moderate)</t>
        </is>
      </c>
      <c r="T286" s="36">
        <f>IF($A286="","",IF($S286="","",IFERROR(INDEX('[1]natural catastrophe'!$D$6:$D$17,MATCH($S286,'[1]natural catastrophe'!$B$6:$B$17,0)),"?")))</f>
      </c>
      <c r="U286" s="46" t="inlineStr">
        <is>
          <t xml:space="preserve">$5,000</t>
        </is>
      </c>
      <c r="V286" s="48" t="inlineStr">
        <is>
          <t xml:space="preserve">Agreed Value</t>
        </is>
      </c>
      <c r="W286" s="46" t="inlineStr">
        <is>
          <t xml:space="preserve">$1,000</t>
        </is>
      </c>
      <c r="X286" s="48" t="inlineStr">
        <is>
          <t xml:space="preserve">$1,000,000 CSL</t>
        </is>
      </c>
      <c r="Y286" s="46"/>
      <c r="Z286" s="46"/>
      <c r="AA286" s="48" t="inlineStr">
        <is>
          <t xml:space="preserve">Surplus Lines</t>
        </is>
      </c>
      <c r="AB286" s="50">
        <v>8139.29</v>
      </c>
      <c r="AC286" s="51">
        <v>0</v>
      </c>
      <c r="AD286" s="38">
        <f>IF(ISNUMBER($AB286),$AB286*(1+N($AC286)),"")</f>
      </c>
      <c r="AE286" s="50">
        <v>350</v>
      </c>
      <c r="AF286" s="50">
        <v>0</v>
      </c>
      <c r="AG286" s="51"/>
      <c r="AH286" s="39">
        <f>IF(ISNUMBER($AD286),($AD286+$AE286+$AF286)*$AG286,"")</f>
      </c>
      <c r="AI286" s="50"/>
      <c r="AJ286" s="38">
        <f>IF(ISNUMBER($AD286),SUM($AD286:$AH286),"")</f>
      </c>
      <c r="AK286" s="40">
        <f>IF(AND(ISNUMBER($AB286),ISNUMBER($AD286)),IF($AB286&gt;0,$AD286/$AB286,""),"")</f>
      </c>
      <c r="AL286" s="48" t="inlineStr">
        <is>
          <t xml:space="preserve">At technical</t>
        </is>
      </c>
      <c r="AM286" s="41">
        <f>IF(ISNUMBER($AD286),Header!$I$3,"")</f>
      </c>
      <c r="AN286" s="39">
        <f>IF(ISNUMBER($AD286),$AO286+$AP286,"")</f>
      </c>
      <c r="AO286" s="39">
        <f>IF(ISNUMBER($AD286),ROUND($AD286*Header!$K$3,2),"")</f>
      </c>
      <c r="AP286" s="39">
        <f>IF(ISNUMBER($AD286),ROUND($AD286*Header!$M$3,2),"")</f>
      </c>
      <c r="AQ286" s="38">
        <f>IF(ISNUMBER($AD286),ROUND($AD286,2)-$AO286-$AP286,"")</f>
      </c>
      <c r="AR286" s="39">
        <f>IF(ISNUMBER($AD286),IF(Header!$D$34="","?",$AD286*Header!$D$34),"")</f>
      </c>
      <c r="AS286" s="39">
        <f>IF(ISNUMBER($AB286),IF(Header!$D$34="","?",$AB286*Header!$D$34),"")</f>
      </c>
      <c r="AT286" s="42">
        <f>IF(AND(ISNUMBER($AB286),$M286&gt;0),$AB286/$M286*100,"")</f>
      </c>
      <c r="AU286" s="42">
        <f>IF(AND(ISNUMBER($AD286),$M286&gt;0),$AD286/$M286*100,"")</f>
      </c>
      <c r="AV286" s="40">
        <f>IF(AND(ISNUMBER($AB286),ISNUMBER($AD286),ABS($AB286)&gt;0),$AD286/$AB286,"")</f>
      </c>
      <c r="AW286" s="39">
        <f>IF(ISNUMBER($AD286),MAX(0,(1-0.55-Header!$O$3)*Header!$Q$3*$AQ286),"")</f>
      </c>
      <c r="AX286" s="43">
        <f>IF($A286="","",IF(TRIM(IF($A286="","Missing certificate ref. ","") &amp; IF($C286="","Missing effective date. ","") &amp; IF($D286="","Missing binding status. ","") &amp; IF($E286="","Missing movement type. ","") &amp; IF($I286="","Missing make. ","") &amp; IF($L286="","Missing vehicle class. ","") &amp; IF($M286="","Missing agreed value. ","") &amp; IF($N286="","Missing policy type. ","") &amp; IF($Q286="","Missing garaging state. ","") &amp; IF($R286="","Missing garaging ZIP. ","") &amp; IF($S286="","Missing cat zone. ","") &amp; IF($V286="","Missing valuation basis. ","") &amp; IF($W286="","Missing PD deductible. ","") &amp; IF($X286="","Missing liability limit. ","") &amp; IF($AB286="","Missing technical premium. ","") &amp; IF($AF286="","Missing surplus lines tax %. ",""))="","PASS","FAIL: "&amp;TRIM(IF($A286="","Missing certificate ref. ","") &amp; IF($C286="","Missing effective date. ","") &amp; IF($D286="","Missing binding status. ","") &amp; IF($E286="","Missing movement type. ","") &amp; IF($I286="","Missing make. ","") &amp; IF($L286="","Missing vehicle class. ","") &amp; IF($M286="","Missing agreed value. ","") &amp; IF($N286="","Missing policy type. ","") &amp; IF($Q286="","Missing garaging state. ","") &amp; IF($R286="","Missing garaging ZIP. ","") &amp; IF($S286="","Missing cat zone. ","") &amp; IF($V286="","Missing valuation basis. ","") &amp; IF($W286="","Missing PD deductible. ","") &amp; IF($X286="","Missing liability limit. ","") &amp; IF($AB286="","Missing technical premium. ","") &amp; IF($AF286="","Missing surplus lines tax %. ",""))))</f>
      </c>
      <c r="AY286" s="44">
        <f>IF($M286="","",IF(ISNUMBER($M286),IF($M286&gt;=Header!$C$18,"YES — refer","No"),""))</f>
      </c>
      <c r="AZ286" s="44">
        <f>IF($AD286="","",IF(ISNUMBER($AD286),IF($AD286&lt;Header!$C$20,"BELOW MIN PREMIUM","OK"),""))</f>
      </c>
      <c r="BA286" s="48" t="inlineStr">
        <is>
          <t xml:space="preserve">Yes</t>
        </is>
      </c>
      <c r="BB286" s="48" t="inlineStr">
        <is>
          <t xml:space="preserve">Yes</t>
        </is>
      </c>
      <c r="BC286" s="46" t="inlineStr">
        <is>
          <t xml:space="preserve">Synthetic demo data</t>
        </is>
      </c>
      <c r="BE286" s="45">
        <f>IF(OR($A286="",$L286="",$H286=""),"",IF(AND(LEFT($L286,2)="06",$H286&gt;1945),"FAIL - pre-war class, year "&amp;$H286,IF(AND(LEFT($L286,2)="07",OR($H286&lt;1946,$H286&gt;1972)),"FAIL - 1946-72 class, year "&amp;$H286,IF(AND(LEFT($L286,2)="08",OR($H286&lt;1973,$H286&gt;1999)),"FAIL - 1973-99 class, year "&amp;$H286,IF(AND(LEFT($L286,2)="09",OR($H286&lt;2000,$H286&gt;2010)),"FAIL - 2000-10 class, year "&amp;$H286,"OK")))))</f>
      </c>
      <c r="BF286" s="45">
        <f>IF($AD286="","",IF(ROUND($AO286+$AP286+$AQ286-$AD286,2)=0,"OK","FAIL - out by "&amp;TEXT($AO286+$AP286+$AQ286-$AD286,"$0.00")))</f>
      </c>
    </row>
    <row r="287" spans="1:58" ht="18.75" customHeight="1" x14ac:dyDescent="0.25">
      <c r="A287" s="30" t="inlineStr">
        <is>
          <t xml:space="preserve">CANON-202511-002557</t>
        </is>
      </c>
      <c r="B287" s="30" t="inlineStr">
        <is>
          <t xml:space="preserve">Lorenzo Chattopadhyay</t>
        </is>
      </c>
      <c r="C287" s="31">
        <v>45991</v>
      </c>
      <c r="D287" s="32" t="inlineStr">
        <is>
          <t xml:space="preserve">Bound - within authority</t>
        </is>
      </c>
      <c r="E287" s="32" t="inlineStr">
        <is>
          <t xml:space="preserve">New business</t>
        </is>
      </c>
      <c r="F287" s="30" t="inlineStr">
        <is>
          <t xml:space="preserve">B1234EXOTIC26</t>
        </is>
      </c>
      <c r="G287" s="33">
        <f>IF($A287="","",IF($C287="","",YEAR($C287)))</f>
      </c>
      <c r="H287" s="34">
        <v>1997</v>
      </c>
      <c r="I287" s="30" t="inlineStr">
        <is>
          <t xml:space="preserve">Maserati</t>
        </is>
      </c>
      <c r="J287" s="30" t="inlineStr">
        <is>
          <t xml:space="preserve">GranTurismo</t>
        </is>
      </c>
      <c r="K287" s="30" t="inlineStr">
        <is>
          <t xml:space="preserve">WZLVV4XEPGHED4D6R</t>
        </is>
      </c>
      <c r="L287" s="32" t="inlineStr">
        <is>
          <t xml:space="preserve">02 - Sports / GT</t>
        </is>
      </c>
      <c r="M287" s="35">
        <v>480000</v>
      </c>
      <c r="N287" s="32" t="inlineStr">
        <is>
          <t xml:space="preserve">Personal</t>
        </is>
      </c>
      <c r="O287" s="30" t="inlineStr">
        <is>
          <t xml:space="preserve">Personal - regular use</t>
        </is>
      </c>
      <c r="P287" s="30" t="inlineStr">
        <is>
          <t xml:space="preserve">2,500 - 5,000</t>
        </is>
      </c>
      <c r="Q287" s="30" t="inlineStr">
        <is>
          <t xml:space="preserve">North Carolina</t>
        </is>
      </c>
      <c r="R287" s="30" t="inlineStr">
        <is>
          <t xml:space="preserve">28202</t>
        </is>
      </c>
      <c r="S287" s="32" t="inlineStr">
        <is>
          <t xml:space="preserve">Tier 2 - Coastal wind (1-25 miles)</t>
        </is>
      </c>
      <c r="T287" s="36">
        <f>IF($A287="","",IF($S287="","",IFERROR(INDEX('[1]natural catastrophe'!$D$6:$D$17,MATCH($S287,'[1]natural catastrophe'!$B$6:$B$17,0)),"?")))</f>
      </c>
      <c r="U287" s="30" t="inlineStr">
        <is>
          <t xml:space="preserve">2% of agreed value, minimum $10,000</t>
        </is>
      </c>
      <c r="V287" s="32" t="inlineStr">
        <is>
          <t xml:space="preserve">Agreed Value</t>
        </is>
      </c>
      <c r="W287" s="30" t="inlineStr">
        <is>
          <t xml:space="preserve">$1,000</t>
        </is>
      </c>
      <c r="X287" s="32" t="inlineStr">
        <is>
          <t xml:space="preserve">$1,000,000 CSL</t>
        </is>
      </c>
      <c r="Y287" s="30"/>
      <c r="Z287" s="30"/>
      <c r="AA287" s="32" t="inlineStr">
        <is>
          <t xml:space="preserve">Surplus Lines</t>
        </is>
      </c>
      <c r="AB287" s="35">
        <v>7181.73</v>
      </c>
      <c r="AC287" s="37">
        <v>0</v>
      </c>
      <c r="AD287" s="38">
        <f>IF(ISNUMBER($AB287),$AB287*(1+N($AC287)),"")</f>
      </c>
      <c r="AE287" s="35">
        <v>350</v>
      </c>
      <c r="AF287" s="35">
        <v>0</v>
      </c>
      <c r="AG287" s="37"/>
      <c r="AH287" s="39">
        <f>IF(ISNUMBER($AD287),($AD287+$AE287+$AF287)*$AG287,"")</f>
      </c>
      <c r="AI287" s="35"/>
      <c r="AJ287" s="38">
        <f>IF(ISNUMBER($AD287),SUM($AD287:$AH287),"")</f>
      </c>
      <c r="AK287" s="40">
        <f>IF(AND(ISNUMBER($AB287),ISNUMBER($AD287)),IF($AB287&gt;0,$AD287/$AB287,""),"")</f>
      </c>
      <c r="AL287" s="32" t="inlineStr">
        <is>
          <t xml:space="preserve">At technical</t>
        </is>
      </c>
      <c r="AM287" s="41">
        <f>IF(ISNUMBER($AD287),Header!$I$3,"")</f>
      </c>
      <c r="AN287" s="39">
        <f>IF(ISNUMBER($AD287),$AO287+$AP287,"")</f>
      </c>
      <c r="AO287" s="39">
        <f>IF(ISNUMBER($AD287),ROUND($AD287*Header!$K$3,2),"")</f>
      </c>
      <c r="AP287" s="39">
        <f>IF(ISNUMBER($AD287),ROUND($AD287*Header!$M$3,2),"")</f>
      </c>
      <c r="AQ287" s="38">
        <f>IF(ISNUMBER($AD287),ROUND($AD287,2)-$AO287-$AP287,"")</f>
      </c>
      <c r="AR287" s="39">
        <f>IF(ISNUMBER($AD287),IF(Header!$D$34="","?",$AD287*Header!$D$34),"")</f>
      </c>
      <c r="AS287" s="39">
        <f>IF(ISNUMBER($AB287),IF(Header!$D$34="","?",$AB287*Header!$D$34),"")</f>
      </c>
      <c r="AT287" s="42">
        <f>IF(AND(ISNUMBER($AB287),$M287&gt;0),$AB287/$M287*100,"")</f>
      </c>
      <c r="AU287" s="42">
        <f>IF(AND(ISNUMBER($AD287),$M287&gt;0),$AD287/$M287*100,"")</f>
      </c>
      <c r="AV287" s="40">
        <f>IF(AND(ISNUMBER($AB287),ISNUMBER($AD287),ABS($AB287)&gt;0),$AD287/$AB287,"")</f>
      </c>
      <c r="AW287" s="39">
        <f>IF(ISNUMBER($AD287),MAX(0,(1-0.55-Header!$O$3)*Header!$Q$3*$AQ287),"")</f>
      </c>
      <c r="AX287" s="43">
        <f>IF($A287="","",IF(TRIM(IF($A287="","Missing certificate ref. ","") &amp; IF($C287="","Missing effective date. ","") &amp; IF($D287="","Missing binding status. ","") &amp; IF($E287="","Missing movement type. ","") &amp; IF($I287="","Missing make. ","") &amp; IF($L287="","Missing vehicle class. ","") &amp; IF($M287="","Missing agreed value. ","") &amp; IF($N287="","Missing policy type. ","") &amp; IF($Q287="","Missing garaging state. ","") &amp; IF($R287="","Missing garaging ZIP. ","") &amp; IF($S287="","Missing cat zone. ","") &amp; IF($V287="","Missing valuation basis. ","") &amp; IF($W287="","Missing PD deductible. ","") &amp; IF($X287="","Missing liability limit. ","") &amp; IF($AB287="","Missing technical premium. ","") &amp; IF($AF287="","Missing surplus lines tax %. ",""))="","PASS","FAIL: "&amp;TRIM(IF($A287="","Missing certificate ref. ","") &amp; IF($C287="","Missing effective date. ","") &amp; IF($D287="","Missing binding status. ","") &amp; IF($E287="","Missing movement type. ","") &amp; IF($I287="","Missing make. ","") &amp; IF($L287="","Missing vehicle class. ","") &amp; IF($M287="","Missing agreed value. ","") &amp; IF($N287="","Missing policy type. ","") &amp; IF($Q287="","Missing garaging state. ","") &amp; IF($R287="","Missing garaging ZIP. ","") &amp; IF($S287="","Missing cat zone. ","") &amp; IF($V287="","Missing valuation basis. ","") &amp; IF($W287="","Missing PD deductible. ","") &amp; IF($X287="","Missing liability limit. ","") &amp; IF($AB287="","Missing technical premium. ","") &amp; IF($AF287="","Missing surplus lines tax %. ",""))))</f>
      </c>
      <c r="AY287" s="44">
        <f>IF($M287="","",IF(ISNUMBER($M287),IF($M287&gt;=Header!$C$18,"YES — refer","No"),""))</f>
      </c>
      <c r="AZ287" s="44">
        <f>IF($AD287="","",IF(ISNUMBER($AD287),IF($AD287&lt;Header!$C$20,"BELOW MIN PREMIUM","OK"),""))</f>
      </c>
      <c r="BA287" s="32" t="inlineStr">
        <is>
          <t xml:space="preserve">Yes</t>
        </is>
      </c>
      <c r="BB287" s="32" t="inlineStr">
        <is>
          <t xml:space="preserve">Yes</t>
        </is>
      </c>
      <c r="BC287" s="30" t="inlineStr">
        <is>
          <t xml:space="preserve">Synthetic demo data</t>
        </is>
      </c>
      <c r="BE287" s="45">
        <f>IF(OR($A287="",$L287="",$H287=""),"",IF(AND(LEFT($L287,2)="06",$H287&gt;1945),"FAIL - pre-war class, year "&amp;$H287,IF(AND(LEFT($L287,2)="07",OR($H287&lt;1946,$H287&gt;1972)),"FAIL - 1946-72 class, year "&amp;$H287,IF(AND(LEFT($L287,2)="08",OR($H287&lt;1973,$H287&gt;1999)),"FAIL - 1973-99 class, year "&amp;$H287,IF(AND(LEFT($L287,2)="09",OR($H287&lt;2000,$H287&gt;2010)),"FAIL - 2000-10 class, year "&amp;$H287,"OK")))))</f>
      </c>
      <c r="BF287" s="45">
        <f>IF($AD287="","",IF(ROUND($AO287+$AP287+$AQ287-$AD287,2)=0,"OK","FAIL - out by "&amp;TEXT($AO287+$AP287+$AQ287-$AD287,"$0.00")))</f>
      </c>
    </row>
    <row r="288" spans="1:58" ht="18.75" customHeight="1" x14ac:dyDescent="0.25">
      <c r="A288" s="46" t="inlineStr">
        <is>
          <t xml:space="preserve">CANON-202511-002559</t>
        </is>
      </c>
      <c r="B288" s="46" t="inlineStr">
        <is>
          <t xml:space="preserve">Delphine Fairweather</t>
        </is>
      </c>
      <c r="C288" s="47">
        <v>45974</v>
      </c>
      <c r="D288" s="48" t="inlineStr">
        <is>
          <t xml:space="preserve">Bound - within authority</t>
        </is>
      </c>
      <c r="E288" s="48" t="inlineStr">
        <is>
          <t xml:space="preserve">New business</t>
        </is>
      </c>
      <c r="F288" s="46" t="inlineStr">
        <is>
          <t xml:space="preserve">B1234EXOTIC26</t>
        </is>
      </c>
      <c r="G288" s="33">
        <f>IF($A288="","",IF($C288="","",YEAR($C288)))</f>
      </c>
      <c r="H288" s="49">
        <v>1968</v>
      </c>
      <c r="I288" s="46" t="inlineStr">
        <is>
          <t xml:space="preserve">Aston Martin</t>
        </is>
      </c>
      <c r="J288" s="46" t="inlineStr">
        <is>
          <t xml:space="preserve">DB12</t>
        </is>
      </c>
      <c r="K288" s="46" t="inlineStr">
        <is>
          <t xml:space="preserve">CP8ABWFNS81T4ZUDL</t>
        </is>
      </c>
      <c r="L288" s="48" t="inlineStr">
        <is>
          <t xml:space="preserve">02 - Sports / GT</t>
        </is>
      </c>
      <c r="M288" s="50">
        <v>365000</v>
      </c>
      <c r="N288" s="48" t="inlineStr">
        <is>
          <t xml:space="preserve">Personal</t>
        </is>
      </c>
      <c r="O288" s="46" t="inlineStr">
        <is>
          <t xml:space="preserve">Personal - regular use</t>
        </is>
      </c>
      <c r="P288" s="46" t="inlineStr">
        <is>
          <t xml:space="preserve">1,000 - 2,500</t>
        </is>
      </c>
      <c r="Q288" s="46" t="inlineStr">
        <is>
          <t xml:space="preserve">Missouri</t>
        </is>
      </c>
      <c r="R288" s="46" t="inlineStr">
        <is>
          <t xml:space="preserve">63101</t>
        </is>
      </c>
      <c r="S288" s="48" t="inlineStr">
        <is>
          <t xml:space="preserve">Severe convective - hail / tornado (moderate)</t>
        </is>
      </c>
      <c r="T288" s="36">
        <f>IF($A288="","",IF($S288="","",IFERROR(INDEX('[1]natural catastrophe'!$D$6:$D$17,MATCH($S288,'[1]natural catastrophe'!$B$6:$B$17,0)),"?")))</f>
      </c>
      <c r="U288" s="46" t="inlineStr">
        <is>
          <t xml:space="preserve">$5,000</t>
        </is>
      </c>
      <c r="V288" s="48" t="inlineStr">
        <is>
          <t xml:space="preserve">Agreed Value</t>
        </is>
      </c>
      <c r="W288" s="46" t="inlineStr">
        <is>
          <t xml:space="preserve">$1,000</t>
        </is>
      </c>
      <c r="X288" s="48" t="inlineStr">
        <is>
          <t xml:space="preserve">$1,000,000 CSL</t>
        </is>
      </c>
      <c r="Y288" s="46"/>
      <c r="Z288" s="46"/>
      <c r="AA288" s="48" t="inlineStr">
        <is>
          <t xml:space="preserve">Surplus Lines</t>
        </is>
      </c>
      <c r="AB288" s="50">
        <v>5033.72</v>
      </c>
      <c r="AC288" s="51">
        <v>0</v>
      </c>
      <c r="AD288" s="38">
        <f>IF(ISNUMBER($AB288),$AB288*(1+N($AC288)),"")</f>
      </c>
      <c r="AE288" s="50">
        <v>350</v>
      </c>
      <c r="AF288" s="50">
        <v>0</v>
      </c>
      <c r="AG288" s="51"/>
      <c r="AH288" s="39">
        <f>IF(ISNUMBER($AD288),($AD288+$AE288+$AF288)*$AG288,"")</f>
      </c>
      <c r="AI288" s="50"/>
      <c r="AJ288" s="38">
        <f>IF(ISNUMBER($AD288),SUM($AD288:$AH288),"")</f>
      </c>
      <c r="AK288" s="40">
        <f>IF(AND(ISNUMBER($AB288),ISNUMBER($AD288)),IF($AB288&gt;0,$AD288/$AB288,""),"")</f>
      </c>
      <c r="AL288" s="48" t="inlineStr">
        <is>
          <t xml:space="preserve">At technical</t>
        </is>
      </c>
      <c r="AM288" s="41">
        <f>IF(ISNUMBER($AD288),Header!$I$3,"")</f>
      </c>
      <c r="AN288" s="39">
        <f>IF(ISNUMBER($AD288),$AO288+$AP288,"")</f>
      </c>
      <c r="AO288" s="39">
        <f>IF(ISNUMBER($AD288),ROUND($AD288*Header!$K$3,2),"")</f>
      </c>
      <c r="AP288" s="39">
        <f>IF(ISNUMBER($AD288),ROUND($AD288*Header!$M$3,2),"")</f>
      </c>
      <c r="AQ288" s="38">
        <f>IF(ISNUMBER($AD288),ROUND($AD288,2)-$AO288-$AP288,"")</f>
      </c>
      <c r="AR288" s="39">
        <f>IF(ISNUMBER($AD288),IF(Header!$D$34="","?",$AD288*Header!$D$34),"")</f>
      </c>
      <c r="AS288" s="39">
        <f>IF(ISNUMBER($AB288),IF(Header!$D$34="","?",$AB288*Header!$D$34),"")</f>
      </c>
      <c r="AT288" s="42">
        <f>IF(AND(ISNUMBER($AB288),$M288&gt;0),$AB288/$M288*100,"")</f>
      </c>
      <c r="AU288" s="42">
        <f>IF(AND(ISNUMBER($AD288),$M288&gt;0),$AD288/$M288*100,"")</f>
      </c>
      <c r="AV288" s="40">
        <f>IF(AND(ISNUMBER($AB288),ISNUMBER($AD288),ABS($AB288)&gt;0),$AD288/$AB288,"")</f>
      </c>
      <c r="AW288" s="39">
        <f>IF(ISNUMBER($AD288),MAX(0,(1-0.55-Header!$O$3)*Header!$Q$3*$AQ288),"")</f>
      </c>
      <c r="AX288" s="43">
        <f>IF($A288="","",IF(TRIM(IF($A288="","Missing certificate ref. ","") &amp; IF($C288="","Missing effective date. ","") &amp; IF($D288="","Missing binding status. ","") &amp; IF($E288="","Missing movement type. ","") &amp; IF($I288="","Missing make. ","") &amp; IF($L288="","Missing vehicle class. ","") &amp; IF($M288="","Missing agreed value. ","") &amp; IF($N288="","Missing policy type. ","") &amp; IF($Q288="","Missing garaging state. ","") &amp; IF($R288="","Missing garaging ZIP. ","") &amp; IF($S288="","Missing cat zone. ","") &amp; IF($V288="","Missing valuation basis. ","") &amp; IF($W288="","Missing PD deductible. ","") &amp; IF($X288="","Missing liability limit. ","") &amp; IF($AB288="","Missing technical premium. ","") &amp; IF($AF288="","Missing surplus lines tax %. ",""))="","PASS","FAIL: "&amp;TRIM(IF($A288="","Missing certificate ref. ","") &amp; IF($C288="","Missing effective date. ","") &amp; IF($D288="","Missing binding status. ","") &amp; IF($E288="","Missing movement type. ","") &amp; IF($I288="","Missing make. ","") &amp; IF($L288="","Missing vehicle class. ","") &amp; IF($M288="","Missing agreed value. ","") &amp; IF($N288="","Missing policy type. ","") &amp; IF($Q288="","Missing garaging state. ","") &amp; IF($R288="","Missing garaging ZIP. ","") &amp; IF($S288="","Missing cat zone. ","") &amp; IF($V288="","Missing valuation basis. ","") &amp; IF($W288="","Missing PD deductible. ","") &amp; IF($X288="","Missing liability limit. ","") &amp; IF($AB288="","Missing technical premium. ","") &amp; IF($AF288="","Missing surplus lines tax %. ",""))))</f>
      </c>
      <c r="AY288" s="44">
        <f>IF($M288="","",IF(ISNUMBER($M288),IF($M288&gt;=Header!$C$18,"YES — refer","No"),""))</f>
      </c>
      <c r="AZ288" s="44">
        <f>IF($AD288="","",IF(ISNUMBER($AD288),IF($AD288&lt;Header!$C$20,"BELOW MIN PREMIUM","OK"),""))</f>
      </c>
      <c r="BA288" s="48" t="inlineStr">
        <is>
          <t xml:space="preserve">Yes</t>
        </is>
      </c>
      <c r="BB288" s="48" t="inlineStr">
        <is>
          <t xml:space="preserve">Yes</t>
        </is>
      </c>
      <c r="BC288" s="46" t="inlineStr">
        <is>
          <t xml:space="preserve">Synthetic demo data</t>
        </is>
      </c>
      <c r="BE288" s="45">
        <f>IF(OR($A288="",$L288="",$H288=""),"",IF(AND(LEFT($L288,2)="06",$H288&gt;1945),"FAIL - pre-war class, year "&amp;$H288,IF(AND(LEFT($L288,2)="07",OR($H288&lt;1946,$H288&gt;1972)),"FAIL - 1946-72 class, year "&amp;$H288,IF(AND(LEFT($L288,2)="08",OR($H288&lt;1973,$H288&gt;1999)),"FAIL - 1973-99 class, year "&amp;$H288,IF(AND(LEFT($L288,2)="09",OR($H288&lt;2000,$H288&gt;2010)),"FAIL - 2000-10 class, year "&amp;$H288,"OK")))))</f>
      </c>
      <c r="BF288" s="45">
        <f>IF($AD288="","",IF(ROUND($AO288+$AP288+$AQ288-$AD288,2)=0,"OK","FAIL - out by "&amp;TEXT($AO288+$AP288+$AQ288-$AD288,"$0.00")))</f>
      </c>
    </row>
    <row r="289" spans="1:58" ht="18.75" customHeight="1" x14ac:dyDescent="0.25">
      <c r="A289" s="30" t="inlineStr">
        <is>
          <t xml:space="preserve">CANON-202511-002560</t>
        </is>
      </c>
      <c r="B289" s="30" t="inlineStr">
        <is>
          <t xml:space="preserve">Fenwick Chattopadhyay</t>
        </is>
      </c>
      <c r="C289" s="31">
        <v>45978</v>
      </c>
      <c r="D289" s="32" t="inlineStr">
        <is>
          <t xml:space="preserve">Bound - within authority</t>
        </is>
      </c>
      <c r="E289" s="32" t="inlineStr">
        <is>
          <t xml:space="preserve">New business</t>
        </is>
      </c>
      <c r="F289" s="30" t="inlineStr">
        <is>
          <t xml:space="preserve">B1234EXOTIC26</t>
        </is>
      </c>
      <c r="G289" s="33">
        <f>IF($A289="","",IF($C289="","",YEAR($C289)))</f>
      </c>
      <c r="H289" s="34">
        <v>1961</v>
      </c>
      <c r="I289" s="30" t="inlineStr">
        <is>
          <t xml:space="preserve">Mercedes-Benz</t>
        </is>
      </c>
      <c r="J289" s="30" t="inlineStr">
        <is>
          <t xml:space="preserve">AMG GT</t>
        </is>
      </c>
      <c r="K289" s="30" t="inlineStr">
        <is>
          <t xml:space="preserve">Y4RKC6J8PRVVW11MA</t>
        </is>
      </c>
      <c r="L289" s="32" t="inlineStr">
        <is>
          <t xml:space="preserve">02 - Sports / GT</t>
        </is>
      </c>
      <c r="M289" s="35">
        <v>190000</v>
      </c>
      <c r="N289" s="32" t="inlineStr">
        <is>
          <t xml:space="preserve">Personal</t>
        </is>
      </c>
      <c r="O289" s="30" t="inlineStr">
        <is>
          <t xml:space="preserve">Personal - regular use</t>
        </is>
      </c>
      <c r="P289" s="30" t="inlineStr">
        <is>
          <t xml:space="preserve">1,000 - 2,500</t>
        </is>
      </c>
      <c r="Q289" s="30" t="inlineStr">
        <is>
          <t xml:space="preserve">Massachusetts</t>
        </is>
      </c>
      <c r="R289" s="30" t="inlineStr">
        <is>
          <t xml:space="preserve">02108</t>
        </is>
      </c>
      <c r="S289" s="32" t="inlineStr">
        <is>
          <t xml:space="preserve">Tier 3 - Coastal wind (25-100 miles)</t>
        </is>
      </c>
      <c r="T289" s="36">
        <f>IF($A289="","",IF($S289="","",IFERROR(INDEX('[1]natural catastrophe'!$D$6:$D$17,MATCH($S289,'[1]natural catastrophe'!$B$6:$B$17,0)),"?")))</f>
      </c>
      <c r="U289" s="30" t="inlineStr">
        <is>
          <t xml:space="preserve">2% of agreed value, minimum $10,000</t>
        </is>
      </c>
      <c r="V289" s="32" t="inlineStr">
        <is>
          <t xml:space="preserve">Agreed Value</t>
        </is>
      </c>
      <c r="W289" s="30" t="inlineStr">
        <is>
          <t xml:space="preserve">$1,000</t>
        </is>
      </c>
      <c r="X289" s="32" t="inlineStr">
        <is>
          <t xml:space="preserve">$1,000,000 CSL</t>
        </is>
      </c>
      <c r="Y289" s="30"/>
      <c r="Z289" s="30"/>
      <c r="AA289" s="32" t="inlineStr">
        <is>
          <t xml:space="preserve">Surplus Lines</t>
        </is>
      </c>
      <c r="AB289" s="35">
        <v>3790.36</v>
      </c>
      <c r="AC289" s="37">
        <v>0</v>
      </c>
      <c r="AD289" s="38">
        <f>IF(ISNUMBER($AB289),$AB289*(1+N($AC289)),"")</f>
      </c>
      <c r="AE289" s="35">
        <v>350</v>
      </c>
      <c r="AF289" s="35">
        <v>0</v>
      </c>
      <c r="AG289" s="37"/>
      <c r="AH289" s="39">
        <f>IF(ISNUMBER($AD289),($AD289+$AE289+$AF289)*$AG289,"")</f>
      </c>
      <c r="AI289" s="35"/>
      <c r="AJ289" s="38">
        <f>IF(ISNUMBER($AD289),SUM($AD289:$AH289),"")</f>
      </c>
      <c r="AK289" s="40">
        <f>IF(AND(ISNUMBER($AB289),ISNUMBER($AD289)),IF($AB289&gt;0,$AD289/$AB289,""),"")</f>
      </c>
      <c r="AL289" s="32" t="inlineStr">
        <is>
          <t xml:space="preserve">At technical</t>
        </is>
      </c>
      <c r="AM289" s="41">
        <f>IF(ISNUMBER($AD289),Header!$I$3,"")</f>
      </c>
      <c r="AN289" s="39">
        <f>IF(ISNUMBER($AD289),$AO289+$AP289,"")</f>
      </c>
      <c r="AO289" s="39">
        <f>IF(ISNUMBER($AD289),ROUND($AD289*Header!$K$3,2),"")</f>
      </c>
      <c r="AP289" s="39">
        <f>IF(ISNUMBER($AD289),ROUND($AD289*Header!$M$3,2),"")</f>
      </c>
      <c r="AQ289" s="38">
        <f>IF(ISNUMBER($AD289),ROUND($AD289,2)-$AO289-$AP289,"")</f>
      </c>
      <c r="AR289" s="39">
        <f>IF(ISNUMBER($AD289),IF(Header!$D$34="","?",$AD289*Header!$D$34),"")</f>
      </c>
      <c r="AS289" s="39">
        <f>IF(ISNUMBER($AB289),IF(Header!$D$34="","?",$AB289*Header!$D$34),"")</f>
      </c>
      <c r="AT289" s="42">
        <f>IF(AND(ISNUMBER($AB289),$M289&gt;0),$AB289/$M289*100,"")</f>
      </c>
      <c r="AU289" s="42">
        <f>IF(AND(ISNUMBER($AD289),$M289&gt;0),$AD289/$M289*100,"")</f>
      </c>
      <c r="AV289" s="40">
        <f>IF(AND(ISNUMBER($AB289),ISNUMBER($AD289),ABS($AB289)&gt;0),$AD289/$AB289,"")</f>
      </c>
      <c r="AW289" s="39">
        <f>IF(ISNUMBER($AD289),MAX(0,(1-0.55-Header!$O$3)*Header!$Q$3*$AQ289),"")</f>
      </c>
      <c r="AX289" s="43">
        <f>IF($A289="","",IF(TRIM(IF($A289="","Missing certificate ref. ","") &amp; IF($C289="","Missing effective date. ","") &amp; IF($D289="","Missing binding status. ","") &amp; IF($E289="","Missing movement type. ","") &amp; IF($I289="","Missing make. ","") &amp; IF($L289="","Missing vehicle class. ","") &amp; IF($M289="","Missing agreed value. ","") &amp; IF($N289="","Missing policy type. ","") &amp; IF($Q289="","Missing garaging state. ","") &amp; IF($R289="","Missing garaging ZIP. ","") &amp; IF($S289="","Missing cat zone. ","") &amp; IF($V289="","Missing valuation basis. ","") &amp; IF($W289="","Missing PD deductible. ","") &amp; IF($X289="","Missing liability limit. ","") &amp; IF($AB289="","Missing technical premium. ","") &amp; IF($AF289="","Missing surplus lines tax %. ",""))="","PASS","FAIL: "&amp;TRIM(IF($A289="","Missing certificate ref. ","") &amp; IF($C289="","Missing effective date. ","") &amp; IF($D289="","Missing binding status. ","") &amp; IF($E289="","Missing movement type. ","") &amp; IF($I289="","Missing make. ","") &amp; IF($L289="","Missing vehicle class. ","") &amp; IF($M289="","Missing agreed value. ","") &amp; IF($N289="","Missing policy type. ","") &amp; IF($Q289="","Missing garaging state. ","") &amp; IF($R289="","Missing garaging ZIP. ","") &amp; IF($S289="","Missing cat zone. ","") &amp; IF($V289="","Missing valuation basis. ","") &amp; IF($W289="","Missing PD deductible. ","") &amp; IF($X289="","Missing liability limit. ","") &amp; IF($AB289="","Missing technical premium. ","") &amp; IF($AF289="","Missing surplus lines tax %. ",""))))</f>
      </c>
      <c r="AY289" s="44">
        <f>IF($M289="","",IF(ISNUMBER($M289),IF($M289&gt;=Header!$C$18,"YES — refer","No"),""))</f>
      </c>
      <c r="AZ289" s="44">
        <f>IF($AD289="","",IF(ISNUMBER($AD289),IF($AD289&lt;Header!$C$20,"BELOW MIN PREMIUM","OK"),""))</f>
      </c>
      <c r="BA289" s="32" t="inlineStr">
        <is>
          <t xml:space="preserve">Yes</t>
        </is>
      </c>
      <c r="BB289" s="32" t="inlineStr">
        <is>
          <t xml:space="preserve">Yes</t>
        </is>
      </c>
      <c r="BC289" s="30" t="inlineStr">
        <is>
          <t xml:space="preserve">Synthetic demo data</t>
        </is>
      </c>
      <c r="BE289" s="45">
        <f>IF(OR($A289="",$L289="",$H289=""),"",IF(AND(LEFT($L289,2)="06",$H289&gt;1945),"FAIL - pre-war class, year "&amp;$H289,IF(AND(LEFT($L289,2)="07",OR($H289&lt;1946,$H289&gt;1972)),"FAIL - 1946-72 class, year "&amp;$H289,IF(AND(LEFT($L289,2)="08",OR($H289&lt;1973,$H289&gt;1999)),"FAIL - 1973-99 class, year "&amp;$H289,IF(AND(LEFT($L289,2)="09",OR($H289&lt;2000,$H289&gt;2010)),"FAIL - 2000-10 class, year "&amp;$H289,"OK")))))</f>
      </c>
      <c r="BF289" s="45">
        <f>IF($AD289="","",IF(ROUND($AO289+$AP289+$AQ289-$AD289,2)=0,"OK","FAIL - out by "&amp;TEXT($AO289+$AP289+$AQ289-$AD289,"$0.00")))</f>
      </c>
    </row>
    <row r="290" spans="1:58" ht="18.75" customHeight="1" x14ac:dyDescent="0.25">
      <c r="A290" s="46" t="inlineStr">
        <is>
          <t xml:space="preserve">CANON-202511-002562</t>
        </is>
      </c>
      <c r="B290" s="46" t="inlineStr">
        <is>
          <t xml:space="preserve">Cassius Blackwood</t>
        </is>
      </c>
      <c r="C290" s="47">
        <v>45969</v>
      </c>
      <c r="D290" s="48" t="inlineStr">
        <is>
          <t xml:space="preserve">Bound - within authority</t>
        </is>
      </c>
      <c r="E290" s="48" t="inlineStr">
        <is>
          <t xml:space="preserve">New business</t>
        </is>
      </c>
      <c r="F290" s="46" t="inlineStr">
        <is>
          <t xml:space="preserve">B1234EXOTIC26</t>
        </is>
      </c>
      <c r="G290" s="33">
        <f>IF($A290="","",IF($C290="","",YEAR($C290)))</f>
      </c>
      <c r="H290" s="49">
        <v>1985</v>
      </c>
      <c r="I290" s="46" t="inlineStr">
        <is>
          <t xml:space="preserve">Bentley</t>
        </is>
      </c>
      <c r="J290" s="46" t="inlineStr">
        <is>
          <t xml:space="preserve">Continental GT</t>
        </is>
      </c>
      <c r="K290" s="46" t="inlineStr">
        <is>
          <t xml:space="preserve">UZ5AU59WDTAL1GLRG</t>
        </is>
      </c>
      <c r="L290" s="48" t="inlineStr">
        <is>
          <t xml:space="preserve">02 - Sports / GT</t>
        </is>
      </c>
      <c r="M290" s="50">
        <v>1385000</v>
      </c>
      <c r="N290" s="48" t="inlineStr">
        <is>
          <t xml:space="preserve">Personal</t>
        </is>
      </c>
      <c r="O290" s="46" t="inlineStr">
        <is>
          <t xml:space="preserve">Personal - regular use</t>
        </is>
      </c>
      <c r="P290" s="46" t="inlineStr">
        <is>
          <t xml:space="preserve">2,500 - 5,000</t>
        </is>
      </c>
      <c r="Q290" s="46" t="inlineStr">
        <is>
          <t xml:space="preserve">Michigan</t>
        </is>
      </c>
      <c r="R290" s="46" t="inlineStr">
        <is>
          <t xml:space="preserve">48226</t>
        </is>
      </c>
      <c r="S290" s="48" t="inlineStr">
        <is>
          <t xml:space="preserve">Severe convective - hail / tornado (moderate)</t>
        </is>
      </c>
      <c r="T290" s="36">
        <f>IF($A290="","",IF($S290="","",IFERROR(INDEX('[1]natural catastrophe'!$D$6:$D$17,MATCH($S290,'[1]natural catastrophe'!$B$6:$B$17,0)),"?")))</f>
      </c>
      <c r="U290" s="46" t="inlineStr">
        <is>
          <t xml:space="preserve">$5,000</t>
        </is>
      </c>
      <c r="V290" s="48" t="inlineStr">
        <is>
          <t xml:space="preserve">Agreed Value</t>
        </is>
      </c>
      <c r="W290" s="46" t="inlineStr">
        <is>
          <t xml:space="preserve">$1,000</t>
        </is>
      </c>
      <c r="X290" s="48" t="inlineStr">
        <is>
          <t xml:space="preserve">$1,000,000 CSL</t>
        </is>
      </c>
      <c r="Y290" s="46"/>
      <c r="Z290" s="46"/>
      <c r="AA290" s="48" t="inlineStr">
        <is>
          <t xml:space="preserve">Surplus Lines</t>
        </is>
      </c>
      <c r="AB290" s="50">
        <v>20482.02</v>
      </c>
      <c r="AC290" s="51">
        <v>0</v>
      </c>
      <c r="AD290" s="38">
        <f>IF(ISNUMBER($AB290),$AB290*(1+N($AC290)),"")</f>
      </c>
      <c r="AE290" s="50">
        <v>350</v>
      </c>
      <c r="AF290" s="50">
        <v>250</v>
      </c>
      <c r="AG290" s="51"/>
      <c r="AH290" s="39">
        <f>IF(ISNUMBER($AD290),($AD290+$AE290+$AF290)*$AG290,"")</f>
      </c>
      <c r="AI290" s="50"/>
      <c r="AJ290" s="38">
        <f>IF(ISNUMBER($AD290),SUM($AD290:$AH290),"")</f>
      </c>
      <c r="AK290" s="40">
        <f>IF(AND(ISNUMBER($AB290),ISNUMBER($AD290)),IF($AB290&gt;0,$AD290/$AB290,""),"")</f>
      </c>
      <c r="AL290" s="48" t="inlineStr">
        <is>
          <t xml:space="preserve">At technical</t>
        </is>
      </c>
      <c r="AM290" s="41">
        <f>IF(ISNUMBER($AD290),Header!$I$3,"")</f>
      </c>
      <c r="AN290" s="39">
        <f>IF(ISNUMBER($AD290),$AO290+$AP290,"")</f>
      </c>
      <c r="AO290" s="39">
        <f>IF(ISNUMBER($AD290),ROUND($AD290*Header!$K$3,2),"")</f>
      </c>
      <c r="AP290" s="39">
        <f>IF(ISNUMBER($AD290),ROUND($AD290*Header!$M$3,2),"")</f>
      </c>
      <c r="AQ290" s="38">
        <f>IF(ISNUMBER($AD290),ROUND($AD290,2)-$AO290-$AP290,"")</f>
      </c>
      <c r="AR290" s="39">
        <f>IF(ISNUMBER($AD290),IF(Header!$D$34="","?",$AD290*Header!$D$34),"")</f>
      </c>
      <c r="AS290" s="39">
        <f>IF(ISNUMBER($AB290),IF(Header!$D$34="","?",$AB290*Header!$D$34),"")</f>
      </c>
      <c r="AT290" s="42">
        <f>IF(AND(ISNUMBER($AB290),$M290&gt;0),$AB290/$M290*100,"")</f>
      </c>
      <c r="AU290" s="42">
        <f>IF(AND(ISNUMBER($AD290),$M290&gt;0),$AD290/$M290*100,"")</f>
      </c>
      <c r="AV290" s="40">
        <f>IF(AND(ISNUMBER($AB290),ISNUMBER($AD290),ABS($AB290)&gt;0),$AD290/$AB290,"")</f>
      </c>
      <c r="AW290" s="39">
        <f>IF(ISNUMBER($AD290),MAX(0,(1-0.55-Header!$O$3)*Header!$Q$3*$AQ290),"")</f>
      </c>
      <c r="AX290" s="43">
        <f>IF($A290="","",IF(TRIM(IF($A290="","Missing certificate ref. ","") &amp; IF($C290="","Missing effective date. ","") &amp; IF($D290="","Missing binding status. ","") &amp; IF($E290="","Missing movement type. ","") &amp; IF($I290="","Missing make. ","") &amp; IF($L290="","Missing vehicle class. ","") &amp; IF($M290="","Missing agreed value. ","") &amp; IF($N290="","Missing policy type. ","") &amp; IF($Q290="","Missing garaging state. ","") &amp; IF($R290="","Missing garaging ZIP. ","") &amp; IF($S290="","Missing cat zone. ","") &amp; IF($V290="","Missing valuation basis. ","") &amp; IF($W290="","Missing PD deductible. ","") &amp; IF($X290="","Missing liability limit. ","") &amp; IF($AB290="","Missing technical premium. ","") &amp; IF($AF290="","Missing surplus lines tax %. ",""))="","PASS","FAIL: "&amp;TRIM(IF($A290="","Missing certificate ref. ","") &amp; IF($C290="","Missing effective date. ","") &amp; IF($D290="","Missing binding status. ","") &amp; IF($E290="","Missing movement type. ","") &amp; IF($I290="","Missing make. ","") &amp; IF($L290="","Missing vehicle class. ","") &amp; IF($M290="","Missing agreed value. ","") &amp; IF($N290="","Missing policy type. ","") &amp; IF($Q290="","Missing garaging state. ","") &amp; IF($R290="","Missing garaging ZIP. ","") &amp; IF($S290="","Missing cat zone. ","") &amp; IF($V290="","Missing valuation basis. ","") &amp; IF($W290="","Missing PD deductible. ","") &amp; IF($X290="","Missing liability limit. ","") &amp; IF($AB290="","Missing technical premium. ","") &amp; IF($AF290="","Missing surplus lines tax %. ",""))))</f>
      </c>
      <c r="AY290" s="44">
        <f>IF($M290="","",IF(ISNUMBER($M290),IF($M290&gt;=Header!$C$18,"YES — refer","No"),""))</f>
      </c>
      <c r="AZ290" s="44">
        <f>IF($AD290="","",IF(ISNUMBER($AD290),IF($AD290&lt;Header!$C$20,"BELOW MIN PREMIUM","OK"),""))</f>
      </c>
      <c r="BA290" s="48" t="inlineStr">
        <is>
          <t xml:space="preserve">Yes</t>
        </is>
      </c>
      <c r="BB290" s="48" t="inlineStr">
        <is>
          <t xml:space="preserve">Yes</t>
        </is>
      </c>
      <c r="BC290" s="46" t="inlineStr">
        <is>
          <t xml:space="preserve">Synthetic demo data</t>
        </is>
      </c>
      <c r="BE290" s="45">
        <f>IF(OR($A290="",$L290="",$H290=""),"",IF(AND(LEFT($L290,2)="06",$H290&gt;1945),"FAIL - pre-war class, year "&amp;$H290,IF(AND(LEFT($L290,2)="07",OR($H290&lt;1946,$H290&gt;1972)),"FAIL - 1946-72 class, year "&amp;$H290,IF(AND(LEFT($L290,2)="08",OR($H290&lt;1973,$H290&gt;1999)),"FAIL - 1973-99 class, year "&amp;$H290,IF(AND(LEFT($L290,2)="09",OR($H290&lt;2000,$H290&gt;2010)),"FAIL - 2000-10 class, year "&amp;$H290,"OK")))))</f>
      </c>
      <c r="BF290" s="45">
        <f>IF($AD290="","",IF(ROUND($AO290+$AP290+$AQ290-$AD290,2)=0,"OK","FAIL - out by "&amp;TEXT($AO290+$AP290+$AQ290-$AD290,"$0.00")))</f>
      </c>
    </row>
    <row r="291" spans="1:58" ht="18.75" customHeight="1" x14ac:dyDescent="0.25">
      <c r="A291" s="30" t="inlineStr">
        <is>
          <t xml:space="preserve">CANON-202511-002564</t>
        </is>
      </c>
      <c r="B291" s="30" t="inlineStr">
        <is>
          <t xml:space="preserve">Ottilie Delacroix</t>
        </is>
      </c>
      <c r="C291" s="31">
        <v>45970</v>
      </c>
      <c r="D291" s="32" t="inlineStr">
        <is>
          <t xml:space="preserve">Bound - within authority</t>
        </is>
      </c>
      <c r="E291" s="32" t="inlineStr">
        <is>
          <t xml:space="preserve">New business</t>
        </is>
      </c>
      <c r="F291" s="30" t="inlineStr">
        <is>
          <t xml:space="preserve">B1234EXOTIC26</t>
        </is>
      </c>
      <c r="G291" s="33">
        <f>IF($A291="","",IF($C291="","",YEAR($C291)))</f>
      </c>
      <c r="H291" s="34">
        <v>1988</v>
      </c>
      <c r="I291" s="30" t="inlineStr">
        <is>
          <t xml:space="preserve">Mercedes-Benz</t>
        </is>
      </c>
      <c r="J291" s="30" t="inlineStr">
        <is>
          <t xml:space="preserve">AMG GT</t>
        </is>
      </c>
      <c r="K291" s="30" t="inlineStr">
        <is>
          <t xml:space="preserve">MSU8D43SJRXFK7TSP</t>
        </is>
      </c>
      <c r="L291" s="32" t="inlineStr">
        <is>
          <t xml:space="preserve">02 - Sports / GT</t>
        </is>
      </c>
      <c r="M291" s="35">
        <v>610000</v>
      </c>
      <c r="N291" s="32" t="inlineStr">
        <is>
          <t xml:space="preserve">Personal</t>
        </is>
      </c>
      <c r="O291" s="30" t="inlineStr">
        <is>
          <t xml:space="preserve">Personal - regular use</t>
        </is>
      </c>
      <c r="P291" s="30" t="inlineStr">
        <is>
          <t xml:space="preserve">2,500 - 5,000</t>
        </is>
      </c>
      <c r="Q291" s="30" t="inlineStr">
        <is>
          <t xml:space="preserve">Georgia</t>
        </is>
      </c>
      <c r="R291" s="30" t="inlineStr">
        <is>
          <t xml:space="preserve">30303</t>
        </is>
      </c>
      <c r="S291" s="32" t="inlineStr">
        <is>
          <t xml:space="preserve">Tier 2 - Coastal wind (1-25 miles)</t>
        </is>
      </c>
      <c r="T291" s="36">
        <f>IF($A291="","",IF($S291="","",IFERROR(INDEX('[1]natural catastrophe'!$D$6:$D$17,MATCH($S291,'[1]natural catastrophe'!$B$6:$B$17,0)),"?")))</f>
      </c>
      <c r="U291" s="30" t="inlineStr">
        <is>
          <t xml:space="preserve">2% of agreed value, minimum $10,000</t>
        </is>
      </c>
      <c r="V291" s="32" t="inlineStr">
        <is>
          <t xml:space="preserve">Agreed Value</t>
        </is>
      </c>
      <c r="W291" s="30" t="inlineStr">
        <is>
          <t xml:space="preserve">$1,000</t>
        </is>
      </c>
      <c r="X291" s="32" t="inlineStr">
        <is>
          <t xml:space="preserve">$1,000,000 CSL</t>
        </is>
      </c>
      <c r="Y291" s="30"/>
      <c r="Z291" s="30"/>
      <c r="AA291" s="32" t="inlineStr">
        <is>
          <t xml:space="preserve">Surplus Lines</t>
        </is>
      </c>
      <c r="AB291" s="35">
        <v>7703.53</v>
      </c>
      <c r="AC291" s="37">
        <v>0</v>
      </c>
      <c r="AD291" s="38">
        <f>IF(ISNUMBER($AB291),$AB291*(1+N($AC291)),"")</f>
      </c>
      <c r="AE291" s="35">
        <v>350</v>
      </c>
      <c r="AF291" s="35">
        <v>0</v>
      </c>
      <c r="AG291" s="37"/>
      <c r="AH291" s="39">
        <f>IF(ISNUMBER($AD291),($AD291+$AE291+$AF291)*$AG291,"")</f>
      </c>
      <c r="AI291" s="35"/>
      <c r="AJ291" s="38">
        <f>IF(ISNUMBER($AD291),SUM($AD291:$AH291),"")</f>
      </c>
      <c r="AK291" s="40">
        <f>IF(AND(ISNUMBER($AB291),ISNUMBER($AD291)),IF($AB291&gt;0,$AD291/$AB291,""),"")</f>
      </c>
      <c r="AL291" s="32" t="inlineStr">
        <is>
          <t xml:space="preserve">At technical</t>
        </is>
      </c>
      <c r="AM291" s="41">
        <f>IF(ISNUMBER($AD291),Header!$I$3,"")</f>
      </c>
      <c r="AN291" s="39">
        <f>IF(ISNUMBER($AD291),$AO291+$AP291,"")</f>
      </c>
      <c r="AO291" s="39">
        <f>IF(ISNUMBER($AD291),ROUND($AD291*Header!$K$3,2),"")</f>
      </c>
      <c r="AP291" s="39">
        <f>IF(ISNUMBER($AD291),ROUND($AD291*Header!$M$3,2),"")</f>
      </c>
      <c r="AQ291" s="38">
        <f>IF(ISNUMBER($AD291),ROUND($AD291,2)-$AO291-$AP291,"")</f>
      </c>
      <c r="AR291" s="39">
        <f>IF(ISNUMBER($AD291),IF(Header!$D$34="","?",$AD291*Header!$D$34),"")</f>
      </c>
      <c r="AS291" s="39">
        <f>IF(ISNUMBER($AB291),IF(Header!$D$34="","?",$AB291*Header!$D$34),"")</f>
      </c>
      <c r="AT291" s="42">
        <f>IF(AND(ISNUMBER($AB291),$M291&gt;0),$AB291/$M291*100,"")</f>
      </c>
      <c r="AU291" s="42">
        <f>IF(AND(ISNUMBER($AD291),$M291&gt;0),$AD291/$M291*100,"")</f>
      </c>
      <c r="AV291" s="40">
        <f>IF(AND(ISNUMBER($AB291),ISNUMBER($AD291),ABS($AB291)&gt;0),$AD291/$AB291,"")</f>
      </c>
      <c r="AW291" s="39">
        <f>IF(ISNUMBER($AD291),MAX(0,(1-0.55-Header!$O$3)*Header!$Q$3*$AQ291),"")</f>
      </c>
      <c r="AX291" s="43">
        <f>IF($A291="","",IF(TRIM(IF($A291="","Missing certificate ref. ","") &amp; IF($C291="","Missing effective date. ","") &amp; IF($D291="","Missing binding status. ","") &amp; IF($E291="","Missing movement type. ","") &amp; IF($I291="","Missing make. ","") &amp; IF($L291="","Missing vehicle class. ","") &amp; IF($M291="","Missing agreed value. ","") &amp; IF($N291="","Missing policy type. ","") &amp; IF($Q291="","Missing garaging state. ","") &amp; IF($R291="","Missing garaging ZIP. ","") &amp; IF($S291="","Missing cat zone. ","") &amp; IF($V291="","Missing valuation basis. ","") &amp; IF($W291="","Missing PD deductible. ","") &amp; IF($X291="","Missing liability limit. ","") &amp; IF($AB291="","Missing technical premium. ","") &amp; IF($AF291="","Missing surplus lines tax %. ",""))="","PASS","FAIL: "&amp;TRIM(IF($A291="","Missing certificate ref. ","") &amp; IF($C291="","Missing effective date. ","") &amp; IF($D291="","Missing binding status. ","") &amp; IF($E291="","Missing movement type. ","") &amp; IF($I291="","Missing make. ","") &amp; IF($L291="","Missing vehicle class. ","") &amp; IF($M291="","Missing agreed value. ","") &amp; IF($N291="","Missing policy type. ","") &amp; IF($Q291="","Missing garaging state. ","") &amp; IF($R291="","Missing garaging ZIP. ","") &amp; IF($S291="","Missing cat zone. ","") &amp; IF($V291="","Missing valuation basis. ","") &amp; IF($W291="","Missing PD deductible. ","") &amp; IF($X291="","Missing liability limit. ","") &amp; IF($AB291="","Missing technical premium. ","") &amp; IF($AF291="","Missing surplus lines tax %. ",""))))</f>
      </c>
      <c r="AY291" s="44">
        <f>IF($M291="","",IF(ISNUMBER($M291),IF($M291&gt;=Header!$C$18,"YES — refer","No"),""))</f>
      </c>
      <c r="AZ291" s="44">
        <f>IF($AD291="","",IF(ISNUMBER($AD291),IF($AD291&lt;Header!$C$20,"BELOW MIN PREMIUM","OK"),""))</f>
      </c>
      <c r="BA291" s="32" t="inlineStr">
        <is>
          <t xml:space="preserve">Yes</t>
        </is>
      </c>
      <c r="BB291" s="32" t="inlineStr">
        <is>
          <t xml:space="preserve">Yes</t>
        </is>
      </c>
      <c r="BC291" s="30" t="inlineStr">
        <is>
          <t xml:space="preserve">Synthetic demo data</t>
        </is>
      </c>
      <c r="BE291" s="45">
        <f>IF(OR($A291="",$L291="",$H291=""),"",IF(AND(LEFT($L291,2)="06",$H291&gt;1945),"FAIL - pre-war class, year "&amp;$H291,IF(AND(LEFT($L291,2)="07",OR($H291&lt;1946,$H291&gt;1972)),"FAIL - 1946-72 class, year "&amp;$H291,IF(AND(LEFT($L291,2)="08",OR($H291&lt;1973,$H291&gt;1999)),"FAIL - 1973-99 class, year "&amp;$H291,IF(AND(LEFT($L291,2)="09",OR($H291&lt;2000,$H291&gt;2010)),"FAIL - 2000-10 class, year "&amp;$H291,"OK")))))</f>
      </c>
      <c r="BF291" s="45">
        <f>IF($AD291="","",IF(ROUND($AO291+$AP291+$AQ291-$AD291,2)=0,"OK","FAIL - out by "&amp;TEXT($AO291+$AP291+$AQ291-$AD291,"$0.00")))</f>
      </c>
    </row>
    <row r="292" spans="1:58" ht="18.75" customHeight="1" x14ac:dyDescent="0.25">
      <c r="A292" s="46" t="inlineStr">
        <is>
          <t xml:space="preserve">CANON-202511-002565</t>
        </is>
      </c>
      <c r="B292" s="46" t="inlineStr">
        <is>
          <t xml:space="preserve">Ottilie Vandermeer</t>
        </is>
      </c>
      <c r="C292" s="47">
        <v>45984</v>
      </c>
      <c r="D292" s="48" t="inlineStr">
        <is>
          <t xml:space="preserve">Bound - within authority</t>
        </is>
      </c>
      <c r="E292" s="48" t="inlineStr">
        <is>
          <t xml:space="preserve">New business</t>
        </is>
      </c>
      <c r="F292" s="46" t="inlineStr">
        <is>
          <t xml:space="preserve">B1234EXOTIC26</t>
        </is>
      </c>
      <c r="G292" s="33">
        <f>IF($A292="","",IF($C292="","",YEAR($C292)))</f>
      </c>
      <c r="H292" s="49">
        <v>2019</v>
      </c>
      <c r="I292" s="46" t="inlineStr">
        <is>
          <t xml:space="preserve">Maserati</t>
        </is>
      </c>
      <c r="J292" s="46" t="inlineStr">
        <is>
          <t xml:space="preserve">GranTurismo</t>
        </is>
      </c>
      <c r="K292" s="46" t="inlineStr">
        <is>
          <t xml:space="preserve">L2ALZ610N6C5NV5FC</t>
        </is>
      </c>
      <c r="L292" s="48" t="inlineStr">
        <is>
          <t xml:space="preserve">02 - Sports / GT</t>
        </is>
      </c>
      <c r="M292" s="50">
        <v>370000</v>
      </c>
      <c r="N292" s="48" t="inlineStr">
        <is>
          <t xml:space="preserve">Personal</t>
        </is>
      </c>
      <c r="O292" s="46" t="inlineStr">
        <is>
          <t xml:space="preserve">Personal - regular use</t>
        </is>
      </c>
      <c r="P292" s="46" t="inlineStr">
        <is>
          <t xml:space="preserve">2,500 - 5,000</t>
        </is>
      </c>
      <c r="Q292" s="46" t="inlineStr">
        <is>
          <t xml:space="preserve">Rhode Island</t>
        </is>
      </c>
      <c r="R292" s="46" t="inlineStr">
        <is>
          <t xml:space="preserve">02903</t>
        </is>
      </c>
      <c r="S292" s="48" t="inlineStr">
        <is>
          <t xml:space="preserve">Tier 3 - Coastal wind (25-100 miles)</t>
        </is>
      </c>
      <c r="T292" s="36">
        <f>IF($A292="","",IF($S292="","",IFERROR(INDEX('[1]natural catastrophe'!$D$6:$D$17,MATCH($S292,'[1]natural catastrophe'!$B$6:$B$17,0)),"?")))</f>
      </c>
      <c r="U292" s="46" t="inlineStr">
        <is>
          <t xml:space="preserve">2% of agreed value, minimum $10,000</t>
        </is>
      </c>
      <c r="V292" s="48" t="inlineStr">
        <is>
          <t xml:space="preserve">Agreed Value</t>
        </is>
      </c>
      <c r="W292" s="46" t="inlineStr">
        <is>
          <t xml:space="preserve">$1,000</t>
        </is>
      </c>
      <c r="X292" s="48" t="inlineStr">
        <is>
          <t xml:space="preserve">$1,000,000 CSL</t>
        </is>
      </c>
      <c r="Y292" s="46"/>
      <c r="Z292" s="46"/>
      <c r="AA292" s="48" t="inlineStr">
        <is>
          <t xml:space="preserve">Surplus Lines</t>
        </is>
      </c>
      <c r="AB292" s="50">
        <v>6594.96</v>
      </c>
      <c r="AC292" s="51">
        <v>0</v>
      </c>
      <c r="AD292" s="38">
        <f>IF(ISNUMBER($AB292),$AB292*(1+N($AC292)),"")</f>
      </c>
      <c r="AE292" s="50">
        <v>350</v>
      </c>
      <c r="AF292" s="50">
        <v>0</v>
      </c>
      <c r="AG292" s="51"/>
      <c r="AH292" s="39">
        <f>IF(ISNUMBER($AD292),($AD292+$AE292+$AF292)*$AG292,"")</f>
      </c>
      <c r="AI292" s="50"/>
      <c r="AJ292" s="38">
        <f>IF(ISNUMBER($AD292),SUM($AD292:$AH292),"")</f>
      </c>
      <c r="AK292" s="40">
        <f>IF(AND(ISNUMBER($AB292),ISNUMBER($AD292)),IF($AB292&gt;0,$AD292/$AB292,""),"")</f>
      </c>
      <c r="AL292" s="48" t="inlineStr">
        <is>
          <t xml:space="preserve">At technical</t>
        </is>
      </c>
      <c r="AM292" s="41">
        <f>IF(ISNUMBER($AD292),Header!$I$3,"")</f>
      </c>
      <c r="AN292" s="39">
        <f>IF(ISNUMBER($AD292),$AO292+$AP292,"")</f>
      </c>
      <c r="AO292" s="39">
        <f>IF(ISNUMBER($AD292),ROUND($AD292*Header!$K$3,2),"")</f>
      </c>
      <c r="AP292" s="39">
        <f>IF(ISNUMBER($AD292),ROUND($AD292*Header!$M$3,2),"")</f>
      </c>
      <c r="AQ292" s="38">
        <f>IF(ISNUMBER($AD292),ROUND($AD292,2)-$AO292-$AP292,"")</f>
      </c>
      <c r="AR292" s="39">
        <f>IF(ISNUMBER($AD292),IF(Header!$D$34="","?",$AD292*Header!$D$34),"")</f>
      </c>
      <c r="AS292" s="39">
        <f>IF(ISNUMBER($AB292),IF(Header!$D$34="","?",$AB292*Header!$D$34),"")</f>
      </c>
      <c r="AT292" s="42">
        <f>IF(AND(ISNUMBER($AB292),$M292&gt;0),$AB292/$M292*100,"")</f>
      </c>
      <c r="AU292" s="42">
        <f>IF(AND(ISNUMBER($AD292),$M292&gt;0),$AD292/$M292*100,"")</f>
      </c>
      <c r="AV292" s="40">
        <f>IF(AND(ISNUMBER($AB292),ISNUMBER($AD292),ABS($AB292)&gt;0),$AD292/$AB292,"")</f>
      </c>
      <c r="AW292" s="39">
        <f>IF(ISNUMBER($AD292),MAX(0,(1-0.55-Header!$O$3)*Header!$Q$3*$AQ292),"")</f>
      </c>
      <c r="AX292" s="43">
        <f>IF($A292="","",IF(TRIM(IF($A292="","Missing certificate ref. ","") &amp; IF($C292="","Missing effective date. ","") &amp; IF($D292="","Missing binding status. ","") &amp; IF($E292="","Missing movement type. ","") &amp; IF($I292="","Missing make. ","") &amp; IF($L292="","Missing vehicle class. ","") &amp; IF($M292="","Missing agreed value. ","") &amp; IF($N292="","Missing policy type. ","") &amp; IF($Q292="","Missing garaging state. ","") &amp; IF($R292="","Missing garaging ZIP. ","") &amp; IF($S292="","Missing cat zone. ","") &amp; IF($V292="","Missing valuation basis. ","") &amp; IF($W292="","Missing PD deductible. ","") &amp; IF($X292="","Missing liability limit. ","") &amp; IF($AB292="","Missing technical premium. ","") &amp; IF($AF292="","Missing surplus lines tax %. ",""))="","PASS","FAIL: "&amp;TRIM(IF($A292="","Missing certificate ref. ","") &amp; IF($C292="","Missing effective date. ","") &amp; IF($D292="","Missing binding status. ","") &amp; IF($E292="","Missing movement type. ","") &amp; IF($I292="","Missing make. ","") &amp; IF($L292="","Missing vehicle class. ","") &amp; IF($M292="","Missing agreed value. ","") &amp; IF($N292="","Missing policy type. ","") &amp; IF($Q292="","Missing garaging state. ","") &amp; IF($R292="","Missing garaging ZIP. ","") &amp; IF($S292="","Missing cat zone. ","") &amp; IF($V292="","Missing valuation basis. ","") &amp; IF($W292="","Missing PD deductible. ","") &amp; IF($X292="","Missing liability limit. ","") &amp; IF($AB292="","Missing technical premium. ","") &amp; IF($AF292="","Missing surplus lines tax %. ",""))))</f>
      </c>
      <c r="AY292" s="44">
        <f>IF($M292="","",IF(ISNUMBER($M292),IF($M292&gt;=Header!$C$18,"YES — refer","No"),""))</f>
      </c>
      <c r="AZ292" s="44">
        <f>IF($AD292="","",IF(ISNUMBER($AD292),IF($AD292&lt;Header!$C$20,"BELOW MIN PREMIUM","OK"),""))</f>
      </c>
      <c r="BA292" s="48" t="inlineStr">
        <is>
          <t xml:space="preserve">Yes</t>
        </is>
      </c>
      <c r="BB292" s="48" t="inlineStr">
        <is>
          <t xml:space="preserve">Yes</t>
        </is>
      </c>
      <c r="BC292" s="46" t="inlineStr">
        <is>
          <t xml:space="preserve">Synthetic demo data</t>
        </is>
      </c>
      <c r="BE292" s="45">
        <f>IF(OR($A292="",$L292="",$H292=""),"",IF(AND(LEFT($L292,2)="06",$H292&gt;1945),"FAIL - pre-war class, year "&amp;$H292,IF(AND(LEFT($L292,2)="07",OR($H292&lt;1946,$H292&gt;1972)),"FAIL - 1946-72 class, year "&amp;$H292,IF(AND(LEFT($L292,2)="08",OR($H292&lt;1973,$H292&gt;1999)),"FAIL - 1973-99 class, year "&amp;$H292,IF(AND(LEFT($L292,2)="09",OR($H292&lt;2000,$H292&gt;2010)),"FAIL - 2000-10 class, year "&amp;$H292,"OK")))))</f>
      </c>
      <c r="BF292" s="45">
        <f>IF($AD292="","",IF(ROUND($AO292+$AP292+$AQ292-$AD292,2)=0,"OK","FAIL - out by "&amp;TEXT($AO292+$AP292+$AQ292-$AD292,"$0.00")))</f>
      </c>
    </row>
    <row r="293" spans="1:58" ht="18.75" customHeight="1" x14ac:dyDescent="0.25">
      <c r="A293" s="30" t="inlineStr">
        <is>
          <t xml:space="preserve">CANON-202511-002567</t>
        </is>
      </c>
      <c r="B293" s="30" t="inlineStr">
        <is>
          <t xml:space="preserve">Cassius Merriweather</t>
        </is>
      </c>
      <c r="C293" s="31">
        <v>45984</v>
      </c>
      <c r="D293" s="32" t="inlineStr">
        <is>
          <t xml:space="preserve">Bound - within authority</t>
        </is>
      </c>
      <c r="E293" s="32" t="inlineStr">
        <is>
          <t xml:space="preserve">New business</t>
        </is>
      </c>
      <c r="F293" s="30" t="inlineStr">
        <is>
          <t xml:space="preserve">B1234EXOTIC26</t>
        </is>
      </c>
      <c r="G293" s="33">
        <f>IF($A293="","",IF($C293="","",YEAR($C293)))</f>
      </c>
      <c r="H293" s="34">
        <v>1974</v>
      </c>
      <c r="I293" s="30" t="inlineStr">
        <is>
          <t xml:space="preserve">McLaren</t>
        </is>
      </c>
      <c r="J293" s="30" t="inlineStr">
        <is>
          <t xml:space="preserve">750S</t>
        </is>
      </c>
      <c r="K293" s="30" t="inlineStr">
        <is>
          <t xml:space="preserve">FCCDDE22K1RG2SNPN</t>
        </is>
      </c>
      <c r="L293" s="32" t="inlineStr">
        <is>
          <t xml:space="preserve">03 - Supercar</t>
        </is>
      </c>
      <c r="M293" s="35">
        <v>1330000</v>
      </c>
      <c r="N293" s="32" t="inlineStr">
        <is>
          <t xml:space="preserve">Personal</t>
        </is>
      </c>
      <c r="O293" s="30" t="inlineStr">
        <is>
          <t xml:space="preserve">Personal - regular use</t>
        </is>
      </c>
      <c r="P293" s="30" t="inlineStr">
        <is>
          <t xml:space="preserve">1,000 - 2,500</t>
        </is>
      </c>
      <c r="Q293" s="30" t="inlineStr">
        <is>
          <t xml:space="preserve">Hawaii</t>
        </is>
      </c>
      <c r="R293" s="30" t="inlineStr">
        <is>
          <t xml:space="preserve">96813</t>
        </is>
      </c>
      <c r="S293" s="32" t="inlineStr">
        <is>
          <t xml:space="preserve">Earthquake - high (CA, Cascadia, New Madrid)</t>
        </is>
      </c>
      <c r="T293" s="36">
        <f>IF($A293="","",IF($S293="","",IFERROR(INDEX('[1]natural catastrophe'!$D$6:$D$17,MATCH($S293,'[1]natural catastrophe'!$B$6:$B$17,0)),"?")))</f>
      </c>
      <c r="U293" s="30" t="inlineStr">
        <is>
          <t xml:space="preserve">$5,000</t>
        </is>
      </c>
      <c r="V293" s="32" t="inlineStr">
        <is>
          <t xml:space="preserve">Agreed Value</t>
        </is>
      </c>
      <c r="W293" s="30" t="inlineStr">
        <is>
          <t xml:space="preserve">$1,000</t>
        </is>
      </c>
      <c r="X293" s="32" t="inlineStr">
        <is>
          <t xml:space="preserve">$1,000,000 CSL</t>
        </is>
      </c>
      <c r="Y293" s="30"/>
      <c r="Z293" s="30"/>
      <c r="AA293" s="32" t="inlineStr">
        <is>
          <t xml:space="preserve">Surplus Lines</t>
        </is>
      </c>
      <c r="AB293" s="35">
        <v>23994.6</v>
      </c>
      <c r="AC293" s="37">
        <v>0</v>
      </c>
      <c r="AD293" s="38">
        <f>IF(ISNUMBER($AB293),$AB293*(1+N($AC293)),"")</f>
      </c>
      <c r="AE293" s="35">
        <v>350</v>
      </c>
      <c r="AF293" s="35">
        <v>250</v>
      </c>
      <c r="AG293" s="37"/>
      <c r="AH293" s="39">
        <f>IF(ISNUMBER($AD293),($AD293+$AE293+$AF293)*$AG293,"")</f>
      </c>
      <c r="AI293" s="35"/>
      <c r="AJ293" s="38">
        <f>IF(ISNUMBER($AD293),SUM($AD293:$AH293),"")</f>
      </c>
      <c r="AK293" s="40">
        <f>IF(AND(ISNUMBER($AB293),ISNUMBER($AD293)),IF($AB293&gt;0,$AD293/$AB293,""),"")</f>
      </c>
      <c r="AL293" s="32" t="inlineStr">
        <is>
          <t xml:space="preserve">At technical</t>
        </is>
      </c>
      <c r="AM293" s="41">
        <f>IF(ISNUMBER($AD293),Header!$I$3,"")</f>
      </c>
      <c r="AN293" s="39">
        <f>IF(ISNUMBER($AD293),$AO293+$AP293,"")</f>
      </c>
      <c r="AO293" s="39">
        <f>IF(ISNUMBER($AD293),ROUND($AD293*Header!$K$3,2),"")</f>
      </c>
      <c r="AP293" s="39">
        <f>IF(ISNUMBER($AD293),ROUND($AD293*Header!$M$3,2),"")</f>
      </c>
      <c r="AQ293" s="38">
        <f>IF(ISNUMBER($AD293),ROUND($AD293,2)-$AO293-$AP293,"")</f>
      </c>
      <c r="AR293" s="39">
        <f>IF(ISNUMBER($AD293),IF(Header!$D$34="","?",$AD293*Header!$D$34),"")</f>
      </c>
      <c r="AS293" s="39">
        <f>IF(ISNUMBER($AB293),IF(Header!$D$34="","?",$AB293*Header!$D$34),"")</f>
      </c>
      <c r="AT293" s="42">
        <f>IF(AND(ISNUMBER($AB293),$M293&gt;0),$AB293/$M293*100,"")</f>
      </c>
      <c r="AU293" s="42">
        <f>IF(AND(ISNUMBER($AD293),$M293&gt;0),$AD293/$M293*100,"")</f>
      </c>
      <c r="AV293" s="40">
        <f>IF(AND(ISNUMBER($AB293),ISNUMBER($AD293),ABS($AB293)&gt;0),$AD293/$AB293,"")</f>
      </c>
      <c r="AW293" s="39">
        <f>IF(ISNUMBER($AD293),MAX(0,(1-0.55-Header!$O$3)*Header!$Q$3*$AQ293),"")</f>
      </c>
      <c r="AX293" s="43">
        <f>IF($A293="","",IF(TRIM(IF($A293="","Missing certificate ref. ","") &amp; IF($C293="","Missing effective date. ","") &amp; IF($D293="","Missing binding status. ","") &amp; IF($E293="","Missing movement type. ","") &amp; IF($I293="","Missing make. ","") &amp; IF($L293="","Missing vehicle class. ","") &amp; IF($M293="","Missing agreed value. ","") &amp; IF($N293="","Missing policy type. ","") &amp; IF($Q293="","Missing garaging state. ","") &amp; IF($R293="","Missing garaging ZIP. ","") &amp; IF($S293="","Missing cat zone. ","") &amp; IF($V293="","Missing valuation basis. ","") &amp; IF($W293="","Missing PD deductible. ","") &amp; IF($X293="","Missing liability limit. ","") &amp; IF($AB293="","Missing technical premium. ","") &amp; IF($AF293="","Missing surplus lines tax %. ",""))="","PASS","FAIL: "&amp;TRIM(IF($A293="","Missing certificate ref. ","") &amp; IF($C293="","Missing effective date. ","") &amp; IF($D293="","Missing binding status. ","") &amp; IF($E293="","Missing movement type. ","") &amp; IF($I293="","Missing make. ","") &amp; IF($L293="","Missing vehicle class. ","") &amp; IF($M293="","Missing agreed value. ","") &amp; IF($N293="","Missing policy type. ","") &amp; IF($Q293="","Missing garaging state. ","") &amp; IF($R293="","Missing garaging ZIP. ","") &amp; IF($S293="","Missing cat zone. ","") &amp; IF($V293="","Missing valuation basis. ","") &amp; IF($W293="","Missing PD deductible. ","") &amp; IF($X293="","Missing liability limit. ","") &amp; IF($AB293="","Missing technical premium. ","") &amp; IF($AF293="","Missing surplus lines tax %. ",""))))</f>
      </c>
      <c r="AY293" s="44">
        <f>IF($M293="","",IF(ISNUMBER($M293),IF($M293&gt;=Header!$C$18,"YES — refer","No"),""))</f>
      </c>
      <c r="AZ293" s="44">
        <f>IF($AD293="","",IF(ISNUMBER($AD293),IF($AD293&lt;Header!$C$20,"BELOW MIN PREMIUM","OK"),""))</f>
      </c>
      <c r="BA293" s="32" t="inlineStr">
        <is>
          <t xml:space="preserve">Yes</t>
        </is>
      </c>
      <c r="BB293" s="32" t="inlineStr">
        <is>
          <t xml:space="preserve">Yes</t>
        </is>
      </c>
      <c r="BC293" s="30" t="inlineStr">
        <is>
          <t xml:space="preserve">Synthetic demo data</t>
        </is>
      </c>
      <c r="BE293" s="45">
        <f>IF(OR($A293="",$L293="",$H293=""),"",IF(AND(LEFT($L293,2)="06",$H293&gt;1945),"FAIL - pre-war class, year "&amp;$H293,IF(AND(LEFT($L293,2)="07",OR($H293&lt;1946,$H293&gt;1972)),"FAIL - 1946-72 class, year "&amp;$H293,IF(AND(LEFT($L293,2)="08",OR($H293&lt;1973,$H293&gt;1999)),"FAIL - 1973-99 class, year "&amp;$H293,IF(AND(LEFT($L293,2)="09",OR($H293&lt;2000,$H293&gt;2010)),"FAIL - 2000-10 class, year "&amp;$H293,"OK")))))</f>
      </c>
      <c r="BF293" s="45">
        <f>IF($AD293="","",IF(ROUND($AO293+$AP293+$AQ293-$AD293,2)=0,"OK","FAIL - out by "&amp;TEXT($AO293+$AP293+$AQ293-$AD293,"$0.00")))</f>
      </c>
    </row>
    <row r="294" spans="1:58" ht="18.75" customHeight="1" x14ac:dyDescent="0.25">
      <c r="A294" s="46" t="inlineStr">
        <is>
          <t xml:space="preserve">CANON-202511-002568</t>
        </is>
      </c>
      <c r="B294" s="46" t="inlineStr">
        <is>
          <t xml:space="preserve">Horace Larsson</t>
        </is>
      </c>
      <c r="C294" s="47">
        <v>45984</v>
      </c>
      <c r="D294" s="48" t="inlineStr">
        <is>
          <t xml:space="preserve">Bound - within authority</t>
        </is>
      </c>
      <c r="E294" s="48" t="inlineStr">
        <is>
          <t xml:space="preserve">New business</t>
        </is>
      </c>
      <c r="F294" s="46" t="inlineStr">
        <is>
          <t xml:space="preserve">B1234EXOTIC26</t>
        </is>
      </c>
      <c r="G294" s="33">
        <f>IF($A294="","",IF($C294="","",YEAR($C294)))</f>
      </c>
      <c r="H294" s="49">
        <v>1996</v>
      </c>
      <c r="I294" s="46" t="inlineStr">
        <is>
          <t xml:space="preserve">Mercedes-Benz</t>
        </is>
      </c>
      <c r="J294" s="46" t="inlineStr">
        <is>
          <t xml:space="preserve">AMG GT</t>
        </is>
      </c>
      <c r="K294" s="46" t="inlineStr">
        <is>
          <t xml:space="preserve">SXJNK8RECVEWEKF5S</t>
        </is>
      </c>
      <c r="L294" s="48" t="inlineStr">
        <is>
          <t xml:space="preserve">02 - Sports / GT</t>
        </is>
      </c>
      <c r="M294" s="50">
        <v>280000</v>
      </c>
      <c r="N294" s="48" t="inlineStr">
        <is>
          <t xml:space="preserve">Personal</t>
        </is>
      </c>
      <c r="O294" s="46" t="inlineStr">
        <is>
          <t xml:space="preserve">Personal - regular use</t>
        </is>
      </c>
      <c r="P294" s="46" t="inlineStr">
        <is>
          <t xml:space="preserve">1,000 - 2,500</t>
        </is>
      </c>
      <c r="Q294" s="46" t="inlineStr">
        <is>
          <t xml:space="preserve">Mississippi</t>
        </is>
      </c>
      <c r="R294" s="46" t="inlineStr">
        <is>
          <t xml:space="preserve">39201</t>
        </is>
      </c>
      <c r="S294" s="48" t="inlineStr">
        <is>
          <t xml:space="preserve">Tier 2 - Coastal wind (1-25 miles)</t>
        </is>
      </c>
      <c r="T294" s="36">
        <f>IF($A294="","",IF($S294="","",IFERROR(INDEX('[1]natural catastrophe'!$D$6:$D$17,MATCH($S294,'[1]natural catastrophe'!$B$6:$B$17,0)),"?")))</f>
      </c>
      <c r="U294" s="46" t="inlineStr">
        <is>
          <t xml:space="preserve">2% of agreed value, minimum $10,000</t>
        </is>
      </c>
      <c r="V294" s="48" t="inlineStr">
        <is>
          <t xml:space="preserve">Agreed Value</t>
        </is>
      </c>
      <c r="W294" s="46" t="inlineStr">
        <is>
          <t xml:space="preserve">$1,000</t>
        </is>
      </c>
      <c r="X294" s="48" t="inlineStr">
        <is>
          <t xml:space="preserve">$1,000,000 CSL</t>
        </is>
      </c>
      <c r="Y294" s="46"/>
      <c r="Z294" s="46"/>
      <c r="AA294" s="48" t="inlineStr">
        <is>
          <t xml:space="preserve">Surplus Lines</t>
        </is>
      </c>
      <c r="AB294" s="50">
        <v>4335.05</v>
      </c>
      <c r="AC294" s="51">
        <v>0</v>
      </c>
      <c r="AD294" s="38">
        <f>IF(ISNUMBER($AB294),$AB294*(1+N($AC294)),"")</f>
      </c>
      <c r="AE294" s="50">
        <v>350</v>
      </c>
      <c r="AF294" s="50">
        <v>0</v>
      </c>
      <c r="AG294" s="51"/>
      <c r="AH294" s="39">
        <f>IF(ISNUMBER($AD294),($AD294+$AE294+$AF294)*$AG294,"")</f>
      </c>
      <c r="AI294" s="50"/>
      <c r="AJ294" s="38">
        <f>IF(ISNUMBER($AD294),SUM($AD294:$AH294),"")</f>
      </c>
      <c r="AK294" s="40">
        <f>IF(AND(ISNUMBER($AB294),ISNUMBER($AD294)),IF($AB294&gt;0,$AD294/$AB294,""),"")</f>
      </c>
      <c r="AL294" s="48" t="inlineStr">
        <is>
          <t xml:space="preserve">At technical</t>
        </is>
      </c>
      <c r="AM294" s="41">
        <f>IF(ISNUMBER($AD294),Header!$I$3,"")</f>
      </c>
      <c r="AN294" s="39">
        <f>IF(ISNUMBER($AD294),$AO294+$AP294,"")</f>
      </c>
      <c r="AO294" s="39">
        <f>IF(ISNUMBER($AD294),ROUND($AD294*Header!$K$3,2),"")</f>
      </c>
      <c r="AP294" s="39">
        <f>IF(ISNUMBER($AD294),ROUND($AD294*Header!$M$3,2),"")</f>
      </c>
      <c r="AQ294" s="38">
        <f>IF(ISNUMBER($AD294),ROUND($AD294,2)-$AO294-$AP294,"")</f>
      </c>
      <c r="AR294" s="39">
        <f>IF(ISNUMBER($AD294),IF(Header!$D$34="","?",$AD294*Header!$D$34),"")</f>
      </c>
      <c r="AS294" s="39">
        <f>IF(ISNUMBER($AB294),IF(Header!$D$34="","?",$AB294*Header!$D$34),"")</f>
      </c>
      <c r="AT294" s="42">
        <f>IF(AND(ISNUMBER($AB294),$M294&gt;0),$AB294/$M294*100,"")</f>
      </c>
      <c r="AU294" s="42">
        <f>IF(AND(ISNUMBER($AD294),$M294&gt;0),$AD294/$M294*100,"")</f>
      </c>
      <c r="AV294" s="40">
        <f>IF(AND(ISNUMBER($AB294),ISNUMBER($AD294),ABS($AB294)&gt;0),$AD294/$AB294,"")</f>
      </c>
      <c r="AW294" s="39">
        <f>IF(ISNUMBER($AD294),MAX(0,(1-0.55-Header!$O$3)*Header!$Q$3*$AQ294),"")</f>
      </c>
      <c r="AX294" s="43">
        <f>IF($A294="","",IF(TRIM(IF($A294="","Missing certificate ref. ","") &amp; IF($C294="","Missing effective date. ","") &amp; IF($D294="","Missing binding status. ","") &amp; IF($E294="","Missing movement type. ","") &amp; IF($I294="","Missing make. ","") &amp; IF($L294="","Missing vehicle class. ","") &amp; IF($M294="","Missing agreed value. ","") &amp; IF($N294="","Missing policy type. ","") &amp; IF($Q294="","Missing garaging state. ","") &amp; IF($R294="","Missing garaging ZIP. ","") &amp; IF($S294="","Missing cat zone. ","") &amp; IF($V294="","Missing valuation basis. ","") &amp; IF($W294="","Missing PD deductible. ","") &amp; IF($X294="","Missing liability limit. ","") &amp; IF($AB294="","Missing technical premium. ","") &amp; IF($AF294="","Missing surplus lines tax %. ",""))="","PASS","FAIL: "&amp;TRIM(IF($A294="","Missing certificate ref. ","") &amp; IF($C294="","Missing effective date. ","") &amp; IF($D294="","Missing binding status. ","") &amp; IF($E294="","Missing movement type. ","") &amp; IF($I294="","Missing make. ","") &amp; IF($L294="","Missing vehicle class. ","") &amp; IF($M294="","Missing agreed value. ","") &amp; IF($N294="","Missing policy type. ","") &amp; IF($Q294="","Missing garaging state. ","") &amp; IF($R294="","Missing garaging ZIP. ","") &amp; IF($S294="","Missing cat zone. ","") &amp; IF($V294="","Missing valuation basis. ","") &amp; IF($W294="","Missing PD deductible. ","") &amp; IF($X294="","Missing liability limit. ","") &amp; IF($AB294="","Missing technical premium. ","") &amp; IF($AF294="","Missing surplus lines tax %. ",""))))</f>
      </c>
      <c r="AY294" s="44">
        <f>IF($M294="","",IF(ISNUMBER($M294),IF($M294&gt;=Header!$C$18,"YES — refer","No"),""))</f>
      </c>
      <c r="AZ294" s="44">
        <f>IF($AD294="","",IF(ISNUMBER($AD294),IF($AD294&lt;Header!$C$20,"BELOW MIN PREMIUM","OK"),""))</f>
      </c>
      <c r="BA294" s="48" t="inlineStr">
        <is>
          <t xml:space="preserve">Yes</t>
        </is>
      </c>
      <c r="BB294" s="48" t="inlineStr">
        <is>
          <t xml:space="preserve">Yes</t>
        </is>
      </c>
      <c r="BC294" s="46" t="inlineStr">
        <is>
          <t xml:space="preserve">Synthetic demo data</t>
        </is>
      </c>
      <c r="BE294" s="45">
        <f>IF(OR($A294="",$L294="",$H294=""),"",IF(AND(LEFT($L294,2)="06",$H294&gt;1945),"FAIL - pre-war class, year "&amp;$H294,IF(AND(LEFT($L294,2)="07",OR($H294&lt;1946,$H294&gt;1972)),"FAIL - 1946-72 class, year "&amp;$H294,IF(AND(LEFT($L294,2)="08",OR($H294&lt;1973,$H294&gt;1999)),"FAIL - 1973-99 class, year "&amp;$H294,IF(AND(LEFT($L294,2)="09",OR($H294&lt;2000,$H294&gt;2010)),"FAIL - 2000-10 class, year "&amp;$H294,"OK")))))</f>
      </c>
      <c r="BF294" s="45">
        <f>IF($AD294="","",IF(ROUND($AO294+$AP294+$AQ294-$AD294,2)=0,"OK","FAIL - out by "&amp;TEXT($AO294+$AP294+$AQ294-$AD294,"$0.00")))</f>
      </c>
    </row>
    <row r="295" spans="1:58" ht="18.75" customHeight="1" x14ac:dyDescent="0.25">
      <c r="A295" s="30" t="inlineStr">
        <is>
          <t xml:space="preserve">CANON-202511-002569</t>
        </is>
      </c>
      <c r="B295" s="30" t="inlineStr">
        <is>
          <t xml:space="preserve">Delphine Chattopadhyay</t>
        </is>
      </c>
      <c r="C295" s="31">
        <v>45968</v>
      </c>
      <c r="D295" s="32" t="inlineStr">
        <is>
          <t xml:space="preserve">Bound - within authority</t>
        </is>
      </c>
      <c r="E295" s="32" t="inlineStr">
        <is>
          <t xml:space="preserve">New business</t>
        </is>
      </c>
      <c r="F295" s="30" t="inlineStr">
        <is>
          <t xml:space="preserve">B1234EXOTIC26</t>
        </is>
      </c>
      <c r="G295" s="33">
        <f>IF($A295="","",IF($C295="","",YEAR($C295)))</f>
      </c>
      <c r="H295" s="34">
        <v>1958</v>
      </c>
      <c r="I295" s="30" t="inlineStr">
        <is>
          <t xml:space="preserve">Mercedes-Benz</t>
        </is>
      </c>
      <c r="J295" s="30" t="inlineStr">
        <is>
          <t xml:space="preserve">AMG GT</t>
        </is>
      </c>
      <c r="K295" s="30" t="inlineStr">
        <is>
          <t xml:space="preserve">J66NM4HBMP3M0SSL6</t>
        </is>
      </c>
      <c r="L295" s="32" t="inlineStr">
        <is>
          <t xml:space="preserve">02 - Sports / GT</t>
        </is>
      </c>
      <c r="M295" s="35">
        <v>960000</v>
      </c>
      <c r="N295" s="32" t="inlineStr">
        <is>
          <t xml:space="preserve">Personal</t>
        </is>
      </c>
      <c r="O295" s="30" t="inlineStr">
        <is>
          <t xml:space="preserve">Personal - regular use</t>
        </is>
      </c>
      <c r="P295" s="30" t="inlineStr">
        <is>
          <t xml:space="preserve">1,000 - 2,500</t>
        </is>
      </c>
      <c r="Q295" s="30" t="inlineStr">
        <is>
          <t xml:space="preserve">South Carolina</t>
        </is>
      </c>
      <c r="R295" s="30" t="inlineStr">
        <is>
          <t xml:space="preserve">29401</t>
        </is>
      </c>
      <c r="S295" s="32" t="inlineStr">
        <is>
          <t xml:space="preserve">Tier 2 - Coastal wind (1-25 miles)</t>
        </is>
      </c>
      <c r="T295" s="36">
        <f>IF($A295="","",IF($S295="","",IFERROR(INDEX('[1]natural catastrophe'!$D$6:$D$17,MATCH($S295,'[1]natural catastrophe'!$B$6:$B$17,0)),"?")))</f>
      </c>
      <c r="U295" s="30" t="inlineStr">
        <is>
          <t xml:space="preserve">2% of agreed value, minimum $10,000</t>
        </is>
      </c>
      <c r="V295" s="32" t="inlineStr">
        <is>
          <t xml:space="preserve">Agreed Value</t>
        </is>
      </c>
      <c r="W295" s="30" t="inlineStr">
        <is>
          <t xml:space="preserve">$1,000</t>
        </is>
      </c>
      <c r="X295" s="32" t="inlineStr">
        <is>
          <t xml:space="preserve">$1,000,000 CSL</t>
        </is>
      </c>
      <c r="Y295" s="30"/>
      <c r="Z295" s="30"/>
      <c r="AA295" s="32" t="inlineStr">
        <is>
          <t xml:space="preserve">Surplus Lines</t>
        </is>
      </c>
      <c r="AB295" s="35">
        <v>13422.55</v>
      </c>
      <c r="AC295" s="37">
        <v>0</v>
      </c>
      <c r="AD295" s="38">
        <f>IF(ISNUMBER($AB295),$AB295*(1+N($AC295)),"")</f>
      </c>
      <c r="AE295" s="35">
        <v>350</v>
      </c>
      <c r="AF295" s="35">
        <v>0</v>
      </c>
      <c r="AG295" s="37"/>
      <c r="AH295" s="39">
        <f>IF(ISNUMBER($AD295),($AD295+$AE295+$AF295)*$AG295,"")</f>
      </c>
      <c r="AI295" s="35"/>
      <c r="AJ295" s="38">
        <f>IF(ISNUMBER($AD295),SUM($AD295:$AH295),"")</f>
      </c>
      <c r="AK295" s="40">
        <f>IF(AND(ISNUMBER($AB295),ISNUMBER($AD295)),IF($AB295&gt;0,$AD295/$AB295,""),"")</f>
      </c>
      <c r="AL295" s="32" t="inlineStr">
        <is>
          <t xml:space="preserve">At technical</t>
        </is>
      </c>
      <c r="AM295" s="41">
        <f>IF(ISNUMBER($AD295),Header!$I$3,"")</f>
      </c>
      <c r="AN295" s="39">
        <f>IF(ISNUMBER($AD295),$AO295+$AP295,"")</f>
      </c>
      <c r="AO295" s="39">
        <f>IF(ISNUMBER($AD295),ROUND($AD295*Header!$K$3,2),"")</f>
      </c>
      <c r="AP295" s="39">
        <f>IF(ISNUMBER($AD295),ROUND($AD295*Header!$M$3,2),"")</f>
      </c>
      <c r="AQ295" s="38">
        <f>IF(ISNUMBER($AD295),ROUND($AD295,2)-$AO295-$AP295,"")</f>
      </c>
      <c r="AR295" s="39">
        <f>IF(ISNUMBER($AD295),IF(Header!$D$34="","?",$AD295*Header!$D$34),"")</f>
      </c>
      <c r="AS295" s="39">
        <f>IF(ISNUMBER($AB295),IF(Header!$D$34="","?",$AB295*Header!$D$34),"")</f>
      </c>
      <c r="AT295" s="42">
        <f>IF(AND(ISNUMBER($AB295),$M295&gt;0),$AB295/$M295*100,"")</f>
      </c>
      <c r="AU295" s="42">
        <f>IF(AND(ISNUMBER($AD295),$M295&gt;0),$AD295/$M295*100,"")</f>
      </c>
      <c r="AV295" s="40">
        <f>IF(AND(ISNUMBER($AB295),ISNUMBER($AD295),ABS($AB295)&gt;0),$AD295/$AB295,"")</f>
      </c>
      <c r="AW295" s="39">
        <f>IF(ISNUMBER($AD295),MAX(0,(1-0.55-Header!$O$3)*Header!$Q$3*$AQ295),"")</f>
      </c>
      <c r="AX295" s="43">
        <f>IF($A295="","",IF(TRIM(IF($A295="","Missing certificate ref. ","") &amp; IF($C295="","Missing effective date. ","") &amp; IF($D295="","Missing binding status. ","") &amp; IF($E295="","Missing movement type. ","") &amp; IF($I295="","Missing make. ","") &amp; IF($L295="","Missing vehicle class. ","") &amp; IF($M295="","Missing agreed value. ","") &amp; IF($N295="","Missing policy type. ","") &amp; IF($Q295="","Missing garaging state. ","") &amp; IF($R295="","Missing garaging ZIP. ","") &amp; IF($S295="","Missing cat zone. ","") &amp; IF($V295="","Missing valuation basis. ","") &amp; IF($W295="","Missing PD deductible. ","") &amp; IF($X295="","Missing liability limit. ","") &amp; IF($AB295="","Missing technical premium. ","") &amp; IF($AF295="","Missing surplus lines tax %. ",""))="","PASS","FAIL: "&amp;TRIM(IF($A295="","Missing certificate ref. ","") &amp; IF($C295="","Missing effective date. ","") &amp; IF($D295="","Missing binding status. ","") &amp; IF($E295="","Missing movement type. ","") &amp; IF($I295="","Missing make. ","") &amp; IF($L295="","Missing vehicle class. ","") &amp; IF($M295="","Missing agreed value. ","") &amp; IF($N295="","Missing policy type. ","") &amp; IF($Q295="","Missing garaging state. ","") &amp; IF($R295="","Missing garaging ZIP. ","") &amp; IF($S295="","Missing cat zone. ","") &amp; IF($V295="","Missing valuation basis. ","") &amp; IF($W295="","Missing PD deductible. ","") &amp; IF($X295="","Missing liability limit. ","") &amp; IF($AB295="","Missing technical premium. ","") &amp; IF($AF295="","Missing surplus lines tax %. ",""))))</f>
      </c>
      <c r="AY295" s="44">
        <f>IF($M295="","",IF(ISNUMBER($M295),IF($M295&gt;=Header!$C$18,"YES — refer","No"),""))</f>
      </c>
      <c r="AZ295" s="44">
        <f>IF($AD295="","",IF(ISNUMBER($AD295),IF($AD295&lt;Header!$C$20,"BELOW MIN PREMIUM","OK"),""))</f>
      </c>
      <c r="BA295" s="32" t="inlineStr">
        <is>
          <t xml:space="preserve">Yes</t>
        </is>
      </c>
      <c r="BB295" s="32" t="inlineStr">
        <is>
          <t xml:space="preserve">Yes</t>
        </is>
      </c>
      <c r="BC295" s="30" t="inlineStr">
        <is>
          <t xml:space="preserve">Synthetic demo data</t>
        </is>
      </c>
      <c r="BE295" s="45">
        <f>IF(OR($A295="",$L295="",$H295=""),"",IF(AND(LEFT($L295,2)="06",$H295&gt;1945),"FAIL - pre-war class, year "&amp;$H295,IF(AND(LEFT($L295,2)="07",OR($H295&lt;1946,$H295&gt;1972)),"FAIL - 1946-72 class, year "&amp;$H295,IF(AND(LEFT($L295,2)="08",OR($H295&lt;1973,$H295&gt;1999)),"FAIL - 1973-99 class, year "&amp;$H295,IF(AND(LEFT($L295,2)="09",OR($H295&lt;2000,$H295&gt;2010)),"FAIL - 2000-10 class, year "&amp;$H295,"OK")))))</f>
      </c>
      <c r="BF295" s="45">
        <f>IF($AD295="","",IF(ROUND($AO295+$AP295+$AQ295-$AD295,2)=0,"OK","FAIL - out by "&amp;TEXT($AO295+$AP295+$AQ295-$AD295,"$0.00")))</f>
      </c>
    </row>
    <row r="296" spans="1:58" ht="18.75" customHeight="1" x14ac:dyDescent="0.25">
      <c r="A296" s="46" t="inlineStr">
        <is>
          <t xml:space="preserve">CANON-202511-002570</t>
        </is>
      </c>
      <c r="B296" s="46" t="inlineStr">
        <is>
          <t xml:space="preserve">Saoirse Fairweather</t>
        </is>
      </c>
      <c r="C296" s="47">
        <v>45978</v>
      </c>
      <c r="D296" s="48" t="inlineStr">
        <is>
          <t xml:space="preserve">Bound - within authority</t>
        </is>
      </c>
      <c r="E296" s="48" t="inlineStr">
        <is>
          <t xml:space="preserve">New business</t>
        </is>
      </c>
      <c r="F296" s="46" t="inlineStr">
        <is>
          <t xml:space="preserve">B1234EXOTIC26</t>
        </is>
      </c>
      <c r="G296" s="33">
        <f>IF($A296="","",IF($C296="","",YEAR($C296)))</f>
      </c>
      <c r="H296" s="49">
        <v>1987</v>
      </c>
      <c r="I296" s="46" t="inlineStr">
        <is>
          <t xml:space="preserve">BMW</t>
        </is>
      </c>
      <c r="J296" s="46" t="inlineStr">
        <is>
          <t xml:space="preserve">M8 Competition</t>
        </is>
      </c>
      <c r="K296" s="46" t="inlineStr">
        <is>
          <t xml:space="preserve">J7WW83NG86UXXWGVN</t>
        </is>
      </c>
      <c r="L296" s="48" t="inlineStr">
        <is>
          <t xml:space="preserve">02 - Sports / GT</t>
        </is>
      </c>
      <c r="M296" s="50">
        <v>310000</v>
      </c>
      <c r="N296" s="48" t="inlineStr">
        <is>
          <t xml:space="preserve">Personal</t>
        </is>
      </c>
      <c r="O296" s="46" t="inlineStr">
        <is>
          <t xml:space="preserve">Personal - regular use</t>
        </is>
      </c>
      <c r="P296" s="46" t="inlineStr">
        <is>
          <t xml:space="preserve">2,500 - 5,000</t>
        </is>
      </c>
      <c r="Q296" s="46" t="inlineStr">
        <is>
          <t xml:space="preserve">Michigan</t>
        </is>
      </c>
      <c r="R296" s="46" t="inlineStr">
        <is>
          <t xml:space="preserve">48226</t>
        </is>
      </c>
      <c r="S296" s="48" t="inlineStr">
        <is>
          <t xml:space="preserve">Severe convective - hail / tornado (moderate)</t>
        </is>
      </c>
      <c r="T296" s="36">
        <f>IF($A296="","",IF($S296="","",IFERROR(INDEX('[1]natural catastrophe'!$D$6:$D$17,MATCH($S296,'[1]natural catastrophe'!$B$6:$B$17,0)),"?")))</f>
      </c>
      <c r="U296" s="46" t="inlineStr">
        <is>
          <t xml:space="preserve">$5,000</t>
        </is>
      </c>
      <c r="V296" s="48" t="inlineStr">
        <is>
          <t xml:space="preserve">Agreed Value</t>
        </is>
      </c>
      <c r="W296" s="46" t="inlineStr">
        <is>
          <t xml:space="preserve">$1,000</t>
        </is>
      </c>
      <c r="X296" s="48" t="inlineStr">
        <is>
          <t xml:space="preserve">$1,000,000 CSL</t>
        </is>
      </c>
      <c r="Y296" s="46"/>
      <c r="Z296" s="46"/>
      <c r="AA296" s="48" t="inlineStr">
        <is>
          <t xml:space="preserve">Surplus Lines</t>
        </is>
      </c>
      <c r="AB296" s="50">
        <v>6251.49</v>
      </c>
      <c r="AC296" s="51">
        <v>0</v>
      </c>
      <c r="AD296" s="38">
        <f>IF(ISNUMBER($AB296),$AB296*(1+N($AC296)),"")</f>
      </c>
      <c r="AE296" s="50">
        <v>350</v>
      </c>
      <c r="AF296" s="50">
        <v>0</v>
      </c>
      <c r="AG296" s="51"/>
      <c r="AH296" s="39">
        <f>IF(ISNUMBER($AD296),($AD296+$AE296+$AF296)*$AG296,"")</f>
      </c>
      <c r="AI296" s="50"/>
      <c r="AJ296" s="38">
        <f>IF(ISNUMBER($AD296),SUM($AD296:$AH296),"")</f>
      </c>
      <c r="AK296" s="40">
        <f>IF(AND(ISNUMBER($AB296),ISNUMBER($AD296)),IF($AB296&gt;0,$AD296/$AB296,""),"")</f>
      </c>
      <c r="AL296" s="48" t="inlineStr">
        <is>
          <t xml:space="preserve">At technical</t>
        </is>
      </c>
      <c r="AM296" s="41">
        <f>IF(ISNUMBER($AD296),Header!$I$3,"")</f>
      </c>
      <c r="AN296" s="39">
        <f>IF(ISNUMBER($AD296),$AO296+$AP296,"")</f>
      </c>
      <c r="AO296" s="39">
        <f>IF(ISNUMBER($AD296),ROUND($AD296*Header!$K$3,2),"")</f>
      </c>
      <c r="AP296" s="39">
        <f>IF(ISNUMBER($AD296),ROUND($AD296*Header!$M$3,2),"")</f>
      </c>
      <c r="AQ296" s="38">
        <f>IF(ISNUMBER($AD296),ROUND($AD296,2)-$AO296-$AP296,"")</f>
      </c>
      <c r="AR296" s="39">
        <f>IF(ISNUMBER($AD296),IF(Header!$D$34="","?",$AD296*Header!$D$34),"")</f>
      </c>
      <c r="AS296" s="39">
        <f>IF(ISNUMBER($AB296),IF(Header!$D$34="","?",$AB296*Header!$D$34),"")</f>
      </c>
      <c r="AT296" s="42">
        <f>IF(AND(ISNUMBER($AB296),$M296&gt;0),$AB296/$M296*100,"")</f>
      </c>
      <c r="AU296" s="42">
        <f>IF(AND(ISNUMBER($AD296),$M296&gt;0),$AD296/$M296*100,"")</f>
      </c>
      <c r="AV296" s="40">
        <f>IF(AND(ISNUMBER($AB296),ISNUMBER($AD296),ABS($AB296)&gt;0),$AD296/$AB296,"")</f>
      </c>
      <c r="AW296" s="39">
        <f>IF(ISNUMBER($AD296),MAX(0,(1-0.55-Header!$O$3)*Header!$Q$3*$AQ296),"")</f>
      </c>
      <c r="AX296" s="43">
        <f>IF($A296="","",IF(TRIM(IF($A296="","Missing certificate ref. ","") &amp; IF($C296="","Missing effective date. ","") &amp; IF($D296="","Missing binding status. ","") &amp; IF($E296="","Missing movement type. ","") &amp; IF($I296="","Missing make. ","") &amp; IF($L296="","Missing vehicle class. ","") &amp; IF($M296="","Missing agreed value. ","") &amp; IF($N296="","Missing policy type. ","") &amp; IF($Q296="","Missing garaging state. ","") &amp; IF($R296="","Missing garaging ZIP. ","") &amp; IF($S296="","Missing cat zone. ","") &amp; IF($V296="","Missing valuation basis. ","") &amp; IF($W296="","Missing PD deductible. ","") &amp; IF($X296="","Missing liability limit. ","") &amp; IF($AB296="","Missing technical premium. ","") &amp; IF($AF296="","Missing surplus lines tax %. ",""))="","PASS","FAIL: "&amp;TRIM(IF($A296="","Missing certificate ref. ","") &amp; IF($C296="","Missing effective date. ","") &amp; IF($D296="","Missing binding status. ","") &amp; IF($E296="","Missing movement type. ","") &amp; IF($I296="","Missing make. ","") &amp; IF($L296="","Missing vehicle class. ","") &amp; IF($M296="","Missing agreed value. ","") &amp; IF($N296="","Missing policy type. ","") &amp; IF($Q296="","Missing garaging state. ","") &amp; IF($R296="","Missing garaging ZIP. ","") &amp; IF($S296="","Missing cat zone. ","") &amp; IF($V296="","Missing valuation basis. ","") &amp; IF($W296="","Missing PD deductible. ","") &amp; IF($X296="","Missing liability limit. ","") &amp; IF($AB296="","Missing technical premium. ","") &amp; IF($AF296="","Missing surplus lines tax %. ",""))))</f>
      </c>
      <c r="AY296" s="44">
        <f>IF($M296="","",IF(ISNUMBER($M296),IF($M296&gt;=Header!$C$18,"YES — refer","No"),""))</f>
      </c>
      <c r="AZ296" s="44">
        <f>IF($AD296="","",IF(ISNUMBER($AD296),IF($AD296&lt;Header!$C$20,"BELOW MIN PREMIUM","OK"),""))</f>
      </c>
      <c r="BA296" s="48" t="inlineStr">
        <is>
          <t xml:space="preserve">Yes</t>
        </is>
      </c>
      <c r="BB296" s="48" t="inlineStr">
        <is>
          <t xml:space="preserve">Yes</t>
        </is>
      </c>
      <c r="BC296" s="46" t="inlineStr">
        <is>
          <t xml:space="preserve">Synthetic demo data</t>
        </is>
      </c>
      <c r="BE296" s="45">
        <f>IF(OR($A296="",$L296="",$H296=""),"",IF(AND(LEFT($L296,2)="06",$H296&gt;1945),"FAIL - pre-war class, year "&amp;$H296,IF(AND(LEFT($L296,2)="07",OR($H296&lt;1946,$H296&gt;1972)),"FAIL - 1946-72 class, year "&amp;$H296,IF(AND(LEFT($L296,2)="08",OR($H296&lt;1973,$H296&gt;1999)),"FAIL - 1973-99 class, year "&amp;$H296,IF(AND(LEFT($L296,2)="09",OR($H296&lt;2000,$H296&gt;2010)),"FAIL - 2000-10 class, year "&amp;$H296,"OK")))))</f>
      </c>
      <c r="BF296" s="45">
        <f>IF($AD296="","",IF(ROUND($AO296+$AP296+$AQ296-$AD296,2)=0,"OK","FAIL - out by "&amp;TEXT($AO296+$AP296+$AQ296-$AD296,"$0.00")))</f>
      </c>
    </row>
    <row r="297" spans="1:58" ht="18.75" customHeight="1" x14ac:dyDescent="0.25">
      <c r="A297" s="30" t="inlineStr">
        <is>
          <t xml:space="preserve">CANON-202511-002573</t>
        </is>
      </c>
      <c r="B297" s="30" t="inlineStr">
        <is>
          <t xml:space="preserve">Desmond Pennington</t>
        </is>
      </c>
      <c r="C297" s="31">
        <v>45973</v>
      </c>
      <c r="D297" s="32" t="inlineStr">
        <is>
          <t xml:space="preserve">Bound - within authority</t>
        </is>
      </c>
      <c r="E297" s="32" t="inlineStr">
        <is>
          <t xml:space="preserve">New business</t>
        </is>
      </c>
      <c r="F297" s="30" t="inlineStr">
        <is>
          <t xml:space="preserve">B1234EXOTIC26</t>
        </is>
      </c>
      <c r="G297" s="33">
        <f>IF($A297="","",IF($C297="","",YEAR($C297)))</f>
      </c>
      <c r="H297" s="34">
        <v>1961</v>
      </c>
      <c r="I297" s="30" t="inlineStr">
        <is>
          <t xml:space="preserve">Ferrari</t>
        </is>
      </c>
      <c r="J297" s="30" t="inlineStr">
        <is>
          <t xml:space="preserve">SF90 Stradale</t>
        </is>
      </c>
      <c r="K297" s="30" t="inlineStr">
        <is>
          <t xml:space="preserve">DJZ5JL554P8T12FNJ</t>
        </is>
      </c>
      <c r="L297" s="32" t="inlineStr">
        <is>
          <t xml:space="preserve">03 - Supercar</t>
        </is>
      </c>
      <c r="M297" s="35">
        <v>305000</v>
      </c>
      <c r="N297" s="32" t="inlineStr">
        <is>
          <t xml:space="preserve">Personal</t>
        </is>
      </c>
      <c r="O297" s="30" t="inlineStr">
        <is>
          <t xml:space="preserve">Personal - regular use</t>
        </is>
      </c>
      <c r="P297" s="30" t="inlineStr">
        <is>
          <t xml:space="preserve">1,000 - 2,500</t>
        </is>
      </c>
      <c r="Q297" s="30" t="inlineStr">
        <is>
          <t xml:space="preserve">South Dakota</t>
        </is>
      </c>
      <c r="R297" s="30" t="inlineStr">
        <is>
          <t xml:space="preserve">57501</t>
        </is>
      </c>
      <c r="S297" s="32" t="inlineStr">
        <is>
          <t xml:space="preserve">Severe convective - hail alley (high)</t>
        </is>
      </c>
      <c r="T297" s="36">
        <f>IF($A297="","",IF($S297="","",IFERROR(INDEX('[1]natural catastrophe'!$D$6:$D$17,MATCH($S297,'[1]natural catastrophe'!$B$6:$B$17,0)),"?")))</f>
      </c>
      <c r="U297" s="30" t="inlineStr">
        <is>
          <t xml:space="preserve">$5,000</t>
        </is>
      </c>
      <c r="V297" s="32" t="inlineStr">
        <is>
          <t xml:space="preserve">Agreed Value</t>
        </is>
      </c>
      <c r="W297" s="30" t="inlineStr">
        <is>
          <t xml:space="preserve">$1,000</t>
        </is>
      </c>
      <c r="X297" s="32" t="inlineStr">
        <is>
          <t xml:space="preserve">$1,000,000 CSL</t>
        </is>
      </c>
      <c r="Y297" s="30"/>
      <c r="Z297" s="30"/>
      <c r="AA297" s="32" t="inlineStr">
        <is>
          <t xml:space="preserve">Surplus Lines</t>
        </is>
      </c>
      <c r="AB297" s="35">
        <v>6753.82</v>
      </c>
      <c r="AC297" s="37">
        <v>0</v>
      </c>
      <c r="AD297" s="38">
        <f>IF(ISNUMBER($AB297),$AB297*(1+N($AC297)),"")</f>
      </c>
      <c r="AE297" s="35">
        <v>350</v>
      </c>
      <c r="AF297" s="35">
        <v>0</v>
      </c>
      <c r="AG297" s="37"/>
      <c r="AH297" s="39">
        <f>IF(ISNUMBER($AD297),($AD297+$AE297+$AF297)*$AG297,"")</f>
      </c>
      <c r="AI297" s="35"/>
      <c r="AJ297" s="38">
        <f>IF(ISNUMBER($AD297),SUM($AD297:$AH297),"")</f>
      </c>
      <c r="AK297" s="40">
        <f>IF(AND(ISNUMBER($AB297),ISNUMBER($AD297)),IF($AB297&gt;0,$AD297/$AB297,""),"")</f>
      </c>
      <c r="AL297" s="32" t="inlineStr">
        <is>
          <t xml:space="preserve">At technical</t>
        </is>
      </c>
      <c r="AM297" s="41">
        <f>IF(ISNUMBER($AD297),Header!$I$3,"")</f>
      </c>
      <c r="AN297" s="39">
        <f>IF(ISNUMBER($AD297),$AO297+$AP297,"")</f>
      </c>
      <c r="AO297" s="39">
        <f>IF(ISNUMBER($AD297),ROUND($AD297*Header!$K$3,2),"")</f>
      </c>
      <c r="AP297" s="39">
        <f>IF(ISNUMBER($AD297),ROUND($AD297*Header!$M$3,2),"")</f>
      </c>
      <c r="AQ297" s="38">
        <f>IF(ISNUMBER($AD297),ROUND($AD297,2)-$AO297-$AP297,"")</f>
      </c>
      <c r="AR297" s="39">
        <f>IF(ISNUMBER($AD297),IF(Header!$D$34="","?",$AD297*Header!$D$34),"")</f>
      </c>
      <c r="AS297" s="39">
        <f>IF(ISNUMBER($AB297),IF(Header!$D$34="","?",$AB297*Header!$D$34),"")</f>
      </c>
      <c r="AT297" s="42">
        <f>IF(AND(ISNUMBER($AB297),$M297&gt;0),$AB297/$M297*100,"")</f>
      </c>
      <c r="AU297" s="42">
        <f>IF(AND(ISNUMBER($AD297),$M297&gt;0),$AD297/$M297*100,"")</f>
      </c>
      <c r="AV297" s="40">
        <f>IF(AND(ISNUMBER($AB297),ISNUMBER($AD297),ABS($AB297)&gt;0),$AD297/$AB297,"")</f>
      </c>
      <c r="AW297" s="39">
        <f>IF(ISNUMBER($AD297),MAX(0,(1-0.55-Header!$O$3)*Header!$Q$3*$AQ297),"")</f>
      </c>
      <c r="AX297" s="43">
        <f>IF($A297="","",IF(TRIM(IF($A297="","Missing certificate ref. ","") &amp; IF($C297="","Missing effective date. ","") &amp; IF($D297="","Missing binding status. ","") &amp; IF($E297="","Missing movement type. ","") &amp; IF($I297="","Missing make. ","") &amp; IF($L297="","Missing vehicle class. ","") &amp; IF($M297="","Missing agreed value. ","") &amp; IF($N297="","Missing policy type. ","") &amp; IF($Q297="","Missing garaging state. ","") &amp; IF($R297="","Missing garaging ZIP. ","") &amp; IF($S297="","Missing cat zone. ","") &amp; IF($V297="","Missing valuation basis. ","") &amp; IF($W297="","Missing PD deductible. ","") &amp; IF($X297="","Missing liability limit. ","") &amp; IF($AB297="","Missing technical premium. ","") &amp; IF($AF297="","Missing surplus lines tax %. ",""))="","PASS","FAIL: "&amp;TRIM(IF($A297="","Missing certificate ref. ","") &amp; IF($C297="","Missing effective date. ","") &amp; IF($D297="","Missing binding status. ","") &amp; IF($E297="","Missing movement type. ","") &amp; IF($I297="","Missing make. ","") &amp; IF($L297="","Missing vehicle class. ","") &amp; IF($M297="","Missing agreed value. ","") &amp; IF($N297="","Missing policy type. ","") &amp; IF($Q297="","Missing garaging state. ","") &amp; IF($R297="","Missing garaging ZIP. ","") &amp; IF($S297="","Missing cat zone. ","") &amp; IF($V297="","Missing valuation basis. ","") &amp; IF($W297="","Missing PD deductible. ","") &amp; IF($X297="","Missing liability limit. ","") &amp; IF($AB297="","Missing technical premium. ","") &amp; IF($AF297="","Missing surplus lines tax %. ",""))))</f>
      </c>
      <c r="AY297" s="44">
        <f>IF($M297="","",IF(ISNUMBER($M297),IF($M297&gt;=Header!$C$18,"YES — refer","No"),""))</f>
      </c>
      <c r="AZ297" s="44">
        <f>IF($AD297="","",IF(ISNUMBER($AD297),IF($AD297&lt;Header!$C$20,"BELOW MIN PREMIUM","OK"),""))</f>
      </c>
      <c r="BA297" s="32" t="inlineStr">
        <is>
          <t xml:space="preserve">Yes</t>
        </is>
      </c>
      <c r="BB297" s="32" t="inlineStr">
        <is>
          <t xml:space="preserve">Yes</t>
        </is>
      </c>
      <c r="BC297" s="30" t="inlineStr">
        <is>
          <t xml:space="preserve">Synthetic demo data</t>
        </is>
      </c>
      <c r="BE297" s="45">
        <f>IF(OR($A297="",$L297="",$H297=""),"",IF(AND(LEFT($L297,2)="06",$H297&gt;1945),"FAIL - pre-war class, year "&amp;$H297,IF(AND(LEFT($L297,2)="07",OR($H297&lt;1946,$H297&gt;1972)),"FAIL - 1946-72 class, year "&amp;$H297,IF(AND(LEFT($L297,2)="08",OR($H297&lt;1973,$H297&gt;1999)),"FAIL - 1973-99 class, year "&amp;$H297,IF(AND(LEFT($L297,2)="09",OR($H297&lt;2000,$H297&gt;2010)),"FAIL - 2000-10 class, year "&amp;$H297,"OK")))))</f>
      </c>
      <c r="BF297" s="45">
        <f>IF($AD297="","",IF(ROUND($AO297+$AP297+$AQ297-$AD297,2)=0,"OK","FAIL - out by "&amp;TEXT($AO297+$AP297+$AQ297-$AD297,"$0.00")))</f>
      </c>
    </row>
    <row r="298" spans="1:58" ht="18.75" customHeight="1" x14ac:dyDescent="0.25">
      <c r="A298" s="46" t="inlineStr">
        <is>
          <t xml:space="preserve">CANON-202511-002574</t>
        </is>
      </c>
      <c r="B298" s="46" t="inlineStr">
        <is>
          <t xml:space="preserve">Callum Underwood</t>
        </is>
      </c>
      <c r="C298" s="47">
        <v>45978</v>
      </c>
      <c r="D298" s="48" t="inlineStr">
        <is>
          <t xml:space="preserve">Bound - within authority</t>
        </is>
      </c>
      <c r="E298" s="48" t="inlineStr">
        <is>
          <t xml:space="preserve">New business</t>
        </is>
      </c>
      <c r="F298" s="46" t="inlineStr">
        <is>
          <t xml:space="preserve">B1234EXOTIC26</t>
        </is>
      </c>
      <c r="G298" s="33">
        <f>IF($A298="","",IF($C298="","",YEAR($C298)))</f>
      </c>
      <c r="H298" s="49">
        <v>1994</v>
      </c>
      <c r="I298" s="46" t="inlineStr">
        <is>
          <t xml:space="preserve">Jaguar</t>
        </is>
      </c>
      <c r="J298" s="46" t="inlineStr">
        <is>
          <t xml:space="preserve">E-Type Series 1</t>
        </is>
      </c>
      <c r="K298" s="46" t="inlineStr">
        <is>
          <t xml:space="preserve">0VA85Y76V4Z7ZV3DG</t>
        </is>
      </c>
      <c r="L298" s="48" t="inlineStr">
        <is>
          <t xml:space="preserve">08 - Modern Classic (1973-1999)</t>
        </is>
      </c>
      <c r="M298" s="50">
        <v>1135000</v>
      </c>
      <c r="N298" s="48" t="inlineStr">
        <is>
          <t xml:space="preserve">Personal</t>
        </is>
      </c>
      <c r="O298" s="46" t="inlineStr">
        <is>
          <t xml:space="preserve">Personal - regular use</t>
        </is>
      </c>
      <c r="P298" s="46" t="inlineStr">
        <is>
          <t xml:space="preserve">1,000 - 2,500</t>
        </is>
      </c>
      <c r="Q298" s="46" t="inlineStr">
        <is>
          <t xml:space="preserve">New Mexico</t>
        </is>
      </c>
      <c r="R298" s="46" t="inlineStr">
        <is>
          <t xml:space="preserve">87501</t>
        </is>
      </c>
      <c r="S298" s="48" t="inlineStr">
        <is>
          <t xml:space="preserve">Wildfire - WUI high hazard</t>
        </is>
      </c>
      <c r="T298" s="36">
        <f>IF($A298="","",IF($S298="","",IFERROR(INDEX('[1]natural catastrophe'!$D$6:$D$17,MATCH($S298,'[1]natural catastrophe'!$B$6:$B$17,0)),"?")))</f>
      </c>
      <c r="U298" s="46" t="inlineStr">
        <is>
          <t xml:space="preserve">$5,000</t>
        </is>
      </c>
      <c r="V298" s="48" t="inlineStr">
        <is>
          <t xml:space="preserve">Agreed Value</t>
        </is>
      </c>
      <c r="W298" s="46" t="inlineStr">
        <is>
          <t xml:space="preserve">$1,000</t>
        </is>
      </c>
      <c r="X298" s="48" t="inlineStr">
        <is>
          <t xml:space="preserve">$1,000,000 CSL</t>
        </is>
      </c>
      <c r="Y298" s="46"/>
      <c r="Z298" s="46"/>
      <c r="AA298" s="48" t="inlineStr">
        <is>
          <t xml:space="preserve">Surplus Lines</t>
        </is>
      </c>
      <c r="AB298" s="50">
        <v>9576.75</v>
      </c>
      <c r="AC298" s="51">
        <v>0</v>
      </c>
      <c r="AD298" s="38">
        <f>IF(ISNUMBER($AB298),$AB298*(1+N($AC298)),"")</f>
      </c>
      <c r="AE298" s="50">
        <v>350</v>
      </c>
      <c r="AF298" s="50">
        <v>250</v>
      </c>
      <c r="AG298" s="51"/>
      <c r="AH298" s="39">
        <f>IF(ISNUMBER($AD298),($AD298+$AE298+$AF298)*$AG298,"")</f>
      </c>
      <c r="AI298" s="50"/>
      <c r="AJ298" s="38">
        <f>IF(ISNUMBER($AD298),SUM($AD298:$AH298),"")</f>
      </c>
      <c r="AK298" s="40">
        <f>IF(AND(ISNUMBER($AB298),ISNUMBER($AD298)),IF($AB298&gt;0,$AD298/$AB298,""),"")</f>
      </c>
      <c r="AL298" s="48" t="inlineStr">
        <is>
          <t xml:space="preserve">At technical</t>
        </is>
      </c>
      <c r="AM298" s="41">
        <f>IF(ISNUMBER($AD298),Header!$I$3,"")</f>
      </c>
      <c r="AN298" s="39">
        <f>IF(ISNUMBER($AD298),$AO298+$AP298,"")</f>
      </c>
      <c r="AO298" s="39">
        <f>IF(ISNUMBER($AD298),ROUND($AD298*Header!$K$3,2),"")</f>
      </c>
      <c r="AP298" s="39">
        <f>IF(ISNUMBER($AD298),ROUND($AD298*Header!$M$3,2),"")</f>
      </c>
      <c r="AQ298" s="38">
        <f>IF(ISNUMBER($AD298),ROUND($AD298,2)-$AO298-$AP298,"")</f>
      </c>
      <c r="AR298" s="39">
        <f>IF(ISNUMBER($AD298),IF(Header!$D$34="","?",$AD298*Header!$D$34),"")</f>
      </c>
      <c r="AS298" s="39">
        <f>IF(ISNUMBER($AB298),IF(Header!$D$34="","?",$AB298*Header!$D$34),"")</f>
      </c>
      <c r="AT298" s="42">
        <f>IF(AND(ISNUMBER($AB298),$M298&gt;0),$AB298/$M298*100,"")</f>
      </c>
      <c r="AU298" s="42">
        <f>IF(AND(ISNUMBER($AD298),$M298&gt;0),$AD298/$M298*100,"")</f>
      </c>
      <c r="AV298" s="40">
        <f>IF(AND(ISNUMBER($AB298),ISNUMBER($AD298),ABS($AB298)&gt;0),$AD298/$AB298,"")</f>
      </c>
      <c r="AW298" s="39">
        <f>IF(ISNUMBER($AD298),MAX(0,(1-0.55-Header!$O$3)*Header!$Q$3*$AQ298),"")</f>
      </c>
      <c r="AX298" s="43">
        <f>IF($A298="","",IF(TRIM(IF($A298="","Missing certificate ref. ","") &amp; IF($C298="","Missing effective date. ","") &amp; IF($D298="","Missing binding status. ","") &amp; IF($E298="","Missing movement type. ","") &amp; IF($I298="","Missing make. ","") &amp; IF($L298="","Missing vehicle class. ","") &amp; IF($M298="","Missing agreed value. ","") &amp; IF($N298="","Missing policy type. ","") &amp; IF($Q298="","Missing garaging state. ","") &amp; IF($R298="","Missing garaging ZIP. ","") &amp; IF($S298="","Missing cat zone. ","") &amp; IF($V298="","Missing valuation basis. ","") &amp; IF($W298="","Missing PD deductible. ","") &amp; IF($X298="","Missing liability limit. ","") &amp; IF($AB298="","Missing technical premium. ","") &amp; IF($AF298="","Missing surplus lines tax %. ",""))="","PASS","FAIL: "&amp;TRIM(IF($A298="","Missing certificate ref. ","") &amp; IF($C298="","Missing effective date. ","") &amp; IF($D298="","Missing binding status. ","") &amp; IF($E298="","Missing movement type. ","") &amp; IF($I298="","Missing make. ","") &amp; IF($L298="","Missing vehicle class. ","") &amp; IF($M298="","Missing agreed value. ","") &amp; IF($N298="","Missing policy type. ","") &amp; IF($Q298="","Missing garaging state. ","") &amp; IF($R298="","Missing garaging ZIP. ","") &amp; IF($S298="","Missing cat zone. ","") &amp; IF($V298="","Missing valuation basis. ","") &amp; IF($W298="","Missing PD deductible. ","") &amp; IF($X298="","Missing liability limit. ","") &amp; IF($AB298="","Missing technical premium. ","") &amp; IF($AF298="","Missing surplus lines tax %. ",""))))</f>
      </c>
      <c r="AY298" s="44">
        <f>IF($M298="","",IF(ISNUMBER($M298),IF($M298&gt;=Header!$C$18,"YES — refer","No"),""))</f>
      </c>
      <c r="AZ298" s="44">
        <f>IF($AD298="","",IF(ISNUMBER($AD298),IF($AD298&lt;Header!$C$20,"BELOW MIN PREMIUM","OK"),""))</f>
      </c>
      <c r="BA298" s="48" t="inlineStr">
        <is>
          <t xml:space="preserve">Yes</t>
        </is>
      </c>
      <c r="BB298" s="48" t="inlineStr">
        <is>
          <t xml:space="preserve">Yes</t>
        </is>
      </c>
      <c r="BC298" s="46" t="inlineStr">
        <is>
          <t xml:space="preserve">Synthetic demo data</t>
        </is>
      </c>
      <c r="BE298" s="45">
        <f>IF(OR($A298="",$L298="",$H298=""),"",IF(AND(LEFT($L298,2)="06",$H298&gt;1945),"FAIL - pre-war class, year "&amp;$H298,IF(AND(LEFT($L298,2)="07",OR($H298&lt;1946,$H298&gt;1972)),"FAIL - 1946-72 class, year "&amp;$H298,IF(AND(LEFT($L298,2)="08",OR($H298&lt;1973,$H298&gt;1999)),"FAIL - 1973-99 class, year "&amp;$H298,IF(AND(LEFT($L298,2)="09",OR($H298&lt;2000,$H298&gt;2010)),"FAIL - 2000-10 class, year "&amp;$H298,"OK")))))</f>
      </c>
      <c r="BF298" s="45">
        <f>IF($AD298="","",IF(ROUND($AO298+$AP298+$AQ298-$AD298,2)=0,"OK","FAIL - out by "&amp;TEXT($AO298+$AP298+$AQ298-$AD298,"$0.00")))</f>
      </c>
    </row>
    <row r="299" spans="1:58" ht="18.75" customHeight="1" x14ac:dyDescent="0.25">
      <c r="A299" s="30" t="inlineStr">
        <is>
          <t xml:space="preserve">CANON-202511-002576</t>
        </is>
      </c>
      <c r="B299" s="30" t="inlineStr">
        <is>
          <t xml:space="preserve">Ottilie Kingsford</t>
        </is>
      </c>
      <c r="C299" s="31">
        <v>45965</v>
      </c>
      <c r="D299" s="32" t="inlineStr">
        <is>
          <t xml:space="preserve">Bound - within authority</t>
        </is>
      </c>
      <c r="E299" s="32" t="inlineStr">
        <is>
          <t xml:space="preserve">New business</t>
        </is>
      </c>
      <c r="F299" s="30" t="inlineStr">
        <is>
          <t xml:space="preserve">B1234EXOTIC26</t>
        </is>
      </c>
      <c r="G299" s="33">
        <f>IF($A299="","",IF($C299="","",YEAR($C299)))</f>
      </c>
      <c r="H299" s="34">
        <v>1961</v>
      </c>
      <c r="I299" s="30" t="inlineStr">
        <is>
          <t xml:space="preserve">Bentley</t>
        </is>
      </c>
      <c r="J299" s="30" t="inlineStr">
        <is>
          <t xml:space="preserve">Continental GT</t>
        </is>
      </c>
      <c r="K299" s="30" t="inlineStr">
        <is>
          <t xml:space="preserve">9CRD6HHTKMTJF1B7G</t>
        </is>
      </c>
      <c r="L299" s="32" t="inlineStr">
        <is>
          <t xml:space="preserve">02 - Sports / GT</t>
        </is>
      </c>
      <c r="M299" s="35">
        <v>625000</v>
      </c>
      <c r="N299" s="32" t="inlineStr">
        <is>
          <t xml:space="preserve">Personal</t>
        </is>
      </c>
      <c r="O299" s="30" t="inlineStr">
        <is>
          <t xml:space="preserve">Personal - regular use</t>
        </is>
      </c>
      <c r="P299" s="30" t="inlineStr">
        <is>
          <t xml:space="preserve">2,500 - 5,000</t>
        </is>
      </c>
      <c r="Q299" s="30" t="inlineStr">
        <is>
          <t xml:space="preserve">Texas</t>
        </is>
      </c>
      <c r="R299" s="30" t="inlineStr">
        <is>
          <t xml:space="preserve">75201</t>
        </is>
      </c>
      <c r="S299" s="32" t="inlineStr">
        <is>
          <t xml:space="preserve">Tier 2 - Coastal wind (1-25 miles)</t>
        </is>
      </c>
      <c r="T299" s="36">
        <f>IF($A299="","",IF($S299="","",IFERROR(INDEX('[1]natural catastrophe'!$D$6:$D$17,MATCH($S299,'[1]natural catastrophe'!$B$6:$B$17,0)),"?")))</f>
      </c>
      <c r="U299" s="30" t="inlineStr">
        <is>
          <t xml:space="preserve">2% of agreed value, minimum $10,000</t>
        </is>
      </c>
      <c r="V299" s="32" t="inlineStr">
        <is>
          <t xml:space="preserve">Agreed Value</t>
        </is>
      </c>
      <c r="W299" s="30" t="inlineStr">
        <is>
          <t xml:space="preserve">$1,000</t>
        </is>
      </c>
      <c r="X299" s="32" t="inlineStr">
        <is>
          <t xml:space="preserve">$1,000,000 CSL</t>
        </is>
      </c>
      <c r="Y299" s="30"/>
      <c r="Z299" s="30"/>
      <c r="AA299" s="32" t="inlineStr">
        <is>
          <t xml:space="preserve">Surplus Lines</t>
        </is>
      </c>
      <c r="AB299" s="35">
        <v>8104.38</v>
      </c>
      <c r="AC299" s="37">
        <v>0</v>
      </c>
      <c r="AD299" s="38">
        <f>IF(ISNUMBER($AB299),$AB299*(1+N($AC299)),"")</f>
      </c>
      <c r="AE299" s="35">
        <v>350</v>
      </c>
      <c r="AF299" s="35">
        <v>0</v>
      </c>
      <c r="AG299" s="37"/>
      <c r="AH299" s="39">
        <f>IF(ISNUMBER($AD299),($AD299+$AE299+$AF299)*$AG299,"")</f>
      </c>
      <c r="AI299" s="35"/>
      <c r="AJ299" s="38">
        <f>IF(ISNUMBER($AD299),SUM($AD299:$AH299),"")</f>
      </c>
      <c r="AK299" s="40">
        <f>IF(AND(ISNUMBER($AB299),ISNUMBER($AD299)),IF($AB299&gt;0,$AD299/$AB299,""),"")</f>
      </c>
      <c r="AL299" s="32" t="inlineStr">
        <is>
          <t xml:space="preserve">At technical</t>
        </is>
      </c>
      <c r="AM299" s="41">
        <f>IF(ISNUMBER($AD299),Header!$I$3,"")</f>
      </c>
      <c r="AN299" s="39">
        <f>IF(ISNUMBER($AD299),$AO299+$AP299,"")</f>
      </c>
      <c r="AO299" s="39">
        <f>IF(ISNUMBER($AD299),ROUND($AD299*Header!$K$3,2),"")</f>
      </c>
      <c r="AP299" s="39">
        <f>IF(ISNUMBER($AD299),ROUND($AD299*Header!$M$3,2),"")</f>
      </c>
      <c r="AQ299" s="38">
        <f>IF(ISNUMBER($AD299),ROUND($AD299,2)-$AO299-$AP299,"")</f>
      </c>
      <c r="AR299" s="39">
        <f>IF(ISNUMBER($AD299),IF(Header!$D$34="","?",$AD299*Header!$D$34),"")</f>
      </c>
      <c r="AS299" s="39">
        <f>IF(ISNUMBER($AB299),IF(Header!$D$34="","?",$AB299*Header!$D$34),"")</f>
      </c>
      <c r="AT299" s="42">
        <f>IF(AND(ISNUMBER($AB299),$M299&gt;0),$AB299/$M299*100,"")</f>
      </c>
      <c r="AU299" s="42">
        <f>IF(AND(ISNUMBER($AD299),$M299&gt;0),$AD299/$M299*100,"")</f>
      </c>
      <c r="AV299" s="40">
        <f>IF(AND(ISNUMBER($AB299),ISNUMBER($AD299),ABS($AB299)&gt;0),$AD299/$AB299,"")</f>
      </c>
      <c r="AW299" s="39">
        <f>IF(ISNUMBER($AD299),MAX(0,(1-0.55-Header!$O$3)*Header!$Q$3*$AQ299),"")</f>
      </c>
      <c r="AX299" s="43">
        <f>IF($A299="","",IF(TRIM(IF($A299="","Missing certificate ref. ","") &amp; IF($C299="","Missing effective date. ","") &amp; IF($D299="","Missing binding status. ","") &amp; IF($E299="","Missing movement type. ","") &amp; IF($I299="","Missing make. ","") &amp; IF($L299="","Missing vehicle class. ","") &amp; IF($M299="","Missing agreed value. ","") &amp; IF($N299="","Missing policy type. ","") &amp; IF($Q299="","Missing garaging state. ","") &amp; IF($R299="","Missing garaging ZIP. ","") &amp; IF($S299="","Missing cat zone. ","") &amp; IF($V299="","Missing valuation basis. ","") &amp; IF($W299="","Missing PD deductible. ","") &amp; IF($X299="","Missing liability limit. ","") &amp; IF($AB299="","Missing technical premium. ","") &amp; IF($AF299="","Missing surplus lines tax %. ",""))="","PASS","FAIL: "&amp;TRIM(IF($A299="","Missing certificate ref. ","") &amp; IF($C299="","Missing effective date. ","") &amp; IF($D299="","Missing binding status. ","") &amp; IF($E299="","Missing movement type. ","") &amp; IF($I299="","Missing make. ","") &amp; IF($L299="","Missing vehicle class. ","") &amp; IF($M299="","Missing agreed value. ","") &amp; IF($N299="","Missing policy type. ","") &amp; IF($Q299="","Missing garaging state. ","") &amp; IF($R299="","Missing garaging ZIP. ","") &amp; IF($S299="","Missing cat zone. ","") &amp; IF($V299="","Missing valuation basis. ","") &amp; IF($W299="","Missing PD deductible. ","") &amp; IF($X299="","Missing liability limit. ","") &amp; IF($AB299="","Missing technical premium. ","") &amp; IF($AF299="","Missing surplus lines tax %. ",""))))</f>
      </c>
      <c r="AY299" s="44">
        <f>IF($M299="","",IF(ISNUMBER($M299),IF($M299&gt;=Header!$C$18,"YES — refer","No"),""))</f>
      </c>
      <c r="AZ299" s="44">
        <f>IF($AD299="","",IF(ISNUMBER($AD299),IF($AD299&lt;Header!$C$20,"BELOW MIN PREMIUM","OK"),""))</f>
      </c>
      <c r="BA299" s="32" t="inlineStr">
        <is>
          <t xml:space="preserve">Yes</t>
        </is>
      </c>
      <c r="BB299" s="32" t="inlineStr">
        <is>
          <t xml:space="preserve">Yes</t>
        </is>
      </c>
      <c r="BC299" s="30" t="inlineStr">
        <is>
          <t xml:space="preserve">Synthetic demo data</t>
        </is>
      </c>
      <c r="BE299" s="45">
        <f>IF(OR($A299="",$L299="",$H299=""),"",IF(AND(LEFT($L299,2)="06",$H299&gt;1945),"FAIL - pre-war class, year "&amp;$H299,IF(AND(LEFT($L299,2)="07",OR($H299&lt;1946,$H299&gt;1972)),"FAIL - 1946-72 class, year "&amp;$H299,IF(AND(LEFT($L299,2)="08",OR($H299&lt;1973,$H299&gt;1999)),"FAIL - 1973-99 class, year "&amp;$H299,IF(AND(LEFT($L299,2)="09",OR($H299&lt;2000,$H299&gt;2010)),"FAIL - 2000-10 class, year "&amp;$H299,"OK")))))</f>
      </c>
      <c r="BF299" s="45">
        <f>IF($AD299="","",IF(ROUND($AO299+$AP299+$AQ299-$AD299,2)=0,"OK","FAIL - out by "&amp;TEXT($AO299+$AP299+$AQ299-$AD299,"$0.00")))</f>
      </c>
    </row>
    <row r="300" spans="1:58" ht="18.75" customHeight="1" x14ac:dyDescent="0.25">
      <c r="A300" s="46" t="inlineStr">
        <is>
          <t xml:space="preserve">CANON-202511-002577</t>
        </is>
      </c>
      <c r="B300" s="46" t="inlineStr">
        <is>
          <t xml:space="preserve">Cassius Blackwood</t>
        </is>
      </c>
      <c r="C300" s="47">
        <v>45985</v>
      </c>
      <c r="D300" s="48" t="inlineStr">
        <is>
          <t xml:space="preserve">Bound - within authority</t>
        </is>
      </c>
      <c r="E300" s="48" t="inlineStr">
        <is>
          <t xml:space="preserve">New business</t>
        </is>
      </c>
      <c r="F300" s="46" t="inlineStr">
        <is>
          <t xml:space="preserve">B1234EXOTIC26</t>
        </is>
      </c>
      <c r="G300" s="33">
        <f>IF($A300="","",IF($C300="","",YEAR($C300)))</f>
      </c>
      <c r="H300" s="49">
        <v>2017</v>
      </c>
      <c r="I300" s="46" t="inlineStr">
        <is>
          <t xml:space="preserve">Bentley</t>
        </is>
      </c>
      <c r="J300" s="46" t="inlineStr">
        <is>
          <t xml:space="preserve">Continental GT</t>
        </is>
      </c>
      <c r="K300" s="46" t="inlineStr">
        <is>
          <t xml:space="preserve">4K82Y0T2G5YAELZY1</t>
        </is>
      </c>
      <c r="L300" s="48" t="inlineStr">
        <is>
          <t xml:space="preserve">02 - Sports / GT</t>
        </is>
      </c>
      <c r="M300" s="50">
        <v>930000</v>
      </c>
      <c r="N300" s="48" t="inlineStr">
        <is>
          <t xml:space="preserve">Personal</t>
        </is>
      </c>
      <c r="O300" s="46" t="inlineStr">
        <is>
          <t xml:space="preserve">Personal - regular use</t>
        </is>
      </c>
      <c r="P300" s="46" t="inlineStr">
        <is>
          <t xml:space="preserve">2,500 - 5,000</t>
        </is>
      </c>
      <c r="Q300" s="46" t="inlineStr">
        <is>
          <t xml:space="preserve">Michigan</t>
        </is>
      </c>
      <c r="R300" s="46" t="inlineStr">
        <is>
          <t xml:space="preserve">48226</t>
        </is>
      </c>
      <c r="S300" s="48" t="inlineStr">
        <is>
          <t xml:space="preserve">Severe convective - hail / tornado (moderate)</t>
        </is>
      </c>
      <c r="T300" s="36">
        <f>IF($A300="","",IF($S300="","",IFERROR(INDEX('[1]natural catastrophe'!$D$6:$D$17,MATCH($S300,'[1]natural catastrophe'!$B$6:$B$17,0)),"?")))</f>
      </c>
      <c r="U300" s="46" t="inlineStr">
        <is>
          <t xml:space="preserve">$5,000</t>
        </is>
      </c>
      <c r="V300" s="48" t="inlineStr">
        <is>
          <t xml:space="preserve">Agreed Value</t>
        </is>
      </c>
      <c r="W300" s="46" t="inlineStr">
        <is>
          <t xml:space="preserve">$1,000</t>
        </is>
      </c>
      <c r="X300" s="48" t="inlineStr">
        <is>
          <t xml:space="preserve">$1,000,000 CSL</t>
        </is>
      </c>
      <c r="Y300" s="46"/>
      <c r="Z300" s="46"/>
      <c r="AA300" s="48" t="inlineStr">
        <is>
          <t xml:space="preserve">Surplus Lines</t>
        </is>
      </c>
      <c r="AB300" s="50">
        <v>16253.86</v>
      </c>
      <c r="AC300" s="51">
        <v>0</v>
      </c>
      <c r="AD300" s="38">
        <f>IF(ISNUMBER($AB300),$AB300*(1+N($AC300)),"")</f>
      </c>
      <c r="AE300" s="50">
        <v>350</v>
      </c>
      <c r="AF300" s="50">
        <v>0</v>
      </c>
      <c r="AG300" s="51"/>
      <c r="AH300" s="39">
        <f>IF(ISNUMBER($AD300),($AD300+$AE300+$AF300)*$AG300,"")</f>
      </c>
      <c r="AI300" s="50"/>
      <c r="AJ300" s="38">
        <f>IF(ISNUMBER($AD300),SUM($AD300:$AH300),"")</f>
      </c>
      <c r="AK300" s="40">
        <f>IF(AND(ISNUMBER($AB300),ISNUMBER($AD300)),IF($AB300&gt;0,$AD300/$AB300,""),"")</f>
      </c>
      <c r="AL300" s="48" t="inlineStr">
        <is>
          <t xml:space="preserve">At technical</t>
        </is>
      </c>
      <c r="AM300" s="41">
        <f>IF(ISNUMBER($AD300),Header!$I$3,"")</f>
      </c>
      <c r="AN300" s="39">
        <f>IF(ISNUMBER($AD300),$AO300+$AP300,"")</f>
      </c>
      <c r="AO300" s="39">
        <f>IF(ISNUMBER($AD300),ROUND($AD300*Header!$K$3,2),"")</f>
      </c>
      <c r="AP300" s="39">
        <f>IF(ISNUMBER($AD300),ROUND($AD300*Header!$M$3,2),"")</f>
      </c>
      <c r="AQ300" s="38">
        <f>IF(ISNUMBER($AD300),ROUND($AD300,2)-$AO300-$AP300,"")</f>
      </c>
      <c r="AR300" s="39">
        <f>IF(ISNUMBER($AD300),IF(Header!$D$34="","?",$AD300*Header!$D$34),"")</f>
      </c>
      <c r="AS300" s="39">
        <f>IF(ISNUMBER($AB300),IF(Header!$D$34="","?",$AB300*Header!$D$34),"")</f>
      </c>
      <c r="AT300" s="42">
        <f>IF(AND(ISNUMBER($AB300),$M300&gt;0),$AB300/$M300*100,"")</f>
      </c>
      <c r="AU300" s="42">
        <f>IF(AND(ISNUMBER($AD300),$M300&gt;0),$AD300/$M300*100,"")</f>
      </c>
      <c r="AV300" s="40">
        <f>IF(AND(ISNUMBER($AB300),ISNUMBER($AD300),ABS($AB300)&gt;0),$AD300/$AB300,"")</f>
      </c>
      <c r="AW300" s="39">
        <f>IF(ISNUMBER($AD300),MAX(0,(1-0.55-Header!$O$3)*Header!$Q$3*$AQ300),"")</f>
      </c>
      <c r="AX300" s="43">
        <f>IF($A300="","",IF(TRIM(IF($A300="","Missing certificate ref. ","") &amp; IF($C300="","Missing effective date. ","") &amp; IF($D300="","Missing binding status. ","") &amp; IF($E300="","Missing movement type. ","") &amp; IF($I300="","Missing make. ","") &amp; IF($L300="","Missing vehicle class. ","") &amp; IF($M300="","Missing agreed value. ","") &amp; IF($N300="","Missing policy type. ","") &amp; IF($Q300="","Missing garaging state. ","") &amp; IF($R300="","Missing garaging ZIP. ","") &amp; IF($S300="","Missing cat zone. ","") &amp; IF($V300="","Missing valuation basis. ","") &amp; IF($W300="","Missing PD deductible. ","") &amp; IF($X300="","Missing liability limit. ","") &amp; IF($AB300="","Missing technical premium. ","") &amp; IF($AF300="","Missing surplus lines tax %. ",""))="","PASS","FAIL: "&amp;TRIM(IF($A300="","Missing certificate ref. ","") &amp; IF($C300="","Missing effective date. ","") &amp; IF($D300="","Missing binding status. ","") &amp; IF($E300="","Missing movement type. ","") &amp; IF($I300="","Missing make. ","") &amp; IF($L300="","Missing vehicle class. ","") &amp; IF($M300="","Missing agreed value. ","") &amp; IF($N300="","Missing policy type. ","") &amp; IF($Q300="","Missing garaging state. ","") &amp; IF($R300="","Missing garaging ZIP. ","") &amp; IF($S300="","Missing cat zone. ","") &amp; IF($V300="","Missing valuation basis. ","") &amp; IF($W300="","Missing PD deductible. ","") &amp; IF($X300="","Missing liability limit. ","") &amp; IF($AB300="","Missing technical premium. ","") &amp; IF($AF300="","Missing surplus lines tax %. ",""))))</f>
      </c>
      <c r="AY300" s="44">
        <f>IF($M300="","",IF(ISNUMBER($M300),IF($M300&gt;=Header!$C$18,"YES — refer","No"),""))</f>
      </c>
      <c r="AZ300" s="44">
        <f>IF($AD300="","",IF(ISNUMBER($AD300),IF($AD300&lt;Header!$C$20,"BELOW MIN PREMIUM","OK"),""))</f>
      </c>
      <c r="BA300" s="48" t="inlineStr">
        <is>
          <t xml:space="preserve">Yes</t>
        </is>
      </c>
      <c r="BB300" s="48" t="inlineStr">
        <is>
          <t xml:space="preserve">Yes</t>
        </is>
      </c>
      <c r="BC300" s="46" t="inlineStr">
        <is>
          <t xml:space="preserve">Synthetic demo data</t>
        </is>
      </c>
      <c r="BE300" s="45">
        <f>IF(OR($A300="",$L300="",$H300=""),"",IF(AND(LEFT($L300,2)="06",$H300&gt;1945),"FAIL - pre-war class, year "&amp;$H300,IF(AND(LEFT($L300,2)="07",OR($H300&lt;1946,$H300&gt;1972)),"FAIL - 1946-72 class, year "&amp;$H300,IF(AND(LEFT($L300,2)="08",OR($H300&lt;1973,$H300&gt;1999)),"FAIL - 1973-99 class, year "&amp;$H300,IF(AND(LEFT($L300,2)="09",OR($H300&lt;2000,$H300&gt;2010)),"FAIL - 2000-10 class, year "&amp;$H300,"OK")))))</f>
      </c>
      <c r="BF300" s="45">
        <f>IF($AD300="","",IF(ROUND($AO300+$AP300+$AQ300-$AD300,2)=0,"OK","FAIL - out by "&amp;TEXT($AO300+$AP300+$AQ300-$AD300,"$0.00")))</f>
      </c>
    </row>
    <row r="301" spans="1:58" ht="18.75" customHeight="1" x14ac:dyDescent="0.25">
      <c r="A301" s="30" t="inlineStr">
        <is>
          <t xml:space="preserve">CANON-202511-002578</t>
        </is>
      </c>
      <c r="B301" s="30" t="inlineStr">
        <is>
          <t xml:space="preserve">Noor Harrington</t>
        </is>
      </c>
      <c r="C301" s="31">
        <v>45970</v>
      </c>
      <c r="D301" s="32" t="inlineStr">
        <is>
          <t xml:space="preserve">Bound - within authority</t>
        </is>
      </c>
      <c r="E301" s="32" t="inlineStr">
        <is>
          <t xml:space="preserve">New business</t>
        </is>
      </c>
      <c r="F301" s="30" t="inlineStr">
        <is>
          <t xml:space="preserve">B1234EXOTIC26</t>
        </is>
      </c>
      <c r="G301" s="33">
        <f>IF($A301="","",IF($C301="","",YEAR($C301)))</f>
      </c>
      <c r="H301" s="34">
        <v>1967</v>
      </c>
      <c r="I301" s="30" t="inlineStr">
        <is>
          <t xml:space="preserve">Porsche</t>
        </is>
      </c>
      <c r="J301" s="30" t="inlineStr">
        <is>
          <t xml:space="preserve">911 Turbo S</t>
        </is>
      </c>
      <c r="K301" s="30" t="inlineStr">
        <is>
          <t xml:space="preserve">X9E6H243CZ0CWZXN1</t>
        </is>
      </c>
      <c r="L301" s="32" t="inlineStr">
        <is>
          <t xml:space="preserve">02 - Sports / GT</t>
        </is>
      </c>
      <c r="M301" s="35">
        <v>985000</v>
      </c>
      <c r="N301" s="32" t="inlineStr">
        <is>
          <t xml:space="preserve">Personal</t>
        </is>
      </c>
      <c r="O301" s="30" t="inlineStr">
        <is>
          <t xml:space="preserve">Personal - regular use</t>
        </is>
      </c>
      <c r="P301" s="30" t="inlineStr">
        <is>
          <t xml:space="preserve">Under 1,000</t>
        </is>
      </c>
      <c r="Q301" s="30" t="inlineStr">
        <is>
          <t xml:space="preserve">Michigan</t>
        </is>
      </c>
      <c r="R301" s="30" t="inlineStr">
        <is>
          <t xml:space="preserve">48226</t>
        </is>
      </c>
      <c r="S301" s="32" t="inlineStr">
        <is>
          <t xml:space="preserve">Severe convective - hail / tornado (moderate)</t>
        </is>
      </c>
      <c r="T301" s="36">
        <f>IF($A301="","",IF($S301="","",IFERROR(INDEX('[1]natural catastrophe'!$D$6:$D$17,MATCH($S301,'[1]natural catastrophe'!$B$6:$B$17,0)),"?")))</f>
      </c>
      <c r="U301" s="30" t="inlineStr">
        <is>
          <t xml:space="preserve">$5,000</t>
        </is>
      </c>
      <c r="V301" s="32" t="inlineStr">
        <is>
          <t xml:space="preserve">Agreed Value</t>
        </is>
      </c>
      <c r="W301" s="30" t="inlineStr">
        <is>
          <t xml:space="preserve">$1,000</t>
        </is>
      </c>
      <c r="X301" s="32" t="inlineStr">
        <is>
          <t xml:space="preserve">$1,000,000 CSL</t>
        </is>
      </c>
      <c r="Y301" s="30"/>
      <c r="Z301" s="30"/>
      <c r="AA301" s="32" t="inlineStr">
        <is>
          <t xml:space="preserve">Surplus Lines</t>
        </is>
      </c>
      <c r="AB301" s="35">
        <v>17215.11</v>
      </c>
      <c r="AC301" s="37">
        <v>0</v>
      </c>
      <c r="AD301" s="38">
        <f>IF(ISNUMBER($AB301),$AB301*(1+N($AC301)),"")</f>
      </c>
      <c r="AE301" s="35">
        <v>350</v>
      </c>
      <c r="AF301" s="35">
        <v>0</v>
      </c>
      <c r="AG301" s="37"/>
      <c r="AH301" s="39">
        <f>IF(ISNUMBER($AD301),($AD301+$AE301+$AF301)*$AG301,"")</f>
      </c>
      <c r="AI301" s="35"/>
      <c r="AJ301" s="38">
        <f>IF(ISNUMBER($AD301),SUM($AD301:$AH301),"")</f>
      </c>
      <c r="AK301" s="40">
        <f>IF(AND(ISNUMBER($AB301),ISNUMBER($AD301)),IF($AB301&gt;0,$AD301/$AB301,""),"")</f>
      </c>
      <c r="AL301" s="32" t="inlineStr">
        <is>
          <t xml:space="preserve">At technical</t>
        </is>
      </c>
      <c r="AM301" s="41">
        <f>IF(ISNUMBER($AD301),Header!$I$3,"")</f>
      </c>
      <c r="AN301" s="39">
        <f>IF(ISNUMBER($AD301),$AO301+$AP301,"")</f>
      </c>
      <c r="AO301" s="39">
        <f>IF(ISNUMBER($AD301),ROUND($AD301*Header!$K$3,2),"")</f>
      </c>
      <c r="AP301" s="39">
        <f>IF(ISNUMBER($AD301),ROUND($AD301*Header!$M$3,2),"")</f>
      </c>
      <c r="AQ301" s="38">
        <f>IF(ISNUMBER($AD301),ROUND($AD301,2)-$AO301-$AP301,"")</f>
      </c>
      <c r="AR301" s="39">
        <f>IF(ISNUMBER($AD301),IF(Header!$D$34="","?",$AD301*Header!$D$34),"")</f>
      </c>
      <c r="AS301" s="39">
        <f>IF(ISNUMBER($AB301),IF(Header!$D$34="","?",$AB301*Header!$D$34),"")</f>
      </c>
      <c r="AT301" s="42">
        <f>IF(AND(ISNUMBER($AB301),$M301&gt;0),$AB301/$M301*100,"")</f>
      </c>
      <c r="AU301" s="42">
        <f>IF(AND(ISNUMBER($AD301),$M301&gt;0),$AD301/$M301*100,"")</f>
      </c>
      <c r="AV301" s="40">
        <f>IF(AND(ISNUMBER($AB301),ISNUMBER($AD301),ABS($AB301)&gt;0),$AD301/$AB301,"")</f>
      </c>
      <c r="AW301" s="39">
        <f>IF(ISNUMBER($AD301),MAX(0,(1-0.55-Header!$O$3)*Header!$Q$3*$AQ301),"")</f>
      </c>
      <c r="AX301" s="43">
        <f>IF($A301="","",IF(TRIM(IF($A301="","Missing certificate ref. ","") &amp; IF($C301="","Missing effective date. ","") &amp; IF($D301="","Missing binding status. ","") &amp; IF($E301="","Missing movement type. ","") &amp; IF($I301="","Missing make. ","") &amp; IF($L301="","Missing vehicle class. ","") &amp; IF($M301="","Missing agreed value. ","") &amp; IF($N301="","Missing policy type. ","") &amp; IF($Q301="","Missing garaging state. ","") &amp; IF($R301="","Missing garaging ZIP. ","") &amp; IF($S301="","Missing cat zone. ","") &amp; IF($V301="","Missing valuation basis. ","") &amp; IF($W301="","Missing PD deductible. ","") &amp; IF($X301="","Missing liability limit. ","") &amp; IF($AB301="","Missing technical premium. ","") &amp; IF($AF301="","Missing surplus lines tax %. ",""))="","PASS","FAIL: "&amp;TRIM(IF($A301="","Missing certificate ref. ","") &amp; IF($C301="","Missing effective date. ","") &amp; IF($D301="","Missing binding status. ","") &amp; IF($E301="","Missing movement type. ","") &amp; IF($I301="","Missing make. ","") &amp; IF($L301="","Missing vehicle class. ","") &amp; IF($M301="","Missing agreed value. ","") &amp; IF($N301="","Missing policy type. ","") &amp; IF($Q301="","Missing garaging state. ","") &amp; IF($R301="","Missing garaging ZIP. ","") &amp; IF($S301="","Missing cat zone. ","") &amp; IF($V301="","Missing valuation basis. ","") &amp; IF($W301="","Missing PD deductible. ","") &amp; IF($X301="","Missing liability limit. ","") &amp; IF($AB301="","Missing technical premium. ","") &amp; IF($AF301="","Missing surplus lines tax %. ",""))))</f>
      </c>
      <c r="AY301" s="44">
        <f>IF($M301="","",IF(ISNUMBER($M301),IF($M301&gt;=Header!$C$18,"YES — refer","No"),""))</f>
      </c>
      <c r="AZ301" s="44">
        <f>IF($AD301="","",IF(ISNUMBER($AD301),IF($AD301&lt;Header!$C$20,"BELOW MIN PREMIUM","OK"),""))</f>
      </c>
      <c r="BA301" s="32" t="inlineStr">
        <is>
          <t xml:space="preserve">Yes</t>
        </is>
      </c>
      <c r="BB301" s="32" t="inlineStr">
        <is>
          <t xml:space="preserve">Yes</t>
        </is>
      </c>
      <c r="BC301" s="30" t="inlineStr">
        <is>
          <t xml:space="preserve">Synthetic demo data</t>
        </is>
      </c>
      <c r="BE301" s="45">
        <f>IF(OR($A301="",$L301="",$H301=""),"",IF(AND(LEFT($L301,2)="06",$H301&gt;1945),"FAIL - pre-war class, year "&amp;$H301,IF(AND(LEFT($L301,2)="07",OR($H301&lt;1946,$H301&gt;1972)),"FAIL - 1946-72 class, year "&amp;$H301,IF(AND(LEFT($L301,2)="08",OR($H301&lt;1973,$H301&gt;1999)),"FAIL - 1973-99 class, year "&amp;$H301,IF(AND(LEFT($L301,2)="09",OR($H301&lt;2000,$H301&gt;2010)),"FAIL - 2000-10 class, year "&amp;$H301,"OK")))))</f>
      </c>
      <c r="BF301" s="45">
        <f>IF($AD301="","",IF(ROUND($AO301+$AP301+$AQ301-$AD301,2)=0,"OK","FAIL - out by "&amp;TEXT($AO301+$AP301+$AQ301-$AD301,"$0.00")))</f>
      </c>
    </row>
    <row r="302" spans="1:58" ht="18.75" customHeight="1" x14ac:dyDescent="0.25">
      <c r="A302" s="46" t="inlineStr">
        <is>
          <t xml:space="preserve">CANON-202511-002580</t>
        </is>
      </c>
      <c r="B302" s="46" t="inlineStr">
        <is>
          <t xml:space="preserve">Mireille Okonkwo</t>
        </is>
      </c>
      <c r="C302" s="47">
        <v>45973</v>
      </c>
      <c r="D302" s="48" t="inlineStr">
        <is>
          <t xml:space="preserve">Bound - within authority</t>
        </is>
      </c>
      <c r="E302" s="48" t="inlineStr">
        <is>
          <t xml:space="preserve">New business</t>
        </is>
      </c>
      <c r="F302" s="46" t="inlineStr">
        <is>
          <t xml:space="preserve">B1234EXOTIC26</t>
        </is>
      </c>
      <c r="G302" s="33">
        <f>IF($A302="","",IF($C302="","",YEAR($C302)))</f>
      </c>
      <c r="H302" s="49">
        <v>1972</v>
      </c>
      <c r="I302" s="46" t="inlineStr">
        <is>
          <t xml:space="preserve">Ferrari</t>
        </is>
      </c>
      <c r="J302" s="46" t="inlineStr">
        <is>
          <t xml:space="preserve">SF90 Stradale</t>
        </is>
      </c>
      <c r="K302" s="46" t="inlineStr">
        <is>
          <t xml:space="preserve">XG84WCSF9XSDPVBJW</t>
        </is>
      </c>
      <c r="L302" s="48" t="inlineStr">
        <is>
          <t xml:space="preserve">03 - Supercar</t>
        </is>
      </c>
      <c r="M302" s="50">
        <v>640000</v>
      </c>
      <c r="N302" s="48" t="inlineStr">
        <is>
          <t xml:space="preserve">Personal</t>
        </is>
      </c>
      <c r="O302" s="46" t="inlineStr">
        <is>
          <t xml:space="preserve">Personal - regular use</t>
        </is>
      </c>
      <c r="P302" s="46" t="inlineStr">
        <is>
          <t xml:space="preserve">2,500 - 5,000</t>
        </is>
      </c>
      <c r="Q302" s="46" t="inlineStr">
        <is>
          <t xml:space="preserve">Florida</t>
        </is>
      </c>
      <c r="R302" s="46" t="inlineStr">
        <is>
          <t xml:space="preserve">33139</t>
        </is>
      </c>
      <c r="S302" s="48" t="inlineStr">
        <is>
          <t xml:space="preserve">Tier 2 - Coastal wind (1-25 miles)</t>
        </is>
      </c>
      <c r="T302" s="36">
        <f>IF($A302="","",IF($S302="","",IFERROR(INDEX('[1]natural catastrophe'!$D$6:$D$17,MATCH($S302,'[1]natural catastrophe'!$B$6:$B$17,0)),"?")))</f>
      </c>
      <c r="U302" s="46" t="inlineStr">
        <is>
          <t xml:space="preserve">2% of agreed value, minimum $10,000</t>
        </is>
      </c>
      <c r="V302" s="48" t="inlineStr">
        <is>
          <t xml:space="preserve">Agreed Value</t>
        </is>
      </c>
      <c r="W302" s="46" t="inlineStr">
        <is>
          <t xml:space="preserve">$1,000</t>
        </is>
      </c>
      <c r="X302" s="48" t="inlineStr">
        <is>
          <t xml:space="preserve">$1,000,000 CSL</t>
        </is>
      </c>
      <c r="Y302" s="46"/>
      <c r="Z302" s="46"/>
      <c r="AA302" s="48" t="inlineStr">
        <is>
          <t xml:space="preserve">Surplus Lines</t>
        </is>
      </c>
      <c r="AB302" s="50">
        <v>14976.85</v>
      </c>
      <c r="AC302" s="51">
        <v>0</v>
      </c>
      <c r="AD302" s="38">
        <f>IF(ISNUMBER($AB302),$AB302*(1+N($AC302)),"")</f>
      </c>
      <c r="AE302" s="50">
        <v>350</v>
      </c>
      <c r="AF302" s="50">
        <v>0</v>
      </c>
      <c r="AG302" s="51"/>
      <c r="AH302" s="39">
        <f>IF(ISNUMBER($AD302),($AD302+$AE302+$AF302)*$AG302,"")</f>
      </c>
      <c r="AI302" s="50"/>
      <c r="AJ302" s="38">
        <f>IF(ISNUMBER($AD302),SUM($AD302:$AH302),"")</f>
      </c>
      <c r="AK302" s="40">
        <f>IF(AND(ISNUMBER($AB302),ISNUMBER($AD302)),IF($AB302&gt;0,$AD302/$AB302,""),"")</f>
      </c>
      <c r="AL302" s="48" t="inlineStr">
        <is>
          <t xml:space="preserve">At technical</t>
        </is>
      </c>
      <c r="AM302" s="41">
        <f>IF(ISNUMBER($AD302),Header!$I$3,"")</f>
      </c>
      <c r="AN302" s="39">
        <f>IF(ISNUMBER($AD302),$AO302+$AP302,"")</f>
      </c>
      <c r="AO302" s="39">
        <f>IF(ISNUMBER($AD302),ROUND($AD302*Header!$K$3,2),"")</f>
      </c>
      <c r="AP302" s="39">
        <f>IF(ISNUMBER($AD302),ROUND($AD302*Header!$M$3,2),"")</f>
      </c>
      <c r="AQ302" s="38">
        <f>IF(ISNUMBER($AD302),ROUND($AD302,2)-$AO302-$AP302,"")</f>
      </c>
      <c r="AR302" s="39">
        <f>IF(ISNUMBER($AD302),IF(Header!$D$34="","?",$AD302*Header!$D$34),"")</f>
      </c>
      <c r="AS302" s="39">
        <f>IF(ISNUMBER($AB302),IF(Header!$D$34="","?",$AB302*Header!$D$34),"")</f>
      </c>
      <c r="AT302" s="42">
        <f>IF(AND(ISNUMBER($AB302),$M302&gt;0),$AB302/$M302*100,"")</f>
      </c>
      <c r="AU302" s="42">
        <f>IF(AND(ISNUMBER($AD302),$M302&gt;0),$AD302/$M302*100,"")</f>
      </c>
      <c r="AV302" s="40">
        <f>IF(AND(ISNUMBER($AB302),ISNUMBER($AD302),ABS($AB302)&gt;0),$AD302/$AB302,"")</f>
      </c>
      <c r="AW302" s="39">
        <f>IF(ISNUMBER($AD302),MAX(0,(1-0.55-Header!$O$3)*Header!$Q$3*$AQ302),"")</f>
      </c>
      <c r="AX302" s="43">
        <f>IF($A302="","",IF(TRIM(IF($A302="","Missing certificate ref. ","") &amp; IF($C302="","Missing effective date. ","") &amp; IF($D302="","Missing binding status. ","") &amp; IF($E302="","Missing movement type. ","") &amp; IF($I302="","Missing make. ","") &amp; IF($L302="","Missing vehicle class. ","") &amp; IF($M302="","Missing agreed value. ","") &amp; IF($N302="","Missing policy type. ","") &amp; IF($Q302="","Missing garaging state. ","") &amp; IF($R302="","Missing garaging ZIP. ","") &amp; IF($S302="","Missing cat zone. ","") &amp; IF($V302="","Missing valuation basis. ","") &amp; IF($W302="","Missing PD deductible. ","") &amp; IF($X302="","Missing liability limit. ","") &amp; IF($AB302="","Missing technical premium. ","") &amp; IF($AF302="","Missing surplus lines tax %. ",""))="","PASS","FAIL: "&amp;TRIM(IF($A302="","Missing certificate ref. ","") &amp; IF($C302="","Missing effective date. ","") &amp; IF($D302="","Missing binding status. ","") &amp; IF($E302="","Missing movement type. ","") &amp; IF($I302="","Missing make. ","") &amp; IF($L302="","Missing vehicle class. ","") &amp; IF($M302="","Missing agreed value. ","") &amp; IF($N302="","Missing policy type. ","") &amp; IF($Q302="","Missing garaging state. ","") &amp; IF($R302="","Missing garaging ZIP. ","") &amp; IF($S302="","Missing cat zone. ","") &amp; IF($V302="","Missing valuation basis. ","") &amp; IF($W302="","Missing PD deductible. ","") &amp; IF($X302="","Missing liability limit. ","") &amp; IF($AB302="","Missing technical premium. ","") &amp; IF($AF302="","Missing surplus lines tax %. ",""))))</f>
      </c>
      <c r="AY302" s="44">
        <f>IF($M302="","",IF(ISNUMBER($M302),IF($M302&gt;=Header!$C$18,"YES — refer","No"),""))</f>
      </c>
      <c r="AZ302" s="44">
        <f>IF($AD302="","",IF(ISNUMBER($AD302),IF($AD302&lt;Header!$C$20,"BELOW MIN PREMIUM","OK"),""))</f>
      </c>
      <c r="BA302" s="48" t="inlineStr">
        <is>
          <t xml:space="preserve">Yes</t>
        </is>
      </c>
      <c r="BB302" s="48" t="inlineStr">
        <is>
          <t xml:space="preserve">Yes</t>
        </is>
      </c>
      <c r="BC302" s="46" t="inlineStr">
        <is>
          <t xml:space="preserve">Synthetic demo data</t>
        </is>
      </c>
      <c r="BE302" s="45">
        <f>IF(OR($A302="",$L302="",$H302=""),"",IF(AND(LEFT($L302,2)="06",$H302&gt;1945),"FAIL - pre-war class, year "&amp;$H302,IF(AND(LEFT($L302,2)="07",OR($H302&lt;1946,$H302&gt;1972)),"FAIL - 1946-72 class, year "&amp;$H302,IF(AND(LEFT($L302,2)="08",OR($H302&lt;1973,$H302&gt;1999)),"FAIL - 1973-99 class, year "&amp;$H302,IF(AND(LEFT($L302,2)="09",OR($H302&lt;2000,$H302&gt;2010)),"FAIL - 2000-10 class, year "&amp;$H302,"OK")))))</f>
      </c>
      <c r="BF302" s="45">
        <f>IF($AD302="","",IF(ROUND($AO302+$AP302+$AQ302-$AD302,2)=0,"OK","FAIL - out by "&amp;TEXT($AO302+$AP302+$AQ302-$AD302,"$0.00")))</f>
      </c>
    </row>
    <row r="303" spans="1:58" ht="18.75" customHeight="1" x14ac:dyDescent="0.25">
      <c r="A303" s="30" t="inlineStr">
        <is>
          <t xml:space="preserve">CANON-202511-002581</t>
        </is>
      </c>
      <c r="B303" s="30" t="inlineStr">
        <is>
          <t xml:space="preserve">Everett Blackwood</t>
        </is>
      </c>
      <c r="C303" s="31">
        <v>45968</v>
      </c>
      <c r="D303" s="32" t="inlineStr">
        <is>
          <t xml:space="preserve">Bound - within authority</t>
        </is>
      </c>
      <c r="E303" s="32" t="inlineStr">
        <is>
          <t xml:space="preserve">New business</t>
        </is>
      </c>
      <c r="F303" s="30" t="inlineStr">
        <is>
          <t xml:space="preserve">B1234EXOTIC26</t>
        </is>
      </c>
      <c r="G303" s="33">
        <f>IF($A303="","",IF($C303="","",YEAR($C303)))</f>
      </c>
      <c r="H303" s="34">
        <v>1998</v>
      </c>
      <c r="I303" s="30" t="inlineStr">
        <is>
          <t xml:space="preserve">Porsche</t>
        </is>
      </c>
      <c r="J303" s="30" t="inlineStr">
        <is>
          <t xml:space="preserve">911 Turbo S</t>
        </is>
      </c>
      <c r="K303" s="30" t="inlineStr">
        <is>
          <t xml:space="preserve">TD36Z4TFZLWJFH50X</t>
        </is>
      </c>
      <c r="L303" s="32" t="inlineStr">
        <is>
          <t xml:space="preserve">02 - Sports / GT</t>
        </is>
      </c>
      <c r="M303" s="35">
        <v>1495000</v>
      </c>
      <c r="N303" s="32" t="inlineStr">
        <is>
          <t xml:space="preserve">Personal</t>
        </is>
      </c>
      <c r="O303" s="30" t="inlineStr">
        <is>
          <t xml:space="preserve">Personal - regular use</t>
        </is>
      </c>
      <c r="P303" s="30" t="inlineStr">
        <is>
          <t xml:space="preserve">Under 1,000</t>
        </is>
      </c>
      <c r="Q303" s="30" t="inlineStr">
        <is>
          <t xml:space="preserve">Nevada</t>
        </is>
      </c>
      <c r="R303" s="30" t="inlineStr">
        <is>
          <t xml:space="preserve">89101</t>
        </is>
      </c>
      <c r="S303" s="32" t="inlineStr">
        <is>
          <t xml:space="preserve">Wildfire - WUI high hazard</t>
        </is>
      </c>
      <c r="T303" s="36">
        <f>IF($A303="","",IF($S303="","",IFERROR(INDEX('[1]natural catastrophe'!$D$6:$D$17,MATCH($S303,'[1]natural catastrophe'!$B$6:$B$17,0)),"?")))</f>
      </c>
      <c r="U303" s="30" t="inlineStr">
        <is>
          <t xml:space="preserve">$5,000</t>
        </is>
      </c>
      <c r="V303" s="32" t="inlineStr">
        <is>
          <t xml:space="preserve">Agreed Value</t>
        </is>
      </c>
      <c r="W303" s="30" t="inlineStr">
        <is>
          <t xml:space="preserve">$1,000</t>
        </is>
      </c>
      <c r="X303" s="32" t="inlineStr">
        <is>
          <t xml:space="preserve">$1,000,000 CSL</t>
        </is>
      </c>
      <c r="Y303" s="30"/>
      <c r="Z303" s="30"/>
      <c r="AA303" s="32" t="inlineStr">
        <is>
          <t xml:space="preserve">Surplus Lines</t>
        </is>
      </c>
      <c r="AB303" s="35">
        <v>16688.54</v>
      </c>
      <c r="AC303" s="37">
        <v>0</v>
      </c>
      <c r="AD303" s="38">
        <f>IF(ISNUMBER($AB303),$AB303*(1+N($AC303)),"")</f>
      </c>
      <c r="AE303" s="35">
        <v>350</v>
      </c>
      <c r="AF303" s="35">
        <v>250</v>
      </c>
      <c r="AG303" s="37"/>
      <c r="AH303" s="39">
        <f>IF(ISNUMBER($AD303),($AD303+$AE303+$AF303)*$AG303,"")</f>
      </c>
      <c r="AI303" s="35"/>
      <c r="AJ303" s="38">
        <f>IF(ISNUMBER($AD303),SUM($AD303:$AH303),"")</f>
      </c>
      <c r="AK303" s="40">
        <f>IF(AND(ISNUMBER($AB303),ISNUMBER($AD303)),IF($AB303&gt;0,$AD303/$AB303,""),"")</f>
      </c>
      <c r="AL303" s="32" t="inlineStr">
        <is>
          <t xml:space="preserve">At technical</t>
        </is>
      </c>
      <c r="AM303" s="41">
        <f>IF(ISNUMBER($AD303),Header!$I$3,"")</f>
      </c>
      <c r="AN303" s="39">
        <f>IF(ISNUMBER($AD303),$AO303+$AP303,"")</f>
      </c>
      <c r="AO303" s="39">
        <f>IF(ISNUMBER($AD303),ROUND($AD303*Header!$K$3,2),"")</f>
      </c>
      <c r="AP303" s="39">
        <f>IF(ISNUMBER($AD303),ROUND($AD303*Header!$M$3,2),"")</f>
      </c>
      <c r="AQ303" s="38">
        <f>IF(ISNUMBER($AD303),ROUND($AD303,2)-$AO303-$AP303,"")</f>
      </c>
      <c r="AR303" s="39">
        <f>IF(ISNUMBER($AD303),IF(Header!$D$34="","?",$AD303*Header!$D$34),"")</f>
      </c>
      <c r="AS303" s="39">
        <f>IF(ISNUMBER($AB303),IF(Header!$D$34="","?",$AB303*Header!$D$34),"")</f>
      </c>
      <c r="AT303" s="42">
        <f>IF(AND(ISNUMBER($AB303),$M303&gt;0),$AB303/$M303*100,"")</f>
      </c>
      <c r="AU303" s="42">
        <f>IF(AND(ISNUMBER($AD303),$M303&gt;0),$AD303/$M303*100,"")</f>
      </c>
      <c r="AV303" s="40">
        <f>IF(AND(ISNUMBER($AB303),ISNUMBER($AD303),ABS($AB303)&gt;0),$AD303/$AB303,"")</f>
      </c>
      <c r="AW303" s="39">
        <f>IF(ISNUMBER($AD303),MAX(0,(1-0.55-Header!$O$3)*Header!$Q$3*$AQ303),"")</f>
      </c>
      <c r="AX303" s="43">
        <f>IF($A303="","",IF(TRIM(IF($A303="","Missing certificate ref. ","") &amp; IF($C303="","Missing effective date. ","") &amp; IF($D303="","Missing binding status. ","") &amp; IF($E303="","Missing movement type. ","") &amp; IF($I303="","Missing make. ","") &amp; IF($L303="","Missing vehicle class. ","") &amp; IF($M303="","Missing agreed value. ","") &amp; IF($N303="","Missing policy type. ","") &amp; IF($Q303="","Missing garaging state. ","") &amp; IF($R303="","Missing garaging ZIP. ","") &amp; IF($S303="","Missing cat zone. ","") &amp; IF($V303="","Missing valuation basis. ","") &amp; IF($W303="","Missing PD deductible. ","") &amp; IF($X303="","Missing liability limit. ","") &amp; IF($AB303="","Missing technical premium. ","") &amp; IF($AF303="","Missing surplus lines tax %. ",""))="","PASS","FAIL: "&amp;TRIM(IF($A303="","Missing certificate ref. ","") &amp; IF($C303="","Missing effective date. ","") &amp; IF($D303="","Missing binding status. ","") &amp; IF($E303="","Missing movement type. ","") &amp; IF($I303="","Missing make. ","") &amp; IF($L303="","Missing vehicle class. ","") &amp; IF($M303="","Missing agreed value. ","") &amp; IF($N303="","Missing policy type. ","") &amp; IF($Q303="","Missing garaging state. ","") &amp; IF($R303="","Missing garaging ZIP. ","") &amp; IF($S303="","Missing cat zone. ","") &amp; IF($V303="","Missing valuation basis. ","") &amp; IF($W303="","Missing PD deductible. ","") &amp; IF($X303="","Missing liability limit. ","") &amp; IF($AB303="","Missing technical premium. ","") &amp; IF($AF303="","Missing surplus lines tax %. ",""))))</f>
      </c>
      <c r="AY303" s="44">
        <f>IF($M303="","",IF(ISNUMBER($M303),IF($M303&gt;=Header!$C$18,"YES — refer","No"),""))</f>
      </c>
      <c r="AZ303" s="44">
        <f>IF($AD303="","",IF(ISNUMBER($AD303),IF($AD303&lt;Header!$C$20,"BELOW MIN PREMIUM","OK"),""))</f>
      </c>
      <c r="BA303" s="32" t="inlineStr">
        <is>
          <t xml:space="preserve">Yes</t>
        </is>
      </c>
      <c r="BB303" s="32" t="inlineStr">
        <is>
          <t xml:space="preserve">Yes</t>
        </is>
      </c>
      <c r="BC303" s="30" t="inlineStr">
        <is>
          <t xml:space="preserve">Synthetic demo data</t>
        </is>
      </c>
      <c r="BE303" s="45">
        <f>IF(OR($A303="",$L303="",$H303=""),"",IF(AND(LEFT($L303,2)="06",$H303&gt;1945),"FAIL - pre-war class, year "&amp;$H303,IF(AND(LEFT($L303,2)="07",OR($H303&lt;1946,$H303&gt;1972)),"FAIL - 1946-72 class, year "&amp;$H303,IF(AND(LEFT($L303,2)="08",OR($H303&lt;1973,$H303&gt;1999)),"FAIL - 1973-99 class, year "&amp;$H303,IF(AND(LEFT($L303,2)="09",OR($H303&lt;2000,$H303&gt;2010)),"FAIL - 2000-10 class, year "&amp;$H303,"OK")))))</f>
      </c>
      <c r="BF303" s="45">
        <f>IF($AD303="","",IF(ROUND($AO303+$AP303+$AQ303-$AD303,2)=0,"OK","FAIL - out by "&amp;TEXT($AO303+$AP303+$AQ303-$AD303,"$0.00")))</f>
      </c>
    </row>
    <row r="304" spans="1:58" ht="18.75" customHeight="1" x14ac:dyDescent="0.25">
      <c r="A304" s="46" t="inlineStr">
        <is>
          <t xml:space="preserve">CANON-202511-002583</t>
        </is>
      </c>
      <c r="B304" s="46" t="inlineStr">
        <is>
          <t xml:space="preserve">Leopold Farkas</t>
        </is>
      </c>
      <c r="C304" s="47">
        <v>45970</v>
      </c>
      <c r="D304" s="48" t="inlineStr">
        <is>
          <t xml:space="preserve">Bound - within authority</t>
        </is>
      </c>
      <c r="E304" s="48" t="inlineStr">
        <is>
          <t xml:space="preserve">New business</t>
        </is>
      </c>
      <c r="F304" s="46" t="inlineStr">
        <is>
          <t xml:space="preserve">B1234EXOTIC26</t>
        </is>
      </c>
      <c r="G304" s="33">
        <f>IF($A304="","",IF($C304="","",YEAR($C304)))</f>
      </c>
      <c r="H304" s="49">
        <v>1999</v>
      </c>
      <c r="I304" s="46" t="inlineStr">
        <is>
          <t xml:space="preserve">BMW</t>
        </is>
      </c>
      <c r="J304" s="46" t="inlineStr">
        <is>
          <t xml:space="preserve">M8 Competition</t>
        </is>
      </c>
      <c r="K304" s="46" t="inlineStr">
        <is>
          <t xml:space="preserve">AJM4A6R20784LNTGR</t>
        </is>
      </c>
      <c r="L304" s="48" t="inlineStr">
        <is>
          <t xml:space="preserve">02 - Sports / GT</t>
        </is>
      </c>
      <c r="M304" s="50">
        <v>580000</v>
      </c>
      <c r="N304" s="48" t="inlineStr">
        <is>
          <t xml:space="preserve">Personal</t>
        </is>
      </c>
      <c r="O304" s="46" t="inlineStr">
        <is>
          <t xml:space="preserve">Personal - regular use</t>
        </is>
      </c>
      <c r="P304" s="46" t="inlineStr">
        <is>
          <t xml:space="preserve">2,500 - 5,000</t>
        </is>
      </c>
      <c r="Q304" s="46" t="inlineStr">
        <is>
          <t xml:space="preserve">Colorado</t>
        </is>
      </c>
      <c r="R304" s="46" t="inlineStr">
        <is>
          <t xml:space="preserve">80202</t>
        </is>
      </c>
      <c r="S304" s="48" t="inlineStr">
        <is>
          <t xml:space="preserve">Severe convective - hail alley (high)</t>
        </is>
      </c>
      <c r="T304" s="36">
        <f>IF($A304="","",IF($S304="","",IFERROR(INDEX('[1]natural catastrophe'!$D$6:$D$17,MATCH($S304,'[1]natural catastrophe'!$B$6:$B$17,0)),"?")))</f>
      </c>
      <c r="U304" s="46" t="inlineStr">
        <is>
          <t xml:space="preserve">$5,000</t>
        </is>
      </c>
      <c r="V304" s="48" t="inlineStr">
        <is>
          <t xml:space="preserve">Agreed Value</t>
        </is>
      </c>
      <c r="W304" s="46" t="inlineStr">
        <is>
          <t xml:space="preserve">$1,000</t>
        </is>
      </c>
      <c r="X304" s="48" t="inlineStr">
        <is>
          <t xml:space="preserve">$1,000,000 CSL</t>
        </is>
      </c>
      <c r="Y304" s="46"/>
      <c r="Z304" s="46"/>
      <c r="AA304" s="48" t="inlineStr">
        <is>
          <t xml:space="preserve">Surplus Lines</t>
        </is>
      </c>
      <c r="AB304" s="50">
        <v>7193.87</v>
      </c>
      <c r="AC304" s="51">
        <v>0</v>
      </c>
      <c r="AD304" s="38">
        <f>IF(ISNUMBER($AB304),$AB304*(1+N($AC304)),"")</f>
      </c>
      <c r="AE304" s="50">
        <v>350</v>
      </c>
      <c r="AF304" s="50">
        <v>0</v>
      </c>
      <c r="AG304" s="51"/>
      <c r="AH304" s="39">
        <f>IF(ISNUMBER($AD304),($AD304+$AE304+$AF304)*$AG304,"")</f>
      </c>
      <c r="AI304" s="50"/>
      <c r="AJ304" s="38">
        <f>IF(ISNUMBER($AD304),SUM($AD304:$AH304),"")</f>
      </c>
      <c r="AK304" s="40">
        <f>IF(AND(ISNUMBER($AB304),ISNUMBER($AD304)),IF($AB304&gt;0,$AD304/$AB304,""),"")</f>
      </c>
      <c r="AL304" s="48" t="inlineStr">
        <is>
          <t xml:space="preserve">At technical</t>
        </is>
      </c>
      <c r="AM304" s="41">
        <f>IF(ISNUMBER($AD304),Header!$I$3,"")</f>
      </c>
      <c r="AN304" s="39">
        <f>IF(ISNUMBER($AD304),$AO304+$AP304,"")</f>
      </c>
      <c r="AO304" s="39">
        <f>IF(ISNUMBER($AD304),ROUND($AD304*Header!$K$3,2),"")</f>
      </c>
      <c r="AP304" s="39">
        <f>IF(ISNUMBER($AD304),ROUND($AD304*Header!$M$3,2),"")</f>
      </c>
      <c r="AQ304" s="38">
        <f>IF(ISNUMBER($AD304),ROUND($AD304,2)-$AO304-$AP304,"")</f>
      </c>
      <c r="AR304" s="39">
        <f>IF(ISNUMBER($AD304),IF(Header!$D$34="","?",$AD304*Header!$D$34),"")</f>
      </c>
      <c r="AS304" s="39">
        <f>IF(ISNUMBER($AB304),IF(Header!$D$34="","?",$AB304*Header!$D$34),"")</f>
      </c>
      <c r="AT304" s="42">
        <f>IF(AND(ISNUMBER($AB304),$M304&gt;0),$AB304/$M304*100,"")</f>
      </c>
      <c r="AU304" s="42">
        <f>IF(AND(ISNUMBER($AD304),$M304&gt;0),$AD304/$M304*100,"")</f>
      </c>
      <c r="AV304" s="40">
        <f>IF(AND(ISNUMBER($AB304),ISNUMBER($AD304),ABS($AB304)&gt;0),$AD304/$AB304,"")</f>
      </c>
      <c r="AW304" s="39">
        <f>IF(ISNUMBER($AD304),MAX(0,(1-0.55-Header!$O$3)*Header!$Q$3*$AQ304),"")</f>
      </c>
      <c r="AX304" s="43">
        <f>IF($A304="","",IF(TRIM(IF($A304="","Missing certificate ref. ","") &amp; IF($C304="","Missing effective date. ","") &amp; IF($D304="","Missing binding status. ","") &amp; IF($E304="","Missing movement type. ","") &amp; IF($I304="","Missing make. ","") &amp; IF($L304="","Missing vehicle class. ","") &amp; IF($M304="","Missing agreed value. ","") &amp; IF($N304="","Missing policy type. ","") &amp; IF($Q304="","Missing garaging state. ","") &amp; IF($R304="","Missing garaging ZIP. ","") &amp; IF($S304="","Missing cat zone. ","") &amp; IF($V304="","Missing valuation basis. ","") &amp; IF($W304="","Missing PD deductible. ","") &amp; IF($X304="","Missing liability limit. ","") &amp; IF($AB304="","Missing technical premium. ","") &amp; IF($AF304="","Missing surplus lines tax %. ",""))="","PASS","FAIL: "&amp;TRIM(IF($A304="","Missing certificate ref. ","") &amp; IF($C304="","Missing effective date. ","") &amp; IF($D304="","Missing binding status. ","") &amp; IF($E304="","Missing movement type. ","") &amp; IF($I304="","Missing make. ","") &amp; IF($L304="","Missing vehicle class. ","") &amp; IF($M304="","Missing agreed value. ","") &amp; IF($N304="","Missing policy type. ","") &amp; IF($Q304="","Missing garaging state. ","") &amp; IF($R304="","Missing garaging ZIP. ","") &amp; IF($S304="","Missing cat zone. ","") &amp; IF($V304="","Missing valuation basis. ","") &amp; IF($W304="","Missing PD deductible. ","") &amp; IF($X304="","Missing liability limit. ","") &amp; IF($AB304="","Missing technical premium. ","") &amp; IF($AF304="","Missing surplus lines tax %. ",""))))</f>
      </c>
      <c r="AY304" s="44">
        <f>IF($M304="","",IF(ISNUMBER($M304),IF($M304&gt;=Header!$C$18,"YES — refer","No"),""))</f>
      </c>
      <c r="AZ304" s="44">
        <f>IF($AD304="","",IF(ISNUMBER($AD304),IF($AD304&lt;Header!$C$20,"BELOW MIN PREMIUM","OK"),""))</f>
      </c>
      <c r="BA304" s="48" t="inlineStr">
        <is>
          <t xml:space="preserve">Yes</t>
        </is>
      </c>
      <c r="BB304" s="48" t="inlineStr">
        <is>
          <t xml:space="preserve">Yes</t>
        </is>
      </c>
      <c r="BC304" s="46" t="inlineStr">
        <is>
          <t xml:space="preserve">Synthetic demo data</t>
        </is>
      </c>
      <c r="BE304" s="45">
        <f>IF(OR($A304="",$L304="",$H304=""),"",IF(AND(LEFT($L304,2)="06",$H304&gt;1945),"FAIL - pre-war class, year "&amp;$H304,IF(AND(LEFT($L304,2)="07",OR($H304&lt;1946,$H304&gt;1972)),"FAIL - 1946-72 class, year "&amp;$H304,IF(AND(LEFT($L304,2)="08",OR($H304&lt;1973,$H304&gt;1999)),"FAIL - 1973-99 class, year "&amp;$H304,IF(AND(LEFT($L304,2)="09",OR($H304&lt;2000,$H304&gt;2010)),"FAIL - 2000-10 class, year "&amp;$H304,"OK")))))</f>
      </c>
      <c r="BF304" s="45">
        <f>IF($AD304="","",IF(ROUND($AO304+$AP304+$AQ304-$AD304,2)=0,"OK","FAIL - out by "&amp;TEXT($AO304+$AP304+$AQ304-$AD304,"$0.00")))</f>
      </c>
    </row>
    <row r="305" spans="1:58" ht="18.75" customHeight="1" x14ac:dyDescent="0.25">
      <c r="A305" s="30" t="inlineStr">
        <is>
          <t xml:space="preserve">CANON-202511-002585</t>
        </is>
      </c>
      <c r="B305" s="30" t="inlineStr">
        <is>
          <t xml:space="preserve">Delphine Larsson</t>
        </is>
      </c>
      <c r="C305" s="31">
        <v>45982</v>
      </c>
      <c r="D305" s="32" t="inlineStr">
        <is>
          <t xml:space="preserve">Bound - within authority</t>
        </is>
      </c>
      <c r="E305" s="32" t="inlineStr">
        <is>
          <t xml:space="preserve">New business</t>
        </is>
      </c>
      <c r="F305" s="30" t="inlineStr">
        <is>
          <t xml:space="preserve">B1234EXOTIC26</t>
        </is>
      </c>
      <c r="G305" s="33">
        <f>IF($A305="","",IF($C305="","",YEAR($C305)))</f>
      </c>
      <c r="H305" s="34">
        <v>1969</v>
      </c>
      <c r="I305" s="30" t="inlineStr">
        <is>
          <t xml:space="preserve">Jaguar</t>
        </is>
      </c>
      <c r="J305" s="30" t="inlineStr">
        <is>
          <t xml:space="preserve">E-Type Series 1</t>
        </is>
      </c>
      <c r="K305" s="30" t="inlineStr">
        <is>
          <t xml:space="preserve">UWFBB039YJY86Z4FT</t>
        </is>
      </c>
      <c r="L305" s="32" t="inlineStr">
        <is>
          <t xml:space="preserve">07 - Post-War Classic (1946-1972)</t>
        </is>
      </c>
      <c r="M305" s="35">
        <v>485000</v>
      </c>
      <c r="N305" s="32" t="inlineStr">
        <is>
          <t xml:space="preserve">Personal</t>
        </is>
      </c>
      <c r="O305" s="30" t="inlineStr">
        <is>
          <t xml:space="preserve">Personal - regular use</t>
        </is>
      </c>
      <c r="P305" s="30" t="inlineStr">
        <is>
          <t xml:space="preserve">Under 1,000</t>
        </is>
      </c>
      <c r="Q305" s="30" t="inlineStr">
        <is>
          <t xml:space="preserve">California</t>
        </is>
      </c>
      <c r="R305" s="30" t="inlineStr">
        <is>
          <t xml:space="preserve">90012</t>
        </is>
      </c>
      <c r="S305" s="32" t="inlineStr">
        <is>
          <t xml:space="preserve">Earthquake - high (CA, Cascadia, New Madrid)</t>
        </is>
      </c>
      <c r="T305" s="36">
        <f>IF($A305="","",IF($S305="","",IFERROR(INDEX('[1]natural catastrophe'!$D$6:$D$17,MATCH($S305,'[1]natural catastrophe'!$B$6:$B$17,0)),"?")))</f>
      </c>
      <c r="U305" s="30" t="inlineStr">
        <is>
          <t xml:space="preserve">$5,000</t>
        </is>
      </c>
      <c r="V305" s="32" t="inlineStr">
        <is>
          <t xml:space="preserve">Agreed Value</t>
        </is>
      </c>
      <c r="W305" s="30" t="inlineStr">
        <is>
          <t xml:space="preserve">$1,000</t>
        </is>
      </c>
      <c r="X305" s="32" t="inlineStr">
        <is>
          <t xml:space="preserve">$1,000,000 CSL</t>
        </is>
      </c>
      <c r="Y305" s="30"/>
      <c r="Z305" s="30"/>
      <c r="AA305" s="32" t="inlineStr">
        <is>
          <t xml:space="preserve">Surplus Lines</t>
        </is>
      </c>
      <c r="AB305" s="35">
        <v>5451.87</v>
      </c>
      <c r="AC305" s="37">
        <v>0</v>
      </c>
      <c r="AD305" s="38">
        <f>IF(ISNUMBER($AB305),$AB305*(1+N($AC305)),"")</f>
      </c>
      <c r="AE305" s="35">
        <v>350</v>
      </c>
      <c r="AF305" s="35">
        <v>0</v>
      </c>
      <c r="AG305" s="37"/>
      <c r="AH305" s="39">
        <f>IF(ISNUMBER($AD305),($AD305+$AE305+$AF305)*$AG305,"")</f>
      </c>
      <c r="AI305" s="35"/>
      <c r="AJ305" s="38">
        <f>IF(ISNUMBER($AD305),SUM($AD305:$AH305),"")</f>
      </c>
      <c r="AK305" s="40">
        <f>IF(AND(ISNUMBER($AB305),ISNUMBER($AD305)),IF($AB305&gt;0,$AD305/$AB305,""),"")</f>
      </c>
      <c r="AL305" s="32" t="inlineStr">
        <is>
          <t xml:space="preserve">At technical</t>
        </is>
      </c>
      <c r="AM305" s="41">
        <f>IF(ISNUMBER($AD305),Header!$I$3,"")</f>
      </c>
      <c r="AN305" s="39">
        <f>IF(ISNUMBER($AD305),$AO305+$AP305,"")</f>
      </c>
      <c r="AO305" s="39">
        <f>IF(ISNUMBER($AD305),ROUND($AD305*Header!$K$3,2),"")</f>
      </c>
      <c r="AP305" s="39">
        <f>IF(ISNUMBER($AD305),ROUND($AD305*Header!$M$3,2),"")</f>
      </c>
      <c r="AQ305" s="38">
        <f>IF(ISNUMBER($AD305),ROUND($AD305,2)-$AO305-$AP305,"")</f>
      </c>
      <c r="AR305" s="39">
        <f>IF(ISNUMBER($AD305),IF(Header!$D$34="","?",$AD305*Header!$D$34),"")</f>
      </c>
      <c r="AS305" s="39">
        <f>IF(ISNUMBER($AB305),IF(Header!$D$34="","?",$AB305*Header!$D$34),"")</f>
      </c>
      <c r="AT305" s="42">
        <f>IF(AND(ISNUMBER($AB305),$M305&gt;0),$AB305/$M305*100,"")</f>
      </c>
      <c r="AU305" s="42">
        <f>IF(AND(ISNUMBER($AD305),$M305&gt;0),$AD305/$M305*100,"")</f>
      </c>
      <c r="AV305" s="40">
        <f>IF(AND(ISNUMBER($AB305),ISNUMBER($AD305),ABS($AB305)&gt;0),$AD305/$AB305,"")</f>
      </c>
      <c r="AW305" s="39">
        <f>IF(ISNUMBER($AD305),MAX(0,(1-0.55-Header!$O$3)*Header!$Q$3*$AQ305),"")</f>
      </c>
      <c r="AX305" s="43">
        <f>IF($A305="","",IF(TRIM(IF($A305="","Missing certificate ref. ","") &amp; IF($C305="","Missing effective date. ","") &amp; IF($D305="","Missing binding status. ","") &amp; IF($E305="","Missing movement type. ","") &amp; IF($I305="","Missing make. ","") &amp; IF($L305="","Missing vehicle class. ","") &amp; IF($M305="","Missing agreed value. ","") &amp; IF($N305="","Missing policy type. ","") &amp; IF($Q305="","Missing garaging state. ","") &amp; IF($R305="","Missing garaging ZIP. ","") &amp; IF($S305="","Missing cat zone. ","") &amp; IF($V305="","Missing valuation basis. ","") &amp; IF($W305="","Missing PD deductible. ","") &amp; IF($X305="","Missing liability limit. ","") &amp; IF($AB305="","Missing technical premium. ","") &amp; IF($AF305="","Missing surplus lines tax %. ",""))="","PASS","FAIL: "&amp;TRIM(IF($A305="","Missing certificate ref. ","") &amp; IF($C305="","Missing effective date. ","") &amp; IF($D305="","Missing binding status. ","") &amp; IF($E305="","Missing movement type. ","") &amp; IF($I305="","Missing make. ","") &amp; IF($L305="","Missing vehicle class. ","") &amp; IF($M305="","Missing agreed value. ","") &amp; IF($N305="","Missing policy type. ","") &amp; IF($Q305="","Missing garaging state. ","") &amp; IF($R305="","Missing garaging ZIP. ","") &amp; IF($S305="","Missing cat zone. ","") &amp; IF($V305="","Missing valuation basis. ","") &amp; IF($W305="","Missing PD deductible. ","") &amp; IF($X305="","Missing liability limit. ","") &amp; IF($AB305="","Missing technical premium. ","") &amp; IF($AF305="","Missing surplus lines tax %. ",""))))</f>
      </c>
      <c r="AY305" s="44">
        <f>IF($M305="","",IF(ISNUMBER($M305),IF($M305&gt;=Header!$C$18,"YES — refer","No"),""))</f>
      </c>
      <c r="AZ305" s="44">
        <f>IF($AD305="","",IF(ISNUMBER($AD305),IF($AD305&lt;Header!$C$20,"BELOW MIN PREMIUM","OK"),""))</f>
      </c>
      <c r="BA305" s="32" t="inlineStr">
        <is>
          <t xml:space="preserve">Yes</t>
        </is>
      </c>
      <c r="BB305" s="32" t="inlineStr">
        <is>
          <t xml:space="preserve">Yes</t>
        </is>
      </c>
      <c r="BC305" s="30" t="inlineStr">
        <is>
          <t xml:space="preserve">Synthetic demo data</t>
        </is>
      </c>
      <c r="BE305" s="45">
        <f>IF(OR($A305="",$L305="",$H305=""),"",IF(AND(LEFT($L305,2)="06",$H305&gt;1945),"FAIL - pre-war class, year "&amp;$H305,IF(AND(LEFT($L305,2)="07",OR($H305&lt;1946,$H305&gt;1972)),"FAIL - 1946-72 class, year "&amp;$H305,IF(AND(LEFT($L305,2)="08",OR($H305&lt;1973,$H305&gt;1999)),"FAIL - 1973-99 class, year "&amp;$H305,IF(AND(LEFT($L305,2)="09",OR($H305&lt;2000,$H305&gt;2010)),"FAIL - 2000-10 class, year "&amp;$H305,"OK")))))</f>
      </c>
      <c r="BF305" s="45">
        <f>IF($AD305="","",IF(ROUND($AO305+$AP305+$AQ305-$AD305,2)=0,"OK","FAIL - out by "&amp;TEXT($AO305+$AP305+$AQ305-$AD305,"$0.00")))</f>
      </c>
    </row>
    <row r="306" spans="1:58" ht="18.75" customHeight="1" x14ac:dyDescent="0.25">
      <c r="A306" s="46" t="inlineStr">
        <is>
          <t xml:space="preserve">CANON-202511-002586</t>
        </is>
      </c>
      <c r="B306" s="46" t="inlineStr">
        <is>
          <t xml:space="preserve">Cassius Montoya</t>
        </is>
      </c>
      <c r="C306" s="47">
        <v>45982</v>
      </c>
      <c r="D306" s="48" t="inlineStr">
        <is>
          <t xml:space="preserve">Bound - within authority</t>
        </is>
      </c>
      <c r="E306" s="48" t="inlineStr">
        <is>
          <t xml:space="preserve">New business</t>
        </is>
      </c>
      <c r="F306" s="46" t="inlineStr">
        <is>
          <t xml:space="preserve">B1234EXOTIC26</t>
        </is>
      </c>
      <c r="G306" s="33">
        <f>IF($A306="","",IF($C306="","",YEAR($C306)))</f>
      </c>
      <c r="H306" s="49">
        <v>1957</v>
      </c>
      <c r="I306" s="46" t="inlineStr">
        <is>
          <t xml:space="preserve">Lamborghini</t>
        </is>
      </c>
      <c r="J306" s="46" t="inlineStr">
        <is>
          <t xml:space="preserve">Huracan EVO</t>
        </is>
      </c>
      <c r="K306" s="46" t="inlineStr">
        <is>
          <t xml:space="preserve">JY8VDKD097VR6X5AM</t>
        </is>
      </c>
      <c r="L306" s="48" t="inlineStr">
        <is>
          <t xml:space="preserve">03 - Supercar</t>
        </is>
      </c>
      <c r="M306" s="50">
        <v>435000</v>
      </c>
      <c r="N306" s="48" t="inlineStr">
        <is>
          <t xml:space="preserve">Personal</t>
        </is>
      </c>
      <c r="O306" s="46" t="inlineStr">
        <is>
          <t xml:space="preserve">Personal - regular use</t>
        </is>
      </c>
      <c r="P306" s="46" t="inlineStr">
        <is>
          <t xml:space="preserve">1,000 - 2,500</t>
        </is>
      </c>
      <c r="Q306" s="46" t="inlineStr">
        <is>
          <t xml:space="preserve">Alaska</t>
        </is>
      </c>
      <c r="R306" s="46" t="inlineStr">
        <is>
          <t xml:space="preserve">99501</t>
        </is>
      </c>
      <c r="S306" s="48" t="inlineStr">
        <is>
          <t xml:space="preserve">Earthquake - high (CA, Cascadia, New Madrid)</t>
        </is>
      </c>
      <c r="T306" s="36">
        <f>IF($A306="","",IF($S306="","",IFERROR(INDEX('[1]natural catastrophe'!$D$6:$D$17,MATCH($S306,'[1]natural catastrophe'!$B$6:$B$17,0)),"?")))</f>
      </c>
      <c r="U306" s="46" t="inlineStr">
        <is>
          <t xml:space="preserve">$5,000</t>
        </is>
      </c>
      <c r="V306" s="48" t="inlineStr">
        <is>
          <t xml:space="preserve">Agreed Value</t>
        </is>
      </c>
      <c r="W306" s="46" t="inlineStr">
        <is>
          <t xml:space="preserve">$1,000</t>
        </is>
      </c>
      <c r="X306" s="48" t="inlineStr">
        <is>
          <t xml:space="preserve">$1,000,000 CSL</t>
        </is>
      </c>
      <c r="Y306" s="46"/>
      <c r="Z306" s="46"/>
      <c r="AA306" s="48" t="inlineStr">
        <is>
          <t xml:space="preserve">Surplus Lines</t>
        </is>
      </c>
      <c r="AB306" s="50">
        <v>9892.83</v>
      </c>
      <c r="AC306" s="51">
        <v>0</v>
      </c>
      <c r="AD306" s="38">
        <f>IF(ISNUMBER($AB306),$AB306*(1+N($AC306)),"")</f>
      </c>
      <c r="AE306" s="50">
        <v>350</v>
      </c>
      <c r="AF306" s="50">
        <v>0</v>
      </c>
      <c r="AG306" s="51"/>
      <c r="AH306" s="39">
        <f>IF(ISNUMBER($AD306),($AD306+$AE306+$AF306)*$AG306,"")</f>
      </c>
      <c r="AI306" s="50"/>
      <c r="AJ306" s="38">
        <f>IF(ISNUMBER($AD306),SUM($AD306:$AH306),"")</f>
      </c>
      <c r="AK306" s="40">
        <f>IF(AND(ISNUMBER($AB306),ISNUMBER($AD306)),IF($AB306&gt;0,$AD306/$AB306,""),"")</f>
      </c>
      <c r="AL306" s="48" t="inlineStr">
        <is>
          <t xml:space="preserve">At technical</t>
        </is>
      </c>
      <c r="AM306" s="41">
        <f>IF(ISNUMBER($AD306),Header!$I$3,"")</f>
      </c>
      <c r="AN306" s="39">
        <f>IF(ISNUMBER($AD306),$AO306+$AP306,"")</f>
      </c>
      <c r="AO306" s="39">
        <f>IF(ISNUMBER($AD306),ROUND($AD306*Header!$K$3,2),"")</f>
      </c>
      <c r="AP306" s="39">
        <f>IF(ISNUMBER($AD306),ROUND($AD306*Header!$M$3,2),"")</f>
      </c>
      <c r="AQ306" s="38">
        <f>IF(ISNUMBER($AD306),ROUND($AD306,2)-$AO306-$AP306,"")</f>
      </c>
      <c r="AR306" s="39">
        <f>IF(ISNUMBER($AD306),IF(Header!$D$34="","?",$AD306*Header!$D$34),"")</f>
      </c>
      <c r="AS306" s="39">
        <f>IF(ISNUMBER($AB306),IF(Header!$D$34="","?",$AB306*Header!$D$34),"")</f>
      </c>
      <c r="AT306" s="42">
        <f>IF(AND(ISNUMBER($AB306),$M306&gt;0),$AB306/$M306*100,"")</f>
      </c>
      <c r="AU306" s="42">
        <f>IF(AND(ISNUMBER($AD306),$M306&gt;0),$AD306/$M306*100,"")</f>
      </c>
      <c r="AV306" s="40">
        <f>IF(AND(ISNUMBER($AB306),ISNUMBER($AD306),ABS($AB306)&gt;0),$AD306/$AB306,"")</f>
      </c>
      <c r="AW306" s="39">
        <f>IF(ISNUMBER($AD306),MAX(0,(1-0.55-Header!$O$3)*Header!$Q$3*$AQ306),"")</f>
      </c>
      <c r="AX306" s="43">
        <f>IF($A306="","",IF(TRIM(IF($A306="","Missing certificate ref. ","") &amp; IF($C306="","Missing effective date. ","") &amp; IF($D306="","Missing binding status. ","") &amp; IF($E306="","Missing movement type. ","") &amp; IF($I306="","Missing make. ","") &amp; IF($L306="","Missing vehicle class. ","") &amp; IF($M306="","Missing agreed value. ","") &amp; IF($N306="","Missing policy type. ","") &amp; IF($Q306="","Missing garaging state. ","") &amp; IF($R306="","Missing garaging ZIP. ","") &amp; IF($S306="","Missing cat zone. ","") &amp; IF($V306="","Missing valuation basis. ","") &amp; IF($W306="","Missing PD deductible. ","") &amp; IF($X306="","Missing liability limit. ","") &amp; IF($AB306="","Missing technical premium. ","") &amp; IF($AF306="","Missing surplus lines tax %. ",""))="","PASS","FAIL: "&amp;TRIM(IF($A306="","Missing certificate ref. ","") &amp; IF($C306="","Missing effective date. ","") &amp; IF($D306="","Missing binding status. ","") &amp; IF($E306="","Missing movement type. ","") &amp; IF($I306="","Missing make. ","") &amp; IF($L306="","Missing vehicle class. ","") &amp; IF($M306="","Missing agreed value. ","") &amp; IF($N306="","Missing policy type. ","") &amp; IF($Q306="","Missing garaging state. ","") &amp; IF($R306="","Missing garaging ZIP. ","") &amp; IF($S306="","Missing cat zone. ","") &amp; IF($V306="","Missing valuation basis. ","") &amp; IF($W306="","Missing PD deductible. ","") &amp; IF($X306="","Missing liability limit. ","") &amp; IF($AB306="","Missing technical premium. ","") &amp; IF($AF306="","Missing surplus lines tax %. ",""))))</f>
      </c>
      <c r="AY306" s="44">
        <f>IF($M306="","",IF(ISNUMBER($M306),IF($M306&gt;=Header!$C$18,"YES — refer","No"),""))</f>
      </c>
      <c r="AZ306" s="44">
        <f>IF($AD306="","",IF(ISNUMBER($AD306),IF($AD306&lt;Header!$C$20,"BELOW MIN PREMIUM","OK"),""))</f>
      </c>
      <c r="BA306" s="48" t="inlineStr">
        <is>
          <t xml:space="preserve">Yes</t>
        </is>
      </c>
      <c r="BB306" s="48" t="inlineStr">
        <is>
          <t xml:space="preserve">Yes</t>
        </is>
      </c>
      <c r="BC306" s="46" t="inlineStr">
        <is>
          <t xml:space="preserve">Synthetic demo data</t>
        </is>
      </c>
      <c r="BE306" s="45">
        <f>IF(OR($A306="",$L306="",$H306=""),"",IF(AND(LEFT($L306,2)="06",$H306&gt;1945),"FAIL - pre-war class, year "&amp;$H306,IF(AND(LEFT($L306,2)="07",OR($H306&lt;1946,$H306&gt;1972)),"FAIL - 1946-72 class, year "&amp;$H306,IF(AND(LEFT($L306,2)="08",OR($H306&lt;1973,$H306&gt;1999)),"FAIL - 1973-99 class, year "&amp;$H306,IF(AND(LEFT($L306,2)="09",OR($H306&lt;2000,$H306&gt;2010)),"FAIL - 2000-10 class, year "&amp;$H306,"OK")))))</f>
      </c>
      <c r="BF306" s="45">
        <f>IF($AD306="","",IF(ROUND($AO306+$AP306+$AQ306-$AD306,2)=0,"OK","FAIL - out by "&amp;TEXT($AO306+$AP306+$AQ306-$AD306,"$0.00")))</f>
      </c>
    </row>
    <row r="307" spans="1:58" ht="18.75" customHeight="1" x14ac:dyDescent="0.25">
      <c r="A307" s="30" t="inlineStr">
        <is>
          <t xml:space="preserve">CANON-202511-002587</t>
        </is>
      </c>
      <c r="B307" s="30" t="inlineStr">
        <is>
          <t xml:space="preserve">Beatrix Harrington</t>
        </is>
      </c>
      <c r="C307" s="31">
        <v>45985</v>
      </c>
      <c r="D307" s="32" t="inlineStr">
        <is>
          <t xml:space="preserve">Bound - within authority</t>
        </is>
      </c>
      <c r="E307" s="32" t="inlineStr">
        <is>
          <t xml:space="preserve">New business</t>
        </is>
      </c>
      <c r="F307" s="30" t="inlineStr">
        <is>
          <t xml:space="preserve">B1234EXOTIC26</t>
        </is>
      </c>
      <c r="G307" s="33">
        <f>IF($A307="","",IF($C307="","",YEAR($C307)))</f>
      </c>
      <c r="H307" s="34">
        <v>2002</v>
      </c>
      <c r="I307" s="30" t="inlineStr">
        <is>
          <t xml:space="preserve">Aston Martin</t>
        </is>
      </c>
      <c r="J307" s="30" t="inlineStr">
        <is>
          <t xml:space="preserve">DB12</t>
        </is>
      </c>
      <c r="K307" s="30" t="inlineStr">
        <is>
          <t xml:space="preserve">4BELHSF31DYATUBJ1</t>
        </is>
      </c>
      <c r="L307" s="32" t="inlineStr">
        <is>
          <t xml:space="preserve">02 - Sports / GT</t>
        </is>
      </c>
      <c r="M307" s="35">
        <v>980000</v>
      </c>
      <c r="N307" s="32" t="inlineStr">
        <is>
          <t xml:space="preserve">Personal</t>
        </is>
      </c>
      <c r="O307" s="30" t="inlineStr">
        <is>
          <t xml:space="preserve">Personal - regular use</t>
        </is>
      </c>
      <c r="P307" s="30" t="inlineStr">
        <is>
          <t xml:space="preserve">Under 1,000</t>
        </is>
      </c>
      <c r="Q307" s="30" t="inlineStr">
        <is>
          <t xml:space="preserve">New Mexico</t>
        </is>
      </c>
      <c r="R307" s="30" t="inlineStr">
        <is>
          <t xml:space="preserve">87501</t>
        </is>
      </c>
      <c r="S307" s="32" t="inlineStr">
        <is>
          <t xml:space="preserve">Wildfire - WUI high hazard</t>
        </is>
      </c>
      <c r="T307" s="36">
        <f>IF($A307="","",IF($S307="","",IFERROR(INDEX('[1]natural catastrophe'!$D$6:$D$17,MATCH($S307,'[1]natural catastrophe'!$B$6:$B$17,0)),"?")))</f>
      </c>
      <c r="U307" s="30" t="inlineStr">
        <is>
          <t xml:space="preserve">$5,000</t>
        </is>
      </c>
      <c r="V307" s="32" t="inlineStr">
        <is>
          <t xml:space="preserve">Agreed Value</t>
        </is>
      </c>
      <c r="W307" s="30" t="inlineStr">
        <is>
          <t xml:space="preserve">$1,000</t>
        </is>
      </c>
      <c r="X307" s="32" t="inlineStr">
        <is>
          <t xml:space="preserve">$1,000,000 CSL</t>
        </is>
      </c>
      <c r="Y307" s="30"/>
      <c r="Z307" s="30"/>
      <c r="AA307" s="32" t="inlineStr">
        <is>
          <t xml:space="preserve">Surplus Lines</t>
        </is>
      </c>
      <c r="AB307" s="35">
        <v>14144.19</v>
      </c>
      <c r="AC307" s="37">
        <v>0</v>
      </c>
      <c r="AD307" s="38">
        <f>IF(ISNUMBER($AB307),$AB307*(1+N($AC307)),"")</f>
      </c>
      <c r="AE307" s="35">
        <v>350</v>
      </c>
      <c r="AF307" s="35">
        <v>0</v>
      </c>
      <c r="AG307" s="37"/>
      <c r="AH307" s="39">
        <f>IF(ISNUMBER($AD307),($AD307+$AE307+$AF307)*$AG307,"")</f>
      </c>
      <c r="AI307" s="35"/>
      <c r="AJ307" s="38">
        <f>IF(ISNUMBER($AD307),SUM($AD307:$AH307),"")</f>
      </c>
      <c r="AK307" s="40">
        <f>IF(AND(ISNUMBER($AB307),ISNUMBER($AD307)),IF($AB307&gt;0,$AD307/$AB307,""),"")</f>
      </c>
      <c r="AL307" s="32" t="inlineStr">
        <is>
          <t xml:space="preserve">At technical</t>
        </is>
      </c>
      <c r="AM307" s="41">
        <f>IF(ISNUMBER($AD307),Header!$I$3,"")</f>
      </c>
      <c r="AN307" s="39">
        <f>IF(ISNUMBER($AD307),$AO307+$AP307,"")</f>
      </c>
      <c r="AO307" s="39">
        <f>IF(ISNUMBER($AD307),ROUND($AD307*Header!$K$3,2),"")</f>
      </c>
      <c r="AP307" s="39">
        <f>IF(ISNUMBER($AD307),ROUND($AD307*Header!$M$3,2),"")</f>
      </c>
      <c r="AQ307" s="38">
        <f>IF(ISNUMBER($AD307),ROUND($AD307,2)-$AO307-$AP307,"")</f>
      </c>
      <c r="AR307" s="39">
        <f>IF(ISNUMBER($AD307),IF(Header!$D$34="","?",$AD307*Header!$D$34),"")</f>
      </c>
      <c r="AS307" s="39">
        <f>IF(ISNUMBER($AB307),IF(Header!$D$34="","?",$AB307*Header!$D$34),"")</f>
      </c>
      <c r="AT307" s="42">
        <f>IF(AND(ISNUMBER($AB307),$M307&gt;0),$AB307/$M307*100,"")</f>
      </c>
      <c r="AU307" s="42">
        <f>IF(AND(ISNUMBER($AD307),$M307&gt;0),$AD307/$M307*100,"")</f>
      </c>
      <c r="AV307" s="40">
        <f>IF(AND(ISNUMBER($AB307),ISNUMBER($AD307),ABS($AB307)&gt;0),$AD307/$AB307,"")</f>
      </c>
      <c r="AW307" s="39">
        <f>IF(ISNUMBER($AD307),MAX(0,(1-0.55-Header!$O$3)*Header!$Q$3*$AQ307),"")</f>
      </c>
      <c r="AX307" s="43">
        <f>IF($A307="","",IF(TRIM(IF($A307="","Missing certificate ref. ","") &amp; IF($C307="","Missing effective date. ","") &amp; IF($D307="","Missing binding status. ","") &amp; IF($E307="","Missing movement type. ","") &amp; IF($I307="","Missing make. ","") &amp; IF($L307="","Missing vehicle class. ","") &amp; IF($M307="","Missing agreed value. ","") &amp; IF($N307="","Missing policy type. ","") &amp; IF($Q307="","Missing garaging state. ","") &amp; IF($R307="","Missing garaging ZIP. ","") &amp; IF($S307="","Missing cat zone. ","") &amp; IF($V307="","Missing valuation basis. ","") &amp; IF($W307="","Missing PD deductible. ","") &amp; IF($X307="","Missing liability limit. ","") &amp; IF($AB307="","Missing technical premium. ","") &amp; IF($AF307="","Missing surplus lines tax %. ",""))="","PASS","FAIL: "&amp;TRIM(IF($A307="","Missing certificate ref. ","") &amp; IF($C307="","Missing effective date. ","") &amp; IF($D307="","Missing binding status. ","") &amp; IF($E307="","Missing movement type. ","") &amp; IF($I307="","Missing make. ","") &amp; IF($L307="","Missing vehicle class. ","") &amp; IF($M307="","Missing agreed value. ","") &amp; IF($N307="","Missing policy type. ","") &amp; IF($Q307="","Missing garaging state. ","") &amp; IF($R307="","Missing garaging ZIP. ","") &amp; IF($S307="","Missing cat zone. ","") &amp; IF($V307="","Missing valuation basis. ","") &amp; IF($W307="","Missing PD deductible. ","") &amp; IF($X307="","Missing liability limit. ","") &amp; IF($AB307="","Missing technical premium. ","") &amp; IF($AF307="","Missing surplus lines tax %. ",""))))</f>
      </c>
      <c r="AY307" s="44">
        <f>IF($M307="","",IF(ISNUMBER($M307),IF($M307&gt;=Header!$C$18,"YES — refer","No"),""))</f>
      </c>
      <c r="AZ307" s="44">
        <f>IF($AD307="","",IF(ISNUMBER($AD307),IF($AD307&lt;Header!$C$20,"BELOW MIN PREMIUM","OK"),""))</f>
      </c>
      <c r="BA307" s="32" t="inlineStr">
        <is>
          <t xml:space="preserve">Yes</t>
        </is>
      </c>
      <c r="BB307" s="32" t="inlineStr">
        <is>
          <t xml:space="preserve">Yes</t>
        </is>
      </c>
      <c r="BC307" s="30" t="inlineStr">
        <is>
          <t xml:space="preserve">Synthetic demo data</t>
        </is>
      </c>
      <c r="BE307" s="45">
        <f>IF(OR($A307="",$L307="",$H307=""),"",IF(AND(LEFT($L307,2)="06",$H307&gt;1945),"FAIL - pre-war class, year "&amp;$H307,IF(AND(LEFT($L307,2)="07",OR($H307&lt;1946,$H307&gt;1972)),"FAIL - 1946-72 class, year "&amp;$H307,IF(AND(LEFT($L307,2)="08",OR($H307&lt;1973,$H307&gt;1999)),"FAIL - 1973-99 class, year "&amp;$H307,IF(AND(LEFT($L307,2)="09",OR($H307&lt;2000,$H307&gt;2010)),"FAIL - 2000-10 class, year "&amp;$H307,"OK")))))</f>
      </c>
      <c r="BF307" s="45">
        <f>IF($AD307="","",IF(ROUND($AO307+$AP307+$AQ307-$AD307,2)=0,"OK","FAIL - out by "&amp;TEXT($AO307+$AP307+$AQ307-$AD307,"$0.00")))</f>
      </c>
    </row>
    <row r="308" spans="1:58" ht="18.75" customHeight="1" x14ac:dyDescent="0.25">
      <c r="A308" s="46" t="inlineStr">
        <is>
          <t xml:space="preserve">CANON-202511-002588</t>
        </is>
      </c>
      <c r="B308" s="46" t="inlineStr">
        <is>
          <t xml:space="preserve">Sunniva Merriweather</t>
        </is>
      </c>
      <c r="C308" s="47">
        <v>45973</v>
      </c>
      <c r="D308" s="48" t="inlineStr">
        <is>
          <t xml:space="preserve">Bound - within authority</t>
        </is>
      </c>
      <c r="E308" s="48" t="inlineStr">
        <is>
          <t xml:space="preserve">New business</t>
        </is>
      </c>
      <c r="F308" s="46" t="inlineStr">
        <is>
          <t xml:space="preserve">B1234EXOTIC26</t>
        </is>
      </c>
      <c r="G308" s="33">
        <f>IF($A308="","",IF($C308="","",YEAR($C308)))</f>
      </c>
      <c r="H308" s="49">
        <v>2019</v>
      </c>
      <c r="I308" s="46" t="inlineStr">
        <is>
          <t xml:space="preserve">Maserati</t>
        </is>
      </c>
      <c r="J308" s="46" t="inlineStr">
        <is>
          <t xml:space="preserve">GranTurismo</t>
        </is>
      </c>
      <c r="K308" s="46" t="inlineStr">
        <is>
          <t xml:space="preserve">S05ALFGSD786KK3RH</t>
        </is>
      </c>
      <c r="L308" s="48" t="inlineStr">
        <is>
          <t xml:space="preserve">02 - Sports / GT</t>
        </is>
      </c>
      <c r="M308" s="50">
        <v>355000</v>
      </c>
      <c r="N308" s="48" t="inlineStr">
        <is>
          <t xml:space="preserve">Personal</t>
        </is>
      </c>
      <c r="O308" s="46" t="inlineStr">
        <is>
          <t xml:space="preserve">Personal - regular use</t>
        </is>
      </c>
      <c r="P308" s="46" t="inlineStr">
        <is>
          <t xml:space="preserve">Under 1,000</t>
        </is>
      </c>
      <c r="Q308" s="46" t="inlineStr">
        <is>
          <t xml:space="preserve">Idaho</t>
        </is>
      </c>
      <c r="R308" s="46" t="inlineStr">
        <is>
          <t xml:space="preserve">83702</t>
        </is>
      </c>
      <c r="S308" s="48" t="inlineStr">
        <is>
          <t xml:space="preserve">Wildfire - WUI high hazard</t>
        </is>
      </c>
      <c r="T308" s="36">
        <f>IF($A308="","",IF($S308="","",IFERROR(INDEX('[1]natural catastrophe'!$D$6:$D$17,MATCH($S308,'[1]natural catastrophe'!$B$6:$B$17,0)),"?")))</f>
      </c>
      <c r="U308" s="46" t="inlineStr">
        <is>
          <t xml:space="preserve">$5,000</t>
        </is>
      </c>
      <c r="V308" s="48" t="inlineStr">
        <is>
          <t xml:space="preserve">Agreed Value</t>
        </is>
      </c>
      <c r="W308" s="46" t="inlineStr">
        <is>
          <t xml:space="preserve">$1,000</t>
        </is>
      </c>
      <c r="X308" s="48" t="inlineStr">
        <is>
          <t xml:space="preserve">$1,000,000 CSL</t>
        </is>
      </c>
      <c r="Y308" s="46"/>
      <c r="Z308" s="46"/>
      <c r="AA308" s="48" t="inlineStr">
        <is>
          <t xml:space="preserve">Surplus Lines</t>
        </is>
      </c>
      <c r="AB308" s="50">
        <v>4572.5</v>
      </c>
      <c r="AC308" s="51">
        <v>0</v>
      </c>
      <c r="AD308" s="38">
        <f>IF(ISNUMBER($AB308),$AB308*(1+N($AC308)),"")</f>
      </c>
      <c r="AE308" s="50">
        <v>350</v>
      </c>
      <c r="AF308" s="50">
        <v>0</v>
      </c>
      <c r="AG308" s="51"/>
      <c r="AH308" s="39">
        <f>IF(ISNUMBER($AD308),($AD308+$AE308+$AF308)*$AG308,"")</f>
      </c>
      <c r="AI308" s="50"/>
      <c r="AJ308" s="38">
        <f>IF(ISNUMBER($AD308),SUM($AD308:$AH308),"")</f>
      </c>
      <c r="AK308" s="40">
        <f>IF(AND(ISNUMBER($AB308),ISNUMBER($AD308)),IF($AB308&gt;0,$AD308/$AB308,""),"")</f>
      </c>
      <c r="AL308" s="48" t="inlineStr">
        <is>
          <t xml:space="preserve">At technical</t>
        </is>
      </c>
      <c r="AM308" s="41">
        <f>IF(ISNUMBER($AD308),Header!$I$3,"")</f>
      </c>
      <c r="AN308" s="39">
        <f>IF(ISNUMBER($AD308),$AO308+$AP308,"")</f>
      </c>
      <c r="AO308" s="39">
        <f>IF(ISNUMBER($AD308),ROUND($AD308*Header!$K$3,2),"")</f>
      </c>
      <c r="AP308" s="39">
        <f>IF(ISNUMBER($AD308),ROUND($AD308*Header!$M$3,2),"")</f>
      </c>
      <c r="AQ308" s="38">
        <f>IF(ISNUMBER($AD308),ROUND($AD308,2)-$AO308-$AP308,"")</f>
      </c>
      <c r="AR308" s="39">
        <f>IF(ISNUMBER($AD308),IF(Header!$D$34="","?",$AD308*Header!$D$34),"")</f>
      </c>
      <c r="AS308" s="39">
        <f>IF(ISNUMBER($AB308),IF(Header!$D$34="","?",$AB308*Header!$D$34),"")</f>
      </c>
      <c r="AT308" s="42">
        <f>IF(AND(ISNUMBER($AB308),$M308&gt;0),$AB308/$M308*100,"")</f>
      </c>
      <c r="AU308" s="42">
        <f>IF(AND(ISNUMBER($AD308),$M308&gt;0),$AD308/$M308*100,"")</f>
      </c>
      <c r="AV308" s="40">
        <f>IF(AND(ISNUMBER($AB308),ISNUMBER($AD308),ABS($AB308)&gt;0),$AD308/$AB308,"")</f>
      </c>
      <c r="AW308" s="39">
        <f>IF(ISNUMBER($AD308),MAX(0,(1-0.55-Header!$O$3)*Header!$Q$3*$AQ308),"")</f>
      </c>
      <c r="AX308" s="43">
        <f>IF($A308="","",IF(TRIM(IF($A308="","Missing certificate ref. ","") &amp; IF($C308="","Missing effective date. ","") &amp; IF($D308="","Missing binding status. ","") &amp; IF($E308="","Missing movement type. ","") &amp; IF($I308="","Missing make. ","") &amp; IF($L308="","Missing vehicle class. ","") &amp; IF($M308="","Missing agreed value. ","") &amp; IF($N308="","Missing policy type. ","") &amp; IF($Q308="","Missing garaging state. ","") &amp; IF($R308="","Missing garaging ZIP. ","") &amp; IF($S308="","Missing cat zone. ","") &amp; IF($V308="","Missing valuation basis. ","") &amp; IF($W308="","Missing PD deductible. ","") &amp; IF($X308="","Missing liability limit. ","") &amp; IF($AB308="","Missing technical premium. ","") &amp; IF($AF308="","Missing surplus lines tax %. ",""))="","PASS","FAIL: "&amp;TRIM(IF($A308="","Missing certificate ref. ","") &amp; IF($C308="","Missing effective date. ","") &amp; IF($D308="","Missing binding status. ","") &amp; IF($E308="","Missing movement type. ","") &amp; IF($I308="","Missing make. ","") &amp; IF($L308="","Missing vehicle class. ","") &amp; IF($M308="","Missing agreed value. ","") &amp; IF($N308="","Missing policy type. ","") &amp; IF($Q308="","Missing garaging state. ","") &amp; IF($R308="","Missing garaging ZIP. ","") &amp; IF($S308="","Missing cat zone. ","") &amp; IF($V308="","Missing valuation basis. ","") &amp; IF($W308="","Missing PD deductible. ","") &amp; IF($X308="","Missing liability limit. ","") &amp; IF($AB308="","Missing technical premium. ","") &amp; IF($AF308="","Missing surplus lines tax %. ",""))))</f>
      </c>
      <c r="AY308" s="44">
        <f>IF($M308="","",IF(ISNUMBER($M308),IF($M308&gt;=Header!$C$18,"YES — refer","No"),""))</f>
      </c>
      <c r="AZ308" s="44">
        <f>IF($AD308="","",IF(ISNUMBER($AD308),IF($AD308&lt;Header!$C$20,"BELOW MIN PREMIUM","OK"),""))</f>
      </c>
      <c r="BA308" s="48" t="inlineStr">
        <is>
          <t xml:space="preserve">Yes</t>
        </is>
      </c>
      <c r="BB308" s="48" t="inlineStr">
        <is>
          <t xml:space="preserve">Yes</t>
        </is>
      </c>
      <c r="BC308" s="46" t="inlineStr">
        <is>
          <t xml:space="preserve">Synthetic demo data</t>
        </is>
      </c>
      <c r="BE308" s="45">
        <f>IF(OR($A308="",$L308="",$H308=""),"",IF(AND(LEFT($L308,2)="06",$H308&gt;1945),"FAIL - pre-war class, year "&amp;$H308,IF(AND(LEFT($L308,2)="07",OR($H308&lt;1946,$H308&gt;1972)),"FAIL - 1946-72 class, year "&amp;$H308,IF(AND(LEFT($L308,2)="08",OR($H308&lt;1973,$H308&gt;1999)),"FAIL - 1973-99 class, year "&amp;$H308,IF(AND(LEFT($L308,2)="09",OR($H308&lt;2000,$H308&gt;2010)),"FAIL - 2000-10 class, year "&amp;$H308,"OK")))))</f>
      </c>
      <c r="BF308" s="45">
        <f>IF($AD308="","",IF(ROUND($AO308+$AP308+$AQ308-$AD308,2)=0,"OK","FAIL - out by "&amp;TEXT($AO308+$AP308+$AQ308-$AD308,"$0.00")))</f>
      </c>
    </row>
    <row r="309" spans="1:58" ht="18.75" customHeight="1" x14ac:dyDescent="0.25">
      <c r="A309" s="30" t="inlineStr">
        <is>
          <t xml:space="preserve">CANON-202511-002589</t>
        </is>
      </c>
      <c r="B309" s="30" t="inlineStr">
        <is>
          <t xml:space="preserve">Emiliano Underwood</t>
        </is>
      </c>
      <c r="C309" s="31">
        <v>45983</v>
      </c>
      <c r="D309" s="32" t="inlineStr">
        <is>
          <t xml:space="preserve">Bound - within authority</t>
        </is>
      </c>
      <c r="E309" s="32" t="inlineStr">
        <is>
          <t xml:space="preserve">New business</t>
        </is>
      </c>
      <c r="F309" s="30" t="inlineStr">
        <is>
          <t xml:space="preserve">B1234EXOTIC26</t>
        </is>
      </c>
      <c r="G309" s="33">
        <f>IF($A309="","",IF($C309="","",YEAR($C309)))</f>
      </c>
      <c r="H309" s="34">
        <v>2014</v>
      </c>
      <c r="I309" s="30" t="inlineStr">
        <is>
          <t xml:space="preserve">Aston Martin</t>
        </is>
      </c>
      <c r="J309" s="30" t="inlineStr">
        <is>
          <t xml:space="preserve">DB12</t>
        </is>
      </c>
      <c r="K309" s="30" t="inlineStr">
        <is>
          <t xml:space="preserve">RLEAYKSC5E41VN12S</t>
        </is>
      </c>
      <c r="L309" s="32" t="inlineStr">
        <is>
          <t xml:space="preserve">02 - Sports / GT</t>
        </is>
      </c>
      <c r="M309" s="35">
        <v>740000</v>
      </c>
      <c r="N309" s="32" t="inlineStr">
        <is>
          <t xml:space="preserve">Personal</t>
        </is>
      </c>
      <c r="O309" s="30" t="inlineStr">
        <is>
          <t xml:space="preserve">Personal - regular use</t>
        </is>
      </c>
      <c r="P309" s="30" t="inlineStr">
        <is>
          <t xml:space="preserve">1,000 - 2,500</t>
        </is>
      </c>
      <c r="Q309" s="30" t="inlineStr">
        <is>
          <t xml:space="preserve">Florida</t>
        </is>
      </c>
      <c r="R309" s="30" t="inlineStr">
        <is>
          <t xml:space="preserve">33139</t>
        </is>
      </c>
      <c r="S309" s="32" t="inlineStr">
        <is>
          <t xml:space="preserve">Tier 2 - Coastal wind (1-25 miles)</t>
        </is>
      </c>
      <c r="T309" s="36">
        <f>IF($A309="","",IF($S309="","",IFERROR(INDEX('[1]natural catastrophe'!$D$6:$D$17,MATCH($S309,'[1]natural catastrophe'!$B$6:$B$17,0)),"?")))</f>
      </c>
      <c r="U309" s="30" t="inlineStr">
        <is>
          <t xml:space="preserve">2% of agreed value, minimum $10,000</t>
        </is>
      </c>
      <c r="V309" s="32" t="inlineStr">
        <is>
          <t xml:space="preserve">Agreed Value</t>
        </is>
      </c>
      <c r="W309" s="30" t="inlineStr">
        <is>
          <t xml:space="preserve">$1,000</t>
        </is>
      </c>
      <c r="X309" s="32" t="inlineStr">
        <is>
          <t xml:space="preserve">$1,000,000 CSL</t>
        </is>
      </c>
      <c r="Y309" s="30"/>
      <c r="Z309" s="30"/>
      <c r="AA309" s="32" t="inlineStr">
        <is>
          <t xml:space="preserve">Surplus Lines</t>
        </is>
      </c>
      <c r="AB309" s="35">
        <v>11848.46</v>
      </c>
      <c r="AC309" s="37">
        <v>0</v>
      </c>
      <c r="AD309" s="38">
        <f>IF(ISNUMBER($AB309),$AB309*(1+N($AC309)),"")</f>
      </c>
      <c r="AE309" s="35">
        <v>350</v>
      </c>
      <c r="AF309" s="35">
        <v>0</v>
      </c>
      <c r="AG309" s="37"/>
      <c r="AH309" s="39">
        <f>IF(ISNUMBER($AD309),($AD309+$AE309+$AF309)*$AG309,"")</f>
      </c>
      <c r="AI309" s="35"/>
      <c r="AJ309" s="38">
        <f>IF(ISNUMBER($AD309),SUM($AD309:$AH309),"")</f>
      </c>
      <c r="AK309" s="40">
        <f>IF(AND(ISNUMBER($AB309),ISNUMBER($AD309)),IF($AB309&gt;0,$AD309/$AB309,""),"")</f>
      </c>
      <c r="AL309" s="32" t="inlineStr">
        <is>
          <t xml:space="preserve">At technical</t>
        </is>
      </c>
      <c r="AM309" s="41">
        <f>IF(ISNUMBER($AD309),Header!$I$3,"")</f>
      </c>
      <c r="AN309" s="39">
        <f>IF(ISNUMBER($AD309),$AO309+$AP309,"")</f>
      </c>
      <c r="AO309" s="39">
        <f>IF(ISNUMBER($AD309),ROUND($AD309*Header!$K$3,2),"")</f>
      </c>
      <c r="AP309" s="39">
        <f>IF(ISNUMBER($AD309),ROUND($AD309*Header!$M$3,2),"")</f>
      </c>
      <c r="AQ309" s="38">
        <f>IF(ISNUMBER($AD309),ROUND($AD309,2)-$AO309-$AP309,"")</f>
      </c>
      <c r="AR309" s="39">
        <f>IF(ISNUMBER($AD309),IF(Header!$D$34="","?",$AD309*Header!$D$34),"")</f>
      </c>
      <c r="AS309" s="39">
        <f>IF(ISNUMBER($AB309),IF(Header!$D$34="","?",$AB309*Header!$D$34),"")</f>
      </c>
      <c r="AT309" s="42">
        <f>IF(AND(ISNUMBER($AB309),$M309&gt;0),$AB309/$M309*100,"")</f>
      </c>
      <c r="AU309" s="42">
        <f>IF(AND(ISNUMBER($AD309),$M309&gt;0),$AD309/$M309*100,"")</f>
      </c>
      <c r="AV309" s="40">
        <f>IF(AND(ISNUMBER($AB309),ISNUMBER($AD309),ABS($AB309)&gt;0),$AD309/$AB309,"")</f>
      </c>
      <c r="AW309" s="39">
        <f>IF(ISNUMBER($AD309),MAX(0,(1-0.55-Header!$O$3)*Header!$Q$3*$AQ309),"")</f>
      </c>
      <c r="AX309" s="43">
        <f>IF($A309="","",IF(TRIM(IF($A309="","Missing certificate ref. ","") &amp; IF($C309="","Missing effective date. ","") &amp; IF($D309="","Missing binding status. ","") &amp; IF($E309="","Missing movement type. ","") &amp; IF($I309="","Missing make. ","") &amp; IF($L309="","Missing vehicle class. ","") &amp; IF($M309="","Missing agreed value. ","") &amp; IF($N309="","Missing policy type. ","") &amp; IF($Q309="","Missing garaging state. ","") &amp; IF($R309="","Missing garaging ZIP. ","") &amp; IF($S309="","Missing cat zone. ","") &amp; IF($V309="","Missing valuation basis. ","") &amp; IF($W309="","Missing PD deductible. ","") &amp; IF($X309="","Missing liability limit. ","") &amp; IF($AB309="","Missing technical premium. ","") &amp; IF($AF309="","Missing surplus lines tax %. ",""))="","PASS","FAIL: "&amp;TRIM(IF($A309="","Missing certificate ref. ","") &amp; IF($C309="","Missing effective date. ","") &amp; IF($D309="","Missing binding status. ","") &amp; IF($E309="","Missing movement type. ","") &amp; IF($I309="","Missing make. ","") &amp; IF($L309="","Missing vehicle class. ","") &amp; IF($M309="","Missing agreed value. ","") &amp; IF($N309="","Missing policy type. ","") &amp; IF($Q309="","Missing garaging state. ","") &amp; IF($R309="","Missing garaging ZIP. ","") &amp; IF($S309="","Missing cat zone. ","") &amp; IF($V309="","Missing valuation basis. ","") &amp; IF($W309="","Missing PD deductible. ","") &amp; IF($X309="","Missing liability limit. ","") &amp; IF($AB309="","Missing technical premium. ","") &amp; IF($AF309="","Missing surplus lines tax %. ",""))))</f>
      </c>
      <c r="AY309" s="44">
        <f>IF($M309="","",IF(ISNUMBER($M309),IF($M309&gt;=Header!$C$18,"YES — refer","No"),""))</f>
      </c>
      <c r="AZ309" s="44">
        <f>IF($AD309="","",IF(ISNUMBER($AD309),IF($AD309&lt;Header!$C$20,"BELOW MIN PREMIUM","OK"),""))</f>
      </c>
      <c r="BA309" s="32" t="inlineStr">
        <is>
          <t xml:space="preserve">Yes</t>
        </is>
      </c>
      <c r="BB309" s="32" t="inlineStr">
        <is>
          <t xml:space="preserve">Yes</t>
        </is>
      </c>
      <c r="BC309" s="30" t="inlineStr">
        <is>
          <t xml:space="preserve">Synthetic demo data</t>
        </is>
      </c>
      <c r="BE309" s="45">
        <f>IF(OR($A309="",$L309="",$H309=""),"",IF(AND(LEFT($L309,2)="06",$H309&gt;1945),"FAIL - pre-war class, year "&amp;$H309,IF(AND(LEFT($L309,2)="07",OR($H309&lt;1946,$H309&gt;1972)),"FAIL - 1946-72 class, year "&amp;$H309,IF(AND(LEFT($L309,2)="08",OR($H309&lt;1973,$H309&gt;1999)),"FAIL - 1973-99 class, year "&amp;$H309,IF(AND(LEFT($L309,2)="09",OR($H309&lt;2000,$H309&gt;2010)),"FAIL - 2000-10 class, year "&amp;$H309,"OK")))))</f>
      </c>
      <c r="BF309" s="45">
        <f>IF($AD309="","",IF(ROUND($AO309+$AP309+$AQ309-$AD309,2)=0,"OK","FAIL - out by "&amp;TEXT($AO309+$AP309+$AQ309-$AD309,"$0.00")))</f>
      </c>
    </row>
    <row r="310" spans="1:58" ht="18.75" customHeight="1" x14ac:dyDescent="0.25">
      <c r="A310" s="46" t="inlineStr">
        <is>
          <t xml:space="preserve">CANON-202511-002591</t>
        </is>
      </c>
      <c r="B310" s="46" t="inlineStr">
        <is>
          <t xml:space="preserve">Cassius Vandermeer</t>
        </is>
      </c>
      <c r="C310" s="47">
        <v>45981</v>
      </c>
      <c r="D310" s="48" t="inlineStr">
        <is>
          <t xml:space="preserve">Bound - within authority</t>
        </is>
      </c>
      <c r="E310" s="48" t="inlineStr">
        <is>
          <t xml:space="preserve">New business</t>
        </is>
      </c>
      <c r="F310" s="46" t="inlineStr">
        <is>
          <t xml:space="preserve">B1234EXOTIC26</t>
        </is>
      </c>
      <c r="G310" s="33">
        <f>IF($A310="","",IF($C310="","",YEAR($C310)))</f>
      </c>
      <c r="H310" s="49">
        <v>1972</v>
      </c>
      <c r="I310" s="46" t="inlineStr">
        <is>
          <t xml:space="preserve">Bentley</t>
        </is>
      </c>
      <c r="J310" s="46" t="inlineStr">
        <is>
          <t xml:space="preserve">Continental GT</t>
        </is>
      </c>
      <c r="K310" s="46" t="inlineStr">
        <is>
          <t xml:space="preserve">4EYFXLK5B4TGX1PZL</t>
        </is>
      </c>
      <c r="L310" s="48" t="inlineStr">
        <is>
          <t xml:space="preserve">02 - Sports / GT</t>
        </is>
      </c>
      <c r="M310" s="50">
        <v>310000</v>
      </c>
      <c r="N310" s="48" t="inlineStr">
        <is>
          <t xml:space="preserve">Personal</t>
        </is>
      </c>
      <c r="O310" s="46" t="inlineStr">
        <is>
          <t xml:space="preserve">Personal - regular use</t>
        </is>
      </c>
      <c r="P310" s="46" t="inlineStr">
        <is>
          <t xml:space="preserve">2,500 - 5,000</t>
        </is>
      </c>
      <c r="Q310" s="46" t="inlineStr">
        <is>
          <t xml:space="preserve">Washington</t>
        </is>
      </c>
      <c r="R310" s="46" t="inlineStr">
        <is>
          <t xml:space="preserve">98101</t>
        </is>
      </c>
      <c r="S310" s="48" t="inlineStr">
        <is>
          <t xml:space="preserve">Earthquake - high (CA, Cascadia, New Madrid)</t>
        </is>
      </c>
      <c r="T310" s="36">
        <f>IF($A310="","",IF($S310="","",IFERROR(INDEX('[1]natural catastrophe'!$D$6:$D$17,MATCH($S310,'[1]natural catastrophe'!$B$6:$B$17,0)),"?")))</f>
      </c>
      <c r="U310" s="46" t="inlineStr">
        <is>
          <t xml:space="preserve">$5,000</t>
        </is>
      </c>
      <c r="V310" s="48" t="inlineStr">
        <is>
          <t xml:space="preserve">Agreed Value</t>
        </is>
      </c>
      <c r="W310" s="46" t="inlineStr">
        <is>
          <t xml:space="preserve">$1,000</t>
        </is>
      </c>
      <c r="X310" s="48" t="inlineStr">
        <is>
          <t xml:space="preserve">$1,000,000 CSL</t>
        </is>
      </c>
      <c r="Y310" s="46"/>
      <c r="Z310" s="46"/>
      <c r="AA310" s="48" t="inlineStr">
        <is>
          <t xml:space="preserve">Surplus Lines</t>
        </is>
      </c>
      <c r="AB310" s="50">
        <v>3871.89</v>
      </c>
      <c r="AC310" s="51">
        <v>0</v>
      </c>
      <c r="AD310" s="38">
        <f>IF(ISNUMBER($AB310),$AB310*(1+N($AC310)),"")</f>
      </c>
      <c r="AE310" s="50">
        <v>350</v>
      </c>
      <c r="AF310" s="50">
        <v>0</v>
      </c>
      <c r="AG310" s="51"/>
      <c r="AH310" s="39">
        <f>IF(ISNUMBER($AD310),($AD310+$AE310+$AF310)*$AG310,"")</f>
      </c>
      <c r="AI310" s="50"/>
      <c r="AJ310" s="38">
        <f>IF(ISNUMBER($AD310),SUM($AD310:$AH310),"")</f>
      </c>
      <c r="AK310" s="40">
        <f>IF(AND(ISNUMBER($AB310),ISNUMBER($AD310)),IF($AB310&gt;0,$AD310/$AB310,""),"")</f>
      </c>
      <c r="AL310" s="48" t="inlineStr">
        <is>
          <t xml:space="preserve">At technical</t>
        </is>
      </c>
      <c r="AM310" s="41">
        <f>IF(ISNUMBER($AD310),Header!$I$3,"")</f>
      </c>
      <c r="AN310" s="39">
        <f>IF(ISNUMBER($AD310),$AO310+$AP310,"")</f>
      </c>
      <c r="AO310" s="39">
        <f>IF(ISNUMBER($AD310),ROUND($AD310*Header!$K$3,2),"")</f>
      </c>
      <c r="AP310" s="39">
        <f>IF(ISNUMBER($AD310),ROUND($AD310*Header!$M$3,2),"")</f>
      </c>
      <c r="AQ310" s="38">
        <f>IF(ISNUMBER($AD310),ROUND($AD310,2)-$AO310-$AP310,"")</f>
      </c>
      <c r="AR310" s="39">
        <f>IF(ISNUMBER($AD310),IF(Header!$D$34="","?",$AD310*Header!$D$34),"")</f>
      </c>
      <c r="AS310" s="39">
        <f>IF(ISNUMBER($AB310),IF(Header!$D$34="","?",$AB310*Header!$D$34),"")</f>
      </c>
      <c r="AT310" s="42">
        <f>IF(AND(ISNUMBER($AB310),$M310&gt;0),$AB310/$M310*100,"")</f>
      </c>
      <c r="AU310" s="42">
        <f>IF(AND(ISNUMBER($AD310),$M310&gt;0),$AD310/$M310*100,"")</f>
      </c>
      <c r="AV310" s="40">
        <f>IF(AND(ISNUMBER($AB310),ISNUMBER($AD310),ABS($AB310)&gt;0),$AD310/$AB310,"")</f>
      </c>
      <c r="AW310" s="39">
        <f>IF(ISNUMBER($AD310),MAX(0,(1-0.55-Header!$O$3)*Header!$Q$3*$AQ310),"")</f>
      </c>
      <c r="AX310" s="43">
        <f>IF($A310="","",IF(TRIM(IF($A310="","Missing certificate ref. ","") &amp; IF($C310="","Missing effective date. ","") &amp; IF($D310="","Missing binding status. ","") &amp; IF($E310="","Missing movement type. ","") &amp; IF($I310="","Missing make. ","") &amp; IF($L310="","Missing vehicle class. ","") &amp; IF($M310="","Missing agreed value. ","") &amp; IF($N310="","Missing policy type. ","") &amp; IF($Q310="","Missing garaging state. ","") &amp; IF($R310="","Missing garaging ZIP. ","") &amp; IF($S310="","Missing cat zone. ","") &amp; IF($V310="","Missing valuation basis. ","") &amp; IF($W310="","Missing PD deductible. ","") &amp; IF($X310="","Missing liability limit. ","") &amp; IF($AB310="","Missing technical premium. ","") &amp; IF($AF310="","Missing surplus lines tax %. ",""))="","PASS","FAIL: "&amp;TRIM(IF($A310="","Missing certificate ref. ","") &amp; IF($C310="","Missing effective date. ","") &amp; IF($D310="","Missing binding status. ","") &amp; IF($E310="","Missing movement type. ","") &amp; IF($I310="","Missing make. ","") &amp; IF($L310="","Missing vehicle class. ","") &amp; IF($M310="","Missing agreed value. ","") &amp; IF($N310="","Missing policy type. ","") &amp; IF($Q310="","Missing garaging state. ","") &amp; IF($R310="","Missing garaging ZIP. ","") &amp; IF($S310="","Missing cat zone. ","") &amp; IF($V310="","Missing valuation basis. ","") &amp; IF($W310="","Missing PD deductible. ","") &amp; IF($X310="","Missing liability limit. ","") &amp; IF($AB310="","Missing technical premium. ","") &amp; IF($AF310="","Missing surplus lines tax %. ",""))))</f>
      </c>
      <c r="AY310" s="44">
        <f>IF($M310="","",IF(ISNUMBER($M310),IF($M310&gt;=Header!$C$18,"YES — refer","No"),""))</f>
      </c>
      <c r="AZ310" s="44">
        <f>IF($AD310="","",IF(ISNUMBER($AD310),IF($AD310&lt;Header!$C$20,"BELOW MIN PREMIUM","OK"),""))</f>
      </c>
      <c r="BA310" s="48" t="inlineStr">
        <is>
          <t xml:space="preserve">Yes</t>
        </is>
      </c>
      <c r="BB310" s="48" t="inlineStr">
        <is>
          <t xml:space="preserve">Yes</t>
        </is>
      </c>
      <c r="BC310" s="46" t="inlineStr">
        <is>
          <t xml:space="preserve">Synthetic demo data</t>
        </is>
      </c>
      <c r="BE310" s="45">
        <f>IF(OR($A310="",$L310="",$H310=""),"",IF(AND(LEFT($L310,2)="06",$H310&gt;1945),"FAIL - pre-war class, year "&amp;$H310,IF(AND(LEFT($L310,2)="07",OR($H310&lt;1946,$H310&gt;1972)),"FAIL - 1946-72 class, year "&amp;$H310,IF(AND(LEFT($L310,2)="08",OR($H310&lt;1973,$H310&gt;1999)),"FAIL - 1973-99 class, year "&amp;$H310,IF(AND(LEFT($L310,2)="09",OR($H310&lt;2000,$H310&gt;2010)),"FAIL - 2000-10 class, year "&amp;$H310,"OK")))))</f>
      </c>
      <c r="BF310" s="45">
        <f>IF($AD310="","",IF(ROUND($AO310+$AP310+$AQ310-$AD310,2)=0,"OK","FAIL - out by "&amp;TEXT($AO310+$AP310+$AQ310-$AD310,"$0.00")))</f>
      </c>
    </row>
    <row r="311" spans="1:58" ht="18.75" customHeight="1" x14ac:dyDescent="0.25">
      <c r="A311" s="30" t="inlineStr">
        <is>
          <t xml:space="preserve">CANON-202511-002592</t>
        </is>
      </c>
      <c r="B311" s="30" t="inlineStr">
        <is>
          <t xml:space="preserve">Lorenzo Chattopadhyay</t>
        </is>
      </c>
      <c r="C311" s="31">
        <v>45973</v>
      </c>
      <c r="D311" s="32" t="inlineStr">
        <is>
          <t xml:space="preserve">Bound - within authority</t>
        </is>
      </c>
      <c r="E311" s="32" t="inlineStr">
        <is>
          <t xml:space="preserve">New business</t>
        </is>
      </c>
      <c r="F311" s="30" t="inlineStr">
        <is>
          <t xml:space="preserve">B1234EXOTIC26</t>
        </is>
      </c>
      <c r="G311" s="33">
        <f>IF($A311="","",IF($C311="","",YEAR($C311)))</f>
      </c>
      <c r="H311" s="34">
        <v>1973</v>
      </c>
      <c r="I311" s="30" t="inlineStr">
        <is>
          <t xml:space="preserve">Lamborghini</t>
        </is>
      </c>
      <c r="J311" s="30" t="inlineStr">
        <is>
          <t xml:space="preserve">Huracan EVO</t>
        </is>
      </c>
      <c r="K311" s="30" t="inlineStr">
        <is>
          <t xml:space="preserve">E306NA761BD4KKTS0</t>
        </is>
      </c>
      <c r="L311" s="32" t="inlineStr">
        <is>
          <t xml:space="preserve">03 - Supercar</t>
        </is>
      </c>
      <c r="M311" s="35">
        <v>1925000</v>
      </c>
      <c r="N311" s="32" t="inlineStr">
        <is>
          <t xml:space="preserve">Personal</t>
        </is>
      </c>
      <c r="O311" s="30" t="inlineStr">
        <is>
          <t xml:space="preserve">Personal - regular use</t>
        </is>
      </c>
      <c r="P311" s="30" t="inlineStr">
        <is>
          <t xml:space="preserve">2,500 - 5,000</t>
        </is>
      </c>
      <c r="Q311" s="30" t="inlineStr">
        <is>
          <t xml:space="preserve">Michigan</t>
        </is>
      </c>
      <c r="R311" s="30" t="inlineStr">
        <is>
          <t xml:space="preserve">48226</t>
        </is>
      </c>
      <c r="S311" s="32" t="inlineStr">
        <is>
          <t xml:space="preserve">Severe convective - hail / tornado (moderate)</t>
        </is>
      </c>
      <c r="T311" s="36">
        <f>IF($A311="","",IF($S311="","",IFERROR(INDEX('[1]natural catastrophe'!$D$6:$D$17,MATCH($S311,'[1]natural catastrophe'!$B$6:$B$17,0)),"?")))</f>
      </c>
      <c r="U311" s="30" t="inlineStr">
        <is>
          <t xml:space="preserve">$5,000</t>
        </is>
      </c>
      <c r="V311" s="32" t="inlineStr">
        <is>
          <t xml:space="preserve">Agreed Value</t>
        </is>
      </c>
      <c r="W311" s="30" t="inlineStr">
        <is>
          <t xml:space="preserve">$1,000</t>
        </is>
      </c>
      <c r="X311" s="32" t="inlineStr">
        <is>
          <t xml:space="preserve">$1,000,000 CSL</t>
        </is>
      </c>
      <c r="Y311" s="30"/>
      <c r="Z311" s="30"/>
      <c r="AA311" s="32" t="inlineStr">
        <is>
          <t xml:space="preserve">Surplus Lines</t>
        </is>
      </c>
      <c r="AB311" s="35">
        <v>41407.7</v>
      </c>
      <c r="AC311" s="37">
        <v>0</v>
      </c>
      <c r="AD311" s="38">
        <f>IF(ISNUMBER($AB311),$AB311*(1+N($AC311)),"")</f>
      </c>
      <c r="AE311" s="35">
        <v>350</v>
      </c>
      <c r="AF311" s="35">
        <v>250</v>
      </c>
      <c r="AG311" s="37"/>
      <c r="AH311" s="39">
        <f>IF(ISNUMBER($AD311),($AD311+$AE311+$AF311)*$AG311,"")</f>
      </c>
      <c r="AI311" s="35"/>
      <c r="AJ311" s="38">
        <f>IF(ISNUMBER($AD311),SUM($AD311:$AH311),"")</f>
      </c>
      <c r="AK311" s="40">
        <f>IF(AND(ISNUMBER($AB311),ISNUMBER($AD311)),IF($AB311&gt;0,$AD311/$AB311,""),"")</f>
      </c>
      <c r="AL311" s="32" t="inlineStr">
        <is>
          <t xml:space="preserve">At technical</t>
        </is>
      </c>
      <c r="AM311" s="41">
        <f>IF(ISNUMBER($AD311),Header!$I$3,"")</f>
      </c>
      <c r="AN311" s="39">
        <f>IF(ISNUMBER($AD311),$AO311+$AP311,"")</f>
      </c>
      <c r="AO311" s="39">
        <f>IF(ISNUMBER($AD311),ROUND($AD311*Header!$K$3,2),"")</f>
      </c>
      <c r="AP311" s="39">
        <f>IF(ISNUMBER($AD311),ROUND($AD311*Header!$M$3,2),"")</f>
      </c>
      <c r="AQ311" s="38">
        <f>IF(ISNUMBER($AD311),ROUND($AD311,2)-$AO311-$AP311,"")</f>
      </c>
      <c r="AR311" s="39">
        <f>IF(ISNUMBER($AD311),IF(Header!$D$34="","?",$AD311*Header!$D$34),"")</f>
      </c>
      <c r="AS311" s="39">
        <f>IF(ISNUMBER($AB311),IF(Header!$D$34="","?",$AB311*Header!$D$34),"")</f>
      </c>
      <c r="AT311" s="42">
        <f>IF(AND(ISNUMBER($AB311),$M311&gt;0),$AB311/$M311*100,"")</f>
      </c>
      <c r="AU311" s="42">
        <f>IF(AND(ISNUMBER($AD311),$M311&gt;0),$AD311/$M311*100,"")</f>
      </c>
      <c r="AV311" s="40">
        <f>IF(AND(ISNUMBER($AB311),ISNUMBER($AD311),ABS($AB311)&gt;0),$AD311/$AB311,"")</f>
      </c>
      <c r="AW311" s="39">
        <f>IF(ISNUMBER($AD311),MAX(0,(1-0.55-Header!$O$3)*Header!$Q$3*$AQ311),"")</f>
      </c>
      <c r="AX311" s="43">
        <f>IF($A311="","",IF(TRIM(IF($A311="","Missing certificate ref. ","") &amp; IF($C311="","Missing effective date. ","") &amp; IF($D311="","Missing binding status. ","") &amp; IF($E311="","Missing movement type. ","") &amp; IF($I311="","Missing make. ","") &amp; IF($L311="","Missing vehicle class. ","") &amp; IF($M311="","Missing agreed value. ","") &amp; IF($N311="","Missing policy type. ","") &amp; IF($Q311="","Missing garaging state. ","") &amp; IF($R311="","Missing garaging ZIP. ","") &amp; IF($S311="","Missing cat zone. ","") &amp; IF($V311="","Missing valuation basis. ","") &amp; IF($W311="","Missing PD deductible. ","") &amp; IF($X311="","Missing liability limit. ","") &amp; IF($AB311="","Missing technical premium. ","") &amp; IF($AF311="","Missing surplus lines tax %. ",""))="","PASS","FAIL: "&amp;TRIM(IF($A311="","Missing certificate ref. ","") &amp; IF($C311="","Missing effective date. ","") &amp; IF($D311="","Missing binding status. ","") &amp; IF($E311="","Missing movement type. ","") &amp; IF($I311="","Missing make. ","") &amp; IF($L311="","Missing vehicle class. ","") &amp; IF($M311="","Missing agreed value. ","") &amp; IF($N311="","Missing policy type. ","") &amp; IF($Q311="","Missing garaging state. ","") &amp; IF($R311="","Missing garaging ZIP. ","") &amp; IF($S311="","Missing cat zone. ","") &amp; IF($V311="","Missing valuation basis. ","") &amp; IF($W311="","Missing PD deductible. ","") &amp; IF($X311="","Missing liability limit. ","") &amp; IF($AB311="","Missing technical premium. ","") &amp; IF($AF311="","Missing surplus lines tax %. ",""))))</f>
      </c>
      <c r="AY311" s="44">
        <f>IF($M311="","",IF(ISNUMBER($M311),IF($M311&gt;=Header!$C$18,"YES — refer","No"),""))</f>
      </c>
      <c r="AZ311" s="44">
        <f>IF($AD311="","",IF(ISNUMBER($AD311),IF($AD311&lt;Header!$C$20,"BELOW MIN PREMIUM","OK"),""))</f>
      </c>
      <c r="BA311" s="32" t="inlineStr">
        <is>
          <t xml:space="preserve">Yes</t>
        </is>
      </c>
      <c r="BB311" s="32" t="inlineStr">
        <is>
          <t xml:space="preserve">Yes</t>
        </is>
      </c>
      <c r="BC311" s="30" t="inlineStr">
        <is>
          <t xml:space="preserve">Synthetic demo data</t>
        </is>
      </c>
      <c r="BE311" s="45">
        <f>IF(OR($A311="",$L311="",$H311=""),"",IF(AND(LEFT($L311,2)="06",$H311&gt;1945),"FAIL - pre-war class, year "&amp;$H311,IF(AND(LEFT($L311,2)="07",OR($H311&lt;1946,$H311&gt;1972)),"FAIL - 1946-72 class, year "&amp;$H311,IF(AND(LEFT($L311,2)="08",OR($H311&lt;1973,$H311&gt;1999)),"FAIL - 1973-99 class, year "&amp;$H311,IF(AND(LEFT($L311,2)="09",OR($H311&lt;2000,$H311&gt;2010)),"FAIL - 2000-10 class, year "&amp;$H311,"OK")))))</f>
      </c>
      <c r="BF311" s="45">
        <f>IF($AD311="","",IF(ROUND($AO311+$AP311+$AQ311-$AD311,2)=0,"OK","FAIL - out by "&amp;TEXT($AO311+$AP311+$AQ311-$AD311,"$0.00")))</f>
      </c>
    </row>
    <row r="312" spans="1:58" ht="18.75" customHeight="1" x14ac:dyDescent="0.25">
      <c r="A312" s="46" t="inlineStr">
        <is>
          <t xml:space="preserve">CANON-202511-002593</t>
        </is>
      </c>
      <c r="B312" s="46" t="inlineStr">
        <is>
          <t xml:space="preserve">Desmond Thistlewood</t>
        </is>
      </c>
      <c r="C312" s="47">
        <v>45979</v>
      </c>
      <c r="D312" s="48" t="inlineStr">
        <is>
          <t xml:space="preserve">Bound - within authority</t>
        </is>
      </c>
      <c r="E312" s="48" t="inlineStr">
        <is>
          <t xml:space="preserve">New business</t>
        </is>
      </c>
      <c r="F312" s="46" t="inlineStr">
        <is>
          <t xml:space="preserve">B1234EXOTIC26</t>
        </is>
      </c>
      <c r="G312" s="33">
        <f>IF($A312="","",IF($C312="","",YEAR($C312)))</f>
      </c>
      <c r="H312" s="49">
        <v>2006</v>
      </c>
      <c r="I312" s="46" t="inlineStr">
        <is>
          <t xml:space="preserve">Aston Martin</t>
        </is>
      </c>
      <c r="J312" s="46" t="inlineStr">
        <is>
          <t xml:space="preserve">DB12</t>
        </is>
      </c>
      <c r="K312" s="46" t="inlineStr">
        <is>
          <t xml:space="preserve">C0NC2NWR92LNELSDE</t>
        </is>
      </c>
      <c r="L312" s="48" t="inlineStr">
        <is>
          <t xml:space="preserve">02 - Sports / GT</t>
        </is>
      </c>
      <c r="M312" s="50">
        <v>840000</v>
      </c>
      <c r="N312" s="48" t="inlineStr">
        <is>
          <t xml:space="preserve">Personal</t>
        </is>
      </c>
      <c r="O312" s="46" t="inlineStr">
        <is>
          <t xml:space="preserve">Personal - regular use</t>
        </is>
      </c>
      <c r="P312" s="46" t="inlineStr">
        <is>
          <t xml:space="preserve">Under 1,000</t>
        </is>
      </c>
      <c r="Q312" s="46" t="inlineStr">
        <is>
          <t xml:space="preserve">Oklahoma</t>
        </is>
      </c>
      <c r="R312" s="46" t="inlineStr">
        <is>
          <t xml:space="preserve">73102</t>
        </is>
      </c>
      <c r="S312" s="48" t="inlineStr">
        <is>
          <t xml:space="preserve">Severe convective - hail alley (high)</t>
        </is>
      </c>
      <c r="T312" s="36">
        <f>IF($A312="","",IF($S312="","",IFERROR(INDEX('[1]natural catastrophe'!$D$6:$D$17,MATCH($S312,'[1]natural catastrophe'!$B$6:$B$17,0)),"?")))</f>
      </c>
      <c r="U312" s="46" t="inlineStr">
        <is>
          <t xml:space="preserve">$5,000</t>
        </is>
      </c>
      <c r="V312" s="48" t="inlineStr">
        <is>
          <t xml:space="preserve">Agreed Value</t>
        </is>
      </c>
      <c r="W312" s="46" t="inlineStr">
        <is>
          <t xml:space="preserve">$1,000</t>
        </is>
      </c>
      <c r="X312" s="48" t="inlineStr">
        <is>
          <t xml:space="preserve">$1,000,000 CSL</t>
        </is>
      </c>
      <c r="Y312" s="46"/>
      <c r="Z312" s="46"/>
      <c r="AA312" s="48" t="inlineStr">
        <is>
          <t xml:space="preserve">Surplus Lines</t>
        </is>
      </c>
      <c r="AB312" s="50">
        <v>11934.16</v>
      </c>
      <c r="AC312" s="51">
        <v>0</v>
      </c>
      <c r="AD312" s="38">
        <f>IF(ISNUMBER($AB312),$AB312*(1+N($AC312)),"")</f>
      </c>
      <c r="AE312" s="50">
        <v>350</v>
      </c>
      <c r="AF312" s="50">
        <v>0</v>
      </c>
      <c r="AG312" s="51"/>
      <c r="AH312" s="39">
        <f>IF(ISNUMBER($AD312),($AD312+$AE312+$AF312)*$AG312,"")</f>
      </c>
      <c r="AI312" s="50"/>
      <c r="AJ312" s="38">
        <f>IF(ISNUMBER($AD312),SUM($AD312:$AH312),"")</f>
      </c>
      <c r="AK312" s="40">
        <f>IF(AND(ISNUMBER($AB312),ISNUMBER($AD312)),IF($AB312&gt;0,$AD312/$AB312,""),"")</f>
      </c>
      <c r="AL312" s="48" t="inlineStr">
        <is>
          <t xml:space="preserve">At technical</t>
        </is>
      </c>
      <c r="AM312" s="41">
        <f>IF(ISNUMBER($AD312),Header!$I$3,"")</f>
      </c>
      <c r="AN312" s="39">
        <f>IF(ISNUMBER($AD312),$AO312+$AP312,"")</f>
      </c>
      <c r="AO312" s="39">
        <f>IF(ISNUMBER($AD312),ROUND($AD312*Header!$K$3,2),"")</f>
      </c>
      <c r="AP312" s="39">
        <f>IF(ISNUMBER($AD312),ROUND($AD312*Header!$M$3,2),"")</f>
      </c>
      <c r="AQ312" s="38">
        <f>IF(ISNUMBER($AD312),ROUND($AD312,2)-$AO312-$AP312,"")</f>
      </c>
      <c r="AR312" s="39">
        <f>IF(ISNUMBER($AD312),IF(Header!$D$34="","?",$AD312*Header!$D$34),"")</f>
      </c>
      <c r="AS312" s="39">
        <f>IF(ISNUMBER($AB312),IF(Header!$D$34="","?",$AB312*Header!$D$34),"")</f>
      </c>
      <c r="AT312" s="42">
        <f>IF(AND(ISNUMBER($AB312),$M312&gt;0),$AB312/$M312*100,"")</f>
      </c>
      <c r="AU312" s="42">
        <f>IF(AND(ISNUMBER($AD312),$M312&gt;0),$AD312/$M312*100,"")</f>
      </c>
      <c r="AV312" s="40">
        <f>IF(AND(ISNUMBER($AB312),ISNUMBER($AD312),ABS($AB312)&gt;0),$AD312/$AB312,"")</f>
      </c>
      <c r="AW312" s="39">
        <f>IF(ISNUMBER($AD312),MAX(0,(1-0.55-Header!$O$3)*Header!$Q$3*$AQ312),"")</f>
      </c>
      <c r="AX312" s="43">
        <f>IF($A312="","",IF(TRIM(IF($A312="","Missing certificate ref. ","") &amp; IF($C312="","Missing effective date. ","") &amp; IF($D312="","Missing binding status. ","") &amp; IF($E312="","Missing movement type. ","") &amp; IF($I312="","Missing make. ","") &amp; IF($L312="","Missing vehicle class. ","") &amp; IF($M312="","Missing agreed value. ","") &amp; IF($N312="","Missing policy type. ","") &amp; IF($Q312="","Missing garaging state. ","") &amp; IF($R312="","Missing garaging ZIP. ","") &amp; IF($S312="","Missing cat zone. ","") &amp; IF($V312="","Missing valuation basis. ","") &amp; IF($W312="","Missing PD deductible. ","") &amp; IF($X312="","Missing liability limit. ","") &amp; IF($AB312="","Missing technical premium. ","") &amp; IF($AF312="","Missing surplus lines tax %. ",""))="","PASS","FAIL: "&amp;TRIM(IF($A312="","Missing certificate ref. ","") &amp; IF($C312="","Missing effective date. ","") &amp; IF($D312="","Missing binding status. ","") &amp; IF($E312="","Missing movement type. ","") &amp; IF($I312="","Missing make. ","") &amp; IF($L312="","Missing vehicle class. ","") &amp; IF($M312="","Missing agreed value. ","") &amp; IF($N312="","Missing policy type. ","") &amp; IF($Q312="","Missing garaging state. ","") &amp; IF($R312="","Missing garaging ZIP. ","") &amp; IF($S312="","Missing cat zone. ","") &amp; IF($V312="","Missing valuation basis. ","") &amp; IF($W312="","Missing PD deductible. ","") &amp; IF($X312="","Missing liability limit. ","") &amp; IF($AB312="","Missing technical premium. ","") &amp; IF($AF312="","Missing surplus lines tax %. ",""))))</f>
      </c>
      <c r="AY312" s="44">
        <f>IF($M312="","",IF(ISNUMBER($M312),IF($M312&gt;=Header!$C$18,"YES — refer","No"),""))</f>
      </c>
      <c r="AZ312" s="44">
        <f>IF($AD312="","",IF(ISNUMBER($AD312),IF($AD312&lt;Header!$C$20,"BELOW MIN PREMIUM","OK"),""))</f>
      </c>
      <c r="BA312" s="48" t="inlineStr">
        <is>
          <t xml:space="preserve">Yes</t>
        </is>
      </c>
      <c r="BB312" s="48" t="inlineStr">
        <is>
          <t xml:space="preserve">Yes</t>
        </is>
      </c>
      <c r="BC312" s="46" t="inlineStr">
        <is>
          <t xml:space="preserve">Synthetic demo data</t>
        </is>
      </c>
      <c r="BE312" s="45">
        <f>IF(OR($A312="",$L312="",$H312=""),"",IF(AND(LEFT($L312,2)="06",$H312&gt;1945),"FAIL - pre-war class, year "&amp;$H312,IF(AND(LEFT($L312,2)="07",OR($H312&lt;1946,$H312&gt;1972)),"FAIL - 1946-72 class, year "&amp;$H312,IF(AND(LEFT($L312,2)="08",OR($H312&lt;1973,$H312&gt;1999)),"FAIL - 1973-99 class, year "&amp;$H312,IF(AND(LEFT($L312,2)="09",OR($H312&lt;2000,$H312&gt;2010)),"FAIL - 2000-10 class, year "&amp;$H312,"OK")))))</f>
      </c>
      <c r="BF312" s="45">
        <f>IF($AD312="","",IF(ROUND($AO312+$AP312+$AQ312-$AD312,2)=0,"OK","FAIL - out by "&amp;TEXT($AO312+$AP312+$AQ312-$AD312,"$0.00")))</f>
      </c>
    </row>
    <row r="313" spans="1:58" ht="18.75" customHeight="1" x14ac:dyDescent="0.25">
      <c r="A313" s="30" t="inlineStr">
        <is>
          <t xml:space="preserve">CANON-202511-002595</t>
        </is>
      </c>
      <c r="B313" s="30" t="inlineStr">
        <is>
          <t xml:space="preserve">Noor Bellandi</t>
        </is>
      </c>
      <c r="C313" s="31">
        <v>45986</v>
      </c>
      <c r="D313" s="32" t="inlineStr">
        <is>
          <t xml:space="preserve">Bound - within authority</t>
        </is>
      </c>
      <c r="E313" s="32" t="inlineStr">
        <is>
          <t xml:space="preserve">New business</t>
        </is>
      </c>
      <c r="F313" s="30" t="inlineStr">
        <is>
          <t xml:space="preserve">B1234EXOTIC26</t>
        </is>
      </c>
      <c r="G313" s="33">
        <f>IF($A313="","",IF($C313="","",YEAR($C313)))</f>
      </c>
      <c r="H313" s="34">
        <v>2024</v>
      </c>
      <c r="I313" s="30" t="inlineStr">
        <is>
          <t xml:space="preserve">Alfa Romeo</t>
        </is>
      </c>
      <c r="J313" s="30" t="inlineStr">
        <is>
          <t xml:space="preserve">8C 2900</t>
        </is>
      </c>
      <c r="K313" s="30" t="inlineStr">
        <is>
          <t xml:space="preserve">HWGBZWBAU43BGNZ4X</t>
        </is>
      </c>
      <c r="L313" s="32" t="inlineStr">
        <is>
          <t xml:space="preserve">02 - Sports / GT</t>
        </is>
      </c>
      <c r="M313" s="35">
        <v>1640000</v>
      </c>
      <c r="N313" s="32" t="inlineStr">
        <is>
          <t xml:space="preserve">Personal</t>
        </is>
      </c>
      <c r="O313" s="30" t="inlineStr">
        <is>
          <t xml:space="preserve">Personal - regular use</t>
        </is>
      </c>
      <c r="P313" s="30" t="inlineStr">
        <is>
          <t xml:space="preserve">Under 1,000</t>
        </is>
      </c>
      <c r="Q313" s="30" t="inlineStr">
        <is>
          <t xml:space="preserve">Oklahoma</t>
        </is>
      </c>
      <c r="R313" s="30" t="inlineStr">
        <is>
          <t xml:space="preserve">73102</t>
        </is>
      </c>
      <c r="S313" s="32" t="inlineStr">
        <is>
          <t xml:space="preserve">Severe convective - hail alley (high)</t>
        </is>
      </c>
      <c r="T313" s="36">
        <f>IF($A313="","",IF($S313="","",IFERROR(INDEX('[1]natural catastrophe'!$D$6:$D$17,MATCH($S313,'[1]natural catastrophe'!$B$6:$B$17,0)),"?")))</f>
      </c>
      <c r="U313" s="30" t="inlineStr">
        <is>
          <t xml:space="preserve">$5,000</t>
        </is>
      </c>
      <c r="V313" s="32" t="inlineStr">
        <is>
          <t xml:space="preserve">Agreed Value</t>
        </is>
      </c>
      <c r="W313" s="30" t="inlineStr">
        <is>
          <t xml:space="preserve">$1,000</t>
        </is>
      </c>
      <c r="X313" s="32" t="inlineStr">
        <is>
          <t xml:space="preserve">$1,000,000 CSL</t>
        </is>
      </c>
      <c r="Y313" s="30"/>
      <c r="Z313" s="30"/>
      <c r="AA313" s="32" t="inlineStr">
        <is>
          <t xml:space="preserve">Surplus Lines</t>
        </is>
      </c>
      <c r="AB313" s="35">
        <v>12187.7</v>
      </c>
      <c r="AC313" s="37">
        <v>0</v>
      </c>
      <c r="AD313" s="38">
        <f>IF(ISNUMBER($AB313),$AB313*(1+N($AC313)),"")</f>
      </c>
      <c r="AE313" s="35">
        <v>350</v>
      </c>
      <c r="AF313" s="35">
        <v>250</v>
      </c>
      <c r="AG313" s="37"/>
      <c r="AH313" s="39">
        <f>IF(ISNUMBER($AD313),($AD313+$AE313+$AF313)*$AG313,"")</f>
      </c>
      <c r="AI313" s="35"/>
      <c r="AJ313" s="38">
        <f>IF(ISNUMBER($AD313),SUM($AD313:$AH313),"")</f>
      </c>
      <c r="AK313" s="40">
        <f>IF(AND(ISNUMBER($AB313),ISNUMBER($AD313)),IF($AB313&gt;0,$AD313/$AB313,""),"")</f>
      </c>
      <c r="AL313" s="32" t="inlineStr">
        <is>
          <t xml:space="preserve">At technical</t>
        </is>
      </c>
      <c r="AM313" s="41">
        <f>IF(ISNUMBER($AD313),Header!$I$3,"")</f>
      </c>
      <c r="AN313" s="39">
        <f>IF(ISNUMBER($AD313),$AO313+$AP313,"")</f>
      </c>
      <c r="AO313" s="39">
        <f>IF(ISNUMBER($AD313),ROUND($AD313*Header!$K$3,2),"")</f>
      </c>
      <c r="AP313" s="39">
        <f>IF(ISNUMBER($AD313),ROUND($AD313*Header!$M$3,2),"")</f>
      </c>
      <c r="AQ313" s="38">
        <f>IF(ISNUMBER($AD313),ROUND($AD313,2)-$AO313-$AP313,"")</f>
      </c>
      <c r="AR313" s="39">
        <f>IF(ISNUMBER($AD313),IF(Header!$D$34="","?",$AD313*Header!$D$34),"")</f>
      </c>
      <c r="AS313" s="39">
        <f>IF(ISNUMBER($AB313),IF(Header!$D$34="","?",$AB313*Header!$D$34),"")</f>
      </c>
      <c r="AT313" s="42">
        <f>IF(AND(ISNUMBER($AB313),$M313&gt;0),$AB313/$M313*100,"")</f>
      </c>
      <c r="AU313" s="42">
        <f>IF(AND(ISNUMBER($AD313),$M313&gt;0),$AD313/$M313*100,"")</f>
      </c>
      <c r="AV313" s="40">
        <f>IF(AND(ISNUMBER($AB313),ISNUMBER($AD313),ABS($AB313)&gt;0),$AD313/$AB313,"")</f>
      </c>
      <c r="AW313" s="39">
        <f>IF(ISNUMBER($AD313),MAX(0,(1-0.55-Header!$O$3)*Header!$Q$3*$AQ313),"")</f>
      </c>
      <c r="AX313" s="43">
        <f>IF($A313="","",IF(TRIM(IF($A313="","Missing certificate ref. ","") &amp; IF($C313="","Missing effective date. ","") &amp; IF($D313="","Missing binding status. ","") &amp; IF($E313="","Missing movement type. ","") &amp; IF($I313="","Missing make. ","") &amp; IF($L313="","Missing vehicle class. ","") &amp; IF($M313="","Missing agreed value. ","") &amp; IF($N313="","Missing policy type. ","") &amp; IF($Q313="","Missing garaging state. ","") &amp; IF($R313="","Missing garaging ZIP. ","") &amp; IF($S313="","Missing cat zone. ","") &amp; IF($V313="","Missing valuation basis. ","") &amp; IF($W313="","Missing PD deductible. ","") &amp; IF($X313="","Missing liability limit. ","") &amp; IF($AB313="","Missing technical premium. ","") &amp; IF($AF313="","Missing surplus lines tax %. ",""))="","PASS","FAIL: "&amp;TRIM(IF($A313="","Missing certificate ref. ","") &amp; IF($C313="","Missing effective date. ","") &amp; IF($D313="","Missing binding status. ","") &amp; IF($E313="","Missing movement type. ","") &amp; IF($I313="","Missing make. ","") &amp; IF($L313="","Missing vehicle class. ","") &amp; IF($M313="","Missing agreed value. ","") &amp; IF($N313="","Missing policy type. ","") &amp; IF($Q313="","Missing garaging state. ","") &amp; IF($R313="","Missing garaging ZIP. ","") &amp; IF($S313="","Missing cat zone. ","") &amp; IF($V313="","Missing valuation basis. ","") &amp; IF($W313="","Missing PD deductible. ","") &amp; IF($X313="","Missing liability limit. ","") &amp; IF($AB313="","Missing technical premium. ","") &amp; IF($AF313="","Missing surplus lines tax %. ",""))))</f>
      </c>
      <c r="AY313" s="44">
        <f>IF($M313="","",IF(ISNUMBER($M313),IF($M313&gt;=Header!$C$18,"YES — refer","No"),""))</f>
      </c>
      <c r="AZ313" s="44">
        <f>IF($AD313="","",IF(ISNUMBER($AD313),IF($AD313&lt;Header!$C$20,"BELOW MIN PREMIUM","OK"),""))</f>
      </c>
      <c r="BA313" s="32" t="inlineStr">
        <is>
          <t xml:space="preserve">Yes</t>
        </is>
      </c>
      <c r="BB313" s="32" t="inlineStr">
        <is>
          <t xml:space="preserve">Yes</t>
        </is>
      </c>
      <c r="BC313" s="30" t="inlineStr">
        <is>
          <t xml:space="preserve">Synthetic demo data</t>
        </is>
      </c>
      <c r="BE313" s="45">
        <f>IF(OR($A313="",$L313="",$H313=""),"",IF(AND(LEFT($L313,2)="06",$H313&gt;1945),"FAIL - pre-war class, year "&amp;$H313,IF(AND(LEFT($L313,2)="07",OR($H313&lt;1946,$H313&gt;1972)),"FAIL - 1946-72 class, year "&amp;$H313,IF(AND(LEFT($L313,2)="08",OR($H313&lt;1973,$H313&gt;1999)),"FAIL - 1973-99 class, year "&amp;$H313,IF(AND(LEFT($L313,2)="09",OR($H313&lt;2000,$H313&gt;2010)),"FAIL - 2000-10 class, year "&amp;$H313,"OK")))))</f>
      </c>
      <c r="BF313" s="45">
        <f>IF($AD313="","",IF(ROUND($AO313+$AP313+$AQ313-$AD313,2)=0,"OK","FAIL - out by "&amp;TEXT($AO313+$AP313+$AQ313-$AD313,"$0.00")))</f>
      </c>
    </row>
    <row r="314" spans="1:58" ht="18.75" customHeight="1" x14ac:dyDescent="0.25">
      <c r="A314" s="46" t="inlineStr">
        <is>
          <t xml:space="preserve">CANON-202511-002596</t>
        </is>
      </c>
      <c r="B314" s="46" t="inlineStr">
        <is>
          <t xml:space="preserve">Sunniva Whitlock</t>
        </is>
      </c>
      <c r="C314" s="47">
        <v>45970</v>
      </c>
      <c r="D314" s="48" t="inlineStr">
        <is>
          <t xml:space="preserve">Bound - within authority</t>
        </is>
      </c>
      <c r="E314" s="48" t="inlineStr">
        <is>
          <t xml:space="preserve">New business</t>
        </is>
      </c>
      <c r="F314" s="46" t="inlineStr">
        <is>
          <t xml:space="preserve">B1234EXOTIC26</t>
        </is>
      </c>
      <c r="G314" s="33">
        <f>IF($A314="","",IF($C314="","",YEAR($C314)))</f>
      </c>
      <c r="H314" s="49">
        <v>2019</v>
      </c>
      <c r="I314" s="46" t="inlineStr">
        <is>
          <t xml:space="preserve">Ferrari</t>
        </is>
      </c>
      <c r="J314" s="46" t="inlineStr">
        <is>
          <t xml:space="preserve">SF90 Stradale</t>
        </is>
      </c>
      <c r="K314" s="46" t="inlineStr">
        <is>
          <t xml:space="preserve">NV3NNM1HFP2RZX4V3</t>
        </is>
      </c>
      <c r="L314" s="48" t="inlineStr">
        <is>
          <t xml:space="preserve">03 - Supercar</t>
        </is>
      </c>
      <c r="M314" s="50">
        <v>870000</v>
      </c>
      <c r="N314" s="48" t="inlineStr">
        <is>
          <t xml:space="preserve">Personal</t>
        </is>
      </c>
      <c r="O314" s="46" t="inlineStr">
        <is>
          <t xml:space="preserve">Personal - regular use</t>
        </is>
      </c>
      <c r="P314" s="46" t="inlineStr">
        <is>
          <t xml:space="preserve">2,500 - 5,000</t>
        </is>
      </c>
      <c r="Q314" s="46" t="inlineStr">
        <is>
          <t xml:space="preserve">Kentucky</t>
        </is>
      </c>
      <c r="R314" s="46" t="inlineStr">
        <is>
          <t xml:space="preserve">40202</t>
        </is>
      </c>
      <c r="S314" s="48" t="inlineStr">
        <is>
          <t xml:space="preserve">Severe convective - hail / tornado (moderate)</t>
        </is>
      </c>
      <c r="T314" s="36">
        <f>IF($A314="","",IF($S314="","",IFERROR(INDEX('[1]natural catastrophe'!$D$6:$D$17,MATCH($S314,'[1]natural catastrophe'!$B$6:$B$17,0)),"?")))</f>
      </c>
      <c r="U314" s="46" t="inlineStr">
        <is>
          <t xml:space="preserve">$5,000</t>
        </is>
      </c>
      <c r="V314" s="48" t="inlineStr">
        <is>
          <t xml:space="preserve">Agreed Value</t>
        </is>
      </c>
      <c r="W314" s="46" t="inlineStr">
        <is>
          <t xml:space="preserve">$1,000</t>
        </is>
      </c>
      <c r="X314" s="48" t="inlineStr">
        <is>
          <t xml:space="preserve">$1,000,000 CSL</t>
        </is>
      </c>
      <c r="Y314" s="46"/>
      <c r="Z314" s="46"/>
      <c r="AA314" s="48" t="inlineStr">
        <is>
          <t xml:space="preserve">Surplus Lines</t>
        </is>
      </c>
      <c r="AB314" s="50">
        <v>19212.17</v>
      </c>
      <c r="AC314" s="51">
        <v>0</v>
      </c>
      <c r="AD314" s="38">
        <f>IF(ISNUMBER($AB314),$AB314*(1+N($AC314)),"")</f>
      </c>
      <c r="AE314" s="50">
        <v>350</v>
      </c>
      <c r="AF314" s="50">
        <v>0</v>
      </c>
      <c r="AG314" s="51"/>
      <c r="AH314" s="39">
        <f>IF(ISNUMBER($AD314),($AD314+$AE314+$AF314)*$AG314,"")</f>
      </c>
      <c r="AI314" s="50"/>
      <c r="AJ314" s="38">
        <f>IF(ISNUMBER($AD314),SUM($AD314:$AH314),"")</f>
      </c>
      <c r="AK314" s="40">
        <f>IF(AND(ISNUMBER($AB314),ISNUMBER($AD314)),IF($AB314&gt;0,$AD314/$AB314,""),"")</f>
      </c>
      <c r="AL314" s="48" t="inlineStr">
        <is>
          <t xml:space="preserve">At technical</t>
        </is>
      </c>
      <c r="AM314" s="41">
        <f>IF(ISNUMBER($AD314),Header!$I$3,"")</f>
      </c>
      <c r="AN314" s="39">
        <f>IF(ISNUMBER($AD314),$AO314+$AP314,"")</f>
      </c>
      <c r="AO314" s="39">
        <f>IF(ISNUMBER($AD314),ROUND($AD314*Header!$K$3,2),"")</f>
      </c>
      <c r="AP314" s="39">
        <f>IF(ISNUMBER($AD314),ROUND($AD314*Header!$M$3,2),"")</f>
      </c>
      <c r="AQ314" s="38">
        <f>IF(ISNUMBER($AD314),ROUND($AD314,2)-$AO314-$AP314,"")</f>
      </c>
      <c r="AR314" s="39">
        <f>IF(ISNUMBER($AD314),IF(Header!$D$34="","?",$AD314*Header!$D$34),"")</f>
      </c>
      <c r="AS314" s="39">
        <f>IF(ISNUMBER($AB314),IF(Header!$D$34="","?",$AB314*Header!$D$34),"")</f>
      </c>
      <c r="AT314" s="42">
        <f>IF(AND(ISNUMBER($AB314),$M314&gt;0),$AB314/$M314*100,"")</f>
      </c>
      <c r="AU314" s="42">
        <f>IF(AND(ISNUMBER($AD314),$M314&gt;0),$AD314/$M314*100,"")</f>
      </c>
      <c r="AV314" s="40">
        <f>IF(AND(ISNUMBER($AB314),ISNUMBER($AD314),ABS($AB314)&gt;0),$AD314/$AB314,"")</f>
      </c>
      <c r="AW314" s="39">
        <f>IF(ISNUMBER($AD314),MAX(0,(1-0.55-Header!$O$3)*Header!$Q$3*$AQ314),"")</f>
      </c>
      <c r="AX314" s="43">
        <f>IF($A314="","",IF(TRIM(IF($A314="","Missing certificate ref. ","") &amp; IF($C314="","Missing effective date. ","") &amp; IF($D314="","Missing binding status. ","") &amp; IF($E314="","Missing movement type. ","") &amp; IF($I314="","Missing make. ","") &amp; IF($L314="","Missing vehicle class. ","") &amp; IF($M314="","Missing agreed value. ","") &amp; IF($N314="","Missing policy type. ","") &amp; IF($Q314="","Missing garaging state. ","") &amp; IF($R314="","Missing garaging ZIP. ","") &amp; IF($S314="","Missing cat zone. ","") &amp; IF($V314="","Missing valuation basis. ","") &amp; IF($W314="","Missing PD deductible. ","") &amp; IF($X314="","Missing liability limit. ","") &amp; IF($AB314="","Missing technical premium. ","") &amp; IF($AF314="","Missing surplus lines tax %. ",""))="","PASS","FAIL: "&amp;TRIM(IF($A314="","Missing certificate ref. ","") &amp; IF($C314="","Missing effective date. ","") &amp; IF($D314="","Missing binding status. ","") &amp; IF($E314="","Missing movement type. ","") &amp; IF($I314="","Missing make. ","") &amp; IF($L314="","Missing vehicle class. ","") &amp; IF($M314="","Missing agreed value. ","") &amp; IF($N314="","Missing policy type. ","") &amp; IF($Q314="","Missing garaging state. ","") &amp; IF($R314="","Missing garaging ZIP. ","") &amp; IF($S314="","Missing cat zone. ","") &amp; IF($V314="","Missing valuation basis. ","") &amp; IF($W314="","Missing PD deductible. ","") &amp; IF($X314="","Missing liability limit. ","") &amp; IF($AB314="","Missing technical premium. ","") &amp; IF($AF314="","Missing surplus lines tax %. ",""))))</f>
      </c>
      <c r="AY314" s="44">
        <f>IF($M314="","",IF(ISNUMBER($M314),IF($M314&gt;=Header!$C$18,"YES — refer","No"),""))</f>
      </c>
      <c r="AZ314" s="44">
        <f>IF($AD314="","",IF(ISNUMBER($AD314),IF($AD314&lt;Header!$C$20,"BELOW MIN PREMIUM","OK"),""))</f>
      </c>
      <c r="BA314" s="48" t="inlineStr">
        <is>
          <t xml:space="preserve">Yes</t>
        </is>
      </c>
      <c r="BB314" s="48" t="inlineStr">
        <is>
          <t xml:space="preserve">Yes</t>
        </is>
      </c>
      <c r="BC314" s="46" t="inlineStr">
        <is>
          <t xml:space="preserve">Synthetic demo data</t>
        </is>
      </c>
      <c r="BE314" s="45">
        <f>IF(OR($A314="",$L314="",$H314=""),"",IF(AND(LEFT($L314,2)="06",$H314&gt;1945),"FAIL - pre-war class, year "&amp;$H314,IF(AND(LEFT($L314,2)="07",OR($H314&lt;1946,$H314&gt;1972)),"FAIL - 1946-72 class, year "&amp;$H314,IF(AND(LEFT($L314,2)="08",OR($H314&lt;1973,$H314&gt;1999)),"FAIL - 1973-99 class, year "&amp;$H314,IF(AND(LEFT($L314,2)="09",OR($H314&lt;2000,$H314&gt;2010)),"FAIL - 2000-10 class, year "&amp;$H314,"OK")))))</f>
      </c>
      <c r="BF314" s="45">
        <f>IF($AD314="","",IF(ROUND($AO314+$AP314+$AQ314-$AD314,2)=0,"OK","FAIL - out by "&amp;TEXT($AO314+$AP314+$AQ314-$AD314,"$0.00")))</f>
      </c>
    </row>
    <row r="315" spans="1:58" ht="18.75" customHeight="1" x14ac:dyDescent="0.25">
      <c r="A315" s="30" t="inlineStr">
        <is>
          <t xml:space="preserve">CANON-202511-002597</t>
        </is>
      </c>
      <c r="B315" s="30" t="inlineStr">
        <is>
          <t xml:space="preserve">Delphine Vasquez</t>
        </is>
      </c>
      <c r="C315" s="31">
        <v>45974</v>
      </c>
      <c r="D315" s="32" t="inlineStr">
        <is>
          <t xml:space="preserve">Bound - within authority</t>
        </is>
      </c>
      <c r="E315" s="32" t="inlineStr">
        <is>
          <t xml:space="preserve">New business</t>
        </is>
      </c>
      <c r="F315" s="30" t="inlineStr">
        <is>
          <t xml:space="preserve">B1234EXOTIC26</t>
        </is>
      </c>
      <c r="G315" s="33">
        <f>IF($A315="","",IF($C315="","",YEAR($C315)))</f>
      </c>
      <c r="H315" s="34">
        <v>1989</v>
      </c>
      <c r="I315" s="30" t="inlineStr">
        <is>
          <t xml:space="preserve">Aston Martin</t>
        </is>
      </c>
      <c r="J315" s="30" t="inlineStr">
        <is>
          <t xml:space="preserve">DB12</t>
        </is>
      </c>
      <c r="K315" s="30" t="inlineStr">
        <is>
          <t xml:space="preserve">9WDX1TG1PHN7X8R79</t>
        </is>
      </c>
      <c r="L315" s="32" t="inlineStr">
        <is>
          <t xml:space="preserve">02 - Sports / GT</t>
        </is>
      </c>
      <c r="M315" s="35">
        <v>810000</v>
      </c>
      <c r="N315" s="32" t="inlineStr">
        <is>
          <t xml:space="preserve">Personal</t>
        </is>
      </c>
      <c r="O315" s="30" t="inlineStr">
        <is>
          <t xml:space="preserve">Personal - regular use</t>
        </is>
      </c>
      <c r="P315" s="30" t="inlineStr">
        <is>
          <t xml:space="preserve">1,000 - 2,500</t>
        </is>
      </c>
      <c r="Q315" s="30" t="inlineStr">
        <is>
          <t xml:space="preserve">Georgia</t>
        </is>
      </c>
      <c r="R315" s="30" t="inlineStr">
        <is>
          <t xml:space="preserve">30303</t>
        </is>
      </c>
      <c r="S315" s="32" t="inlineStr">
        <is>
          <t xml:space="preserve">Tier 2 - Coastal wind (1-25 miles)</t>
        </is>
      </c>
      <c r="T315" s="36">
        <f>IF($A315="","",IF($S315="","",IFERROR(INDEX('[1]natural catastrophe'!$D$6:$D$17,MATCH($S315,'[1]natural catastrophe'!$B$6:$B$17,0)),"?")))</f>
      </c>
      <c r="U315" s="30" t="inlineStr">
        <is>
          <t xml:space="preserve">2% of agreed value, minimum $10,000</t>
        </is>
      </c>
      <c r="V315" s="32" t="inlineStr">
        <is>
          <t xml:space="preserve">Agreed Value</t>
        </is>
      </c>
      <c r="W315" s="30" t="inlineStr">
        <is>
          <t xml:space="preserve">$1,000</t>
        </is>
      </c>
      <c r="X315" s="32" t="inlineStr">
        <is>
          <t xml:space="preserve">$1,000,000 CSL</t>
        </is>
      </c>
      <c r="Y315" s="30"/>
      <c r="Z315" s="30"/>
      <c r="AA315" s="32" t="inlineStr">
        <is>
          <t xml:space="preserve">Surplus Lines</t>
        </is>
      </c>
      <c r="AB315" s="35">
        <v>10229.28</v>
      </c>
      <c r="AC315" s="37">
        <v>0</v>
      </c>
      <c r="AD315" s="38">
        <f>IF(ISNUMBER($AB315),$AB315*(1+N($AC315)),"")</f>
      </c>
      <c r="AE315" s="35">
        <v>350</v>
      </c>
      <c r="AF315" s="35">
        <v>0</v>
      </c>
      <c r="AG315" s="37"/>
      <c r="AH315" s="39">
        <f>IF(ISNUMBER($AD315),($AD315+$AE315+$AF315)*$AG315,"")</f>
      </c>
      <c r="AI315" s="35"/>
      <c r="AJ315" s="38">
        <f>IF(ISNUMBER($AD315),SUM($AD315:$AH315),"")</f>
      </c>
      <c r="AK315" s="40">
        <f>IF(AND(ISNUMBER($AB315),ISNUMBER($AD315)),IF($AB315&gt;0,$AD315/$AB315,""),"")</f>
      </c>
      <c r="AL315" s="32" t="inlineStr">
        <is>
          <t xml:space="preserve">At technical</t>
        </is>
      </c>
      <c r="AM315" s="41">
        <f>IF(ISNUMBER($AD315),Header!$I$3,"")</f>
      </c>
      <c r="AN315" s="39">
        <f>IF(ISNUMBER($AD315),$AO315+$AP315,"")</f>
      </c>
      <c r="AO315" s="39">
        <f>IF(ISNUMBER($AD315),ROUND($AD315*Header!$K$3,2),"")</f>
      </c>
      <c r="AP315" s="39">
        <f>IF(ISNUMBER($AD315),ROUND($AD315*Header!$M$3,2),"")</f>
      </c>
      <c r="AQ315" s="38">
        <f>IF(ISNUMBER($AD315),ROUND($AD315,2)-$AO315-$AP315,"")</f>
      </c>
      <c r="AR315" s="39">
        <f>IF(ISNUMBER($AD315),IF(Header!$D$34="","?",$AD315*Header!$D$34),"")</f>
      </c>
      <c r="AS315" s="39">
        <f>IF(ISNUMBER($AB315),IF(Header!$D$34="","?",$AB315*Header!$D$34),"")</f>
      </c>
      <c r="AT315" s="42">
        <f>IF(AND(ISNUMBER($AB315),$M315&gt;0),$AB315/$M315*100,"")</f>
      </c>
      <c r="AU315" s="42">
        <f>IF(AND(ISNUMBER($AD315),$M315&gt;0),$AD315/$M315*100,"")</f>
      </c>
      <c r="AV315" s="40">
        <f>IF(AND(ISNUMBER($AB315),ISNUMBER($AD315),ABS($AB315)&gt;0),$AD315/$AB315,"")</f>
      </c>
      <c r="AW315" s="39">
        <f>IF(ISNUMBER($AD315),MAX(0,(1-0.55-Header!$O$3)*Header!$Q$3*$AQ315),"")</f>
      </c>
      <c r="AX315" s="43">
        <f>IF($A315="","",IF(TRIM(IF($A315="","Missing certificate ref. ","") &amp; IF($C315="","Missing effective date. ","") &amp; IF($D315="","Missing binding status. ","") &amp; IF($E315="","Missing movement type. ","") &amp; IF($I315="","Missing make. ","") &amp; IF($L315="","Missing vehicle class. ","") &amp; IF($M315="","Missing agreed value. ","") &amp; IF($N315="","Missing policy type. ","") &amp; IF($Q315="","Missing garaging state. ","") &amp; IF($R315="","Missing garaging ZIP. ","") &amp; IF($S315="","Missing cat zone. ","") &amp; IF($V315="","Missing valuation basis. ","") &amp; IF($W315="","Missing PD deductible. ","") &amp; IF($X315="","Missing liability limit. ","") &amp; IF($AB315="","Missing technical premium. ","") &amp; IF($AF315="","Missing surplus lines tax %. ",""))="","PASS","FAIL: "&amp;TRIM(IF($A315="","Missing certificate ref. ","") &amp; IF($C315="","Missing effective date. ","") &amp; IF($D315="","Missing binding status. ","") &amp; IF($E315="","Missing movement type. ","") &amp; IF($I315="","Missing make. ","") &amp; IF($L315="","Missing vehicle class. ","") &amp; IF($M315="","Missing agreed value. ","") &amp; IF($N315="","Missing policy type. ","") &amp; IF($Q315="","Missing garaging state. ","") &amp; IF($R315="","Missing garaging ZIP. ","") &amp; IF($S315="","Missing cat zone. ","") &amp; IF($V315="","Missing valuation basis. ","") &amp; IF($W315="","Missing PD deductible. ","") &amp; IF($X315="","Missing liability limit. ","") &amp; IF($AB315="","Missing technical premium. ","") &amp; IF($AF315="","Missing surplus lines tax %. ",""))))</f>
      </c>
      <c r="AY315" s="44">
        <f>IF($M315="","",IF(ISNUMBER($M315),IF($M315&gt;=Header!$C$18,"YES — refer","No"),""))</f>
      </c>
      <c r="AZ315" s="44">
        <f>IF($AD315="","",IF(ISNUMBER($AD315),IF($AD315&lt;Header!$C$20,"BELOW MIN PREMIUM","OK"),""))</f>
      </c>
      <c r="BA315" s="32" t="inlineStr">
        <is>
          <t xml:space="preserve">Yes</t>
        </is>
      </c>
      <c r="BB315" s="32" t="inlineStr">
        <is>
          <t xml:space="preserve">Yes</t>
        </is>
      </c>
      <c r="BC315" s="30" t="inlineStr">
        <is>
          <t xml:space="preserve">Synthetic demo data</t>
        </is>
      </c>
      <c r="BE315" s="45">
        <f>IF(OR($A315="",$L315="",$H315=""),"",IF(AND(LEFT($L315,2)="06",$H315&gt;1945),"FAIL - pre-war class, year "&amp;$H315,IF(AND(LEFT($L315,2)="07",OR($H315&lt;1946,$H315&gt;1972)),"FAIL - 1946-72 class, year "&amp;$H315,IF(AND(LEFT($L315,2)="08",OR($H315&lt;1973,$H315&gt;1999)),"FAIL - 1973-99 class, year "&amp;$H315,IF(AND(LEFT($L315,2)="09",OR($H315&lt;2000,$H315&gt;2010)),"FAIL - 2000-10 class, year "&amp;$H315,"OK")))))</f>
      </c>
      <c r="BF315" s="45">
        <f>IF($AD315="","",IF(ROUND($AO315+$AP315+$AQ315-$AD315,2)=0,"OK","FAIL - out by "&amp;TEXT($AO315+$AP315+$AQ315-$AD315,"$0.00")))</f>
      </c>
    </row>
    <row r="316" spans="1:58" ht="18.75" customHeight="1" x14ac:dyDescent="0.25">
      <c r="A316" s="46" t="inlineStr">
        <is>
          <t xml:space="preserve">CANON-202511-002598</t>
        </is>
      </c>
      <c r="B316" s="46" t="inlineStr">
        <is>
          <t xml:space="preserve">Desmond Harrington</t>
        </is>
      </c>
      <c r="C316" s="47">
        <v>45963</v>
      </c>
      <c r="D316" s="48" t="inlineStr">
        <is>
          <t xml:space="preserve">Bound - within authority</t>
        </is>
      </c>
      <c r="E316" s="48" t="inlineStr">
        <is>
          <t xml:space="preserve">New business</t>
        </is>
      </c>
      <c r="F316" s="46" t="inlineStr">
        <is>
          <t xml:space="preserve">B1234EXOTIC26</t>
        </is>
      </c>
      <c r="G316" s="33">
        <f>IF($A316="","",IF($C316="","",YEAR($C316)))</f>
      </c>
      <c r="H316" s="49">
        <v>1958</v>
      </c>
      <c r="I316" s="46" t="inlineStr">
        <is>
          <t xml:space="preserve">Aston Martin</t>
        </is>
      </c>
      <c r="J316" s="46" t="inlineStr">
        <is>
          <t xml:space="preserve">DB12</t>
        </is>
      </c>
      <c r="K316" s="46" t="inlineStr">
        <is>
          <t xml:space="preserve">28WX7114GYEZF1N28</t>
        </is>
      </c>
      <c r="L316" s="48" t="inlineStr">
        <is>
          <t xml:space="preserve">02 - Sports / GT</t>
        </is>
      </c>
      <c r="M316" s="50">
        <v>1095000</v>
      </c>
      <c r="N316" s="48" t="inlineStr">
        <is>
          <t xml:space="preserve">Personal</t>
        </is>
      </c>
      <c r="O316" s="46" t="inlineStr">
        <is>
          <t xml:space="preserve">Personal - regular use</t>
        </is>
      </c>
      <c r="P316" s="46" t="inlineStr">
        <is>
          <t xml:space="preserve">1,000 - 2,500</t>
        </is>
      </c>
      <c r="Q316" s="46" t="inlineStr">
        <is>
          <t xml:space="preserve">Vermont</t>
        </is>
      </c>
      <c r="R316" s="46" t="inlineStr">
        <is>
          <t xml:space="preserve">05601</t>
        </is>
      </c>
      <c r="S316" s="48" t="inlineStr">
        <is>
          <t xml:space="preserve">Low hazard - inland benign</t>
        </is>
      </c>
      <c r="T316" s="36">
        <f>IF($A316="","",IF($S316="","",IFERROR(INDEX('[1]natural catastrophe'!$D$6:$D$17,MATCH($S316,'[1]natural catastrophe'!$B$6:$B$17,0)),"?")))</f>
      </c>
      <c r="U316" s="46" t="inlineStr">
        <is>
          <t xml:space="preserve">$5,000</t>
        </is>
      </c>
      <c r="V316" s="48" t="inlineStr">
        <is>
          <t xml:space="preserve">Agreed Value</t>
        </is>
      </c>
      <c r="W316" s="46" t="inlineStr">
        <is>
          <t xml:space="preserve">$1,000</t>
        </is>
      </c>
      <c r="X316" s="48" t="inlineStr">
        <is>
          <t xml:space="preserve">$1,000,000 CSL</t>
        </is>
      </c>
      <c r="Y316" s="46"/>
      <c r="Z316" s="46"/>
      <c r="AA316" s="48" t="inlineStr">
        <is>
          <t xml:space="preserve">Surplus Lines</t>
        </is>
      </c>
      <c r="AB316" s="50">
        <v>12745.74</v>
      </c>
      <c r="AC316" s="51">
        <v>0</v>
      </c>
      <c r="AD316" s="38">
        <f>IF(ISNUMBER($AB316),$AB316*(1+N($AC316)),"")</f>
      </c>
      <c r="AE316" s="50">
        <v>350</v>
      </c>
      <c r="AF316" s="50">
        <v>250</v>
      </c>
      <c r="AG316" s="51"/>
      <c r="AH316" s="39">
        <f>IF(ISNUMBER($AD316),($AD316+$AE316+$AF316)*$AG316,"")</f>
      </c>
      <c r="AI316" s="50"/>
      <c r="AJ316" s="38">
        <f>IF(ISNUMBER($AD316),SUM($AD316:$AH316),"")</f>
      </c>
      <c r="AK316" s="40">
        <f>IF(AND(ISNUMBER($AB316),ISNUMBER($AD316)),IF($AB316&gt;0,$AD316/$AB316,""),"")</f>
      </c>
      <c r="AL316" s="48" t="inlineStr">
        <is>
          <t xml:space="preserve">At technical</t>
        </is>
      </c>
      <c r="AM316" s="41">
        <f>IF(ISNUMBER($AD316),Header!$I$3,"")</f>
      </c>
      <c r="AN316" s="39">
        <f>IF(ISNUMBER($AD316),$AO316+$AP316,"")</f>
      </c>
      <c r="AO316" s="39">
        <f>IF(ISNUMBER($AD316),ROUND($AD316*Header!$K$3,2),"")</f>
      </c>
      <c r="AP316" s="39">
        <f>IF(ISNUMBER($AD316),ROUND($AD316*Header!$M$3,2),"")</f>
      </c>
      <c r="AQ316" s="38">
        <f>IF(ISNUMBER($AD316),ROUND($AD316,2)-$AO316-$AP316,"")</f>
      </c>
      <c r="AR316" s="39">
        <f>IF(ISNUMBER($AD316),IF(Header!$D$34="","?",$AD316*Header!$D$34),"")</f>
      </c>
      <c r="AS316" s="39">
        <f>IF(ISNUMBER($AB316),IF(Header!$D$34="","?",$AB316*Header!$D$34),"")</f>
      </c>
      <c r="AT316" s="42">
        <f>IF(AND(ISNUMBER($AB316),$M316&gt;0),$AB316/$M316*100,"")</f>
      </c>
      <c r="AU316" s="42">
        <f>IF(AND(ISNUMBER($AD316),$M316&gt;0),$AD316/$M316*100,"")</f>
      </c>
      <c r="AV316" s="40">
        <f>IF(AND(ISNUMBER($AB316),ISNUMBER($AD316),ABS($AB316)&gt;0),$AD316/$AB316,"")</f>
      </c>
      <c r="AW316" s="39">
        <f>IF(ISNUMBER($AD316),MAX(0,(1-0.55-Header!$O$3)*Header!$Q$3*$AQ316),"")</f>
      </c>
      <c r="AX316" s="43">
        <f>IF($A316="","",IF(TRIM(IF($A316="","Missing certificate ref. ","") &amp; IF($C316="","Missing effective date. ","") &amp; IF($D316="","Missing binding status. ","") &amp; IF($E316="","Missing movement type. ","") &amp; IF($I316="","Missing make. ","") &amp; IF($L316="","Missing vehicle class. ","") &amp; IF($M316="","Missing agreed value. ","") &amp; IF($N316="","Missing policy type. ","") &amp; IF($Q316="","Missing garaging state. ","") &amp; IF($R316="","Missing garaging ZIP. ","") &amp; IF($S316="","Missing cat zone. ","") &amp; IF($V316="","Missing valuation basis. ","") &amp; IF($W316="","Missing PD deductible. ","") &amp; IF($X316="","Missing liability limit. ","") &amp; IF($AB316="","Missing technical premium. ","") &amp; IF($AF316="","Missing surplus lines tax %. ",""))="","PASS","FAIL: "&amp;TRIM(IF($A316="","Missing certificate ref. ","") &amp; IF($C316="","Missing effective date. ","") &amp; IF($D316="","Missing binding status. ","") &amp; IF($E316="","Missing movement type. ","") &amp; IF($I316="","Missing make. ","") &amp; IF($L316="","Missing vehicle class. ","") &amp; IF($M316="","Missing agreed value. ","") &amp; IF($N316="","Missing policy type. ","") &amp; IF($Q316="","Missing garaging state. ","") &amp; IF($R316="","Missing garaging ZIP. ","") &amp; IF($S316="","Missing cat zone. ","") &amp; IF($V316="","Missing valuation basis. ","") &amp; IF($W316="","Missing PD deductible. ","") &amp; IF($X316="","Missing liability limit. ","") &amp; IF($AB316="","Missing technical premium. ","") &amp; IF($AF316="","Missing surplus lines tax %. ",""))))</f>
      </c>
      <c r="AY316" s="44">
        <f>IF($M316="","",IF(ISNUMBER($M316),IF($M316&gt;=Header!$C$18,"YES — refer","No"),""))</f>
      </c>
      <c r="AZ316" s="44">
        <f>IF($AD316="","",IF(ISNUMBER($AD316),IF($AD316&lt;Header!$C$20,"BELOW MIN PREMIUM","OK"),""))</f>
      </c>
      <c r="BA316" s="48" t="inlineStr">
        <is>
          <t xml:space="preserve">Yes</t>
        </is>
      </c>
      <c r="BB316" s="48" t="inlineStr">
        <is>
          <t xml:space="preserve">Yes</t>
        </is>
      </c>
      <c r="BC316" s="46" t="inlineStr">
        <is>
          <t xml:space="preserve">Synthetic demo data</t>
        </is>
      </c>
      <c r="BE316" s="45">
        <f>IF(OR($A316="",$L316="",$H316=""),"",IF(AND(LEFT($L316,2)="06",$H316&gt;1945),"FAIL - pre-war class, year "&amp;$H316,IF(AND(LEFT($L316,2)="07",OR($H316&lt;1946,$H316&gt;1972)),"FAIL - 1946-72 class, year "&amp;$H316,IF(AND(LEFT($L316,2)="08",OR($H316&lt;1973,$H316&gt;1999)),"FAIL - 1973-99 class, year "&amp;$H316,IF(AND(LEFT($L316,2)="09",OR($H316&lt;2000,$H316&gt;2010)),"FAIL - 2000-10 class, year "&amp;$H316,"OK")))))</f>
      </c>
      <c r="BF316" s="45">
        <f>IF($AD316="","",IF(ROUND($AO316+$AP316+$AQ316-$AD316,2)=0,"OK","FAIL - out by "&amp;TEXT($AO316+$AP316+$AQ316-$AD316,"$0.00")))</f>
      </c>
    </row>
    <row r="317" spans="1:58" ht="18.75" customHeight="1" x14ac:dyDescent="0.25">
      <c r="A317" s="30" t="inlineStr">
        <is>
          <t xml:space="preserve">CANON-202511-002599</t>
        </is>
      </c>
      <c r="B317" s="30" t="inlineStr">
        <is>
          <t xml:space="preserve">Ottilie Chattopadhyay</t>
        </is>
      </c>
      <c r="C317" s="31">
        <v>45984</v>
      </c>
      <c r="D317" s="32" t="inlineStr">
        <is>
          <t xml:space="preserve">Bound - within authority</t>
        </is>
      </c>
      <c r="E317" s="32" t="inlineStr">
        <is>
          <t xml:space="preserve">New business</t>
        </is>
      </c>
      <c r="F317" s="30" t="inlineStr">
        <is>
          <t xml:space="preserve">B1234EXOTIC26</t>
        </is>
      </c>
      <c r="G317" s="33">
        <f>IF($A317="","",IF($C317="","",YEAR($C317)))</f>
      </c>
      <c r="H317" s="34">
        <v>1960</v>
      </c>
      <c r="I317" s="30" t="inlineStr">
        <is>
          <t xml:space="preserve">Porsche</t>
        </is>
      </c>
      <c r="J317" s="30" t="inlineStr">
        <is>
          <t xml:space="preserve">911 Turbo S</t>
        </is>
      </c>
      <c r="K317" s="30" t="inlineStr">
        <is>
          <t xml:space="preserve">F5ULSWCA85PTKTVVH</t>
        </is>
      </c>
      <c r="L317" s="32" t="inlineStr">
        <is>
          <t xml:space="preserve">02 - Sports / GT</t>
        </is>
      </c>
      <c r="M317" s="35">
        <v>360000</v>
      </c>
      <c r="N317" s="32" t="inlineStr">
        <is>
          <t xml:space="preserve">Personal</t>
        </is>
      </c>
      <c r="O317" s="30" t="inlineStr">
        <is>
          <t xml:space="preserve">Personal - regular use</t>
        </is>
      </c>
      <c r="P317" s="30" t="inlineStr">
        <is>
          <t xml:space="preserve">2,500 - 5,000</t>
        </is>
      </c>
      <c r="Q317" s="30" t="inlineStr">
        <is>
          <t xml:space="preserve">Rhode Island</t>
        </is>
      </c>
      <c r="R317" s="30" t="inlineStr">
        <is>
          <t xml:space="preserve">02903</t>
        </is>
      </c>
      <c r="S317" s="32" t="inlineStr">
        <is>
          <t xml:space="preserve">Tier 3 - Coastal wind (25-100 miles)</t>
        </is>
      </c>
      <c r="T317" s="36">
        <f>IF($A317="","",IF($S317="","",IFERROR(INDEX('[1]natural catastrophe'!$D$6:$D$17,MATCH($S317,'[1]natural catastrophe'!$B$6:$B$17,0)),"?")))</f>
      </c>
      <c r="U317" s="30" t="inlineStr">
        <is>
          <t xml:space="preserve">2% of agreed value, minimum $10,000</t>
        </is>
      </c>
      <c r="V317" s="32" t="inlineStr">
        <is>
          <t xml:space="preserve">Agreed Value</t>
        </is>
      </c>
      <c r="W317" s="30" t="inlineStr">
        <is>
          <t xml:space="preserve">$1,000</t>
        </is>
      </c>
      <c r="X317" s="32" t="inlineStr">
        <is>
          <t xml:space="preserve">$1,000,000 CSL</t>
        </is>
      </c>
      <c r="Y317" s="30"/>
      <c r="Z317" s="30"/>
      <c r="AA317" s="32" t="inlineStr">
        <is>
          <t xml:space="preserve">Surplus Lines</t>
        </is>
      </c>
      <c r="AB317" s="35">
        <v>6416.72</v>
      </c>
      <c r="AC317" s="37">
        <v>0</v>
      </c>
      <c r="AD317" s="38">
        <f>IF(ISNUMBER($AB317),$AB317*(1+N($AC317)),"")</f>
      </c>
      <c r="AE317" s="35">
        <v>350</v>
      </c>
      <c r="AF317" s="35">
        <v>0</v>
      </c>
      <c r="AG317" s="37"/>
      <c r="AH317" s="39">
        <f>IF(ISNUMBER($AD317),($AD317+$AE317+$AF317)*$AG317,"")</f>
      </c>
      <c r="AI317" s="35"/>
      <c r="AJ317" s="38">
        <f>IF(ISNUMBER($AD317),SUM($AD317:$AH317),"")</f>
      </c>
      <c r="AK317" s="40">
        <f>IF(AND(ISNUMBER($AB317),ISNUMBER($AD317)),IF($AB317&gt;0,$AD317/$AB317,""),"")</f>
      </c>
      <c r="AL317" s="32" t="inlineStr">
        <is>
          <t xml:space="preserve">At technical</t>
        </is>
      </c>
      <c r="AM317" s="41">
        <f>IF(ISNUMBER($AD317),Header!$I$3,"")</f>
      </c>
      <c r="AN317" s="39">
        <f>IF(ISNUMBER($AD317),$AO317+$AP317,"")</f>
      </c>
      <c r="AO317" s="39">
        <f>IF(ISNUMBER($AD317),ROUND($AD317*Header!$K$3,2),"")</f>
      </c>
      <c r="AP317" s="39">
        <f>IF(ISNUMBER($AD317),ROUND($AD317*Header!$M$3,2),"")</f>
      </c>
      <c r="AQ317" s="38">
        <f>IF(ISNUMBER($AD317),ROUND($AD317,2)-$AO317-$AP317,"")</f>
      </c>
      <c r="AR317" s="39">
        <f>IF(ISNUMBER($AD317),IF(Header!$D$34="","?",$AD317*Header!$D$34),"")</f>
      </c>
      <c r="AS317" s="39">
        <f>IF(ISNUMBER($AB317),IF(Header!$D$34="","?",$AB317*Header!$D$34),"")</f>
      </c>
      <c r="AT317" s="42">
        <f>IF(AND(ISNUMBER($AB317),$M317&gt;0),$AB317/$M317*100,"")</f>
      </c>
      <c r="AU317" s="42">
        <f>IF(AND(ISNUMBER($AD317),$M317&gt;0),$AD317/$M317*100,"")</f>
      </c>
      <c r="AV317" s="40">
        <f>IF(AND(ISNUMBER($AB317),ISNUMBER($AD317),ABS($AB317)&gt;0),$AD317/$AB317,"")</f>
      </c>
      <c r="AW317" s="39">
        <f>IF(ISNUMBER($AD317),MAX(0,(1-0.55-Header!$O$3)*Header!$Q$3*$AQ317),"")</f>
      </c>
      <c r="AX317" s="43">
        <f>IF($A317="","",IF(TRIM(IF($A317="","Missing certificate ref. ","") &amp; IF($C317="","Missing effective date. ","") &amp; IF($D317="","Missing binding status. ","") &amp; IF($E317="","Missing movement type. ","") &amp; IF($I317="","Missing make. ","") &amp; IF($L317="","Missing vehicle class. ","") &amp; IF($M317="","Missing agreed value. ","") &amp; IF($N317="","Missing policy type. ","") &amp; IF($Q317="","Missing garaging state. ","") &amp; IF($R317="","Missing garaging ZIP. ","") &amp; IF($S317="","Missing cat zone. ","") &amp; IF($V317="","Missing valuation basis. ","") &amp; IF($W317="","Missing PD deductible. ","") &amp; IF($X317="","Missing liability limit. ","") &amp; IF($AB317="","Missing technical premium. ","") &amp; IF($AF317="","Missing surplus lines tax %. ",""))="","PASS","FAIL: "&amp;TRIM(IF($A317="","Missing certificate ref. ","") &amp; IF($C317="","Missing effective date. ","") &amp; IF($D317="","Missing binding status. ","") &amp; IF($E317="","Missing movement type. ","") &amp; IF($I317="","Missing make. ","") &amp; IF($L317="","Missing vehicle class. ","") &amp; IF($M317="","Missing agreed value. ","") &amp; IF($N317="","Missing policy type. ","") &amp; IF($Q317="","Missing garaging state. ","") &amp; IF($R317="","Missing garaging ZIP. ","") &amp; IF($S317="","Missing cat zone. ","") &amp; IF($V317="","Missing valuation basis. ","") &amp; IF($W317="","Missing PD deductible. ","") &amp; IF($X317="","Missing liability limit. ","") &amp; IF($AB317="","Missing technical premium. ","") &amp; IF($AF317="","Missing surplus lines tax %. ",""))))</f>
      </c>
      <c r="AY317" s="44">
        <f>IF($M317="","",IF(ISNUMBER($M317),IF($M317&gt;=Header!$C$18,"YES — refer","No"),""))</f>
      </c>
      <c r="AZ317" s="44">
        <f>IF($AD317="","",IF(ISNUMBER($AD317),IF($AD317&lt;Header!$C$20,"BELOW MIN PREMIUM","OK"),""))</f>
      </c>
      <c r="BA317" s="32" t="inlineStr">
        <is>
          <t xml:space="preserve">Yes</t>
        </is>
      </c>
      <c r="BB317" s="32" t="inlineStr">
        <is>
          <t xml:space="preserve">Yes</t>
        </is>
      </c>
      <c r="BC317" s="30" t="inlineStr">
        <is>
          <t xml:space="preserve">Synthetic demo data</t>
        </is>
      </c>
      <c r="BE317" s="45">
        <f>IF(OR($A317="",$L317="",$H317=""),"",IF(AND(LEFT($L317,2)="06",$H317&gt;1945),"FAIL - pre-war class, year "&amp;$H317,IF(AND(LEFT($L317,2)="07",OR($H317&lt;1946,$H317&gt;1972)),"FAIL - 1946-72 class, year "&amp;$H317,IF(AND(LEFT($L317,2)="08",OR($H317&lt;1973,$H317&gt;1999)),"FAIL - 1973-99 class, year "&amp;$H317,IF(AND(LEFT($L317,2)="09",OR($H317&lt;2000,$H317&gt;2010)),"FAIL - 2000-10 class, year "&amp;$H317,"OK")))))</f>
      </c>
      <c r="BF317" s="45">
        <f>IF($AD317="","",IF(ROUND($AO317+$AP317+$AQ317-$AD317,2)=0,"OK","FAIL - out by "&amp;TEXT($AO317+$AP317+$AQ317-$AD317,"$0.00")))</f>
      </c>
    </row>
    <row r="318" spans="1:58" ht="18.75" customHeight="1" x14ac:dyDescent="0.25">
      <c r="A318" s="46" t="inlineStr">
        <is>
          <t xml:space="preserve">CANON-202511-002601</t>
        </is>
      </c>
      <c r="B318" s="46" t="inlineStr">
        <is>
          <t xml:space="preserve">Priya Farkas</t>
        </is>
      </c>
      <c r="C318" s="47">
        <v>45973</v>
      </c>
      <c r="D318" s="48" t="inlineStr">
        <is>
          <t xml:space="preserve">Bound - within authority</t>
        </is>
      </c>
      <c r="E318" s="48" t="inlineStr">
        <is>
          <t xml:space="preserve">New business</t>
        </is>
      </c>
      <c r="F318" s="46" t="inlineStr">
        <is>
          <t xml:space="preserve">B1234EXOTIC26</t>
        </is>
      </c>
      <c r="G318" s="33">
        <f>IF($A318="","",IF($C318="","",YEAR($C318)))</f>
      </c>
      <c r="H318" s="49">
        <v>2009</v>
      </c>
      <c r="I318" s="46" t="inlineStr">
        <is>
          <t xml:space="preserve">Icon</t>
        </is>
      </c>
      <c r="J318" s="46" t="inlineStr">
        <is>
          <t xml:space="preserve">Derelict</t>
        </is>
      </c>
      <c r="K318" s="46" t="inlineStr">
        <is>
          <t xml:space="preserve">JH0GH725T5KLAAXF2</t>
        </is>
      </c>
      <c r="L318" s="48" t="inlineStr">
        <is>
          <t xml:space="preserve">11 - Restomod / Coachbuilt / Bespoke</t>
        </is>
      </c>
      <c r="M318" s="50">
        <v>795000</v>
      </c>
      <c r="N318" s="48" t="inlineStr">
        <is>
          <t xml:space="preserve">Personal</t>
        </is>
      </c>
      <c r="O318" s="46" t="inlineStr">
        <is>
          <t xml:space="preserve">Personal - regular use</t>
        </is>
      </c>
      <c r="P318" s="46" t="inlineStr">
        <is>
          <t xml:space="preserve">Under 1,000</t>
        </is>
      </c>
      <c r="Q318" s="46" t="inlineStr">
        <is>
          <t xml:space="preserve">Montana</t>
        </is>
      </c>
      <c r="R318" s="46" t="inlineStr">
        <is>
          <t xml:space="preserve">59601</t>
        </is>
      </c>
      <c r="S318" s="48" t="inlineStr">
        <is>
          <t xml:space="preserve">Wildfire - WUI high hazard</t>
        </is>
      </c>
      <c r="T318" s="36">
        <f>IF($A318="","",IF($S318="","",IFERROR(INDEX('[1]natural catastrophe'!$D$6:$D$17,MATCH($S318,'[1]natural catastrophe'!$B$6:$B$17,0)),"?")))</f>
      </c>
      <c r="U318" s="46" t="inlineStr">
        <is>
          <t xml:space="preserve">$5,000</t>
        </is>
      </c>
      <c r="V318" s="48" t="inlineStr">
        <is>
          <t xml:space="preserve">Agreed Value</t>
        </is>
      </c>
      <c r="W318" s="46" t="inlineStr">
        <is>
          <t xml:space="preserve">$1,000</t>
        </is>
      </c>
      <c r="X318" s="48" t="inlineStr">
        <is>
          <t xml:space="preserve">$1,000,000 CSL</t>
        </is>
      </c>
      <c r="Y318" s="46"/>
      <c r="Z318" s="46"/>
      <c r="AA318" s="48" t="inlineStr">
        <is>
          <t xml:space="preserve">Surplus Lines</t>
        </is>
      </c>
      <c r="AB318" s="50">
        <v>10003.99</v>
      </c>
      <c r="AC318" s="51">
        <v>0</v>
      </c>
      <c r="AD318" s="38">
        <f>IF(ISNUMBER($AB318),$AB318*(1+N($AC318)),"")</f>
      </c>
      <c r="AE318" s="50">
        <v>350</v>
      </c>
      <c r="AF318" s="50">
        <v>0</v>
      </c>
      <c r="AG318" s="51"/>
      <c r="AH318" s="39">
        <f>IF(ISNUMBER($AD318),($AD318+$AE318+$AF318)*$AG318,"")</f>
      </c>
      <c r="AI318" s="50"/>
      <c r="AJ318" s="38">
        <f>IF(ISNUMBER($AD318),SUM($AD318:$AH318),"")</f>
      </c>
      <c r="AK318" s="40">
        <f>IF(AND(ISNUMBER($AB318),ISNUMBER($AD318)),IF($AB318&gt;0,$AD318/$AB318,""),"")</f>
      </c>
      <c r="AL318" s="48" t="inlineStr">
        <is>
          <t xml:space="preserve">At technical</t>
        </is>
      </c>
      <c r="AM318" s="41">
        <f>IF(ISNUMBER($AD318),Header!$I$3,"")</f>
      </c>
      <c r="AN318" s="39">
        <f>IF(ISNUMBER($AD318),$AO318+$AP318,"")</f>
      </c>
      <c r="AO318" s="39">
        <f>IF(ISNUMBER($AD318),ROUND($AD318*Header!$K$3,2),"")</f>
      </c>
      <c r="AP318" s="39">
        <f>IF(ISNUMBER($AD318),ROUND($AD318*Header!$M$3,2),"")</f>
      </c>
      <c r="AQ318" s="38">
        <f>IF(ISNUMBER($AD318),ROUND($AD318,2)-$AO318-$AP318,"")</f>
      </c>
      <c r="AR318" s="39">
        <f>IF(ISNUMBER($AD318),IF(Header!$D$34="","?",$AD318*Header!$D$34),"")</f>
      </c>
      <c r="AS318" s="39">
        <f>IF(ISNUMBER($AB318),IF(Header!$D$34="","?",$AB318*Header!$D$34),"")</f>
      </c>
      <c r="AT318" s="42">
        <f>IF(AND(ISNUMBER($AB318),$M318&gt;0),$AB318/$M318*100,"")</f>
      </c>
      <c r="AU318" s="42">
        <f>IF(AND(ISNUMBER($AD318),$M318&gt;0),$AD318/$M318*100,"")</f>
      </c>
      <c r="AV318" s="40">
        <f>IF(AND(ISNUMBER($AB318),ISNUMBER($AD318),ABS($AB318)&gt;0),$AD318/$AB318,"")</f>
      </c>
      <c r="AW318" s="39">
        <f>IF(ISNUMBER($AD318),MAX(0,(1-0.55-Header!$O$3)*Header!$Q$3*$AQ318),"")</f>
      </c>
      <c r="AX318" s="43">
        <f>IF($A318="","",IF(TRIM(IF($A318="","Missing certificate ref. ","") &amp; IF($C318="","Missing effective date. ","") &amp; IF($D318="","Missing binding status. ","") &amp; IF($E318="","Missing movement type. ","") &amp; IF($I318="","Missing make. ","") &amp; IF($L318="","Missing vehicle class. ","") &amp; IF($M318="","Missing agreed value. ","") &amp; IF($N318="","Missing policy type. ","") &amp; IF($Q318="","Missing garaging state. ","") &amp; IF($R318="","Missing garaging ZIP. ","") &amp; IF($S318="","Missing cat zone. ","") &amp; IF($V318="","Missing valuation basis. ","") &amp; IF($W318="","Missing PD deductible. ","") &amp; IF($X318="","Missing liability limit. ","") &amp; IF($AB318="","Missing technical premium. ","") &amp; IF($AF318="","Missing surplus lines tax %. ",""))="","PASS","FAIL: "&amp;TRIM(IF($A318="","Missing certificate ref. ","") &amp; IF($C318="","Missing effective date. ","") &amp; IF($D318="","Missing binding status. ","") &amp; IF($E318="","Missing movement type. ","") &amp; IF($I318="","Missing make. ","") &amp; IF($L318="","Missing vehicle class. ","") &amp; IF($M318="","Missing agreed value. ","") &amp; IF($N318="","Missing policy type. ","") &amp; IF($Q318="","Missing garaging state. ","") &amp; IF($R318="","Missing garaging ZIP. ","") &amp; IF($S318="","Missing cat zone. ","") &amp; IF($V318="","Missing valuation basis. ","") &amp; IF($W318="","Missing PD deductible. ","") &amp; IF($X318="","Missing liability limit. ","") &amp; IF($AB318="","Missing technical premium. ","") &amp; IF($AF318="","Missing surplus lines tax %. ",""))))</f>
      </c>
      <c r="AY318" s="44">
        <f>IF($M318="","",IF(ISNUMBER($M318),IF($M318&gt;=Header!$C$18,"YES — refer","No"),""))</f>
      </c>
      <c r="AZ318" s="44">
        <f>IF($AD318="","",IF(ISNUMBER($AD318),IF($AD318&lt;Header!$C$20,"BELOW MIN PREMIUM","OK"),""))</f>
      </c>
      <c r="BA318" s="48" t="inlineStr">
        <is>
          <t xml:space="preserve">Yes</t>
        </is>
      </c>
      <c r="BB318" s="48" t="inlineStr">
        <is>
          <t xml:space="preserve">Yes</t>
        </is>
      </c>
      <c r="BC318" s="46" t="inlineStr">
        <is>
          <t xml:space="preserve">Synthetic demo data</t>
        </is>
      </c>
      <c r="BE318" s="45">
        <f>IF(OR($A318="",$L318="",$H318=""),"",IF(AND(LEFT($L318,2)="06",$H318&gt;1945),"FAIL - pre-war class, year "&amp;$H318,IF(AND(LEFT($L318,2)="07",OR($H318&lt;1946,$H318&gt;1972)),"FAIL - 1946-72 class, year "&amp;$H318,IF(AND(LEFT($L318,2)="08",OR($H318&lt;1973,$H318&gt;1999)),"FAIL - 1973-99 class, year "&amp;$H318,IF(AND(LEFT($L318,2)="09",OR($H318&lt;2000,$H318&gt;2010)),"FAIL - 2000-10 class, year "&amp;$H318,"OK")))))</f>
      </c>
      <c r="BF318" s="45">
        <f>IF($AD318="","",IF(ROUND($AO318+$AP318+$AQ318-$AD318,2)=0,"OK","FAIL - out by "&amp;TEXT($AO318+$AP318+$AQ318-$AD318,"$0.00")))</f>
      </c>
    </row>
    <row r="319" spans="1:58" ht="18.75" customHeight="1" x14ac:dyDescent="0.25">
      <c r="A319" s="30" t="inlineStr">
        <is>
          <t xml:space="preserve">CANON-202511-002603</t>
        </is>
      </c>
      <c r="B319" s="30" t="inlineStr">
        <is>
          <t xml:space="preserve">Noor Chattopadhyay</t>
        </is>
      </c>
      <c r="C319" s="31">
        <v>45982</v>
      </c>
      <c r="D319" s="32" t="inlineStr">
        <is>
          <t xml:space="preserve">Bound - within authority</t>
        </is>
      </c>
      <c r="E319" s="32" t="inlineStr">
        <is>
          <t xml:space="preserve">New business</t>
        </is>
      </c>
      <c r="F319" s="30" t="inlineStr">
        <is>
          <t xml:space="preserve">B1234EXOTIC26</t>
        </is>
      </c>
      <c r="G319" s="33">
        <f>IF($A319="","",IF($C319="","",YEAR($C319)))</f>
      </c>
      <c r="H319" s="34">
        <v>1976</v>
      </c>
      <c r="I319" s="30" t="inlineStr">
        <is>
          <t xml:space="preserve">Mercedes-Benz</t>
        </is>
      </c>
      <c r="J319" s="30" t="inlineStr">
        <is>
          <t xml:space="preserve">AMG GT</t>
        </is>
      </c>
      <c r="K319" s="30" t="inlineStr">
        <is>
          <t xml:space="preserve">EKBYMGSETL64LSA16</t>
        </is>
      </c>
      <c r="L319" s="32" t="inlineStr">
        <is>
          <t xml:space="preserve">02 - Sports / GT</t>
        </is>
      </c>
      <c r="M319" s="35">
        <v>365000</v>
      </c>
      <c r="N319" s="32" t="inlineStr">
        <is>
          <t xml:space="preserve">Personal</t>
        </is>
      </c>
      <c r="O319" s="30" t="inlineStr">
        <is>
          <t xml:space="preserve">Personal - regular use</t>
        </is>
      </c>
      <c r="P319" s="30" t="inlineStr">
        <is>
          <t xml:space="preserve">2,500 - 5,000</t>
        </is>
      </c>
      <c r="Q319" s="30" t="inlineStr">
        <is>
          <t xml:space="preserve">Texas</t>
        </is>
      </c>
      <c r="R319" s="30" t="inlineStr">
        <is>
          <t xml:space="preserve">75201</t>
        </is>
      </c>
      <c r="S319" s="32" t="inlineStr">
        <is>
          <t xml:space="preserve">Tier 2 - Coastal wind (1-25 miles)</t>
        </is>
      </c>
      <c r="T319" s="36">
        <f>IF($A319="","",IF($S319="","",IFERROR(INDEX('[1]natural catastrophe'!$D$6:$D$17,MATCH($S319,'[1]natural catastrophe'!$B$6:$B$17,0)),"?")))</f>
      </c>
      <c r="U319" s="30" t="inlineStr">
        <is>
          <t xml:space="preserve">2% of agreed value, minimum $10,000</t>
        </is>
      </c>
      <c r="V319" s="32" t="inlineStr">
        <is>
          <t xml:space="preserve">Agreed Value</t>
        </is>
      </c>
      <c r="W319" s="30" t="inlineStr">
        <is>
          <t xml:space="preserve">$1,000</t>
        </is>
      </c>
      <c r="X319" s="32" t="inlineStr">
        <is>
          <t xml:space="preserve">$1,000,000 CSL</t>
        </is>
      </c>
      <c r="Y319" s="30"/>
      <c r="Z319" s="30"/>
      <c r="AA319" s="32" t="inlineStr">
        <is>
          <t xml:space="preserve">Surplus Lines</t>
        </is>
      </c>
      <c r="AB319" s="35">
        <v>5461.11</v>
      </c>
      <c r="AC319" s="37">
        <v>0</v>
      </c>
      <c r="AD319" s="38">
        <f>IF(ISNUMBER($AB319),$AB319*(1+N($AC319)),"")</f>
      </c>
      <c r="AE319" s="35">
        <v>350</v>
      </c>
      <c r="AF319" s="35">
        <v>0</v>
      </c>
      <c r="AG319" s="37"/>
      <c r="AH319" s="39">
        <f>IF(ISNUMBER($AD319),($AD319+$AE319+$AF319)*$AG319,"")</f>
      </c>
      <c r="AI319" s="35"/>
      <c r="AJ319" s="38">
        <f>IF(ISNUMBER($AD319),SUM($AD319:$AH319),"")</f>
      </c>
      <c r="AK319" s="40">
        <f>IF(AND(ISNUMBER($AB319),ISNUMBER($AD319)),IF($AB319&gt;0,$AD319/$AB319,""),"")</f>
      </c>
      <c r="AL319" s="32" t="inlineStr">
        <is>
          <t xml:space="preserve">At technical</t>
        </is>
      </c>
      <c r="AM319" s="41">
        <f>IF(ISNUMBER($AD319),Header!$I$3,"")</f>
      </c>
      <c r="AN319" s="39">
        <f>IF(ISNUMBER($AD319),$AO319+$AP319,"")</f>
      </c>
      <c r="AO319" s="39">
        <f>IF(ISNUMBER($AD319),ROUND($AD319*Header!$K$3,2),"")</f>
      </c>
      <c r="AP319" s="39">
        <f>IF(ISNUMBER($AD319),ROUND($AD319*Header!$M$3,2),"")</f>
      </c>
      <c r="AQ319" s="38">
        <f>IF(ISNUMBER($AD319),ROUND($AD319,2)-$AO319-$AP319,"")</f>
      </c>
      <c r="AR319" s="39">
        <f>IF(ISNUMBER($AD319),IF(Header!$D$34="","?",$AD319*Header!$D$34),"")</f>
      </c>
      <c r="AS319" s="39">
        <f>IF(ISNUMBER($AB319),IF(Header!$D$34="","?",$AB319*Header!$D$34),"")</f>
      </c>
      <c r="AT319" s="42">
        <f>IF(AND(ISNUMBER($AB319),$M319&gt;0),$AB319/$M319*100,"")</f>
      </c>
      <c r="AU319" s="42">
        <f>IF(AND(ISNUMBER($AD319),$M319&gt;0),$AD319/$M319*100,"")</f>
      </c>
      <c r="AV319" s="40">
        <f>IF(AND(ISNUMBER($AB319),ISNUMBER($AD319),ABS($AB319)&gt;0),$AD319/$AB319,"")</f>
      </c>
      <c r="AW319" s="39">
        <f>IF(ISNUMBER($AD319),MAX(0,(1-0.55-Header!$O$3)*Header!$Q$3*$AQ319),"")</f>
      </c>
      <c r="AX319" s="43">
        <f>IF($A319="","",IF(TRIM(IF($A319="","Missing certificate ref. ","") &amp; IF($C319="","Missing effective date. ","") &amp; IF($D319="","Missing binding status. ","") &amp; IF($E319="","Missing movement type. ","") &amp; IF($I319="","Missing make. ","") &amp; IF($L319="","Missing vehicle class. ","") &amp; IF($M319="","Missing agreed value. ","") &amp; IF($N319="","Missing policy type. ","") &amp; IF($Q319="","Missing garaging state. ","") &amp; IF($R319="","Missing garaging ZIP. ","") &amp; IF($S319="","Missing cat zone. ","") &amp; IF($V319="","Missing valuation basis. ","") &amp; IF($W319="","Missing PD deductible. ","") &amp; IF($X319="","Missing liability limit. ","") &amp; IF($AB319="","Missing technical premium. ","") &amp; IF($AF319="","Missing surplus lines tax %. ",""))="","PASS","FAIL: "&amp;TRIM(IF($A319="","Missing certificate ref. ","") &amp; IF($C319="","Missing effective date. ","") &amp; IF($D319="","Missing binding status. ","") &amp; IF($E319="","Missing movement type. ","") &amp; IF($I319="","Missing make. ","") &amp; IF($L319="","Missing vehicle class. ","") &amp; IF($M319="","Missing agreed value. ","") &amp; IF($N319="","Missing policy type. ","") &amp; IF($Q319="","Missing garaging state. ","") &amp; IF($R319="","Missing garaging ZIP. ","") &amp; IF($S319="","Missing cat zone. ","") &amp; IF($V319="","Missing valuation basis. ","") &amp; IF($W319="","Missing PD deductible. ","") &amp; IF($X319="","Missing liability limit. ","") &amp; IF($AB319="","Missing technical premium. ","") &amp; IF($AF319="","Missing surplus lines tax %. ",""))))</f>
      </c>
      <c r="AY319" s="44">
        <f>IF($M319="","",IF(ISNUMBER($M319),IF($M319&gt;=Header!$C$18,"YES — refer","No"),""))</f>
      </c>
      <c r="AZ319" s="44">
        <f>IF($AD319="","",IF(ISNUMBER($AD319),IF($AD319&lt;Header!$C$20,"BELOW MIN PREMIUM","OK"),""))</f>
      </c>
      <c r="BA319" s="32" t="inlineStr">
        <is>
          <t xml:space="preserve">Yes</t>
        </is>
      </c>
      <c r="BB319" s="32" t="inlineStr">
        <is>
          <t xml:space="preserve">Yes</t>
        </is>
      </c>
      <c r="BC319" s="30" t="inlineStr">
        <is>
          <t xml:space="preserve">Synthetic demo data</t>
        </is>
      </c>
      <c r="BE319" s="45">
        <f>IF(OR($A319="",$L319="",$H319=""),"",IF(AND(LEFT($L319,2)="06",$H319&gt;1945),"FAIL - pre-war class, year "&amp;$H319,IF(AND(LEFT($L319,2)="07",OR($H319&lt;1946,$H319&gt;1972)),"FAIL - 1946-72 class, year "&amp;$H319,IF(AND(LEFT($L319,2)="08",OR($H319&lt;1973,$H319&gt;1999)),"FAIL - 1973-99 class, year "&amp;$H319,IF(AND(LEFT($L319,2)="09",OR($H319&lt;2000,$H319&gt;2010)),"FAIL - 2000-10 class, year "&amp;$H319,"OK")))))</f>
      </c>
      <c r="BF319" s="45">
        <f>IF($AD319="","",IF(ROUND($AO319+$AP319+$AQ319-$AD319,2)=0,"OK","FAIL - out by "&amp;TEXT($AO319+$AP319+$AQ319-$AD319,"$0.00")))</f>
      </c>
    </row>
    <row r="320" spans="1:58" ht="18.75" customHeight="1" x14ac:dyDescent="0.25">
      <c r="A320" s="46" t="inlineStr">
        <is>
          <t xml:space="preserve">CANON-202511-002604</t>
        </is>
      </c>
      <c r="B320" s="46" t="inlineStr">
        <is>
          <t xml:space="preserve">Emiliano Thistlewood</t>
        </is>
      </c>
      <c r="C320" s="47">
        <v>45987</v>
      </c>
      <c r="D320" s="48" t="inlineStr">
        <is>
          <t xml:space="preserve">Bound - within authority</t>
        </is>
      </c>
      <c r="E320" s="48" t="inlineStr">
        <is>
          <t xml:space="preserve">New business</t>
        </is>
      </c>
      <c r="F320" s="46" t="inlineStr">
        <is>
          <t xml:space="preserve">B1234EXOTIC26</t>
        </is>
      </c>
      <c r="G320" s="33">
        <f>IF($A320="","",IF($C320="","",YEAR($C320)))</f>
      </c>
      <c r="H320" s="49">
        <v>2023</v>
      </c>
      <c r="I320" s="46" t="inlineStr">
        <is>
          <t xml:space="preserve">Porsche</t>
        </is>
      </c>
      <c r="J320" s="46" t="inlineStr">
        <is>
          <t xml:space="preserve">911 Turbo S</t>
        </is>
      </c>
      <c r="K320" s="46" t="inlineStr">
        <is>
          <t xml:space="preserve">6UDKMH7SXEG0D03PV</t>
        </is>
      </c>
      <c r="L320" s="48" t="inlineStr">
        <is>
          <t xml:space="preserve">02 - Sports / GT</t>
        </is>
      </c>
      <c r="M320" s="50">
        <v>365000</v>
      </c>
      <c r="N320" s="48" t="inlineStr">
        <is>
          <t xml:space="preserve">Personal</t>
        </is>
      </c>
      <c r="O320" s="46" t="inlineStr">
        <is>
          <t xml:space="preserve">Personal - regular use</t>
        </is>
      </c>
      <c r="P320" s="46" t="inlineStr">
        <is>
          <t xml:space="preserve">1,000 - 2,500</t>
        </is>
      </c>
      <c r="Q320" s="46" t="inlineStr">
        <is>
          <t xml:space="preserve">Michigan</t>
        </is>
      </c>
      <c r="R320" s="46" t="inlineStr">
        <is>
          <t xml:space="preserve">48226</t>
        </is>
      </c>
      <c r="S320" s="48" t="inlineStr">
        <is>
          <t xml:space="preserve">Severe convective - hail / tornado (moderate)</t>
        </is>
      </c>
      <c r="T320" s="36">
        <f>IF($A320="","",IF($S320="","",IFERROR(INDEX('[1]natural catastrophe'!$D$6:$D$17,MATCH($S320,'[1]natural catastrophe'!$B$6:$B$17,0)),"?")))</f>
      </c>
      <c r="U320" s="46" t="inlineStr">
        <is>
          <t xml:space="preserve">$5,000</t>
        </is>
      </c>
      <c r="V320" s="48" t="inlineStr">
        <is>
          <t xml:space="preserve">Agreed Value</t>
        </is>
      </c>
      <c r="W320" s="46" t="inlineStr">
        <is>
          <t xml:space="preserve">$1,000</t>
        </is>
      </c>
      <c r="X320" s="48" t="inlineStr">
        <is>
          <t xml:space="preserve">$1,000,000 CSL</t>
        </is>
      </c>
      <c r="Y320" s="46"/>
      <c r="Z320" s="46"/>
      <c r="AA320" s="48" t="inlineStr">
        <is>
          <t xml:space="preserve">Surplus Lines</t>
        </is>
      </c>
      <c r="AB320" s="50">
        <v>7360.62</v>
      </c>
      <c r="AC320" s="51">
        <v>0</v>
      </c>
      <c r="AD320" s="38">
        <f>IF(ISNUMBER($AB320),$AB320*(1+N($AC320)),"")</f>
      </c>
      <c r="AE320" s="50">
        <v>350</v>
      </c>
      <c r="AF320" s="50">
        <v>0</v>
      </c>
      <c r="AG320" s="51"/>
      <c r="AH320" s="39">
        <f>IF(ISNUMBER($AD320),($AD320+$AE320+$AF320)*$AG320,"")</f>
      </c>
      <c r="AI320" s="50"/>
      <c r="AJ320" s="38">
        <f>IF(ISNUMBER($AD320),SUM($AD320:$AH320),"")</f>
      </c>
      <c r="AK320" s="40">
        <f>IF(AND(ISNUMBER($AB320),ISNUMBER($AD320)),IF($AB320&gt;0,$AD320/$AB320,""),"")</f>
      </c>
      <c r="AL320" s="48" t="inlineStr">
        <is>
          <t xml:space="preserve">At technical</t>
        </is>
      </c>
      <c r="AM320" s="41">
        <f>IF(ISNUMBER($AD320),Header!$I$3,"")</f>
      </c>
      <c r="AN320" s="39">
        <f>IF(ISNUMBER($AD320),$AO320+$AP320,"")</f>
      </c>
      <c r="AO320" s="39">
        <f>IF(ISNUMBER($AD320),ROUND($AD320*Header!$K$3,2),"")</f>
      </c>
      <c r="AP320" s="39">
        <f>IF(ISNUMBER($AD320),ROUND($AD320*Header!$M$3,2),"")</f>
      </c>
      <c r="AQ320" s="38">
        <f>IF(ISNUMBER($AD320),ROUND($AD320,2)-$AO320-$AP320,"")</f>
      </c>
      <c r="AR320" s="39">
        <f>IF(ISNUMBER($AD320),IF(Header!$D$34="","?",$AD320*Header!$D$34),"")</f>
      </c>
      <c r="AS320" s="39">
        <f>IF(ISNUMBER($AB320),IF(Header!$D$34="","?",$AB320*Header!$D$34),"")</f>
      </c>
      <c r="AT320" s="42">
        <f>IF(AND(ISNUMBER($AB320),$M320&gt;0),$AB320/$M320*100,"")</f>
      </c>
      <c r="AU320" s="42">
        <f>IF(AND(ISNUMBER($AD320),$M320&gt;0),$AD320/$M320*100,"")</f>
      </c>
      <c r="AV320" s="40">
        <f>IF(AND(ISNUMBER($AB320),ISNUMBER($AD320),ABS($AB320)&gt;0),$AD320/$AB320,"")</f>
      </c>
      <c r="AW320" s="39">
        <f>IF(ISNUMBER($AD320),MAX(0,(1-0.55-Header!$O$3)*Header!$Q$3*$AQ320),"")</f>
      </c>
      <c r="AX320" s="43">
        <f>IF($A320="","",IF(TRIM(IF($A320="","Missing certificate ref. ","") &amp; IF($C320="","Missing effective date. ","") &amp; IF($D320="","Missing binding status. ","") &amp; IF($E320="","Missing movement type. ","") &amp; IF($I320="","Missing make. ","") &amp; IF($L320="","Missing vehicle class. ","") &amp; IF($M320="","Missing agreed value. ","") &amp; IF($N320="","Missing policy type. ","") &amp; IF($Q320="","Missing garaging state. ","") &amp; IF($R320="","Missing garaging ZIP. ","") &amp; IF($S320="","Missing cat zone. ","") &amp; IF($V320="","Missing valuation basis. ","") &amp; IF($W320="","Missing PD deductible. ","") &amp; IF($X320="","Missing liability limit. ","") &amp; IF($AB320="","Missing technical premium. ","") &amp; IF($AF320="","Missing surplus lines tax %. ",""))="","PASS","FAIL: "&amp;TRIM(IF($A320="","Missing certificate ref. ","") &amp; IF($C320="","Missing effective date. ","") &amp; IF($D320="","Missing binding status. ","") &amp; IF($E320="","Missing movement type. ","") &amp; IF($I320="","Missing make. ","") &amp; IF($L320="","Missing vehicle class. ","") &amp; IF($M320="","Missing agreed value. ","") &amp; IF($N320="","Missing policy type. ","") &amp; IF($Q320="","Missing garaging state. ","") &amp; IF($R320="","Missing garaging ZIP. ","") &amp; IF($S320="","Missing cat zone. ","") &amp; IF($V320="","Missing valuation basis. ","") &amp; IF($W320="","Missing PD deductible. ","") &amp; IF($X320="","Missing liability limit. ","") &amp; IF($AB320="","Missing technical premium. ","") &amp; IF($AF320="","Missing surplus lines tax %. ",""))))</f>
      </c>
      <c r="AY320" s="44">
        <f>IF($M320="","",IF(ISNUMBER($M320),IF($M320&gt;=Header!$C$18,"YES — refer","No"),""))</f>
      </c>
      <c r="AZ320" s="44">
        <f>IF($AD320="","",IF(ISNUMBER($AD320),IF($AD320&lt;Header!$C$20,"BELOW MIN PREMIUM","OK"),""))</f>
      </c>
      <c r="BA320" s="48" t="inlineStr">
        <is>
          <t xml:space="preserve">Yes</t>
        </is>
      </c>
      <c r="BB320" s="48" t="inlineStr">
        <is>
          <t xml:space="preserve">Yes</t>
        </is>
      </c>
      <c r="BC320" s="46" t="inlineStr">
        <is>
          <t xml:space="preserve">Synthetic demo data</t>
        </is>
      </c>
      <c r="BE320" s="45">
        <f>IF(OR($A320="",$L320="",$H320=""),"",IF(AND(LEFT($L320,2)="06",$H320&gt;1945),"FAIL - pre-war class, year "&amp;$H320,IF(AND(LEFT($L320,2)="07",OR($H320&lt;1946,$H320&gt;1972)),"FAIL - 1946-72 class, year "&amp;$H320,IF(AND(LEFT($L320,2)="08",OR($H320&lt;1973,$H320&gt;1999)),"FAIL - 1973-99 class, year "&amp;$H320,IF(AND(LEFT($L320,2)="09",OR($H320&lt;2000,$H320&gt;2010)),"FAIL - 2000-10 class, year "&amp;$H320,"OK")))))</f>
      </c>
      <c r="BF320" s="45">
        <f>IF($AD320="","",IF(ROUND($AO320+$AP320+$AQ320-$AD320,2)=0,"OK","FAIL - out by "&amp;TEXT($AO320+$AP320+$AQ320-$AD320,"$0.00")))</f>
      </c>
    </row>
    <row r="321" spans="1:58" ht="18.75" customHeight="1" x14ac:dyDescent="0.25">
      <c r="A321" s="30" t="inlineStr">
        <is>
          <t xml:space="preserve">CANON-202511-002605</t>
        </is>
      </c>
      <c r="B321" s="30" t="inlineStr">
        <is>
          <t xml:space="preserve">Fenwick Okonkwo</t>
        </is>
      </c>
      <c r="C321" s="31">
        <v>45967</v>
      </c>
      <c r="D321" s="32" t="inlineStr">
        <is>
          <t xml:space="preserve">Bound - within authority</t>
        </is>
      </c>
      <c r="E321" s="32" t="inlineStr">
        <is>
          <t xml:space="preserve">New business</t>
        </is>
      </c>
      <c r="F321" s="30" t="inlineStr">
        <is>
          <t xml:space="preserve">B1234EXOTIC26</t>
        </is>
      </c>
      <c r="G321" s="33">
        <f>IF($A321="","",IF($C321="","",YEAR($C321)))</f>
      </c>
      <c r="H321" s="34">
        <v>1962</v>
      </c>
      <c r="I321" s="30" t="inlineStr">
        <is>
          <t xml:space="preserve">Bentley</t>
        </is>
      </c>
      <c r="J321" s="30" t="inlineStr">
        <is>
          <t xml:space="preserve">Continental GT</t>
        </is>
      </c>
      <c r="K321" s="30" t="inlineStr">
        <is>
          <t xml:space="preserve">HCALCSE77K36B6HVA</t>
        </is>
      </c>
      <c r="L321" s="32" t="inlineStr">
        <is>
          <t xml:space="preserve">02 - Sports / GT</t>
        </is>
      </c>
      <c r="M321" s="35">
        <v>610000</v>
      </c>
      <c r="N321" s="32" t="inlineStr">
        <is>
          <t xml:space="preserve">Personal</t>
        </is>
      </c>
      <c r="O321" s="30" t="inlineStr">
        <is>
          <t xml:space="preserve">Personal - regular use</t>
        </is>
      </c>
      <c r="P321" s="30" t="inlineStr">
        <is>
          <t xml:space="preserve">1,000 - 2,500</t>
        </is>
      </c>
      <c r="Q321" s="30" t="inlineStr">
        <is>
          <t xml:space="preserve">Michigan</t>
        </is>
      </c>
      <c r="R321" s="30" t="inlineStr">
        <is>
          <t xml:space="preserve">48226</t>
        </is>
      </c>
      <c r="S321" s="32" t="inlineStr">
        <is>
          <t xml:space="preserve">Severe convective - hail / tornado (moderate)</t>
        </is>
      </c>
      <c r="T321" s="36">
        <f>IF($A321="","",IF($S321="","",IFERROR(INDEX('[1]natural catastrophe'!$D$6:$D$17,MATCH($S321,'[1]natural catastrophe'!$B$6:$B$17,0)),"?")))</f>
      </c>
      <c r="U321" s="30" t="inlineStr">
        <is>
          <t xml:space="preserve">$5,000</t>
        </is>
      </c>
      <c r="V321" s="32" t="inlineStr">
        <is>
          <t xml:space="preserve">Agreed Value</t>
        </is>
      </c>
      <c r="W321" s="30" t="inlineStr">
        <is>
          <t xml:space="preserve">$1,000</t>
        </is>
      </c>
      <c r="X321" s="32" t="inlineStr">
        <is>
          <t xml:space="preserve">$1,000,000 CSL</t>
        </is>
      </c>
      <c r="Y321" s="30"/>
      <c r="Z321" s="30"/>
      <c r="AA321" s="32" t="inlineStr">
        <is>
          <t xml:space="preserve">Surplus Lines</t>
        </is>
      </c>
      <c r="AB321" s="35">
        <v>10661.13</v>
      </c>
      <c r="AC321" s="37">
        <v>0</v>
      </c>
      <c r="AD321" s="38">
        <f>IF(ISNUMBER($AB321),$AB321*(1+N($AC321)),"")</f>
      </c>
      <c r="AE321" s="35">
        <v>350</v>
      </c>
      <c r="AF321" s="35">
        <v>0</v>
      </c>
      <c r="AG321" s="37"/>
      <c r="AH321" s="39">
        <f>IF(ISNUMBER($AD321),($AD321+$AE321+$AF321)*$AG321,"")</f>
      </c>
      <c r="AI321" s="35"/>
      <c r="AJ321" s="38">
        <f>IF(ISNUMBER($AD321),SUM($AD321:$AH321),"")</f>
      </c>
      <c r="AK321" s="40">
        <f>IF(AND(ISNUMBER($AB321),ISNUMBER($AD321)),IF($AB321&gt;0,$AD321/$AB321,""),"")</f>
      </c>
      <c r="AL321" s="32" t="inlineStr">
        <is>
          <t xml:space="preserve">At technical</t>
        </is>
      </c>
      <c r="AM321" s="41">
        <f>IF(ISNUMBER($AD321),Header!$I$3,"")</f>
      </c>
      <c r="AN321" s="39">
        <f>IF(ISNUMBER($AD321),$AO321+$AP321,"")</f>
      </c>
      <c r="AO321" s="39">
        <f>IF(ISNUMBER($AD321),ROUND($AD321*Header!$K$3,2),"")</f>
      </c>
      <c r="AP321" s="39">
        <f>IF(ISNUMBER($AD321),ROUND($AD321*Header!$M$3,2),"")</f>
      </c>
      <c r="AQ321" s="38">
        <f>IF(ISNUMBER($AD321),ROUND($AD321,2)-$AO321-$AP321,"")</f>
      </c>
      <c r="AR321" s="39">
        <f>IF(ISNUMBER($AD321),IF(Header!$D$34="","?",$AD321*Header!$D$34),"")</f>
      </c>
      <c r="AS321" s="39">
        <f>IF(ISNUMBER($AB321),IF(Header!$D$34="","?",$AB321*Header!$D$34),"")</f>
      </c>
      <c r="AT321" s="42">
        <f>IF(AND(ISNUMBER($AB321),$M321&gt;0),$AB321/$M321*100,"")</f>
      </c>
      <c r="AU321" s="42">
        <f>IF(AND(ISNUMBER($AD321),$M321&gt;0),$AD321/$M321*100,"")</f>
      </c>
      <c r="AV321" s="40">
        <f>IF(AND(ISNUMBER($AB321),ISNUMBER($AD321),ABS($AB321)&gt;0),$AD321/$AB321,"")</f>
      </c>
      <c r="AW321" s="39">
        <f>IF(ISNUMBER($AD321),MAX(0,(1-0.55-Header!$O$3)*Header!$Q$3*$AQ321),"")</f>
      </c>
      <c r="AX321" s="43">
        <f>IF($A321="","",IF(TRIM(IF($A321="","Missing certificate ref. ","") &amp; IF($C321="","Missing effective date. ","") &amp; IF($D321="","Missing binding status. ","") &amp; IF($E321="","Missing movement type. ","") &amp; IF($I321="","Missing make. ","") &amp; IF($L321="","Missing vehicle class. ","") &amp; IF($M321="","Missing agreed value. ","") &amp; IF($N321="","Missing policy type. ","") &amp; IF($Q321="","Missing garaging state. ","") &amp; IF($R321="","Missing garaging ZIP. ","") &amp; IF($S321="","Missing cat zone. ","") &amp; IF($V321="","Missing valuation basis. ","") &amp; IF($W321="","Missing PD deductible. ","") &amp; IF($X321="","Missing liability limit. ","") &amp; IF($AB321="","Missing technical premium. ","") &amp; IF($AF321="","Missing surplus lines tax %. ",""))="","PASS","FAIL: "&amp;TRIM(IF($A321="","Missing certificate ref. ","") &amp; IF($C321="","Missing effective date. ","") &amp; IF($D321="","Missing binding status. ","") &amp; IF($E321="","Missing movement type. ","") &amp; IF($I321="","Missing make. ","") &amp; IF($L321="","Missing vehicle class. ","") &amp; IF($M321="","Missing agreed value. ","") &amp; IF($N321="","Missing policy type. ","") &amp; IF($Q321="","Missing garaging state. ","") &amp; IF($R321="","Missing garaging ZIP. ","") &amp; IF($S321="","Missing cat zone. ","") &amp; IF($V321="","Missing valuation basis. ","") &amp; IF($W321="","Missing PD deductible. ","") &amp; IF($X321="","Missing liability limit. ","") &amp; IF($AB321="","Missing technical premium. ","") &amp; IF($AF321="","Missing surplus lines tax %. ",""))))</f>
      </c>
      <c r="AY321" s="44">
        <f>IF($M321="","",IF(ISNUMBER($M321),IF($M321&gt;=Header!$C$18,"YES — refer","No"),""))</f>
      </c>
      <c r="AZ321" s="44">
        <f>IF($AD321="","",IF(ISNUMBER($AD321),IF($AD321&lt;Header!$C$20,"BELOW MIN PREMIUM","OK"),""))</f>
      </c>
      <c r="BA321" s="32" t="inlineStr">
        <is>
          <t xml:space="preserve">Yes</t>
        </is>
      </c>
      <c r="BB321" s="32" t="inlineStr">
        <is>
          <t xml:space="preserve">Yes</t>
        </is>
      </c>
      <c r="BC321" s="30" t="inlineStr">
        <is>
          <t xml:space="preserve">Synthetic demo data</t>
        </is>
      </c>
      <c r="BE321" s="45">
        <f>IF(OR($A321="",$L321="",$H321=""),"",IF(AND(LEFT($L321,2)="06",$H321&gt;1945),"FAIL - pre-war class, year "&amp;$H321,IF(AND(LEFT($L321,2)="07",OR($H321&lt;1946,$H321&gt;1972)),"FAIL - 1946-72 class, year "&amp;$H321,IF(AND(LEFT($L321,2)="08",OR($H321&lt;1973,$H321&gt;1999)),"FAIL - 1973-99 class, year "&amp;$H321,IF(AND(LEFT($L321,2)="09",OR($H321&lt;2000,$H321&gt;2010)),"FAIL - 2000-10 class, year "&amp;$H321,"OK")))))</f>
      </c>
      <c r="BF321" s="45">
        <f>IF($AD321="","",IF(ROUND($AO321+$AP321+$AQ321-$AD321,2)=0,"OK","FAIL - out by "&amp;TEXT($AO321+$AP321+$AQ321-$AD321,"$0.00")))</f>
      </c>
    </row>
    <row r="322" spans="1:58" ht="18.75" customHeight="1" x14ac:dyDescent="0.25">
      <c r="A322" s="46" t="inlineStr">
        <is>
          <t xml:space="preserve">CANON-202511-002606</t>
        </is>
      </c>
      <c r="B322" s="46" t="inlineStr">
        <is>
          <t xml:space="preserve">Marisol Merriweather</t>
        </is>
      </c>
      <c r="C322" s="47">
        <v>45970</v>
      </c>
      <c r="D322" s="48" t="inlineStr">
        <is>
          <t xml:space="preserve">Bound - within authority</t>
        </is>
      </c>
      <c r="E322" s="48" t="inlineStr">
        <is>
          <t xml:space="preserve">New business</t>
        </is>
      </c>
      <c r="F322" s="46" t="inlineStr">
        <is>
          <t xml:space="preserve">B1234EXOTIC26</t>
        </is>
      </c>
      <c r="G322" s="33">
        <f>IF($A322="","",IF($C322="","",YEAR($C322)))</f>
      </c>
      <c r="H322" s="49">
        <v>1955</v>
      </c>
      <c r="I322" s="46" t="inlineStr">
        <is>
          <t xml:space="preserve">Porsche</t>
        </is>
      </c>
      <c r="J322" s="46" t="inlineStr">
        <is>
          <t xml:space="preserve">911 Turbo S</t>
        </is>
      </c>
      <c r="K322" s="46" t="inlineStr">
        <is>
          <t xml:space="preserve">HURTU201FRYC6872D</t>
        </is>
      </c>
      <c r="L322" s="48" t="inlineStr">
        <is>
          <t xml:space="preserve">02 - Sports / GT</t>
        </is>
      </c>
      <c r="M322" s="50">
        <v>1765000</v>
      </c>
      <c r="N322" s="48" t="inlineStr">
        <is>
          <t xml:space="preserve">Personal</t>
        </is>
      </c>
      <c r="O322" s="46" t="inlineStr">
        <is>
          <t xml:space="preserve">Personal - regular use</t>
        </is>
      </c>
      <c r="P322" s="46" t="inlineStr">
        <is>
          <t xml:space="preserve">1,000 - 2,500</t>
        </is>
      </c>
      <c r="Q322" s="46" t="inlineStr">
        <is>
          <t xml:space="preserve">Iowa</t>
        </is>
      </c>
      <c r="R322" s="46" t="inlineStr">
        <is>
          <t xml:space="preserve">50309</t>
        </is>
      </c>
      <c r="S322" s="48" t="inlineStr">
        <is>
          <t xml:space="preserve">Severe convective - hail alley (high)</t>
        </is>
      </c>
      <c r="T322" s="36">
        <f>IF($A322="","",IF($S322="","",IFERROR(INDEX('[1]natural catastrophe'!$D$6:$D$17,MATCH($S322,'[1]natural catastrophe'!$B$6:$B$17,0)),"?")))</f>
      </c>
      <c r="U322" s="46" t="inlineStr">
        <is>
          <t xml:space="preserve">$5,000</t>
        </is>
      </c>
      <c r="V322" s="48" t="inlineStr">
        <is>
          <t xml:space="preserve">Agreed Value</t>
        </is>
      </c>
      <c r="W322" s="46" t="inlineStr">
        <is>
          <t xml:space="preserve">$1,000</t>
        </is>
      </c>
      <c r="X322" s="48" t="inlineStr">
        <is>
          <t xml:space="preserve">$1,000,000 CSL</t>
        </is>
      </c>
      <c r="Y322" s="46"/>
      <c r="Z322" s="46"/>
      <c r="AA322" s="48" t="inlineStr">
        <is>
          <t xml:space="preserve">Surplus Lines</t>
        </is>
      </c>
      <c r="AB322" s="50">
        <v>18523.74</v>
      </c>
      <c r="AC322" s="51">
        <v>0</v>
      </c>
      <c r="AD322" s="38">
        <f>IF(ISNUMBER($AB322),$AB322*(1+N($AC322)),"")</f>
      </c>
      <c r="AE322" s="50">
        <v>350</v>
      </c>
      <c r="AF322" s="50">
        <v>250</v>
      </c>
      <c r="AG322" s="51"/>
      <c r="AH322" s="39">
        <f>IF(ISNUMBER($AD322),($AD322+$AE322+$AF322)*$AG322,"")</f>
      </c>
      <c r="AI322" s="50"/>
      <c r="AJ322" s="38">
        <f>IF(ISNUMBER($AD322),SUM($AD322:$AH322),"")</f>
      </c>
      <c r="AK322" s="40">
        <f>IF(AND(ISNUMBER($AB322),ISNUMBER($AD322)),IF($AB322&gt;0,$AD322/$AB322,""),"")</f>
      </c>
      <c r="AL322" s="48" t="inlineStr">
        <is>
          <t xml:space="preserve">At technical</t>
        </is>
      </c>
      <c r="AM322" s="41">
        <f>IF(ISNUMBER($AD322),Header!$I$3,"")</f>
      </c>
      <c r="AN322" s="39">
        <f>IF(ISNUMBER($AD322),$AO322+$AP322,"")</f>
      </c>
      <c r="AO322" s="39">
        <f>IF(ISNUMBER($AD322),ROUND($AD322*Header!$K$3,2),"")</f>
      </c>
      <c r="AP322" s="39">
        <f>IF(ISNUMBER($AD322),ROUND($AD322*Header!$M$3,2),"")</f>
      </c>
      <c r="AQ322" s="38">
        <f>IF(ISNUMBER($AD322),ROUND($AD322,2)-$AO322-$AP322,"")</f>
      </c>
      <c r="AR322" s="39">
        <f>IF(ISNUMBER($AD322),IF(Header!$D$34="","?",$AD322*Header!$D$34),"")</f>
      </c>
      <c r="AS322" s="39">
        <f>IF(ISNUMBER($AB322),IF(Header!$D$34="","?",$AB322*Header!$D$34),"")</f>
      </c>
      <c r="AT322" s="42">
        <f>IF(AND(ISNUMBER($AB322),$M322&gt;0),$AB322/$M322*100,"")</f>
      </c>
      <c r="AU322" s="42">
        <f>IF(AND(ISNUMBER($AD322),$M322&gt;0),$AD322/$M322*100,"")</f>
      </c>
      <c r="AV322" s="40">
        <f>IF(AND(ISNUMBER($AB322),ISNUMBER($AD322),ABS($AB322)&gt;0),$AD322/$AB322,"")</f>
      </c>
      <c r="AW322" s="39">
        <f>IF(ISNUMBER($AD322),MAX(0,(1-0.55-Header!$O$3)*Header!$Q$3*$AQ322),"")</f>
      </c>
      <c r="AX322" s="43">
        <f>IF($A322="","",IF(TRIM(IF($A322="","Missing certificate ref. ","") &amp; IF($C322="","Missing effective date. ","") &amp; IF($D322="","Missing binding status. ","") &amp; IF($E322="","Missing movement type. ","") &amp; IF($I322="","Missing make. ","") &amp; IF($L322="","Missing vehicle class. ","") &amp; IF($M322="","Missing agreed value. ","") &amp; IF($N322="","Missing policy type. ","") &amp; IF($Q322="","Missing garaging state. ","") &amp; IF($R322="","Missing garaging ZIP. ","") &amp; IF($S322="","Missing cat zone. ","") &amp; IF($V322="","Missing valuation basis. ","") &amp; IF($W322="","Missing PD deductible. ","") &amp; IF($X322="","Missing liability limit. ","") &amp; IF($AB322="","Missing technical premium. ","") &amp; IF($AF322="","Missing surplus lines tax %. ",""))="","PASS","FAIL: "&amp;TRIM(IF($A322="","Missing certificate ref. ","") &amp; IF($C322="","Missing effective date. ","") &amp; IF($D322="","Missing binding status. ","") &amp; IF($E322="","Missing movement type. ","") &amp; IF($I322="","Missing make. ","") &amp; IF($L322="","Missing vehicle class. ","") &amp; IF($M322="","Missing agreed value. ","") &amp; IF($N322="","Missing policy type. ","") &amp; IF($Q322="","Missing garaging state. ","") &amp; IF($R322="","Missing garaging ZIP. ","") &amp; IF($S322="","Missing cat zone. ","") &amp; IF($V322="","Missing valuation basis. ","") &amp; IF($W322="","Missing PD deductible. ","") &amp; IF($X322="","Missing liability limit. ","") &amp; IF($AB322="","Missing technical premium. ","") &amp; IF($AF322="","Missing surplus lines tax %. ",""))))</f>
      </c>
      <c r="AY322" s="44">
        <f>IF($M322="","",IF(ISNUMBER($M322),IF($M322&gt;=Header!$C$18,"YES — refer","No"),""))</f>
      </c>
      <c r="AZ322" s="44">
        <f>IF($AD322="","",IF(ISNUMBER($AD322),IF($AD322&lt;Header!$C$20,"BELOW MIN PREMIUM","OK"),""))</f>
      </c>
      <c r="BA322" s="48" t="inlineStr">
        <is>
          <t xml:space="preserve">Yes</t>
        </is>
      </c>
      <c r="BB322" s="48" t="inlineStr">
        <is>
          <t xml:space="preserve">Yes</t>
        </is>
      </c>
      <c r="BC322" s="46" t="inlineStr">
        <is>
          <t xml:space="preserve">Synthetic demo data</t>
        </is>
      </c>
      <c r="BE322" s="45">
        <f>IF(OR($A322="",$L322="",$H322=""),"",IF(AND(LEFT($L322,2)="06",$H322&gt;1945),"FAIL - pre-war class, year "&amp;$H322,IF(AND(LEFT($L322,2)="07",OR($H322&lt;1946,$H322&gt;1972)),"FAIL - 1946-72 class, year "&amp;$H322,IF(AND(LEFT($L322,2)="08",OR($H322&lt;1973,$H322&gt;1999)),"FAIL - 1973-99 class, year "&amp;$H322,IF(AND(LEFT($L322,2)="09",OR($H322&lt;2000,$H322&gt;2010)),"FAIL - 2000-10 class, year "&amp;$H322,"OK")))))</f>
      </c>
      <c r="BF322" s="45">
        <f>IF($AD322="","",IF(ROUND($AO322+$AP322+$AQ322-$AD322,2)=0,"OK","FAIL - out by "&amp;TEXT($AO322+$AP322+$AQ322-$AD322,"$0.00")))</f>
      </c>
    </row>
    <row r="323" spans="1:58" ht="18.75" customHeight="1" x14ac:dyDescent="0.25">
      <c r="A323" s="30" t="inlineStr">
        <is>
          <t xml:space="preserve">CANON-202511-002607</t>
        </is>
      </c>
      <c r="B323" s="30" t="inlineStr">
        <is>
          <t xml:space="preserve">Ingrid Kingsford</t>
        </is>
      </c>
      <c r="C323" s="31">
        <v>45983</v>
      </c>
      <c r="D323" s="32" t="inlineStr">
        <is>
          <t xml:space="preserve">Bound - within authority</t>
        </is>
      </c>
      <c r="E323" s="32" t="inlineStr">
        <is>
          <t xml:space="preserve">New business</t>
        </is>
      </c>
      <c r="F323" s="30" t="inlineStr">
        <is>
          <t xml:space="preserve">B1234EXOTIC26</t>
        </is>
      </c>
      <c r="G323" s="33">
        <f>IF($A323="","",IF($C323="","",YEAR($C323)))</f>
      </c>
      <c r="H323" s="34">
        <v>1975</v>
      </c>
      <c r="I323" s="30" t="inlineStr">
        <is>
          <t xml:space="preserve">Bentley</t>
        </is>
      </c>
      <c r="J323" s="30" t="inlineStr">
        <is>
          <t xml:space="preserve">Continental GT</t>
        </is>
      </c>
      <c r="K323" s="30" t="inlineStr">
        <is>
          <t xml:space="preserve">P4XM96KASNHMK159Z</t>
        </is>
      </c>
      <c r="L323" s="32" t="inlineStr">
        <is>
          <t xml:space="preserve">02 - Sports / GT</t>
        </is>
      </c>
      <c r="M323" s="35">
        <v>460000</v>
      </c>
      <c r="N323" s="32" t="inlineStr">
        <is>
          <t xml:space="preserve">Personal</t>
        </is>
      </c>
      <c r="O323" s="30" t="inlineStr">
        <is>
          <t xml:space="preserve">Personal - regular use</t>
        </is>
      </c>
      <c r="P323" s="30" t="inlineStr">
        <is>
          <t xml:space="preserve">2,500 - 5,000</t>
        </is>
      </c>
      <c r="Q323" s="30" t="inlineStr">
        <is>
          <t xml:space="preserve">Nebraska</t>
        </is>
      </c>
      <c r="R323" s="30" t="inlineStr">
        <is>
          <t xml:space="preserve">68102</t>
        </is>
      </c>
      <c r="S323" s="32" t="inlineStr">
        <is>
          <t xml:space="preserve">Severe convective - hail alley (high)</t>
        </is>
      </c>
      <c r="T323" s="36">
        <f>IF($A323="","",IF($S323="","",IFERROR(INDEX('[1]natural catastrophe'!$D$6:$D$17,MATCH($S323,'[1]natural catastrophe'!$B$6:$B$17,0)),"?")))</f>
      </c>
      <c r="U323" s="30" t="inlineStr">
        <is>
          <t xml:space="preserve">$5,000</t>
        </is>
      </c>
      <c r="V323" s="32" t="inlineStr">
        <is>
          <t xml:space="preserve">Agreed Value</t>
        </is>
      </c>
      <c r="W323" s="30" t="inlineStr">
        <is>
          <t xml:space="preserve">$1,000</t>
        </is>
      </c>
      <c r="X323" s="32" t="inlineStr">
        <is>
          <t xml:space="preserve">$1,000,000 CSL</t>
        </is>
      </c>
      <c r="Y323" s="30"/>
      <c r="Z323" s="30"/>
      <c r="AA323" s="32" t="inlineStr">
        <is>
          <t xml:space="preserve">Surplus Lines</t>
        </is>
      </c>
      <c r="AB323" s="35">
        <v>7780.2</v>
      </c>
      <c r="AC323" s="37">
        <v>0</v>
      </c>
      <c r="AD323" s="38">
        <f>IF(ISNUMBER($AB323),$AB323*(1+N($AC323)),"")</f>
      </c>
      <c r="AE323" s="35">
        <v>350</v>
      </c>
      <c r="AF323" s="35">
        <v>0</v>
      </c>
      <c r="AG323" s="37"/>
      <c r="AH323" s="39">
        <f>IF(ISNUMBER($AD323),($AD323+$AE323+$AF323)*$AG323,"")</f>
      </c>
      <c r="AI323" s="35"/>
      <c r="AJ323" s="38">
        <f>IF(ISNUMBER($AD323),SUM($AD323:$AH323),"")</f>
      </c>
      <c r="AK323" s="40">
        <f>IF(AND(ISNUMBER($AB323),ISNUMBER($AD323)),IF($AB323&gt;0,$AD323/$AB323,""),"")</f>
      </c>
      <c r="AL323" s="32" t="inlineStr">
        <is>
          <t xml:space="preserve">At technical</t>
        </is>
      </c>
      <c r="AM323" s="41">
        <f>IF(ISNUMBER($AD323),Header!$I$3,"")</f>
      </c>
      <c r="AN323" s="39">
        <f>IF(ISNUMBER($AD323),$AO323+$AP323,"")</f>
      </c>
      <c r="AO323" s="39">
        <f>IF(ISNUMBER($AD323),ROUND($AD323*Header!$K$3,2),"")</f>
      </c>
      <c r="AP323" s="39">
        <f>IF(ISNUMBER($AD323),ROUND($AD323*Header!$M$3,2),"")</f>
      </c>
      <c r="AQ323" s="38">
        <f>IF(ISNUMBER($AD323),ROUND($AD323,2)-$AO323-$AP323,"")</f>
      </c>
      <c r="AR323" s="39">
        <f>IF(ISNUMBER($AD323),IF(Header!$D$34="","?",$AD323*Header!$D$34),"")</f>
      </c>
      <c r="AS323" s="39">
        <f>IF(ISNUMBER($AB323),IF(Header!$D$34="","?",$AB323*Header!$D$34),"")</f>
      </c>
      <c r="AT323" s="42">
        <f>IF(AND(ISNUMBER($AB323),$M323&gt;0),$AB323/$M323*100,"")</f>
      </c>
      <c r="AU323" s="42">
        <f>IF(AND(ISNUMBER($AD323),$M323&gt;0),$AD323/$M323*100,"")</f>
      </c>
      <c r="AV323" s="40">
        <f>IF(AND(ISNUMBER($AB323),ISNUMBER($AD323),ABS($AB323)&gt;0),$AD323/$AB323,"")</f>
      </c>
      <c r="AW323" s="39">
        <f>IF(ISNUMBER($AD323),MAX(0,(1-0.55-Header!$O$3)*Header!$Q$3*$AQ323),"")</f>
      </c>
      <c r="AX323" s="43">
        <f>IF($A323="","",IF(TRIM(IF($A323="","Missing certificate ref. ","") &amp; IF($C323="","Missing effective date. ","") &amp; IF($D323="","Missing binding status. ","") &amp; IF($E323="","Missing movement type. ","") &amp; IF($I323="","Missing make. ","") &amp; IF($L323="","Missing vehicle class. ","") &amp; IF($M323="","Missing agreed value. ","") &amp; IF($N323="","Missing policy type. ","") &amp; IF($Q323="","Missing garaging state. ","") &amp; IF($R323="","Missing garaging ZIP. ","") &amp; IF($S323="","Missing cat zone. ","") &amp; IF($V323="","Missing valuation basis. ","") &amp; IF($W323="","Missing PD deductible. ","") &amp; IF($X323="","Missing liability limit. ","") &amp; IF($AB323="","Missing technical premium. ","") &amp; IF($AF323="","Missing surplus lines tax %. ",""))="","PASS","FAIL: "&amp;TRIM(IF($A323="","Missing certificate ref. ","") &amp; IF($C323="","Missing effective date. ","") &amp; IF($D323="","Missing binding status. ","") &amp; IF($E323="","Missing movement type. ","") &amp; IF($I323="","Missing make. ","") &amp; IF($L323="","Missing vehicle class. ","") &amp; IF($M323="","Missing agreed value. ","") &amp; IF($N323="","Missing policy type. ","") &amp; IF($Q323="","Missing garaging state. ","") &amp; IF($R323="","Missing garaging ZIP. ","") &amp; IF($S323="","Missing cat zone. ","") &amp; IF($V323="","Missing valuation basis. ","") &amp; IF($W323="","Missing PD deductible. ","") &amp; IF($X323="","Missing liability limit. ","") &amp; IF($AB323="","Missing technical premium. ","") &amp; IF($AF323="","Missing surplus lines tax %. ",""))))</f>
      </c>
      <c r="AY323" s="44">
        <f>IF($M323="","",IF(ISNUMBER($M323),IF($M323&gt;=Header!$C$18,"YES — refer","No"),""))</f>
      </c>
      <c r="AZ323" s="44">
        <f>IF($AD323="","",IF(ISNUMBER($AD323),IF($AD323&lt;Header!$C$20,"BELOW MIN PREMIUM","OK"),""))</f>
      </c>
      <c r="BA323" s="32" t="inlineStr">
        <is>
          <t xml:space="preserve">Yes</t>
        </is>
      </c>
      <c r="BB323" s="32" t="inlineStr">
        <is>
          <t xml:space="preserve">Yes</t>
        </is>
      </c>
      <c r="BC323" s="30" t="inlineStr">
        <is>
          <t xml:space="preserve">Synthetic demo data</t>
        </is>
      </c>
      <c r="BE323" s="45">
        <f>IF(OR($A323="",$L323="",$H323=""),"",IF(AND(LEFT($L323,2)="06",$H323&gt;1945),"FAIL - pre-war class, year "&amp;$H323,IF(AND(LEFT($L323,2)="07",OR($H323&lt;1946,$H323&gt;1972)),"FAIL - 1946-72 class, year "&amp;$H323,IF(AND(LEFT($L323,2)="08",OR($H323&lt;1973,$H323&gt;1999)),"FAIL - 1973-99 class, year "&amp;$H323,IF(AND(LEFT($L323,2)="09",OR($H323&lt;2000,$H323&gt;2010)),"FAIL - 2000-10 class, year "&amp;$H323,"OK")))))</f>
      </c>
      <c r="BF323" s="45">
        <f>IF($AD323="","",IF(ROUND($AO323+$AP323+$AQ323-$AD323,2)=0,"OK","FAIL - out by "&amp;TEXT($AO323+$AP323+$AQ323-$AD323,"$0.00")))</f>
      </c>
    </row>
    <row r="324" spans="1:58" ht="18.75" customHeight="1" x14ac:dyDescent="0.25">
      <c r="A324" s="46" t="inlineStr">
        <is>
          <t xml:space="preserve">CANON-202511-002609</t>
        </is>
      </c>
      <c r="B324" s="46" t="inlineStr">
        <is>
          <t xml:space="preserve">Ottilie Chattopadhyay</t>
        </is>
      </c>
      <c r="C324" s="47">
        <v>45974</v>
      </c>
      <c r="D324" s="48" t="inlineStr">
        <is>
          <t xml:space="preserve">Bound - within authority</t>
        </is>
      </c>
      <c r="E324" s="48" t="inlineStr">
        <is>
          <t xml:space="preserve">New business</t>
        </is>
      </c>
      <c r="F324" s="46" t="inlineStr">
        <is>
          <t xml:space="preserve">B1234EXOTIC26</t>
        </is>
      </c>
      <c r="G324" s="33">
        <f>IF($A324="","",IF($C324="","",YEAR($C324)))</f>
      </c>
      <c r="H324" s="49">
        <v>1998</v>
      </c>
      <c r="I324" s="46" t="inlineStr">
        <is>
          <t xml:space="preserve">Porsche</t>
        </is>
      </c>
      <c r="J324" s="46" t="inlineStr">
        <is>
          <t xml:space="preserve">911 Turbo S</t>
        </is>
      </c>
      <c r="K324" s="46" t="inlineStr">
        <is>
          <t xml:space="preserve">UEWV9NUUVPFS107RY</t>
        </is>
      </c>
      <c r="L324" s="48" t="inlineStr">
        <is>
          <t xml:space="preserve">02 - Sports / GT</t>
        </is>
      </c>
      <c r="M324" s="50">
        <v>795000</v>
      </c>
      <c r="N324" s="48" t="inlineStr">
        <is>
          <t xml:space="preserve">Personal</t>
        </is>
      </c>
      <c r="O324" s="46" t="inlineStr">
        <is>
          <t xml:space="preserve">Personal - regular use</t>
        </is>
      </c>
      <c r="P324" s="46" t="inlineStr">
        <is>
          <t xml:space="preserve">1,000 - 2,500</t>
        </is>
      </c>
      <c r="Q324" s="46" t="inlineStr">
        <is>
          <t xml:space="preserve">Texas</t>
        </is>
      </c>
      <c r="R324" s="46" t="inlineStr">
        <is>
          <t xml:space="preserve">75201</t>
        </is>
      </c>
      <c r="S324" s="48" t="inlineStr">
        <is>
          <t xml:space="preserve">Tier 2 - Coastal wind (1-25 miles)</t>
        </is>
      </c>
      <c r="T324" s="36">
        <f>IF($A324="","",IF($S324="","",IFERROR(INDEX('[1]natural catastrophe'!$D$6:$D$17,MATCH($S324,'[1]natural catastrophe'!$B$6:$B$17,0)),"?")))</f>
      </c>
      <c r="U324" s="46" t="inlineStr">
        <is>
          <t xml:space="preserve">2% of agreed value, minimum $10,000</t>
        </is>
      </c>
      <c r="V324" s="48" t="inlineStr">
        <is>
          <t xml:space="preserve">Agreed Value</t>
        </is>
      </c>
      <c r="W324" s="46" t="inlineStr">
        <is>
          <t xml:space="preserve">$1,000</t>
        </is>
      </c>
      <c r="X324" s="48" t="inlineStr">
        <is>
          <t xml:space="preserve">$1,000,000 CSL</t>
        </is>
      </c>
      <c r="Y324" s="46"/>
      <c r="Z324" s="46"/>
      <c r="AA324" s="48" t="inlineStr">
        <is>
          <t xml:space="preserve">Surplus Lines</t>
        </is>
      </c>
      <c r="AB324" s="50">
        <v>10308.77</v>
      </c>
      <c r="AC324" s="51">
        <v>0</v>
      </c>
      <c r="AD324" s="38">
        <f>IF(ISNUMBER($AB324),$AB324*(1+N($AC324)),"")</f>
      </c>
      <c r="AE324" s="50">
        <v>350</v>
      </c>
      <c r="AF324" s="50">
        <v>0</v>
      </c>
      <c r="AG324" s="51"/>
      <c r="AH324" s="39">
        <f>IF(ISNUMBER($AD324),($AD324+$AE324+$AF324)*$AG324,"")</f>
      </c>
      <c r="AI324" s="50"/>
      <c r="AJ324" s="38">
        <f>IF(ISNUMBER($AD324),SUM($AD324:$AH324),"")</f>
      </c>
      <c r="AK324" s="40">
        <f>IF(AND(ISNUMBER($AB324),ISNUMBER($AD324)),IF($AB324&gt;0,$AD324/$AB324,""),"")</f>
      </c>
      <c r="AL324" s="48" t="inlineStr">
        <is>
          <t xml:space="preserve">At technical</t>
        </is>
      </c>
      <c r="AM324" s="41">
        <f>IF(ISNUMBER($AD324),Header!$I$3,"")</f>
      </c>
      <c r="AN324" s="39">
        <f>IF(ISNUMBER($AD324),$AO324+$AP324,"")</f>
      </c>
      <c r="AO324" s="39">
        <f>IF(ISNUMBER($AD324),ROUND($AD324*Header!$K$3,2),"")</f>
      </c>
      <c r="AP324" s="39">
        <f>IF(ISNUMBER($AD324),ROUND($AD324*Header!$M$3,2),"")</f>
      </c>
      <c r="AQ324" s="38">
        <f>IF(ISNUMBER($AD324),ROUND($AD324,2)-$AO324-$AP324,"")</f>
      </c>
      <c r="AR324" s="39">
        <f>IF(ISNUMBER($AD324),IF(Header!$D$34="","?",$AD324*Header!$D$34),"")</f>
      </c>
      <c r="AS324" s="39">
        <f>IF(ISNUMBER($AB324),IF(Header!$D$34="","?",$AB324*Header!$D$34),"")</f>
      </c>
      <c r="AT324" s="42">
        <f>IF(AND(ISNUMBER($AB324),$M324&gt;0),$AB324/$M324*100,"")</f>
      </c>
      <c r="AU324" s="42">
        <f>IF(AND(ISNUMBER($AD324),$M324&gt;0),$AD324/$M324*100,"")</f>
      </c>
      <c r="AV324" s="40">
        <f>IF(AND(ISNUMBER($AB324),ISNUMBER($AD324),ABS($AB324)&gt;0),$AD324/$AB324,"")</f>
      </c>
      <c r="AW324" s="39">
        <f>IF(ISNUMBER($AD324),MAX(0,(1-0.55-Header!$O$3)*Header!$Q$3*$AQ324),"")</f>
      </c>
      <c r="AX324" s="43">
        <f>IF($A324="","",IF(TRIM(IF($A324="","Missing certificate ref. ","") &amp; IF($C324="","Missing effective date. ","") &amp; IF($D324="","Missing binding status. ","") &amp; IF($E324="","Missing movement type. ","") &amp; IF($I324="","Missing make. ","") &amp; IF($L324="","Missing vehicle class. ","") &amp; IF($M324="","Missing agreed value. ","") &amp; IF($N324="","Missing policy type. ","") &amp; IF($Q324="","Missing garaging state. ","") &amp; IF($R324="","Missing garaging ZIP. ","") &amp; IF($S324="","Missing cat zone. ","") &amp; IF($V324="","Missing valuation basis. ","") &amp; IF($W324="","Missing PD deductible. ","") &amp; IF($X324="","Missing liability limit. ","") &amp; IF($AB324="","Missing technical premium. ","") &amp; IF($AF324="","Missing surplus lines tax %. ",""))="","PASS","FAIL: "&amp;TRIM(IF($A324="","Missing certificate ref. ","") &amp; IF($C324="","Missing effective date. ","") &amp; IF($D324="","Missing binding status. ","") &amp; IF($E324="","Missing movement type. ","") &amp; IF($I324="","Missing make. ","") &amp; IF($L324="","Missing vehicle class. ","") &amp; IF($M324="","Missing agreed value. ","") &amp; IF($N324="","Missing policy type. ","") &amp; IF($Q324="","Missing garaging state. ","") &amp; IF($R324="","Missing garaging ZIP. ","") &amp; IF($S324="","Missing cat zone. ","") &amp; IF($V324="","Missing valuation basis. ","") &amp; IF($W324="","Missing PD deductible. ","") &amp; IF($X324="","Missing liability limit. ","") &amp; IF($AB324="","Missing technical premium. ","") &amp; IF($AF324="","Missing surplus lines tax %. ",""))))</f>
      </c>
      <c r="AY324" s="44">
        <f>IF($M324="","",IF(ISNUMBER($M324),IF($M324&gt;=Header!$C$18,"YES — refer","No"),""))</f>
      </c>
      <c r="AZ324" s="44">
        <f>IF($AD324="","",IF(ISNUMBER($AD324),IF($AD324&lt;Header!$C$20,"BELOW MIN PREMIUM","OK"),""))</f>
      </c>
      <c r="BA324" s="48" t="inlineStr">
        <is>
          <t xml:space="preserve">Yes</t>
        </is>
      </c>
      <c r="BB324" s="48" t="inlineStr">
        <is>
          <t xml:space="preserve">Yes</t>
        </is>
      </c>
      <c r="BC324" s="46" t="inlineStr">
        <is>
          <t xml:space="preserve">Synthetic demo data</t>
        </is>
      </c>
      <c r="BE324" s="45">
        <f>IF(OR($A324="",$L324="",$H324=""),"",IF(AND(LEFT($L324,2)="06",$H324&gt;1945),"FAIL - pre-war class, year "&amp;$H324,IF(AND(LEFT($L324,2)="07",OR($H324&lt;1946,$H324&gt;1972)),"FAIL - 1946-72 class, year "&amp;$H324,IF(AND(LEFT($L324,2)="08",OR($H324&lt;1973,$H324&gt;1999)),"FAIL - 1973-99 class, year "&amp;$H324,IF(AND(LEFT($L324,2)="09",OR($H324&lt;2000,$H324&gt;2010)),"FAIL - 2000-10 class, year "&amp;$H324,"OK")))))</f>
      </c>
      <c r="BF324" s="45">
        <f>IF($AD324="","",IF(ROUND($AO324+$AP324+$AQ324-$AD324,2)=0,"OK","FAIL - out by "&amp;TEXT($AO324+$AP324+$AQ324-$AD324,"$0.00")))</f>
      </c>
    </row>
    <row r="325" spans="1:58" ht="18.75" customHeight="1" x14ac:dyDescent="0.25">
      <c r="A325" s="30" t="inlineStr">
        <is>
          <t xml:space="preserve">CANON-202511-002610</t>
        </is>
      </c>
      <c r="B325" s="30" t="inlineStr">
        <is>
          <t xml:space="preserve">Priya Larsson</t>
        </is>
      </c>
      <c r="C325" s="31">
        <v>45974</v>
      </c>
      <c r="D325" s="32" t="inlineStr">
        <is>
          <t xml:space="preserve">Bound - within authority</t>
        </is>
      </c>
      <c r="E325" s="32" t="inlineStr">
        <is>
          <t xml:space="preserve">New business</t>
        </is>
      </c>
      <c r="F325" s="30" t="inlineStr">
        <is>
          <t xml:space="preserve">B1234EXOTIC26</t>
        </is>
      </c>
      <c r="G325" s="33">
        <f>IF($A325="","",IF($C325="","",YEAR($C325)))</f>
      </c>
      <c r="H325" s="34">
        <v>2014</v>
      </c>
      <c r="I325" s="30" t="inlineStr">
        <is>
          <t xml:space="preserve">Mercedes-Benz</t>
        </is>
      </c>
      <c r="J325" s="30" t="inlineStr">
        <is>
          <t xml:space="preserve">AMG GT</t>
        </is>
      </c>
      <c r="K325" s="30" t="inlineStr">
        <is>
          <t xml:space="preserve">SGBGXY6LUTCW08F6C</t>
        </is>
      </c>
      <c r="L325" s="32" t="inlineStr">
        <is>
          <t xml:space="preserve">02 - Sports / GT</t>
        </is>
      </c>
      <c r="M325" s="35">
        <v>900000</v>
      </c>
      <c r="N325" s="32" t="inlineStr">
        <is>
          <t xml:space="preserve">Personal</t>
        </is>
      </c>
      <c r="O325" s="30" t="inlineStr">
        <is>
          <t xml:space="preserve">Personal - regular use</t>
        </is>
      </c>
      <c r="P325" s="30" t="inlineStr">
        <is>
          <t xml:space="preserve">2,500 - 5,000</t>
        </is>
      </c>
      <c r="Q325" s="30" t="inlineStr">
        <is>
          <t xml:space="preserve">Illinois</t>
        </is>
      </c>
      <c r="R325" s="30" t="inlineStr">
        <is>
          <t xml:space="preserve">60601</t>
        </is>
      </c>
      <c r="S325" s="32" t="inlineStr">
        <is>
          <t xml:space="preserve">Severe convective - hail / tornado (moderate)</t>
        </is>
      </c>
      <c r="T325" s="36">
        <f>IF($A325="","",IF($S325="","",IFERROR(INDEX('[1]natural catastrophe'!$D$6:$D$17,MATCH($S325,'[1]natural catastrophe'!$B$6:$B$17,0)),"?")))</f>
      </c>
      <c r="U325" s="30" t="inlineStr">
        <is>
          <t xml:space="preserve">$5,000</t>
        </is>
      </c>
      <c r="V325" s="32" t="inlineStr">
        <is>
          <t xml:space="preserve">Agreed Value</t>
        </is>
      </c>
      <c r="W325" s="30" t="inlineStr">
        <is>
          <t xml:space="preserve">$1,000</t>
        </is>
      </c>
      <c r="X325" s="32" t="inlineStr">
        <is>
          <t xml:space="preserve">$1,000,000 CSL</t>
        </is>
      </c>
      <c r="Y325" s="30"/>
      <c r="Z325" s="30"/>
      <c r="AA325" s="32" t="inlineStr">
        <is>
          <t xml:space="preserve">Surplus Lines</t>
        </is>
      </c>
      <c r="AB325" s="35">
        <v>13801.41</v>
      </c>
      <c r="AC325" s="37">
        <v>0</v>
      </c>
      <c r="AD325" s="38">
        <f>IF(ISNUMBER($AB325),$AB325*(1+N($AC325)),"")</f>
      </c>
      <c r="AE325" s="35">
        <v>350</v>
      </c>
      <c r="AF325" s="35">
        <v>0</v>
      </c>
      <c r="AG325" s="37"/>
      <c r="AH325" s="39">
        <f>IF(ISNUMBER($AD325),($AD325+$AE325+$AF325)*$AG325,"")</f>
      </c>
      <c r="AI325" s="35"/>
      <c r="AJ325" s="38">
        <f>IF(ISNUMBER($AD325),SUM($AD325:$AH325),"")</f>
      </c>
      <c r="AK325" s="40">
        <f>IF(AND(ISNUMBER($AB325),ISNUMBER($AD325)),IF($AB325&gt;0,$AD325/$AB325,""),"")</f>
      </c>
      <c r="AL325" s="32" t="inlineStr">
        <is>
          <t xml:space="preserve">At technical</t>
        </is>
      </c>
      <c r="AM325" s="41">
        <f>IF(ISNUMBER($AD325),Header!$I$3,"")</f>
      </c>
      <c r="AN325" s="39">
        <f>IF(ISNUMBER($AD325),$AO325+$AP325,"")</f>
      </c>
      <c r="AO325" s="39">
        <f>IF(ISNUMBER($AD325),ROUND($AD325*Header!$K$3,2),"")</f>
      </c>
      <c r="AP325" s="39">
        <f>IF(ISNUMBER($AD325),ROUND($AD325*Header!$M$3,2),"")</f>
      </c>
      <c r="AQ325" s="38">
        <f>IF(ISNUMBER($AD325),ROUND($AD325,2)-$AO325-$AP325,"")</f>
      </c>
      <c r="AR325" s="39">
        <f>IF(ISNUMBER($AD325),IF(Header!$D$34="","?",$AD325*Header!$D$34),"")</f>
      </c>
      <c r="AS325" s="39">
        <f>IF(ISNUMBER($AB325),IF(Header!$D$34="","?",$AB325*Header!$D$34),"")</f>
      </c>
      <c r="AT325" s="42">
        <f>IF(AND(ISNUMBER($AB325),$M325&gt;0),$AB325/$M325*100,"")</f>
      </c>
      <c r="AU325" s="42">
        <f>IF(AND(ISNUMBER($AD325),$M325&gt;0),$AD325/$M325*100,"")</f>
      </c>
      <c r="AV325" s="40">
        <f>IF(AND(ISNUMBER($AB325),ISNUMBER($AD325),ABS($AB325)&gt;0),$AD325/$AB325,"")</f>
      </c>
      <c r="AW325" s="39">
        <f>IF(ISNUMBER($AD325),MAX(0,(1-0.55-Header!$O$3)*Header!$Q$3*$AQ325),"")</f>
      </c>
      <c r="AX325" s="43">
        <f>IF($A325="","",IF(TRIM(IF($A325="","Missing certificate ref. ","") &amp; IF($C325="","Missing effective date. ","") &amp; IF($D325="","Missing binding status. ","") &amp; IF($E325="","Missing movement type. ","") &amp; IF($I325="","Missing make. ","") &amp; IF($L325="","Missing vehicle class. ","") &amp; IF($M325="","Missing agreed value. ","") &amp; IF($N325="","Missing policy type. ","") &amp; IF($Q325="","Missing garaging state. ","") &amp; IF($R325="","Missing garaging ZIP. ","") &amp; IF($S325="","Missing cat zone. ","") &amp; IF($V325="","Missing valuation basis. ","") &amp; IF($W325="","Missing PD deductible. ","") &amp; IF($X325="","Missing liability limit. ","") &amp; IF($AB325="","Missing technical premium. ","") &amp; IF($AF325="","Missing surplus lines tax %. ",""))="","PASS","FAIL: "&amp;TRIM(IF($A325="","Missing certificate ref. ","") &amp; IF($C325="","Missing effective date. ","") &amp; IF($D325="","Missing binding status. ","") &amp; IF($E325="","Missing movement type. ","") &amp; IF($I325="","Missing make. ","") &amp; IF($L325="","Missing vehicle class. ","") &amp; IF($M325="","Missing agreed value. ","") &amp; IF($N325="","Missing policy type. ","") &amp; IF($Q325="","Missing garaging state. ","") &amp; IF($R325="","Missing garaging ZIP. ","") &amp; IF($S325="","Missing cat zone. ","") &amp; IF($V325="","Missing valuation basis. ","") &amp; IF($W325="","Missing PD deductible. ","") &amp; IF($X325="","Missing liability limit. ","") &amp; IF($AB325="","Missing technical premium. ","") &amp; IF($AF325="","Missing surplus lines tax %. ",""))))</f>
      </c>
      <c r="AY325" s="44">
        <f>IF($M325="","",IF(ISNUMBER($M325),IF($M325&gt;=Header!$C$18,"YES — refer","No"),""))</f>
      </c>
      <c r="AZ325" s="44">
        <f>IF($AD325="","",IF(ISNUMBER($AD325),IF($AD325&lt;Header!$C$20,"BELOW MIN PREMIUM","OK"),""))</f>
      </c>
      <c r="BA325" s="32" t="inlineStr">
        <is>
          <t xml:space="preserve">Yes</t>
        </is>
      </c>
      <c r="BB325" s="32" t="inlineStr">
        <is>
          <t xml:space="preserve">Yes</t>
        </is>
      </c>
      <c r="BC325" s="30" t="inlineStr">
        <is>
          <t xml:space="preserve">Synthetic demo data</t>
        </is>
      </c>
      <c r="BE325" s="45">
        <f>IF(OR($A325="",$L325="",$H325=""),"",IF(AND(LEFT($L325,2)="06",$H325&gt;1945),"FAIL - pre-war class, year "&amp;$H325,IF(AND(LEFT($L325,2)="07",OR($H325&lt;1946,$H325&gt;1972)),"FAIL - 1946-72 class, year "&amp;$H325,IF(AND(LEFT($L325,2)="08",OR($H325&lt;1973,$H325&gt;1999)),"FAIL - 1973-99 class, year "&amp;$H325,IF(AND(LEFT($L325,2)="09",OR($H325&lt;2000,$H325&gt;2010)),"FAIL - 2000-10 class, year "&amp;$H325,"OK")))))</f>
      </c>
      <c r="BF325" s="45">
        <f>IF($AD325="","",IF(ROUND($AO325+$AP325+$AQ325-$AD325,2)=0,"OK","FAIL - out by "&amp;TEXT($AO325+$AP325+$AQ325-$AD325,"$0.00")))</f>
      </c>
    </row>
    <row r="326" spans="1:58" ht="18.75" customHeight="1" x14ac:dyDescent="0.25">
      <c r="A326" s="46" t="inlineStr">
        <is>
          <t xml:space="preserve">CANON-202511-002611</t>
        </is>
      </c>
      <c r="B326" s="46" t="inlineStr">
        <is>
          <t xml:space="preserve">Wilhelmina Blackwood</t>
        </is>
      </c>
      <c r="C326" s="47">
        <v>45987</v>
      </c>
      <c r="D326" s="48" t="inlineStr">
        <is>
          <t xml:space="preserve">Bound - within authority</t>
        </is>
      </c>
      <c r="E326" s="48" t="inlineStr">
        <is>
          <t xml:space="preserve">New business</t>
        </is>
      </c>
      <c r="F326" s="46" t="inlineStr">
        <is>
          <t xml:space="preserve">B1234EXOTIC26</t>
        </is>
      </c>
      <c r="G326" s="33">
        <f>IF($A326="","",IF($C326="","",YEAR($C326)))</f>
      </c>
      <c r="H326" s="49">
        <v>2008</v>
      </c>
      <c r="I326" s="46" t="inlineStr">
        <is>
          <t xml:space="preserve">Ferrari</t>
        </is>
      </c>
      <c r="J326" s="46" t="inlineStr">
        <is>
          <t xml:space="preserve">296 GTB</t>
        </is>
      </c>
      <c r="K326" s="46" t="inlineStr">
        <is>
          <t xml:space="preserve">91TRTF13D7WXVFVP2</t>
        </is>
      </c>
      <c r="L326" s="48" t="inlineStr">
        <is>
          <t xml:space="preserve">03 - Supercar</t>
        </is>
      </c>
      <c r="M326" s="50">
        <v>850000</v>
      </c>
      <c r="N326" s="48" t="inlineStr">
        <is>
          <t xml:space="preserve">Personal</t>
        </is>
      </c>
      <c r="O326" s="46" t="inlineStr">
        <is>
          <t xml:space="preserve">Personal - regular use</t>
        </is>
      </c>
      <c r="P326" s="46" t="inlineStr">
        <is>
          <t xml:space="preserve">1,000 - 2,500</t>
        </is>
      </c>
      <c r="Q326" s="46" t="inlineStr">
        <is>
          <t xml:space="preserve">Michigan</t>
        </is>
      </c>
      <c r="R326" s="46" t="inlineStr">
        <is>
          <t xml:space="preserve">48226</t>
        </is>
      </c>
      <c r="S326" s="48" t="inlineStr">
        <is>
          <t xml:space="preserve">Severe convective - hail / tornado (moderate)</t>
        </is>
      </c>
      <c r="T326" s="36">
        <f>IF($A326="","",IF($S326="","",IFERROR(INDEX('[1]natural catastrophe'!$D$6:$D$17,MATCH($S326,'[1]natural catastrophe'!$B$6:$B$17,0)),"?")))</f>
      </c>
      <c r="U326" s="46" t="inlineStr">
        <is>
          <t xml:space="preserve">$5,000</t>
        </is>
      </c>
      <c r="V326" s="48" t="inlineStr">
        <is>
          <t xml:space="preserve">Agreed Value</t>
        </is>
      </c>
      <c r="W326" s="46" t="inlineStr">
        <is>
          <t xml:space="preserve">$1,000</t>
        </is>
      </c>
      <c r="X326" s="48" t="inlineStr">
        <is>
          <t xml:space="preserve">$1,000,000 CSL</t>
        </is>
      </c>
      <c r="Y326" s="46"/>
      <c r="Z326" s="46"/>
      <c r="AA326" s="48" t="inlineStr">
        <is>
          <t xml:space="preserve">Surplus Lines</t>
        </is>
      </c>
      <c r="AB326" s="50">
        <v>21712.16</v>
      </c>
      <c r="AC326" s="51">
        <v>0</v>
      </c>
      <c r="AD326" s="38">
        <f>IF(ISNUMBER($AB326),$AB326*(1+N($AC326)),"")</f>
      </c>
      <c r="AE326" s="50">
        <v>350</v>
      </c>
      <c r="AF326" s="50">
        <v>0</v>
      </c>
      <c r="AG326" s="51"/>
      <c r="AH326" s="39">
        <f>IF(ISNUMBER($AD326),($AD326+$AE326+$AF326)*$AG326,"")</f>
      </c>
      <c r="AI326" s="50"/>
      <c r="AJ326" s="38">
        <f>IF(ISNUMBER($AD326),SUM($AD326:$AH326),"")</f>
      </c>
      <c r="AK326" s="40">
        <f>IF(AND(ISNUMBER($AB326),ISNUMBER($AD326)),IF($AB326&gt;0,$AD326/$AB326,""),"")</f>
      </c>
      <c r="AL326" s="48" t="inlineStr">
        <is>
          <t xml:space="preserve">At technical</t>
        </is>
      </c>
      <c r="AM326" s="41">
        <f>IF(ISNUMBER($AD326),Header!$I$3,"")</f>
      </c>
      <c r="AN326" s="39">
        <f>IF(ISNUMBER($AD326),$AO326+$AP326,"")</f>
      </c>
      <c r="AO326" s="39">
        <f>IF(ISNUMBER($AD326),ROUND($AD326*Header!$K$3,2),"")</f>
      </c>
      <c r="AP326" s="39">
        <f>IF(ISNUMBER($AD326),ROUND($AD326*Header!$M$3,2),"")</f>
      </c>
      <c r="AQ326" s="38">
        <f>IF(ISNUMBER($AD326),ROUND($AD326,2)-$AO326-$AP326,"")</f>
      </c>
      <c r="AR326" s="39">
        <f>IF(ISNUMBER($AD326),IF(Header!$D$34="","?",$AD326*Header!$D$34),"")</f>
      </c>
      <c r="AS326" s="39">
        <f>IF(ISNUMBER($AB326),IF(Header!$D$34="","?",$AB326*Header!$D$34),"")</f>
      </c>
      <c r="AT326" s="42">
        <f>IF(AND(ISNUMBER($AB326),$M326&gt;0),$AB326/$M326*100,"")</f>
      </c>
      <c r="AU326" s="42">
        <f>IF(AND(ISNUMBER($AD326),$M326&gt;0),$AD326/$M326*100,"")</f>
      </c>
      <c r="AV326" s="40">
        <f>IF(AND(ISNUMBER($AB326),ISNUMBER($AD326),ABS($AB326)&gt;0),$AD326/$AB326,"")</f>
      </c>
      <c r="AW326" s="39">
        <f>IF(ISNUMBER($AD326),MAX(0,(1-0.55-Header!$O$3)*Header!$Q$3*$AQ326),"")</f>
      </c>
      <c r="AX326" s="43">
        <f>IF($A326="","",IF(TRIM(IF($A326="","Missing certificate ref. ","") &amp; IF($C326="","Missing effective date. ","") &amp; IF($D326="","Missing binding status. ","") &amp; IF($E326="","Missing movement type. ","") &amp; IF($I326="","Missing make. ","") &amp; IF($L326="","Missing vehicle class. ","") &amp; IF($M326="","Missing agreed value. ","") &amp; IF($N326="","Missing policy type. ","") &amp; IF($Q326="","Missing garaging state. ","") &amp; IF($R326="","Missing garaging ZIP. ","") &amp; IF($S326="","Missing cat zone. ","") &amp; IF($V326="","Missing valuation basis. ","") &amp; IF($W326="","Missing PD deductible. ","") &amp; IF($X326="","Missing liability limit. ","") &amp; IF($AB326="","Missing technical premium. ","") &amp; IF($AF326="","Missing surplus lines tax %. ",""))="","PASS","FAIL: "&amp;TRIM(IF($A326="","Missing certificate ref. ","") &amp; IF($C326="","Missing effective date. ","") &amp; IF($D326="","Missing binding status. ","") &amp; IF($E326="","Missing movement type. ","") &amp; IF($I326="","Missing make. ","") &amp; IF($L326="","Missing vehicle class. ","") &amp; IF($M326="","Missing agreed value. ","") &amp; IF($N326="","Missing policy type. ","") &amp; IF($Q326="","Missing garaging state. ","") &amp; IF($R326="","Missing garaging ZIP. ","") &amp; IF($S326="","Missing cat zone. ","") &amp; IF($V326="","Missing valuation basis. ","") &amp; IF($W326="","Missing PD deductible. ","") &amp; IF($X326="","Missing liability limit. ","") &amp; IF($AB326="","Missing technical premium. ","") &amp; IF($AF326="","Missing surplus lines tax %. ",""))))</f>
      </c>
      <c r="AY326" s="44">
        <f>IF($M326="","",IF(ISNUMBER($M326),IF($M326&gt;=Header!$C$18,"YES — refer","No"),""))</f>
      </c>
      <c r="AZ326" s="44">
        <f>IF($AD326="","",IF(ISNUMBER($AD326),IF($AD326&lt;Header!$C$20,"BELOW MIN PREMIUM","OK"),""))</f>
      </c>
      <c r="BA326" s="48" t="inlineStr">
        <is>
          <t xml:space="preserve">Yes</t>
        </is>
      </c>
      <c r="BB326" s="48" t="inlineStr">
        <is>
          <t xml:space="preserve">Yes</t>
        </is>
      </c>
      <c r="BC326" s="46" t="inlineStr">
        <is>
          <t xml:space="preserve">Synthetic demo data</t>
        </is>
      </c>
      <c r="BE326" s="45">
        <f>IF(OR($A326="",$L326="",$H326=""),"",IF(AND(LEFT($L326,2)="06",$H326&gt;1945),"FAIL - pre-war class, year "&amp;$H326,IF(AND(LEFT($L326,2)="07",OR($H326&lt;1946,$H326&gt;1972)),"FAIL - 1946-72 class, year "&amp;$H326,IF(AND(LEFT($L326,2)="08",OR($H326&lt;1973,$H326&gt;1999)),"FAIL - 1973-99 class, year "&amp;$H326,IF(AND(LEFT($L326,2)="09",OR($H326&lt;2000,$H326&gt;2010)),"FAIL - 2000-10 class, year "&amp;$H326,"OK")))))</f>
      </c>
      <c r="BF326" s="45">
        <f>IF($AD326="","",IF(ROUND($AO326+$AP326+$AQ326-$AD326,2)=0,"OK","FAIL - out by "&amp;TEXT($AO326+$AP326+$AQ326-$AD326,"$0.00")))</f>
      </c>
    </row>
    <row r="327" spans="1:58" ht="18.75" customHeight="1" x14ac:dyDescent="0.25">
      <c r="A327" s="30" t="inlineStr">
        <is>
          <t xml:space="preserve">CANON-202511-002612</t>
        </is>
      </c>
      <c r="B327" s="30" t="inlineStr">
        <is>
          <t xml:space="preserve">Callum Kingsford</t>
        </is>
      </c>
      <c r="C327" s="31">
        <v>45966</v>
      </c>
      <c r="D327" s="32" t="inlineStr">
        <is>
          <t xml:space="preserve">Bound - within authority</t>
        </is>
      </c>
      <c r="E327" s="32" t="inlineStr">
        <is>
          <t xml:space="preserve">New business</t>
        </is>
      </c>
      <c r="F327" s="30" t="inlineStr">
        <is>
          <t xml:space="preserve">B1234EXOTIC26</t>
        </is>
      </c>
      <c r="G327" s="33">
        <f>IF($A327="","",IF($C327="","",YEAR($C327)))</f>
      </c>
      <c r="H327" s="34">
        <v>1975</v>
      </c>
      <c r="I327" s="30" t="inlineStr">
        <is>
          <t xml:space="preserve">BMW</t>
        </is>
      </c>
      <c r="J327" s="30" t="inlineStr">
        <is>
          <t xml:space="preserve">M8 Competition</t>
        </is>
      </c>
      <c r="K327" s="30" t="inlineStr">
        <is>
          <t xml:space="preserve">3L0FMMHFLGKZBXT94</t>
        </is>
      </c>
      <c r="L327" s="32" t="inlineStr">
        <is>
          <t xml:space="preserve">02 - Sports / GT</t>
        </is>
      </c>
      <c r="M327" s="35">
        <v>455000</v>
      </c>
      <c r="N327" s="32" t="inlineStr">
        <is>
          <t xml:space="preserve">Personal</t>
        </is>
      </c>
      <c r="O327" s="30" t="inlineStr">
        <is>
          <t xml:space="preserve">Personal - regular use</t>
        </is>
      </c>
      <c r="P327" s="30" t="inlineStr">
        <is>
          <t xml:space="preserve">2,500 - 5,000</t>
        </is>
      </c>
      <c r="Q327" s="30" t="inlineStr">
        <is>
          <t xml:space="preserve">Ohio</t>
        </is>
      </c>
      <c r="R327" s="30" t="inlineStr">
        <is>
          <t xml:space="preserve">43215</t>
        </is>
      </c>
      <c r="S327" s="32" t="inlineStr">
        <is>
          <t xml:space="preserve">Severe convective - hail / tornado (moderate)</t>
        </is>
      </c>
      <c r="T327" s="36">
        <f>IF($A327="","",IF($S327="","",IFERROR(INDEX('[1]natural catastrophe'!$D$6:$D$17,MATCH($S327,'[1]natural catastrophe'!$B$6:$B$17,0)),"?")))</f>
      </c>
      <c r="U327" s="30" t="inlineStr">
        <is>
          <t xml:space="preserve">$5,000</t>
        </is>
      </c>
      <c r="V327" s="32" t="inlineStr">
        <is>
          <t xml:space="preserve">Agreed Value</t>
        </is>
      </c>
      <c r="W327" s="30" t="inlineStr">
        <is>
          <t xml:space="preserve">$1,000</t>
        </is>
      </c>
      <c r="X327" s="32" t="inlineStr">
        <is>
          <t xml:space="preserve">$1,000,000 CSL</t>
        </is>
      </c>
      <c r="Y327" s="30"/>
      <c r="Z327" s="30"/>
      <c r="AA327" s="32" t="inlineStr">
        <is>
          <t xml:space="preserve">Surplus Lines</t>
        </is>
      </c>
      <c r="AB327" s="35">
        <v>8228.41</v>
      </c>
      <c r="AC327" s="37">
        <v>0</v>
      </c>
      <c r="AD327" s="38">
        <f>IF(ISNUMBER($AB327),$AB327*(1+N($AC327)),"")</f>
      </c>
      <c r="AE327" s="35">
        <v>350</v>
      </c>
      <c r="AF327" s="35">
        <v>0</v>
      </c>
      <c r="AG327" s="37"/>
      <c r="AH327" s="39">
        <f>IF(ISNUMBER($AD327),($AD327+$AE327+$AF327)*$AG327,"")</f>
      </c>
      <c r="AI327" s="35"/>
      <c r="AJ327" s="38">
        <f>IF(ISNUMBER($AD327),SUM($AD327:$AH327),"")</f>
      </c>
      <c r="AK327" s="40">
        <f>IF(AND(ISNUMBER($AB327),ISNUMBER($AD327)),IF($AB327&gt;0,$AD327/$AB327,""),"")</f>
      </c>
      <c r="AL327" s="32" t="inlineStr">
        <is>
          <t xml:space="preserve">At technical</t>
        </is>
      </c>
      <c r="AM327" s="41">
        <f>IF(ISNUMBER($AD327),Header!$I$3,"")</f>
      </c>
      <c r="AN327" s="39">
        <f>IF(ISNUMBER($AD327),$AO327+$AP327,"")</f>
      </c>
      <c r="AO327" s="39">
        <f>IF(ISNUMBER($AD327),ROUND($AD327*Header!$K$3,2),"")</f>
      </c>
      <c r="AP327" s="39">
        <f>IF(ISNUMBER($AD327),ROUND($AD327*Header!$M$3,2),"")</f>
      </c>
      <c r="AQ327" s="38">
        <f>IF(ISNUMBER($AD327),ROUND($AD327,2)-$AO327-$AP327,"")</f>
      </c>
      <c r="AR327" s="39">
        <f>IF(ISNUMBER($AD327),IF(Header!$D$34="","?",$AD327*Header!$D$34),"")</f>
      </c>
      <c r="AS327" s="39">
        <f>IF(ISNUMBER($AB327),IF(Header!$D$34="","?",$AB327*Header!$D$34),"")</f>
      </c>
      <c r="AT327" s="42">
        <f>IF(AND(ISNUMBER($AB327),$M327&gt;0),$AB327/$M327*100,"")</f>
      </c>
      <c r="AU327" s="42">
        <f>IF(AND(ISNUMBER($AD327),$M327&gt;0),$AD327/$M327*100,"")</f>
      </c>
      <c r="AV327" s="40">
        <f>IF(AND(ISNUMBER($AB327),ISNUMBER($AD327),ABS($AB327)&gt;0),$AD327/$AB327,"")</f>
      </c>
      <c r="AW327" s="39">
        <f>IF(ISNUMBER($AD327),MAX(0,(1-0.55-Header!$O$3)*Header!$Q$3*$AQ327),"")</f>
      </c>
      <c r="AX327" s="43">
        <f>IF($A327="","",IF(TRIM(IF($A327="","Missing certificate ref. ","") &amp; IF($C327="","Missing effective date. ","") &amp; IF($D327="","Missing binding status. ","") &amp; IF($E327="","Missing movement type. ","") &amp; IF($I327="","Missing make. ","") &amp; IF($L327="","Missing vehicle class. ","") &amp; IF($M327="","Missing agreed value. ","") &amp; IF($N327="","Missing policy type. ","") &amp; IF($Q327="","Missing garaging state. ","") &amp; IF($R327="","Missing garaging ZIP. ","") &amp; IF($S327="","Missing cat zone. ","") &amp; IF($V327="","Missing valuation basis. ","") &amp; IF($W327="","Missing PD deductible. ","") &amp; IF($X327="","Missing liability limit. ","") &amp; IF($AB327="","Missing technical premium. ","") &amp; IF($AF327="","Missing surplus lines tax %. ",""))="","PASS","FAIL: "&amp;TRIM(IF($A327="","Missing certificate ref. ","") &amp; IF($C327="","Missing effective date. ","") &amp; IF($D327="","Missing binding status. ","") &amp; IF($E327="","Missing movement type. ","") &amp; IF($I327="","Missing make. ","") &amp; IF($L327="","Missing vehicle class. ","") &amp; IF($M327="","Missing agreed value. ","") &amp; IF($N327="","Missing policy type. ","") &amp; IF($Q327="","Missing garaging state. ","") &amp; IF($R327="","Missing garaging ZIP. ","") &amp; IF($S327="","Missing cat zone. ","") &amp; IF($V327="","Missing valuation basis. ","") &amp; IF($W327="","Missing PD deductible. ","") &amp; IF($X327="","Missing liability limit. ","") &amp; IF($AB327="","Missing technical premium. ","") &amp; IF($AF327="","Missing surplus lines tax %. ",""))))</f>
      </c>
      <c r="AY327" s="44">
        <f>IF($M327="","",IF(ISNUMBER($M327),IF($M327&gt;=Header!$C$18,"YES — refer","No"),""))</f>
      </c>
      <c r="AZ327" s="44">
        <f>IF($AD327="","",IF(ISNUMBER($AD327),IF($AD327&lt;Header!$C$20,"BELOW MIN PREMIUM","OK"),""))</f>
      </c>
      <c r="BA327" s="32" t="inlineStr">
        <is>
          <t xml:space="preserve">Yes</t>
        </is>
      </c>
      <c r="BB327" s="32" t="inlineStr">
        <is>
          <t xml:space="preserve">Yes</t>
        </is>
      </c>
      <c r="BC327" s="30" t="inlineStr">
        <is>
          <t xml:space="preserve">Synthetic demo data</t>
        </is>
      </c>
      <c r="BE327" s="45">
        <f>IF(OR($A327="",$L327="",$H327=""),"",IF(AND(LEFT($L327,2)="06",$H327&gt;1945),"FAIL - pre-war class, year "&amp;$H327,IF(AND(LEFT($L327,2)="07",OR($H327&lt;1946,$H327&gt;1972)),"FAIL - 1946-72 class, year "&amp;$H327,IF(AND(LEFT($L327,2)="08",OR($H327&lt;1973,$H327&gt;1999)),"FAIL - 1973-99 class, year "&amp;$H327,IF(AND(LEFT($L327,2)="09",OR($H327&lt;2000,$H327&gt;2010)),"FAIL - 2000-10 class, year "&amp;$H327,"OK")))))</f>
      </c>
      <c r="BF327" s="45">
        <f>IF($AD327="","",IF(ROUND($AO327+$AP327+$AQ327-$AD327,2)=0,"OK","FAIL - out by "&amp;TEXT($AO327+$AP327+$AQ327-$AD327,"$0.00")))</f>
      </c>
    </row>
    <row r="328" spans="1:58" ht="18.75" customHeight="1" x14ac:dyDescent="0.25">
      <c r="A328" s="46" t="inlineStr">
        <is>
          <t xml:space="preserve">CANON-202511-002613</t>
        </is>
      </c>
      <c r="B328" s="46" t="inlineStr">
        <is>
          <t xml:space="preserve">Sunniva Kingsford</t>
        </is>
      </c>
      <c r="C328" s="47">
        <v>45974</v>
      </c>
      <c r="D328" s="48" t="inlineStr">
        <is>
          <t xml:space="preserve">Bound - within authority</t>
        </is>
      </c>
      <c r="E328" s="48" t="inlineStr">
        <is>
          <t xml:space="preserve">New business</t>
        </is>
      </c>
      <c r="F328" s="46" t="inlineStr">
        <is>
          <t xml:space="preserve">B1234EXOTIC26</t>
        </is>
      </c>
      <c r="G328" s="33">
        <f>IF($A328="","",IF($C328="","",YEAR($C328)))</f>
      </c>
      <c r="H328" s="49">
        <v>1989</v>
      </c>
      <c r="I328" s="46" t="inlineStr">
        <is>
          <t xml:space="preserve">Aston Martin</t>
        </is>
      </c>
      <c r="J328" s="46" t="inlineStr">
        <is>
          <t xml:space="preserve">DB5</t>
        </is>
      </c>
      <c r="K328" s="46" t="inlineStr">
        <is>
          <t xml:space="preserve">ERVB72RMWM5L8YGFA</t>
        </is>
      </c>
      <c r="L328" s="48" t="inlineStr">
        <is>
          <t xml:space="preserve">08 - Modern Classic (1973-1999)</t>
        </is>
      </c>
      <c r="M328" s="50">
        <v>565000</v>
      </c>
      <c r="N328" s="48" t="inlineStr">
        <is>
          <t xml:space="preserve">Personal</t>
        </is>
      </c>
      <c r="O328" s="46" t="inlineStr">
        <is>
          <t xml:space="preserve">Personal - regular use</t>
        </is>
      </c>
      <c r="P328" s="46" t="inlineStr">
        <is>
          <t xml:space="preserve">Under 1,000</t>
        </is>
      </c>
      <c r="Q328" s="46" t="inlineStr">
        <is>
          <t xml:space="preserve">New York</t>
        </is>
      </c>
      <c r="R328" s="46" t="inlineStr">
        <is>
          <t xml:space="preserve">10022</t>
        </is>
      </c>
      <c r="S328" s="48" t="inlineStr">
        <is>
          <t xml:space="preserve">Tier 3 - Coastal wind (25-100 miles)</t>
        </is>
      </c>
      <c r="T328" s="36">
        <f>IF($A328="","",IF($S328="","",IFERROR(INDEX('[1]natural catastrophe'!$D$6:$D$17,MATCH($S328,'[1]natural catastrophe'!$B$6:$B$17,0)),"?")))</f>
      </c>
      <c r="U328" s="46" t="inlineStr">
        <is>
          <t xml:space="preserve">2% of agreed value, minimum $10,000</t>
        </is>
      </c>
      <c r="V328" s="48" t="inlineStr">
        <is>
          <t xml:space="preserve">Agreed Value</t>
        </is>
      </c>
      <c r="W328" s="46" t="inlineStr">
        <is>
          <t xml:space="preserve">$1,000</t>
        </is>
      </c>
      <c r="X328" s="48" t="inlineStr">
        <is>
          <t xml:space="preserve">$1,000,000 CSL</t>
        </is>
      </c>
      <c r="Y328" s="46"/>
      <c r="Z328" s="46"/>
      <c r="AA328" s="48" t="inlineStr">
        <is>
          <t xml:space="preserve">Surplus Lines</t>
        </is>
      </c>
      <c r="AB328" s="50">
        <v>5394.55</v>
      </c>
      <c r="AC328" s="51">
        <v>0</v>
      </c>
      <c r="AD328" s="38">
        <f>IF(ISNUMBER($AB328),$AB328*(1+N($AC328)),"")</f>
      </c>
      <c r="AE328" s="50">
        <v>350</v>
      </c>
      <c r="AF328" s="50">
        <v>0</v>
      </c>
      <c r="AG328" s="51"/>
      <c r="AH328" s="39">
        <f>IF(ISNUMBER($AD328),($AD328+$AE328+$AF328)*$AG328,"")</f>
      </c>
      <c r="AI328" s="50"/>
      <c r="AJ328" s="38">
        <f>IF(ISNUMBER($AD328),SUM($AD328:$AH328),"")</f>
      </c>
      <c r="AK328" s="40">
        <f>IF(AND(ISNUMBER($AB328),ISNUMBER($AD328)),IF($AB328&gt;0,$AD328/$AB328,""),"")</f>
      </c>
      <c r="AL328" s="48" t="inlineStr">
        <is>
          <t xml:space="preserve">At technical</t>
        </is>
      </c>
      <c r="AM328" s="41">
        <f>IF(ISNUMBER($AD328),Header!$I$3,"")</f>
      </c>
      <c r="AN328" s="39">
        <f>IF(ISNUMBER($AD328),$AO328+$AP328,"")</f>
      </c>
      <c r="AO328" s="39">
        <f>IF(ISNUMBER($AD328),ROUND($AD328*Header!$K$3,2),"")</f>
      </c>
      <c r="AP328" s="39">
        <f>IF(ISNUMBER($AD328),ROUND($AD328*Header!$M$3,2),"")</f>
      </c>
      <c r="AQ328" s="38">
        <f>IF(ISNUMBER($AD328),ROUND($AD328,2)-$AO328-$AP328,"")</f>
      </c>
      <c r="AR328" s="39">
        <f>IF(ISNUMBER($AD328),IF(Header!$D$34="","?",$AD328*Header!$D$34),"")</f>
      </c>
      <c r="AS328" s="39">
        <f>IF(ISNUMBER($AB328),IF(Header!$D$34="","?",$AB328*Header!$D$34),"")</f>
      </c>
      <c r="AT328" s="42">
        <f>IF(AND(ISNUMBER($AB328),$M328&gt;0),$AB328/$M328*100,"")</f>
      </c>
      <c r="AU328" s="42">
        <f>IF(AND(ISNUMBER($AD328),$M328&gt;0),$AD328/$M328*100,"")</f>
      </c>
      <c r="AV328" s="40">
        <f>IF(AND(ISNUMBER($AB328),ISNUMBER($AD328),ABS($AB328)&gt;0),$AD328/$AB328,"")</f>
      </c>
      <c r="AW328" s="39">
        <f>IF(ISNUMBER($AD328),MAX(0,(1-0.55-Header!$O$3)*Header!$Q$3*$AQ328),"")</f>
      </c>
      <c r="AX328" s="43">
        <f>IF($A328="","",IF(TRIM(IF($A328="","Missing certificate ref. ","") &amp; IF($C328="","Missing effective date. ","") &amp; IF($D328="","Missing binding status. ","") &amp; IF($E328="","Missing movement type. ","") &amp; IF($I328="","Missing make. ","") &amp; IF($L328="","Missing vehicle class. ","") &amp; IF($M328="","Missing agreed value. ","") &amp; IF($N328="","Missing policy type. ","") &amp; IF($Q328="","Missing garaging state. ","") &amp; IF($R328="","Missing garaging ZIP. ","") &amp; IF($S328="","Missing cat zone. ","") &amp; IF($V328="","Missing valuation basis. ","") &amp; IF($W328="","Missing PD deductible. ","") &amp; IF($X328="","Missing liability limit. ","") &amp; IF($AB328="","Missing technical premium. ","") &amp; IF($AF328="","Missing surplus lines tax %. ",""))="","PASS","FAIL: "&amp;TRIM(IF($A328="","Missing certificate ref. ","") &amp; IF($C328="","Missing effective date. ","") &amp; IF($D328="","Missing binding status. ","") &amp; IF($E328="","Missing movement type. ","") &amp; IF($I328="","Missing make. ","") &amp; IF($L328="","Missing vehicle class. ","") &amp; IF($M328="","Missing agreed value. ","") &amp; IF($N328="","Missing policy type. ","") &amp; IF($Q328="","Missing garaging state. ","") &amp; IF($R328="","Missing garaging ZIP. ","") &amp; IF($S328="","Missing cat zone. ","") &amp; IF($V328="","Missing valuation basis. ","") &amp; IF($W328="","Missing PD deductible. ","") &amp; IF($X328="","Missing liability limit. ","") &amp; IF($AB328="","Missing technical premium. ","") &amp; IF($AF328="","Missing surplus lines tax %. ",""))))</f>
      </c>
      <c r="AY328" s="44">
        <f>IF($M328="","",IF(ISNUMBER($M328),IF($M328&gt;=Header!$C$18,"YES — refer","No"),""))</f>
      </c>
      <c r="AZ328" s="44">
        <f>IF($AD328="","",IF(ISNUMBER($AD328),IF($AD328&lt;Header!$C$20,"BELOW MIN PREMIUM","OK"),""))</f>
      </c>
      <c r="BA328" s="48" t="inlineStr">
        <is>
          <t xml:space="preserve">Yes</t>
        </is>
      </c>
      <c r="BB328" s="48" t="inlineStr">
        <is>
          <t xml:space="preserve">Yes</t>
        </is>
      </c>
      <c r="BC328" s="46" t="inlineStr">
        <is>
          <t xml:space="preserve">Synthetic demo data</t>
        </is>
      </c>
      <c r="BE328" s="45">
        <f>IF(OR($A328="",$L328="",$H328=""),"",IF(AND(LEFT($L328,2)="06",$H328&gt;1945),"FAIL - pre-war class, year "&amp;$H328,IF(AND(LEFT($L328,2)="07",OR($H328&lt;1946,$H328&gt;1972)),"FAIL - 1946-72 class, year "&amp;$H328,IF(AND(LEFT($L328,2)="08",OR($H328&lt;1973,$H328&gt;1999)),"FAIL - 1973-99 class, year "&amp;$H328,IF(AND(LEFT($L328,2)="09",OR($H328&lt;2000,$H328&gt;2010)),"FAIL - 2000-10 class, year "&amp;$H328,"OK")))))</f>
      </c>
      <c r="BF328" s="45">
        <f>IF($AD328="","",IF(ROUND($AO328+$AP328+$AQ328-$AD328,2)=0,"OK","FAIL - out by "&amp;TEXT($AO328+$AP328+$AQ328-$AD328,"$0.00")))</f>
      </c>
    </row>
    <row r="329" spans="1:58" ht="18.75" customHeight="1" x14ac:dyDescent="0.25">
      <c r="A329" s="30" t="inlineStr">
        <is>
          <t xml:space="preserve">CANON-202511-002616</t>
        </is>
      </c>
      <c r="B329" s="30" t="inlineStr">
        <is>
          <t xml:space="preserve">Anouk Farkas</t>
        </is>
      </c>
      <c r="C329" s="31">
        <v>45968</v>
      </c>
      <c r="D329" s="32" t="inlineStr">
        <is>
          <t xml:space="preserve">Bound - within authority</t>
        </is>
      </c>
      <c r="E329" s="32" t="inlineStr">
        <is>
          <t xml:space="preserve">New business</t>
        </is>
      </c>
      <c r="F329" s="30" t="inlineStr">
        <is>
          <t xml:space="preserve">B1234EXOTIC26</t>
        </is>
      </c>
      <c r="G329" s="33">
        <f>IF($A329="","",IF($C329="","",YEAR($C329)))</f>
      </c>
      <c r="H329" s="34">
        <v>1985</v>
      </c>
      <c r="I329" s="30" t="inlineStr">
        <is>
          <t xml:space="preserve">Ferrari</t>
        </is>
      </c>
      <c r="J329" s="30" t="inlineStr">
        <is>
          <t xml:space="preserve">296 GTB</t>
        </is>
      </c>
      <c r="K329" s="30" t="inlineStr">
        <is>
          <t xml:space="preserve">ZS853SBGZLCVC6M1A</t>
        </is>
      </c>
      <c r="L329" s="32" t="inlineStr">
        <is>
          <t xml:space="preserve">03 - Supercar</t>
        </is>
      </c>
      <c r="M329" s="35">
        <v>990000</v>
      </c>
      <c r="N329" s="32" t="inlineStr">
        <is>
          <t xml:space="preserve">Personal</t>
        </is>
      </c>
      <c r="O329" s="30" t="inlineStr">
        <is>
          <t xml:space="preserve">Personal - regular use</t>
        </is>
      </c>
      <c r="P329" s="30" t="inlineStr">
        <is>
          <t xml:space="preserve">2,500 - 5,000</t>
        </is>
      </c>
      <c r="Q329" s="30" t="inlineStr">
        <is>
          <t xml:space="preserve">North Carolina</t>
        </is>
      </c>
      <c r="R329" s="30" t="inlineStr">
        <is>
          <t xml:space="preserve">28202</t>
        </is>
      </c>
      <c r="S329" s="32" t="inlineStr">
        <is>
          <t xml:space="preserve">Tier 2 - Coastal wind (1-25 miles)</t>
        </is>
      </c>
      <c r="T329" s="36">
        <f>IF($A329="","",IF($S329="","",IFERROR(INDEX('[1]natural catastrophe'!$D$6:$D$17,MATCH($S329,'[1]natural catastrophe'!$B$6:$B$17,0)),"?")))</f>
      </c>
      <c r="U329" s="30" t="inlineStr">
        <is>
          <t xml:space="preserve">2% of agreed value, minimum $10,000</t>
        </is>
      </c>
      <c r="V329" s="32" t="inlineStr">
        <is>
          <t xml:space="preserve">Agreed Value</t>
        </is>
      </c>
      <c r="W329" s="30" t="inlineStr">
        <is>
          <t xml:space="preserve">$1,000</t>
        </is>
      </c>
      <c r="X329" s="32" t="inlineStr">
        <is>
          <t xml:space="preserve">$1,000,000 CSL</t>
        </is>
      </c>
      <c r="Y329" s="30"/>
      <c r="Z329" s="30"/>
      <c r="AA329" s="32" t="inlineStr">
        <is>
          <t xml:space="preserve">Surplus Lines</t>
        </is>
      </c>
      <c r="AB329" s="35">
        <v>18762.27</v>
      </c>
      <c r="AC329" s="37">
        <v>0</v>
      </c>
      <c r="AD329" s="38">
        <f>IF(ISNUMBER($AB329),$AB329*(1+N($AC329)),"")</f>
      </c>
      <c r="AE329" s="35">
        <v>350</v>
      </c>
      <c r="AF329" s="35">
        <v>0</v>
      </c>
      <c r="AG329" s="37"/>
      <c r="AH329" s="39">
        <f>IF(ISNUMBER($AD329),($AD329+$AE329+$AF329)*$AG329,"")</f>
      </c>
      <c r="AI329" s="35"/>
      <c r="AJ329" s="38">
        <f>IF(ISNUMBER($AD329),SUM($AD329:$AH329),"")</f>
      </c>
      <c r="AK329" s="40">
        <f>IF(AND(ISNUMBER($AB329),ISNUMBER($AD329)),IF($AB329&gt;0,$AD329/$AB329,""),"")</f>
      </c>
      <c r="AL329" s="32" t="inlineStr">
        <is>
          <t xml:space="preserve">At technical</t>
        </is>
      </c>
      <c r="AM329" s="41">
        <f>IF(ISNUMBER($AD329),Header!$I$3,"")</f>
      </c>
      <c r="AN329" s="39">
        <f>IF(ISNUMBER($AD329),$AO329+$AP329,"")</f>
      </c>
      <c r="AO329" s="39">
        <f>IF(ISNUMBER($AD329),ROUND($AD329*Header!$K$3,2),"")</f>
      </c>
      <c r="AP329" s="39">
        <f>IF(ISNUMBER($AD329),ROUND($AD329*Header!$M$3,2),"")</f>
      </c>
      <c r="AQ329" s="38">
        <f>IF(ISNUMBER($AD329),ROUND($AD329,2)-$AO329-$AP329,"")</f>
      </c>
      <c r="AR329" s="39">
        <f>IF(ISNUMBER($AD329),IF(Header!$D$34="","?",$AD329*Header!$D$34),"")</f>
      </c>
      <c r="AS329" s="39">
        <f>IF(ISNUMBER($AB329),IF(Header!$D$34="","?",$AB329*Header!$D$34),"")</f>
      </c>
      <c r="AT329" s="42">
        <f>IF(AND(ISNUMBER($AB329),$M329&gt;0),$AB329/$M329*100,"")</f>
      </c>
      <c r="AU329" s="42">
        <f>IF(AND(ISNUMBER($AD329),$M329&gt;0),$AD329/$M329*100,"")</f>
      </c>
      <c r="AV329" s="40">
        <f>IF(AND(ISNUMBER($AB329),ISNUMBER($AD329),ABS($AB329)&gt;0),$AD329/$AB329,"")</f>
      </c>
      <c r="AW329" s="39">
        <f>IF(ISNUMBER($AD329),MAX(0,(1-0.55-Header!$O$3)*Header!$Q$3*$AQ329),"")</f>
      </c>
      <c r="AX329" s="43">
        <f>IF($A329="","",IF(TRIM(IF($A329="","Missing certificate ref. ","") &amp; IF($C329="","Missing effective date. ","") &amp; IF($D329="","Missing binding status. ","") &amp; IF($E329="","Missing movement type. ","") &amp; IF($I329="","Missing make. ","") &amp; IF($L329="","Missing vehicle class. ","") &amp; IF($M329="","Missing agreed value. ","") &amp; IF($N329="","Missing policy type. ","") &amp; IF($Q329="","Missing garaging state. ","") &amp; IF($R329="","Missing garaging ZIP. ","") &amp; IF($S329="","Missing cat zone. ","") &amp; IF($V329="","Missing valuation basis. ","") &amp; IF($W329="","Missing PD deductible. ","") &amp; IF($X329="","Missing liability limit. ","") &amp; IF($AB329="","Missing technical premium. ","") &amp; IF($AF329="","Missing surplus lines tax %. ",""))="","PASS","FAIL: "&amp;TRIM(IF($A329="","Missing certificate ref. ","") &amp; IF($C329="","Missing effective date. ","") &amp; IF($D329="","Missing binding status. ","") &amp; IF($E329="","Missing movement type. ","") &amp; IF($I329="","Missing make. ","") &amp; IF($L329="","Missing vehicle class. ","") &amp; IF($M329="","Missing agreed value. ","") &amp; IF($N329="","Missing policy type. ","") &amp; IF($Q329="","Missing garaging state. ","") &amp; IF($R329="","Missing garaging ZIP. ","") &amp; IF($S329="","Missing cat zone. ","") &amp; IF($V329="","Missing valuation basis. ","") &amp; IF($W329="","Missing PD deductible. ","") &amp; IF($X329="","Missing liability limit. ","") &amp; IF($AB329="","Missing technical premium. ","") &amp; IF($AF329="","Missing surplus lines tax %. ",""))))</f>
      </c>
      <c r="AY329" s="44">
        <f>IF($M329="","",IF(ISNUMBER($M329),IF($M329&gt;=Header!$C$18,"YES — refer","No"),""))</f>
      </c>
      <c r="AZ329" s="44">
        <f>IF($AD329="","",IF(ISNUMBER($AD329),IF($AD329&lt;Header!$C$20,"BELOW MIN PREMIUM","OK"),""))</f>
      </c>
      <c r="BA329" s="32" t="inlineStr">
        <is>
          <t xml:space="preserve">Yes</t>
        </is>
      </c>
      <c r="BB329" s="32" t="inlineStr">
        <is>
          <t xml:space="preserve">Yes</t>
        </is>
      </c>
      <c r="BC329" s="30" t="inlineStr">
        <is>
          <t xml:space="preserve">Synthetic demo data</t>
        </is>
      </c>
      <c r="BE329" s="45">
        <f>IF(OR($A329="",$L329="",$H329=""),"",IF(AND(LEFT($L329,2)="06",$H329&gt;1945),"FAIL - pre-war class, year "&amp;$H329,IF(AND(LEFT($L329,2)="07",OR($H329&lt;1946,$H329&gt;1972)),"FAIL - 1946-72 class, year "&amp;$H329,IF(AND(LEFT($L329,2)="08",OR($H329&lt;1973,$H329&gt;1999)),"FAIL - 1973-99 class, year "&amp;$H329,IF(AND(LEFT($L329,2)="09",OR($H329&lt;2000,$H329&gt;2010)),"FAIL - 2000-10 class, year "&amp;$H329,"OK")))))</f>
      </c>
      <c r="BF329" s="45">
        <f>IF($AD329="","",IF(ROUND($AO329+$AP329+$AQ329-$AD329,2)=0,"OK","FAIL - out by "&amp;TEXT($AO329+$AP329+$AQ329-$AD329,"$0.00")))</f>
      </c>
    </row>
    <row r="330" spans="1:58" ht="18.75" customHeight="1" x14ac:dyDescent="0.25">
      <c r="A330" s="46" t="inlineStr">
        <is>
          <t xml:space="preserve">CANON-202511-002618</t>
        </is>
      </c>
      <c r="B330" s="46" t="inlineStr">
        <is>
          <t xml:space="preserve">Beatrix Delacroix</t>
        </is>
      </c>
      <c r="C330" s="47">
        <v>45984</v>
      </c>
      <c r="D330" s="48" t="inlineStr">
        <is>
          <t xml:space="preserve">Bound - within authority</t>
        </is>
      </c>
      <c r="E330" s="48" t="inlineStr">
        <is>
          <t xml:space="preserve">New business</t>
        </is>
      </c>
      <c r="F330" s="46" t="inlineStr">
        <is>
          <t xml:space="preserve">B1234EXOTIC26</t>
        </is>
      </c>
      <c r="G330" s="33">
        <f>IF($A330="","",IF($C330="","",YEAR($C330)))</f>
      </c>
      <c r="H330" s="49">
        <v>1971</v>
      </c>
      <c r="I330" s="46" t="inlineStr">
        <is>
          <t xml:space="preserve">Ferrari</t>
        </is>
      </c>
      <c r="J330" s="46" t="inlineStr">
        <is>
          <t xml:space="preserve">275 GTB/4</t>
        </is>
      </c>
      <c r="K330" s="46" t="inlineStr">
        <is>
          <t xml:space="preserve">7XTF59SBEKCMKXJN2</t>
        </is>
      </c>
      <c r="L330" s="48" t="inlineStr">
        <is>
          <t xml:space="preserve">07 - Post-War Classic (1946-1972)</t>
        </is>
      </c>
      <c r="M330" s="50">
        <v>145000</v>
      </c>
      <c r="N330" s="48" t="inlineStr">
        <is>
          <t xml:space="preserve">Personal</t>
        </is>
      </c>
      <c r="O330" s="46" t="inlineStr">
        <is>
          <t xml:space="preserve">Personal - regular use</t>
        </is>
      </c>
      <c r="P330" s="46" t="inlineStr">
        <is>
          <t xml:space="preserve">1,000 - 2,500</t>
        </is>
      </c>
      <c r="Q330" s="46" t="inlineStr">
        <is>
          <t xml:space="preserve">South Carolina</t>
        </is>
      </c>
      <c r="R330" s="46" t="inlineStr">
        <is>
          <t xml:space="preserve">29401</t>
        </is>
      </c>
      <c r="S330" s="48" t="inlineStr">
        <is>
          <t xml:space="preserve">Tier 2 - Coastal wind (1-25 miles)</t>
        </is>
      </c>
      <c r="T330" s="36">
        <f>IF($A330="","",IF($S330="","",IFERROR(INDEX('[1]natural catastrophe'!$D$6:$D$17,MATCH($S330,'[1]natural catastrophe'!$B$6:$B$17,0)),"?")))</f>
      </c>
      <c r="U330" s="46" t="inlineStr">
        <is>
          <t xml:space="preserve">2% of agreed value, minimum $10,000</t>
        </is>
      </c>
      <c r="V330" s="48" t="inlineStr">
        <is>
          <t xml:space="preserve">Agreed Value</t>
        </is>
      </c>
      <c r="W330" s="46" t="inlineStr">
        <is>
          <t xml:space="preserve">$1,000</t>
        </is>
      </c>
      <c r="X330" s="48" t="inlineStr">
        <is>
          <t xml:space="preserve">$1,000,000 CSL</t>
        </is>
      </c>
      <c r="Y330" s="46"/>
      <c r="Z330" s="46"/>
      <c r="AA330" s="48" t="inlineStr">
        <is>
          <t xml:space="preserve">Surplus Lines</t>
        </is>
      </c>
      <c r="AB330" s="50">
        <v>1777.84</v>
      </c>
      <c r="AC330" s="51">
        <v>0</v>
      </c>
      <c r="AD330" s="38">
        <f>IF(ISNUMBER($AB330),$AB330*(1+N($AC330)),"")</f>
      </c>
      <c r="AE330" s="50">
        <v>350</v>
      </c>
      <c r="AF330" s="50">
        <v>0</v>
      </c>
      <c r="AG330" s="51"/>
      <c r="AH330" s="39">
        <f>IF(ISNUMBER($AD330),($AD330+$AE330+$AF330)*$AG330,"")</f>
      </c>
      <c r="AI330" s="50"/>
      <c r="AJ330" s="38">
        <f>IF(ISNUMBER($AD330),SUM($AD330:$AH330),"")</f>
      </c>
      <c r="AK330" s="40">
        <f>IF(AND(ISNUMBER($AB330),ISNUMBER($AD330)),IF($AB330&gt;0,$AD330/$AB330,""),"")</f>
      </c>
      <c r="AL330" s="48" t="inlineStr">
        <is>
          <t xml:space="preserve">At technical</t>
        </is>
      </c>
      <c r="AM330" s="41">
        <f>IF(ISNUMBER($AD330),Header!$I$3,"")</f>
      </c>
      <c r="AN330" s="39">
        <f>IF(ISNUMBER($AD330),$AO330+$AP330,"")</f>
      </c>
      <c r="AO330" s="39">
        <f>IF(ISNUMBER($AD330),ROUND($AD330*Header!$K$3,2),"")</f>
      </c>
      <c r="AP330" s="39">
        <f>IF(ISNUMBER($AD330),ROUND($AD330*Header!$M$3,2),"")</f>
      </c>
      <c r="AQ330" s="38">
        <f>IF(ISNUMBER($AD330),ROUND($AD330,2)-$AO330-$AP330,"")</f>
      </c>
      <c r="AR330" s="39">
        <f>IF(ISNUMBER($AD330),IF(Header!$D$34="","?",$AD330*Header!$D$34),"")</f>
      </c>
      <c r="AS330" s="39">
        <f>IF(ISNUMBER($AB330),IF(Header!$D$34="","?",$AB330*Header!$D$34),"")</f>
      </c>
      <c r="AT330" s="42">
        <f>IF(AND(ISNUMBER($AB330),$M330&gt;0),$AB330/$M330*100,"")</f>
      </c>
      <c r="AU330" s="42">
        <f>IF(AND(ISNUMBER($AD330),$M330&gt;0),$AD330/$M330*100,"")</f>
      </c>
      <c r="AV330" s="40">
        <f>IF(AND(ISNUMBER($AB330),ISNUMBER($AD330),ABS($AB330)&gt;0),$AD330/$AB330,"")</f>
      </c>
      <c r="AW330" s="39">
        <f>IF(ISNUMBER($AD330),MAX(0,(1-0.55-Header!$O$3)*Header!$Q$3*$AQ330),"")</f>
      </c>
      <c r="AX330" s="43">
        <f>IF($A330="","",IF(TRIM(IF($A330="","Missing certificate ref. ","") &amp; IF($C330="","Missing effective date. ","") &amp; IF($D330="","Missing binding status. ","") &amp; IF($E330="","Missing movement type. ","") &amp; IF($I330="","Missing make. ","") &amp; IF($L330="","Missing vehicle class. ","") &amp; IF($M330="","Missing agreed value. ","") &amp; IF($N330="","Missing policy type. ","") &amp; IF($Q330="","Missing garaging state. ","") &amp; IF($R330="","Missing garaging ZIP. ","") &amp; IF($S330="","Missing cat zone. ","") &amp; IF($V330="","Missing valuation basis. ","") &amp; IF($W330="","Missing PD deductible. ","") &amp; IF($X330="","Missing liability limit. ","") &amp; IF($AB330="","Missing technical premium. ","") &amp; IF($AF330="","Missing surplus lines tax %. ",""))="","PASS","FAIL: "&amp;TRIM(IF($A330="","Missing certificate ref. ","") &amp; IF($C330="","Missing effective date. ","") &amp; IF($D330="","Missing binding status. ","") &amp; IF($E330="","Missing movement type. ","") &amp; IF($I330="","Missing make. ","") &amp; IF($L330="","Missing vehicle class. ","") &amp; IF($M330="","Missing agreed value. ","") &amp; IF($N330="","Missing policy type. ","") &amp; IF($Q330="","Missing garaging state. ","") &amp; IF($R330="","Missing garaging ZIP. ","") &amp; IF($S330="","Missing cat zone. ","") &amp; IF($V330="","Missing valuation basis. ","") &amp; IF($W330="","Missing PD deductible. ","") &amp; IF($X330="","Missing liability limit. ","") &amp; IF($AB330="","Missing technical premium. ","") &amp; IF($AF330="","Missing surplus lines tax %. ",""))))</f>
      </c>
      <c r="AY330" s="44">
        <f>IF($M330="","",IF(ISNUMBER($M330),IF($M330&gt;=Header!$C$18,"YES — refer","No"),""))</f>
      </c>
      <c r="AZ330" s="44">
        <f>IF($AD330="","",IF(ISNUMBER($AD330),IF($AD330&lt;Header!$C$20,"BELOW MIN PREMIUM","OK"),""))</f>
      </c>
      <c r="BA330" s="48" t="inlineStr">
        <is>
          <t xml:space="preserve">Yes</t>
        </is>
      </c>
      <c r="BB330" s="48" t="inlineStr">
        <is>
          <t xml:space="preserve">Yes</t>
        </is>
      </c>
      <c r="BC330" s="46" t="inlineStr">
        <is>
          <t xml:space="preserve">Synthetic demo data</t>
        </is>
      </c>
      <c r="BE330" s="45">
        <f>IF(OR($A330="",$L330="",$H330=""),"",IF(AND(LEFT($L330,2)="06",$H330&gt;1945),"FAIL - pre-war class, year "&amp;$H330,IF(AND(LEFT($L330,2)="07",OR($H330&lt;1946,$H330&gt;1972)),"FAIL - 1946-72 class, year "&amp;$H330,IF(AND(LEFT($L330,2)="08",OR($H330&lt;1973,$H330&gt;1999)),"FAIL - 1973-99 class, year "&amp;$H330,IF(AND(LEFT($L330,2)="09",OR($H330&lt;2000,$H330&gt;2010)),"FAIL - 2000-10 class, year "&amp;$H330,"OK")))))</f>
      </c>
      <c r="BF330" s="45">
        <f>IF($AD330="","",IF(ROUND($AO330+$AP330+$AQ330-$AD330,2)=0,"OK","FAIL - out by "&amp;TEXT($AO330+$AP330+$AQ330-$AD330,"$0.00")))</f>
      </c>
    </row>
    <row r="331" spans="1:58" ht="18.75" customHeight="1" x14ac:dyDescent="0.25">
      <c r="A331" s="30" t="inlineStr">
        <is>
          <t xml:space="preserve">CANON-202511-002619</t>
        </is>
      </c>
      <c r="B331" s="30" t="inlineStr">
        <is>
          <t xml:space="preserve">Wilhelmina Larsson</t>
        </is>
      </c>
      <c r="C331" s="31">
        <v>45983</v>
      </c>
      <c r="D331" s="32" t="inlineStr">
        <is>
          <t xml:space="preserve">Bound - within authority</t>
        </is>
      </c>
      <c r="E331" s="32" t="inlineStr">
        <is>
          <t xml:space="preserve">New business</t>
        </is>
      </c>
      <c r="F331" s="30" t="inlineStr">
        <is>
          <t xml:space="preserve">B1234EXOTIC26</t>
        </is>
      </c>
      <c r="G331" s="33">
        <f>IF($A331="","",IF($C331="","",YEAR($C331)))</f>
      </c>
      <c r="H331" s="34">
        <v>1988</v>
      </c>
      <c r="I331" s="30" t="inlineStr">
        <is>
          <t xml:space="preserve">Bentley</t>
        </is>
      </c>
      <c r="J331" s="30" t="inlineStr">
        <is>
          <t xml:space="preserve">Continental GT</t>
        </is>
      </c>
      <c r="K331" s="30" t="inlineStr">
        <is>
          <t xml:space="preserve">28C0XUVGTEKJEYZM1</t>
        </is>
      </c>
      <c r="L331" s="32" t="inlineStr">
        <is>
          <t xml:space="preserve">02 - Sports / GT</t>
        </is>
      </c>
      <c r="M331" s="35">
        <v>360000</v>
      </c>
      <c r="N331" s="32" t="inlineStr">
        <is>
          <t xml:space="preserve">Personal</t>
        </is>
      </c>
      <c r="O331" s="30" t="inlineStr">
        <is>
          <t xml:space="preserve">Personal - regular use</t>
        </is>
      </c>
      <c r="P331" s="30" t="inlineStr">
        <is>
          <t xml:space="preserve">1,000 - 2,500</t>
        </is>
      </c>
      <c r="Q331" s="30" t="inlineStr">
        <is>
          <t xml:space="preserve">Iowa</t>
        </is>
      </c>
      <c r="R331" s="30" t="inlineStr">
        <is>
          <t xml:space="preserve">50309</t>
        </is>
      </c>
      <c r="S331" s="32" t="inlineStr">
        <is>
          <t xml:space="preserve">Severe convective - hail alley (high)</t>
        </is>
      </c>
      <c r="T331" s="36">
        <f>IF($A331="","",IF($S331="","",IFERROR(INDEX('[1]natural catastrophe'!$D$6:$D$17,MATCH($S331,'[1]natural catastrophe'!$B$6:$B$17,0)),"?")))</f>
      </c>
      <c r="U331" s="30" t="inlineStr">
        <is>
          <t xml:space="preserve">$5,000</t>
        </is>
      </c>
      <c r="V331" s="32" t="inlineStr">
        <is>
          <t xml:space="preserve">Agreed Value</t>
        </is>
      </c>
      <c r="W331" s="30" t="inlineStr">
        <is>
          <t xml:space="preserve">$1,000</t>
        </is>
      </c>
      <c r="X331" s="32" t="inlineStr">
        <is>
          <t xml:space="preserve">$1,000,000 CSL</t>
        </is>
      </c>
      <c r="Y331" s="30"/>
      <c r="Z331" s="30"/>
      <c r="AA331" s="32" t="inlineStr">
        <is>
          <t xml:space="preserve">Surplus Lines</t>
        </is>
      </c>
      <c r="AB331" s="35">
        <v>5152.11</v>
      </c>
      <c r="AC331" s="37">
        <v>0</v>
      </c>
      <c r="AD331" s="38">
        <f>IF(ISNUMBER($AB331),$AB331*(1+N($AC331)),"")</f>
      </c>
      <c r="AE331" s="35">
        <v>350</v>
      </c>
      <c r="AF331" s="35">
        <v>0</v>
      </c>
      <c r="AG331" s="37"/>
      <c r="AH331" s="39">
        <f>IF(ISNUMBER($AD331),($AD331+$AE331+$AF331)*$AG331,"")</f>
      </c>
      <c r="AI331" s="35"/>
      <c r="AJ331" s="38">
        <f>IF(ISNUMBER($AD331),SUM($AD331:$AH331),"")</f>
      </c>
      <c r="AK331" s="40">
        <f>IF(AND(ISNUMBER($AB331),ISNUMBER($AD331)),IF($AB331&gt;0,$AD331/$AB331,""),"")</f>
      </c>
      <c r="AL331" s="32" t="inlineStr">
        <is>
          <t xml:space="preserve">At technical</t>
        </is>
      </c>
      <c r="AM331" s="41">
        <f>IF(ISNUMBER($AD331),Header!$I$3,"")</f>
      </c>
      <c r="AN331" s="39">
        <f>IF(ISNUMBER($AD331),$AO331+$AP331,"")</f>
      </c>
      <c r="AO331" s="39">
        <f>IF(ISNUMBER($AD331),ROUND($AD331*Header!$K$3,2),"")</f>
      </c>
      <c r="AP331" s="39">
        <f>IF(ISNUMBER($AD331),ROUND($AD331*Header!$M$3,2),"")</f>
      </c>
      <c r="AQ331" s="38">
        <f>IF(ISNUMBER($AD331),ROUND($AD331,2)-$AO331-$AP331,"")</f>
      </c>
      <c r="AR331" s="39">
        <f>IF(ISNUMBER($AD331),IF(Header!$D$34="","?",$AD331*Header!$D$34),"")</f>
      </c>
      <c r="AS331" s="39">
        <f>IF(ISNUMBER($AB331),IF(Header!$D$34="","?",$AB331*Header!$D$34),"")</f>
      </c>
      <c r="AT331" s="42">
        <f>IF(AND(ISNUMBER($AB331),$M331&gt;0),$AB331/$M331*100,"")</f>
      </c>
      <c r="AU331" s="42">
        <f>IF(AND(ISNUMBER($AD331),$M331&gt;0),$AD331/$M331*100,"")</f>
      </c>
      <c r="AV331" s="40">
        <f>IF(AND(ISNUMBER($AB331),ISNUMBER($AD331),ABS($AB331)&gt;0),$AD331/$AB331,"")</f>
      </c>
      <c r="AW331" s="39">
        <f>IF(ISNUMBER($AD331),MAX(0,(1-0.55-Header!$O$3)*Header!$Q$3*$AQ331),"")</f>
      </c>
      <c r="AX331" s="43">
        <f>IF($A331="","",IF(TRIM(IF($A331="","Missing certificate ref. ","") &amp; IF($C331="","Missing effective date. ","") &amp; IF($D331="","Missing binding status. ","") &amp; IF($E331="","Missing movement type. ","") &amp; IF($I331="","Missing make. ","") &amp; IF($L331="","Missing vehicle class. ","") &amp; IF($M331="","Missing agreed value. ","") &amp; IF($N331="","Missing policy type. ","") &amp; IF($Q331="","Missing garaging state. ","") &amp; IF($R331="","Missing garaging ZIP. ","") &amp; IF($S331="","Missing cat zone. ","") &amp; IF($V331="","Missing valuation basis. ","") &amp; IF($W331="","Missing PD deductible. ","") &amp; IF($X331="","Missing liability limit. ","") &amp; IF($AB331="","Missing technical premium. ","") &amp; IF($AF331="","Missing surplus lines tax %. ",""))="","PASS","FAIL: "&amp;TRIM(IF($A331="","Missing certificate ref. ","") &amp; IF($C331="","Missing effective date. ","") &amp; IF($D331="","Missing binding status. ","") &amp; IF($E331="","Missing movement type. ","") &amp; IF($I331="","Missing make. ","") &amp; IF($L331="","Missing vehicle class. ","") &amp; IF($M331="","Missing agreed value. ","") &amp; IF($N331="","Missing policy type. ","") &amp; IF($Q331="","Missing garaging state. ","") &amp; IF($R331="","Missing garaging ZIP. ","") &amp; IF($S331="","Missing cat zone. ","") &amp; IF($V331="","Missing valuation basis. ","") &amp; IF($W331="","Missing PD deductible. ","") &amp; IF($X331="","Missing liability limit. ","") &amp; IF($AB331="","Missing technical premium. ","") &amp; IF($AF331="","Missing surplus lines tax %. ",""))))</f>
      </c>
      <c r="AY331" s="44">
        <f>IF($M331="","",IF(ISNUMBER($M331),IF($M331&gt;=Header!$C$18,"YES — refer","No"),""))</f>
      </c>
      <c r="AZ331" s="44">
        <f>IF($AD331="","",IF(ISNUMBER($AD331),IF($AD331&lt;Header!$C$20,"BELOW MIN PREMIUM","OK"),""))</f>
      </c>
      <c r="BA331" s="32" t="inlineStr">
        <is>
          <t xml:space="preserve">Yes</t>
        </is>
      </c>
      <c r="BB331" s="32" t="inlineStr">
        <is>
          <t xml:space="preserve">Yes</t>
        </is>
      </c>
      <c r="BC331" s="30" t="inlineStr">
        <is>
          <t xml:space="preserve">Synthetic demo data</t>
        </is>
      </c>
      <c r="BE331" s="45">
        <f>IF(OR($A331="",$L331="",$H331=""),"",IF(AND(LEFT($L331,2)="06",$H331&gt;1945),"FAIL - pre-war class, year "&amp;$H331,IF(AND(LEFT($L331,2)="07",OR($H331&lt;1946,$H331&gt;1972)),"FAIL - 1946-72 class, year "&amp;$H331,IF(AND(LEFT($L331,2)="08",OR($H331&lt;1973,$H331&gt;1999)),"FAIL - 1973-99 class, year "&amp;$H331,IF(AND(LEFT($L331,2)="09",OR($H331&lt;2000,$H331&gt;2010)),"FAIL - 2000-10 class, year "&amp;$H331,"OK")))))</f>
      </c>
      <c r="BF331" s="45">
        <f>IF($AD331="","",IF(ROUND($AO331+$AP331+$AQ331-$AD331,2)=0,"OK","FAIL - out by "&amp;TEXT($AO331+$AP331+$AQ331-$AD331,"$0.00")))</f>
      </c>
    </row>
    <row r="332" spans="1:58" ht="18.75" customHeight="1" x14ac:dyDescent="0.25">
      <c r="A332" s="46" t="inlineStr">
        <is>
          <t xml:space="preserve">CANON-202511-002620</t>
        </is>
      </c>
      <c r="B332" s="46" t="inlineStr">
        <is>
          <t xml:space="preserve">Beatrix Chattopadhyay</t>
        </is>
      </c>
      <c r="C332" s="47">
        <v>45975</v>
      </c>
      <c r="D332" s="48" t="inlineStr">
        <is>
          <t xml:space="preserve">Bound - within authority</t>
        </is>
      </c>
      <c r="E332" s="48" t="inlineStr">
        <is>
          <t xml:space="preserve">New business</t>
        </is>
      </c>
      <c r="F332" s="46" t="inlineStr">
        <is>
          <t xml:space="preserve">B1234EXOTIC26</t>
        </is>
      </c>
      <c r="G332" s="33">
        <f>IF($A332="","",IF($C332="","",YEAR($C332)))</f>
      </c>
      <c r="H332" s="49">
        <v>2010</v>
      </c>
      <c r="I332" s="46" t="inlineStr">
        <is>
          <t xml:space="preserve">BMW</t>
        </is>
      </c>
      <c r="J332" s="46" t="inlineStr">
        <is>
          <t xml:space="preserve">M8 Competition</t>
        </is>
      </c>
      <c r="K332" s="46" t="inlineStr">
        <is>
          <t xml:space="preserve">HTVHDCMZPNF3EBTJS</t>
        </is>
      </c>
      <c r="L332" s="48" t="inlineStr">
        <is>
          <t xml:space="preserve">02 - Sports / GT</t>
        </is>
      </c>
      <c r="M332" s="50">
        <v>365000</v>
      </c>
      <c r="N332" s="48" t="inlineStr">
        <is>
          <t xml:space="preserve">Personal</t>
        </is>
      </c>
      <c r="O332" s="46" t="inlineStr">
        <is>
          <t xml:space="preserve">Personal - regular use</t>
        </is>
      </c>
      <c r="P332" s="46" t="inlineStr">
        <is>
          <t xml:space="preserve">Under 1,000</t>
        </is>
      </c>
      <c r="Q332" s="46" t="inlineStr">
        <is>
          <t xml:space="preserve">Maryland</t>
        </is>
      </c>
      <c r="R332" s="46" t="inlineStr">
        <is>
          <t xml:space="preserve">21201</t>
        </is>
      </c>
      <c r="S332" s="48" t="inlineStr">
        <is>
          <t xml:space="preserve">Tier 3 - Coastal wind (25-100 miles)</t>
        </is>
      </c>
      <c r="T332" s="36">
        <f>IF($A332="","",IF($S332="","",IFERROR(INDEX('[1]natural catastrophe'!$D$6:$D$17,MATCH($S332,'[1]natural catastrophe'!$B$6:$B$17,0)),"?")))</f>
      </c>
      <c r="U332" s="46" t="inlineStr">
        <is>
          <t xml:space="preserve">2% of agreed value, minimum $10,000</t>
        </is>
      </c>
      <c r="V332" s="48" t="inlineStr">
        <is>
          <t xml:space="preserve">Agreed Value</t>
        </is>
      </c>
      <c r="W332" s="46" t="inlineStr">
        <is>
          <t xml:space="preserve">$1,000</t>
        </is>
      </c>
      <c r="X332" s="48" t="inlineStr">
        <is>
          <t xml:space="preserve">$1,000,000 CSL</t>
        </is>
      </c>
      <c r="Y332" s="46"/>
      <c r="Z332" s="46"/>
      <c r="AA332" s="48" t="inlineStr">
        <is>
          <t xml:space="preserve">Surplus Lines</t>
        </is>
      </c>
      <c r="AB332" s="50">
        <v>4511.35</v>
      </c>
      <c r="AC332" s="51">
        <v>0</v>
      </c>
      <c r="AD332" s="38">
        <f>IF(ISNUMBER($AB332),$AB332*(1+N($AC332)),"")</f>
      </c>
      <c r="AE332" s="50">
        <v>350</v>
      </c>
      <c r="AF332" s="50">
        <v>0</v>
      </c>
      <c r="AG332" s="51"/>
      <c r="AH332" s="39">
        <f>IF(ISNUMBER($AD332),($AD332+$AE332+$AF332)*$AG332,"")</f>
      </c>
      <c r="AI332" s="50"/>
      <c r="AJ332" s="38">
        <f>IF(ISNUMBER($AD332),SUM($AD332:$AH332),"")</f>
      </c>
      <c r="AK332" s="40">
        <f>IF(AND(ISNUMBER($AB332),ISNUMBER($AD332)),IF($AB332&gt;0,$AD332/$AB332,""),"")</f>
      </c>
      <c r="AL332" s="48" t="inlineStr">
        <is>
          <t xml:space="preserve">At technical</t>
        </is>
      </c>
      <c r="AM332" s="41">
        <f>IF(ISNUMBER($AD332),Header!$I$3,"")</f>
      </c>
      <c r="AN332" s="39">
        <f>IF(ISNUMBER($AD332),$AO332+$AP332,"")</f>
      </c>
      <c r="AO332" s="39">
        <f>IF(ISNUMBER($AD332),ROUND($AD332*Header!$K$3,2),"")</f>
      </c>
      <c r="AP332" s="39">
        <f>IF(ISNUMBER($AD332),ROUND($AD332*Header!$M$3,2),"")</f>
      </c>
      <c r="AQ332" s="38">
        <f>IF(ISNUMBER($AD332),ROUND($AD332,2)-$AO332-$AP332,"")</f>
      </c>
      <c r="AR332" s="39">
        <f>IF(ISNUMBER($AD332),IF(Header!$D$34="","?",$AD332*Header!$D$34),"")</f>
      </c>
      <c r="AS332" s="39">
        <f>IF(ISNUMBER($AB332),IF(Header!$D$34="","?",$AB332*Header!$D$34),"")</f>
      </c>
      <c r="AT332" s="42">
        <f>IF(AND(ISNUMBER($AB332),$M332&gt;0),$AB332/$M332*100,"")</f>
      </c>
      <c r="AU332" s="42">
        <f>IF(AND(ISNUMBER($AD332),$M332&gt;0),$AD332/$M332*100,"")</f>
      </c>
      <c r="AV332" s="40">
        <f>IF(AND(ISNUMBER($AB332),ISNUMBER($AD332),ABS($AB332)&gt;0),$AD332/$AB332,"")</f>
      </c>
      <c r="AW332" s="39">
        <f>IF(ISNUMBER($AD332),MAX(0,(1-0.55-Header!$O$3)*Header!$Q$3*$AQ332),"")</f>
      </c>
      <c r="AX332" s="43">
        <f>IF($A332="","",IF(TRIM(IF($A332="","Missing certificate ref. ","") &amp; IF($C332="","Missing effective date. ","") &amp; IF($D332="","Missing binding status. ","") &amp; IF($E332="","Missing movement type. ","") &amp; IF($I332="","Missing make. ","") &amp; IF($L332="","Missing vehicle class. ","") &amp; IF($M332="","Missing agreed value. ","") &amp; IF($N332="","Missing policy type. ","") &amp; IF($Q332="","Missing garaging state. ","") &amp; IF($R332="","Missing garaging ZIP. ","") &amp; IF($S332="","Missing cat zone. ","") &amp; IF($V332="","Missing valuation basis. ","") &amp; IF($W332="","Missing PD deductible. ","") &amp; IF($X332="","Missing liability limit. ","") &amp; IF($AB332="","Missing technical premium. ","") &amp; IF($AF332="","Missing surplus lines tax %. ",""))="","PASS","FAIL: "&amp;TRIM(IF($A332="","Missing certificate ref. ","") &amp; IF($C332="","Missing effective date. ","") &amp; IF($D332="","Missing binding status. ","") &amp; IF($E332="","Missing movement type. ","") &amp; IF($I332="","Missing make. ","") &amp; IF($L332="","Missing vehicle class. ","") &amp; IF($M332="","Missing agreed value. ","") &amp; IF($N332="","Missing policy type. ","") &amp; IF($Q332="","Missing garaging state. ","") &amp; IF($R332="","Missing garaging ZIP. ","") &amp; IF($S332="","Missing cat zone. ","") &amp; IF($V332="","Missing valuation basis. ","") &amp; IF($W332="","Missing PD deductible. ","") &amp; IF($X332="","Missing liability limit. ","") &amp; IF($AB332="","Missing technical premium. ","") &amp; IF($AF332="","Missing surplus lines tax %. ",""))))</f>
      </c>
      <c r="AY332" s="44">
        <f>IF($M332="","",IF(ISNUMBER($M332),IF($M332&gt;=Header!$C$18,"YES — refer","No"),""))</f>
      </c>
      <c r="AZ332" s="44">
        <f>IF($AD332="","",IF(ISNUMBER($AD332),IF($AD332&lt;Header!$C$20,"BELOW MIN PREMIUM","OK"),""))</f>
      </c>
      <c r="BA332" s="48" t="inlineStr">
        <is>
          <t xml:space="preserve">Yes</t>
        </is>
      </c>
      <c r="BB332" s="48" t="inlineStr">
        <is>
          <t xml:space="preserve">Yes</t>
        </is>
      </c>
      <c r="BC332" s="46" t="inlineStr">
        <is>
          <t xml:space="preserve">Synthetic demo data</t>
        </is>
      </c>
      <c r="BE332" s="45">
        <f>IF(OR($A332="",$L332="",$H332=""),"",IF(AND(LEFT($L332,2)="06",$H332&gt;1945),"FAIL - pre-war class, year "&amp;$H332,IF(AND(LEFT($L332,2)="07",OR($H332&lt;1946,$H332&gt;1972)),"FAIL - 1946-72 class, year "&amp;$H332,IF(AND(LEFT($L332,2)="08",OR($H332&lt;1973,$H332&gt;1999)),"FAIL - 1973-99 class, year "&amp;$H332,IF(AND(LEFT($L332,2)="09",OR($H332&lt;2000,$H332&gt;2010)),"FAIL - 2000-10 class, year "&amp;$H332,"OK")))))</f>
      </c>
      <c r="BF332" s="45">
        <f>IF($AD332="","",IF(ROUND($AO332+$AP332+$AQ332-$AD332,2)=0,"OK","FAIL - out by "&amp;TEXT($AO332+$AP332+$AQ332-$AD332,"$0.00")))</f>
      </c>
    </row>
    <row r="333" spans="1:58" ht="18.75" customHeight="1" x14ac:dyDescent="0.25">
      <c r="A333" s="30" t="inlineStr">
        <is>
          <t xml:space="preserve">CANON-202511-002621</t>
        </is>
      </c>
      <c r="B333" s="30" t="inlineStr">
        <is>
          <t xml:space="preserve">Lorenzo Underwood</t>
        </is>
      </c>
      <c r="C333" s="31">
        <v>45966</v>
      </c>
      <c r="D333" s="32" t="inlineStr">
        <is>
          <t xml:space="preserve">Bound - within authority</t>
        </is>
      </c>
      <c r="E333" s="32" t="inlineStr">
        <is>
          <t xml:space="preserve">New business</t>
        </is>
      </c>
      <c r="F333" s="30" t="inlineStr">
        <is>
          <t xml:space="preserve">B1234EXOTIC26</t>
        </is>
      </c>
      <c r="G333" s="33">
        <f>IF($A333="","",IF($C333="","",YEAR($C333)))</f>
      </c>
      <c r="H333" s="34">
        <v>2013</v>
      </c>
      <c r="I333" s="30" t="inlineStr">
        <is>
          <t xml:space="preserve">Aston Martin</t>
        </is>
      </c>
      <c r="J333" s="30" t="inlineStr">
        <is>
          <t xml:space="preserve">DB12</t>
        </is>
      </c>
      <c r="K333" s="30" t="inlineStr">
        <is>
          <t xml:space="preserve">DEDEEFZZSX597CA4T</t>
        </is>
      </c>
      <c r="L333" s="32" t="inlineStr">
        <is>
          <t xml:space="preserve">02 - Sports / GT</t>
        </is>
      </c>
      <c r="M333" s="35">
        <v>140000</v>
      </c>
      <c r="N333" s="32" t="inlineStr">
        <is>
          <t xml:space="preserve">Personal</t>
        </is>
      </c>
      <c r="O333" s="30" t="inlineStr">
        <is>
          <t xml:space="preserve">Personal - regular use</t>
        </is>
      </c>
      <c r="P333" s="30" t="inlineStr">
        <is>
          <t xml:space="preserve">1,000 - 2,500</t>
        </is>
      </c>
      <c r="Q333" s="30" t="inlineStr">
        <is>
          <t xml:space="preserve">Texas</t>
        </is>
      </c>
      <c r="R333" s="30" t="inlineStr">
        <is>
          <t xml:space="preserve">75201</t>
        </is>
      </c>
      <c r="S333" s="32" t="inlineStr">
        <is>
          <t xml:space="preserve">Tier 2 - Coastal wind (1-25 miles)</t>
        </is>
      </c>
      <c r="T333" s="36">
        <f>IF($A333="","",IF($S333="","",IFERROR(INDEX('[1]natural catastrophe'!$D$6:$D$17,MATCH($S333,'[1]natural catastrophe'!$B$6:$B$17,0)),"?")))</f>
      </c>
      <c r="U333" s="30" t="inlineStr">
        <is>
          <t xml:space="preserve">2% of agreed value, minimum $10,000</t>
        </is>
      </c>
      <c r="V333" s="32" t="inlineStr">
        <is>
          <t xml:space="preserve">Agreed Value</t>
        </is>
      </c>
      <c r="W333" s="30" t="inlineStr">
        <is>
          <t xml:space="preserve">$1,000</t>
        </is>
      </c>
      <c r="X333" s="32" t="inlineStr">
        <is>
          <t xml:space="preserve">$1,000,000 CSL</t>
        </is>
      </c>
      <c r="Y333" s="30"/>
      <c r="Z333" s="30"/>
      <c r="AA333" s="32" t="inlineStr">
        <is>
          <t xml:space="preserve">Surplus Lines</t>
        </is>
      </c>
      <c r="AB333" s="35">
        <v>2569.47</v>
      </c>
      <c r="AC333" s="37">
        <v>0</v>
      </c>
      <c r="AD333" s="38">
        <f>IF(ISNUMBER($AB333),$AB333*(1+N($AC333)),"")</f>
      </c>
      <c r="AE333" s="35">
        <v>350</v>
      </c>
      <c r="AF333" s="35">
        <v>0</v>
      </c>
      <c r="AG333" s="37"/>
      <c r="AH333" s="39">
        <f>IF(ISNUMBER($AD333),($AD333+$AE333+$AF333)*$AG333,"")</f>
      </c>
      <c r="AI333" s="35"/>
      <c r="AJ333" s="38">
        <f>IF(ISNUMBER($AD333),SUM($AD333:$AH333),"")</f>
      </c>
      <c r="AK333" s="40">
        <f>IF(AND(ISNUMBER($AB333),ISNUMBER($AD333)),IF($AB333&gt;0,$AD333/$AB333,""),"")</f>
      </c>
      <c r="AL333" s="32" t="inlineStr">
        <is>
          <t xml:space="preserve">At technical</t>
        </is>
      </c>
      <c r="AM333" s="41">
        <f>IF(ISNUMBER($AD333),Header!$I$3,"")</f>
      </c>
      <c r="AN333" s="39">
        <f>IF(ISNUMBER($AD333),$AO333+$AP333,"")</f>
      </c>
      <c r="AO333" s="39">
        <f>IF(ISNUMBER($AD333),ROUND($AD333*Header!$K$3,2),"")</f>
      </c>
      <c r="AP333" s="39">
        <f>IF(ISNUMBER($AD333),ROUND($AD333*Header!$M$3,2),"")</f>
      </c>
      <c r="AQ333" s="38">
        <f>IF(ISNUMBER($AD333),ROUND($AD333,2)-$AO333-$AP333,"")</f>
      </c>
      <c r="AR333" s="39">
        <f>IF(ISNUMBER($AD333),IF(Header!$D$34="","?",$AD333*Header!$D$34),"")</f>
      </c>
      <c r="AS333" s="39">
        <f>IF(ISNUMBER($AB333),IF(Header!$D$34="","?",$AB333*Header!$D$34),"")</f>
      </c>
      <c r="AT333" s="42">
        <f>IF(AND(ISNUMBER($AB333),$M333&gt;0),$AB333/$M333*100,"")</f>
      </c>
      <c r="AU333" s="42">
        <f>IF(AND(ISNUMBER($AD333),$M333&gt;0),$AD333/$M333*100,"")</f>
      </c>
      <c r="AV333" s="40">
        <f>IF(AND(ISNUMBER($AB333),ISNUMBER($AD333),ABS($AB333)&gt;0),$AD333/$AB333,"")</f>
      </c>
      <c r="AW333" s="39">
        <f>IF(ISNUMBER($AD333),MAX(0,(1-0.55-Header!$O$3)*Header!$Q$3*$AQ333),"")</f>
      </c>
      <c r="AX333" s="43">
        <f>IF($A333="","",IF(TRIM(IF($A333="","Missing certificate ref. ","") &amp; IF($C333="","Missing effective date. ","") &amp; IF($D333="","Missing binding status. ","") &amp; IF($E333="","Missing movement type. ","") &amp; IF($I333="","Missing make. ","") &amp; IF($L333="","Missing vehicle class. ","") &amp; IF($M333="","Missing agreed value. ","") &amp; IF($N333="","Missing policy type. ","") &amp; IF($Q333="","Missing garaging state. ","") &amp; IF($R333="","Missing garaging ZIP. ","") &amp; IF($S333="","Missing cat zone. ","") &amp; IF($V333="","Missing valuation basis. ","") &amp; IF($W333="","Missing PD deductible. ","") &amp; IF($X333="","Missing liability limit. ","") &amp; IF($AB333="","Missing technical premium. ","") &amp; IF($AF333="","Missing surplus lines tax %. ",""))="","PASS","FAIL: "&amp;TRIM(IF($A333="","Missing certificate ref. ","") &amp; IF($C333="","Missing effective date. ","") &amp; IF($D333="","Missing binding status. ","") &amp; IF($E333="","Missing movement type. ","") &amp; IF($I333="","Missing make. ","") &amp; IF($L333="","Missing vehicle class. ","") &amp; IF($M333="","Missing agreed value. ","") &amp; IF($N333="","Missing policy type. ","") &amp; IF($Q333="","Missing garaging state. ","") &amp; IF($R333="","Missing garaging ZIP. ","") &amp; IF($S333="","Missing cat zone. ","") &amp; IF($V333="","Missing valuation basis. ","") &amp; IF($W333="","Missing PD deductible. ","") &amp; IF($X333="","Missing liability limit. ","") &amp; IF($AB333="","Missing technical premium. ","") &amp; IF($AF333="","Missing surplus lines tax %. ",""))))</f>
      </c>
      <c r="AY333" s="44">
        <f>IF($M333="","",IF(ISNUMBER($M333),IF($M333&gt;=Header!$C$18,"YES — refer","No"),""))</f>
      </c>
      <c r="AZ333" s="44">
        <f>IF($AD333="","",IF(ISNUMBER($AD333),IF($AD333&lt;Header!$C$20,"BELOW MIN PREMIUM","OK"),""))</f>
      </c>
      <c r="BA333" s="32" t="inlineStr">
        <is>
          <t xml:space="preserve">Yes</t>
        </is>
      </c>
      <c r="BB333" s="32" t="inlineStr">
        <is>
          <t xml:space="preserve">Yes</t>
        </is>
      </c>
      <c r="BC333" s="30" t="inlineStr">
        <is>
          <t xml:space="preserve">Synthetic demo data</t>
        </is>
      </c>
      <c r="BE333" s="45">
        <f>IF(OR($A333="",$L333="",$H333=""),"",IF(AND(LEFT($L333,2)="06",$H333&gt;1945),"FAIL - pre-war class, year "&amp;$H333,IF(AND(LEFT($L333,2)="07",OR($H333&lt;1946,$H333&gt;1972)),"FAIL - 1946-72 class, year "&amp;$H333,IF(AND(LEFT($L333,2)="08",OR($H333&lt;1973,$H333&gt;1999)),"FAIL - 1973-99 class, year "&amp;$H333,IF(AND(LEFT($L333,2)="09",OR($H333&lt;2000,$H333&gt;2010)),"FAIL - 2000-10 class, year "&amp;$H333,"OK")))))</f>
      </c>
      <c r="BF333" s="45">
        <f>IF($AD333="","",IF(ROUND($AO333+$AP333+$AQ333-$AD333,2)=0,"OK","FAIL - out by "&amp;TEXT($AO333+$AP333+$AQ333-$AD333,"$0.00")))</f>
      </c>
    </row>
    <row r="334" spans="1:58" ht="18.75" customHeight="1" x14ac:dyDescent="0.25">
      <c r="A334" s="46" t="inlineStr">
        <is>
          <t xml:space="preserve">CANON-202511-002622</t>
        </is>
      </c>
      <c r="B334" s="46" t="inlineStr">
        <is>
          <t xml:space="preserve">Priya Farkas</t>
        </is>
      </c>
      <c r="C334" s="47">
        <v>45982</v>
      </c>
      <c r="D334" s="48" t="inlineStr">
        <is>
          <t xml:space="preserve">Bound - within authority</t>
        </is>
      </c>
      <c r="E334" s="48" t="inlineStr">
        <is>
          <t xml:space="preserve">New business</t>
        </is>
      </c>
      <c r="F334" s="46" t="inlineStr">
        <is>
          <t xml:space="preserve">B1234EXOTIC26</t>
        </is>
      </c>
      <c r="G334" s="33">
        <f>IF($A334="","",IF($C334="","",YEAR($C334)))</f>
      </c>
      <c r="H334" s="49">
        <v>1974</v>
      </c>
      <c r="I334" s="46" t="inlineStr">
        <is>
          <t xml:space="preserve">Jaguar</t>
        </is>
      </c>
      <c r="J334" s="46" t="inlineStr">
        <is>
          <t xml:space="preserve">E-Type Series 1</t>
        </is>
      </c>
      <c r="K334" s="46" t="inlineStr">
        <is>
          <t xml:space="preserve">9VKXZF1J6238MWWBB</t>
        </is>
      </c>
      <c r="L334" s="48" t="inlineStr">
        <is>
          <t xml:space="preserve">08 - Modern Classic (1973-1999)</t>
        </is>
      </c>
      <c r="M334" s="50">
        <v>590000</v>
      </c>
      <c r="N334" s="48" t="inlineStr">
        <is>
          <t xml:space="preserve">Personal</t>
        </is>
      </c>
      <c r="O334" s="46" t="inlineStr">
        <is>
          <t xml:space="preserve">Personal - regular use</t>
        </is>
      </c>
      <c r="P334" s="46" t="inlineStr">
        <is>
          <t xml:space="preserve">1,000 - 2,500</t>
        </is>
      </c>
      <c r="Q334" s="46" t="inlineStr">
        <is>
          <t xml:space="preserve">Rhode Island</t>
        </is>
      </c>
      <c r="R334" s="46" t="inlineStr">
        <is>
          <t xml:space="preserve">02903</t>
        </is>
      </c>
      <c r="S334" s="48" t="inlineStr">
        <is>
          <t xml:space="preserve">Tier 3 - Coastal wind (25-100 miles)</t>
        </is>
      </c>
      <c r="T334" s="36">
        <f>IF($A334="","",IF($S334="","",IFERROR(INDEX('[1]natural catastrophe'!$D$6:$D$17,MATCH($S334,'[1]natural catastrophe'!$B$6:$B$17,0)),"?")))</f>
      </c>
      <c r="U334" s="46" t="inlineStr">
        <is>
          <t xml:space="preserve">2% of agreed value, minimum $10,000</t>
        </is>
      </c>
      <c r="V334" s="48" t="inlineStr">
        <is>
          <t xml:space="preserve">Agreed Value</t>
        </is>
      </c>
      <c r="W334" s="46" t="inlineStr">
        <is>
          <t xml:space="preserve">$1,000</t>
        </is>
      </c>
      <c r="X334" s="48" t="inlineStr">
        <is>
          <t xml:space="preserve">$1,000,000 CSL</t>
        </is>
      </c>
      <c r="Y334" s="46"/>
      <c r="Z334" s="46"/>
      <c r="AA334" s="48" t="inlineStr">
        <is>
          <t xml:space="preserve">Surplus Lines</t>
        </is>
      </c>
      <c r="AB334" s="50">
        <v>6029.34</v>
      </c>
      <c r="AC334" s="51">
        <v>0</v>
      </c>
      <c r="AD334" s="38">
        <f>IF(ISNUMBER($AB334),$AB334*(1+N($AC334)),"")</f>
      </c>
      <c r="AE334" s="50">
        <v>350</v>
      </c>
      <c r="AF334" s="50">
        <v>0</v>
      </c>
      <c r="AG334" s="51"/>
      <c r="AH334" s="39">
        <f>IF(ISNUMBER($AD334),($AD334+$AE334+$AF334)*$AG334,"")</f>
      </c>
      <c r="AI334" s="50"/>
      <c r="AJ334" s="38">
        <f>IF(ISNUMBER($AD334),SUM($AD334:$AH334),"")</f>
      </c>
      <c r="AK334" s="40">
        <f>IF(AND(ISNUMBER($AB334),ISNUMBER($AD334)),IF($AB334&gt;0,$AD334/$AB334,""),"")</f>
      </c>
      <c r="AL334" s="48" t="inlineStr">
        <is>
          <t xml:space="preserve">At technical</t>
        </is>
      </c>
      <c r="AM334" s="41">
        <f>IF(ISNUMBER($AD334),Header!$I$3,"")</f>
      </c>
      <c r="AN334" s="39">
        <f>IF(ISNUMBER($AD334),$AO334+$AP334,"")</f>
      </c>
      <c r="AO334" s="39">
        <f>IF(ISNUMBER($AD334),ROUND($AD334*Header!$K$3,2),"")</f>
      </c>
      <c r="AP334" s="39">
        <f>IF(ISNUMBER($AD334),ROUND($AD334*Header!$M$3,2),"")</f>
      </c>
      <c r="AQ334" s="38">
        <f>IF(ISNUMBER($AD334),ROUND($AD334,2)-$AO334-$AP334,"")</f>
      </c>
      <c r="AR334" s="39">
        <f>IF(ISNUMBER($AD334),IF(Header!$D$34="","?",$AD334*Header!$D$34),"")</f>
      </c>
      <c r="AS334" s="39">
        <f>IF(ISNUMBER($AB334),IF(Header!$D$34="","?",$AB334*Header!$D$34),"")</f>
      </c>
      <c r="AT334" s="42">
        <f>IF(AND(ISNUMBER($AB334),$M334&gt;0),$AB334/$M334*100,"")</f>
      </c>
      <c r="AU334" s="42">
        <f>IF(AND(ISNUMBER($AD334),$M334&gt;0),$AD334/$M334*100,"")</f>
      </c>
      <c r="AV334" s="40">
        <f>IF(AND(ISNUMBER($AB334),ISNUMBER($AD334),ABS($AB334)&gt;0),$AD334/$AB334,"")</f>
      </c>
      <c r="AW334" s="39">
        <f>IF(ISNUMBER($AD334),MAX(0,(1-0.55-Header!$O$3)*Header!$Q$3*$AQ334),"")</f>
      </c>
      <c r="AX334" s="43">
        <f>IF($A334="","",IF(TRIM(IF($A334="","Missing certificate ref. ","") &amp; IF($C334="","Missing effective date. ","") &amp; IF($D334="","Missing binding status. ","") &amp; IF($E334="","Missing movement type. ","") &amp; IF($I334="","Missing make. ","") &amp; IF($L334="","Missing vehicle class. ","") &amp; IF($M334="","Missing agreed value. ","") &amp; IF($N334="","Missing policy type. ","") &amp; IF($Q334="","Missing garaging state. ","") &amp; IF($R334="","Missing garaging ZIP. ","") &amp; IF($S334="","Missing cat zone. ","") &amp; IF($V334="","Missing valuation basis. ","") &amp; IF($W334="","Missing PD deductible. ","") &amp; IF($X334="","Missing liability limit. ","") &amp; IF($AB334="","Missing technical premium. ","") &amp; IF($AF334="","Missing surplus lines tax %. ",""))="","PASS","FAIL: "&amp;TRIM(IF($A334="","Missing certificate ref. ","") &amp; IF($C334="","Missing effective date. ","") &amp; IF($D334="","Missing binding status. ","") &amp; IF($E334="","Missing movement type. ","") &amp; IF($I334="","Missing make. ","") &amp; IF($L334="","Missing vehicle class. ","") &amp; IF($M334="","Missing agreed value. ","") &amp; IF($N334="","Missing policy type. ","") &amp; IF($Q334="","Missing garaging state. ","") &amp; IF($R334="","Missing garaging ZIP. ","") &amp; IF($S334="","Missing cat zone. ","") &amp; IF($V334="","Missing valuation basis. ","") &amp; IF($W334="","Missing PD deductible. ","") &amp; IF($X334="","Missing liability limit. ","") &amp; IF($AB334="","Missing technical premium. ","") &amp; IF($AF334="","Missing surplus lines tax %. ",""))))</f>
      </c>
      <c r="AY334" s="44">
        <f>IF($M334="","",IF(ISNUMBER($M334),IF($M334&gt;=Header!$C$18,"YES — refer","No"),""))</f>
      </c>
      <c r="AZ334" s="44">
        <f>IF($AD334="","",IF(ISNUMBER($AD334),IF($AD334&lt;Header!$C$20,"BELOW MIN PREMIUM","OK"),""))</f>
      </c>
      <c r="BA334" s="48" t="inlineStr">
        <is>
          <t xml:space="preserve">Yes</t>
        </is>
      </c>
      <c r="BB334" s="48" t="inlineStr">
        <is>
          <t xml:space="preserve">Yes</t>
        </is>
      </c>
      <c r="BC334" s="46" t="inlineStr">
        <is>
          <t xml:space="preserve">Synthetic demo data</t>
        </is>
      </c>
      <c r="BE334" s="45">
        <f>IF(OR($A334="",$L334="",$H334=""),"",IF(AND(LEFT($L334,2)="06",$H334&gt;1945),"FAIL - pre-war class, year "&amp;$H334,IF(AND(LEFT($L334,2)="07",OR($H334&lt;1946,$H334&gt;1972)),"FAIL - 1946-72 class, year "&amp;$H334,IF(AND(LEFT($L334,2)="08",OR($H334&lt;1973,$H334&gt;1999)),"FAIL - 1973-99 class, year "&amp;$H334,IF(AND(LEFT($L334,2)="09",OR($H334&lt;2000,$H334&gt;2010)),"FAIL - 2000-10 class, year "&amp;$H334,"OK")))))</f>
      </c>
      <c r="BF334" s="45">
        <f>IF($AD334="","",IF(ROUND($AO334+$AP334+$AQ334-$AD334,2)=0,"OK","FAIL - out by "&amp;TEXT($AO334+$AP334+$AQ334-$AD334,"$0.00")))</f>
      </c>
    </row>
    <row r="335" spans="1:58" ht="18.75" customHeight="1" x14ac:dyDescent="0.25">
      <c r="A335" s="30" t="inlineStr">
        <is>
          <t xml:space="preserve">CANON-202511-002624</t>
        </is>
      </c>
      <c r="B335" s="30" t="inlineStr">
        <is>
          <t xml:space="preserve">Saoirse Montoya</t>
        </is>
      </c>
      <c r="C335" s="31">
        <v>45986</v>
      </c>
      <c r="D335" s="32" t="inlineStr">
        <is>
          <t xml:space="preserve">Bound - within authority</t>
        </is>
      </c>
      <c r="E335" s="32" t="inlineStr">
        <is>
          <t xml:space="preserve">New business</t>
        </is>
      </c>
      <c r="F335" s="30" t="inlineStr">
        <is>
          <t xml:space="preserve">B1234EXOTIC26</t>
        </is>
      </c>
      <c r="G335" s="33">
        <f>IF($A335="","",IF($C335="","",YEAR($C335)))</f>
      </c>
      <c r="H335" s="34">
        <v>1970</v>
      </c>
      <c r="I335" s="30" t="inlineStr">
        <is>
          <t xml:space="preserve">Bentley</t>
        </is>
      </c>
      <c r="J335" s="30" t="inlineStr">
        <is>
          <t xml:space="preserve">Continental GT</t>
        </is>
      </c>
      <c r="K335" s="30" t="inlineStr">
        <is>
          <t xml:space="preserve">4FN0V65F2WESE4NJ0</t>
        </is>
      </c>
      <c r="L335" s="32" t="inlineStr">
        <is>
          <t xml:space="preserve">02 - Sports / GT</t>
        </is>
      </c>
      <c r="M335" s="35">
        <v>680000</v>
      </c>
      <c r="N335" s="32" t="inlineStr">
        <is>
          <t xml:space="preserve">Personal</t>
        </is>
      </c>
      <c r="O335" s="30" t="inlineStr">
        <is>
          <t xml:space="preserve">Personal - regular use</t>
        </is>
      </c>
      <c r="P335" s="30" t="inlineStr">
        <is>
          <t xml:space="preserve">Under 1,000</t>
        </is>
      </c>
      <c r="Q335" s="30" t="inlineStr">
        <is>
          <t xml:space="preserve">West Virginia</t>
        </is>
      </c>
      <c r="R335" s="30" t="inlineStr">
        <is>
          <t xml:space="preserve">25301</t>
        </is>
      </c>
      <c r="S335" s="32" t="inlineStr">
        <is>
          <t xml:space="preserve">Low hazard - inland benign</t>
        </is>
      </c>
      <c r="T335" s="36">
        <f>IF($A335="","",IF($S335="","",IFERROR(INDEX('[1]natural catastrophe'!$D$6:$D$17,MATCH($S335,'[1]natural catastrophe'!$B$6:$B$17,0)),"?")))</f>
      </c>
      <c r="U335" s="30" t="inlineStr">
        <is>
          <t xml:space="preserve">$5,000</t>
        </is>
      </c>
      <c r="V335" s="32" t="inlineStr">
        <is>
          <t xml:space="preserve">Agreed Value</t>
        </is>
      </c>
      <c r="W335" s="30" t="inlineStr">
        <is>
          <t xml:space="preserve">$1,000</t>
        </is>
      </c>
      <c r="X335" s="32" t="inlineStr">
        <is>
          <t xml:space="preserve">$1,000,000 CSL</t>
        </is>
      </c>
      <c r="Y335" s="30"/>
      <c r="Z335" s="30"/>
      <c r="AA335" s="32" t="inlineStr">
        <is>
          <t xml:space="preserve">Surplus Lines</t>
        </is>
      </c>
      <c r="AB335" s="35">
        <v>10197.71</v>
      </c>
      <c r="AC335" s="37">
        <v>0</v>
      </c>
      <c r="AD335" s="38">
        <f>IF(ISNUMBER($AB335),$AB335*(1+N($AC335)),"")</f>
      </c>
      <c r="AE335" s="35">
        <v>350</v>
      </c>
      <c r="AF335" s="35">
        <v>0</v>
      </c>
      <c r="AG335" s="37"/>
      <c r="AH335" s="39">
        <f>IF(ISNUMBER($AD335),($AD335+$AE335+$AF335)*$AG335,"")</f>
      </c>
      <c r="AI335" s="35"/>
      <c r="AJ335" s="38">
        <f>IF(ISNUMBER($AD335),SUM($AD335:$AH335),"")</f>
      </c>
      <c r="AK335" s="40">
        <f>IF(AND(ISNUMBER($AB335),ISNUMBER($AD335)),IF($AB335&gt;0,$AD335/$AB335,""),"")</f>
      </c>
      <c r="AL335" s="32" t="inlineStr">
        <is>
          <t xml:space="preserve">At technical</t>
        </is>
      </c>
      <c r="AM335" s="41">
        <f>IF(ISNUMBER($AD335),Header!$I$3,"")</f>
      </c>
      <c r="AN335" s="39">
        <f>IF(ISNUMBER($AD335),$AO335+$AP335,"")</f>
      </c>
      <c r="AO335" s="39">
        <f>IF(ISNUMBER($AD335),ROUND($AD335*Header!$K$3,2),"")</f>
      </c>
      <c r="AP335" s="39">
        <f>IF(ISNUMBER($AD335),ROUND($AD335*Header!$M$3,2),"")</f>
      </c>
      <c r="AQ335" s="38">
        <f>IF(ISNUMBER($AD335),ROUND($AD335,2)-$AO335-$AP335,"")</f>
      </c>
      <c r="AR335" s="39">
        <f>IF(ISNUMBER($AD335),IF(Header!$D$34="","?",$AD335*Header!$D$34),"")</f>
      </c>
      <c r="AS335" s="39">
        <f>IF(ISNUMBER($AB335),IF(Header!$D$34="","?",$AB335*Header!$D$34),"")</f>
      </c>
      <c r="AT335" s="42">
        <f>IF(AND(ISNUMBER($AB335),$M335&gt;0),$AB335/$M335*100,"")</f>
      </c>
      <c r="AU335" s="42">
        <f>IF(AND(ISNUMBER($AD335),$M335&gt;0),$AD335/$M335*100,"")</f>
      </c>
      <c r="AV335" s="40">
        <f>IF(AND(ISNUMBER($AB335),ISNUMBER($AD335),ABS($AB335)&gt;0),$AD335/$AB335,"")</f>
      </c>
      <c r="AW335" s="39">
        <f>IF(ISNUMBER($AD335),MAX(0,(1-0.55-Header!$O$3)*Header!$Q$3*$AQ335),"")</f>
      </c>
      <c r="AX335" s="43">
        <f>IF($A335="","",IF(TRIM(IF($A335="","Missing certificate ref. ","") &amp; IF($C335="","Missing effective date. ","") &amp; IF($D335="","Missing binding status. ","") &amp; IF($E335="","Missing movement type. ","") &amp; IF($I335="","Missing make. ","") &amp; IF($L335="","Missing vehicle class. ","") &amp; IF($M335="","Missing agreed value. ","") &amp; IF($N335="","Missing policy type. ","") &amp; IF($Q335="","Missing garaging state. ","") &amp; IF($R335="","Missing garaging ZIP. ","") &amp; IF($S335="","Missing cat zone. ","") &amp; IF($V335="","Missing valuation basis. ","") &amp; IF($W335="","Missing PD deductible. ","") &amp; IF($X335="","Missing liability limit. ","") &amp; IF($AB335="","Missing technical premium. ","") &amp; IF($AF335="","Missing surplus lines tax %. ",""))="","PASS","FAIL: "&amp;TRIM(IF($A335="","Missing certificate ref. ","") &amp; IF($C335="","Missing effective date. ","") &amp; IF($D335="","Missing binding status. ","") &amp; IF($E335="","Missing movement type. ","") &amp; IF($I335="","Missing make. ","") &amp; IF($L335="","Missing vehicle class. ","") &amp; IF($M335="","Missing agreed value. ","") &amp; IF($N335="","Missing policy type. ","") &amp; IF($Q335="","Missing garaging state. ","") &amp; IF($R335="","Missing garaging ZIP. ","") &amp; IF($S335="","Missing cat zone. ","") &amp; IF($V335="","Missing valuation basis. ","") &amp; IF($W335="","Missing PD deductible. ","") &amp; IF($X335="","Missing liability limit. ","") &amp; IF($AB335="","Missing technical premium. ","") &amp; IF($AF335="","Missing surplus lines tax %. ",""))))</f>
      </c>
      <c r="AY335" s="44">
        <f>IF($M335="","",IF(ISNUMBER($M335),IF($M335&gt;=Header!$C$18,"YES — refer","No"),""))</f>
      </c>
      <c r="AZ335" s="44">
        <f>IF($AD335="","",IF(ISNUMBER($AD335),IF($AD335&lt;Header!$C$20,"BELOW MIN PREMIUM","OK"),""))</f>
      </c>
      <c r="BA335" s="32" t="inlineStr">
        <is>
          <t xml:space="preserve">Yes</t>
        </is>
      </c>
      <c r="BB335" s="32" t="inlineStr">
        <is>
          <t xml:space="preserve">Yes</t>
        </is>
      </c>
      <c r="BC335" s="30" t="inlineStr">
        <is>
          <t xml:space="preserve">Synthetic demo data</t>
        </is>
      </c>
      <c r="BE335" s="45">
        <f>IF(OR($A335="",$L335="",$H335=""),"",IF(AND(LEFT($L335,2)="06",$H335&gt;1945),"FAIL - pre-war class, year "&amp;$H335,IF(AND(LEFT($L335,2)="07",OR($H335&lt;1946,$H335&gt;1972)),"FAIL - 1946-72 class, year "&amp;$H335,IF(AND(LEFT($L335,2)="08",OR($H335&lt;1973,$H335&gt;1999)),"FAIL - 1973-99 class, year "&amp;$H335,IF(AND(LEFT($L335,2)="09",OR($H335&lt;2000,$H335&gt;2010)),"FAIL - 2000-10 class, year "&amp;$H335,"OK")))))</f>
      </c>
      <c r="BF335" s="45">
        <f>IF($AD335="","",IF(ROUND($AO335+$AP335+$AQ335-$AD335,2)=0,"OK","FAIL - out by "&amp;TEXT($AO335+$AP335+$AQ335-$AD335,"$0.00")))</f>
      </c>
    </row>
    <row r="336" spans="1:58" ht="18.75" customHeight="1" x14ac:dyDescent="0.25">
      <c r="A336" s="46" t="inlineStr">
        <is>
          <t xml:space="preserve">CANON-202511-002626</t>
        </is>
      </c>
      <c r="B336" s="46" t="inlineStr">
        <is>
          <t xml:space="preserve">Ramona Vasquez</t>
        </is>
      </c>
      <c r="C336" s="47">
        <v>45987</v>
      </c>
      <c r="D336" s="48" t="inlineStr">
        <is>
          <t xml:space="preserve">Bound - within authority</t>
        </is>
      </c>
      <c r="E336" s="48" t="inlineStr">
        <is>
          <t xml:space="preserve">New business</t>
        </is>
      </c>
      <c r="F336" s="46" t="inlineStr">
        <is>
          <t xml:space="preserve">B1234EXOTIC26</t>
        </is>
      </c>
      <c r="G336" s="33">
        <f>IF($A336="","",IF($C336="","",YEAR($C336)))</f>
      </c>
      <c r="H336" s="49">
        <v>1997</v>
      </c>
      <c r="I336" s="46" t="inlineStr">
        <is>
          <t xml:space="preserve">Aston Martin</t>
        </is>
      </c>
      <c r="J336" s="46" t="inlineStr">
        <is>
          <t xml:space="preserve">DB5</t>
        </is>
      </c>
      <c r="K336" s="46" t="inlineStr">
        <is>
          <t xml:space="preserve">KP904B2KDR3FRH4BR</t>
        </is>
      </c>
      <c r="L336" s="48" t="inlineStr">
        <is>
          <t xml:space="preserve">08 - Modern Classic (1973-1999)</t>
        </is>
      </c>
      <c r="M336" s="50">
        <v>555000</v>
      </c>
      <c r="N336" s="48" t="inlineStr">
        <is>
          <t xml:space="preserve">Personal</t>
        </is>
      </c>
      <c r="O336" s="46" t="inlineStr">
        <is>
          <t xml:space="preserve">Personal - regular use</t>
        </is>
      </c>
      <c r="P336" s="46" t="inlineStr">
        <is>
          <t xml:space="preserve">2,500 - 5,000</t>
        </is>
      </c>
      <c r="Q336" s="46" t="inlineStr">
        <is>
          <t xml:space="preserve">Michigan</t>
        </is>
      </c>
      <c r="R336" s="46" t="inlineStr">
        <is>
          <t xml:space="preserve">48226</t>
        </is>
      </c>
      <c r="S336" s="48" t="inlineStr">
        <is>
          <t xml:space="preserve">Severe convective - hail / tornado (moderate)</t>
        </is>
      </c>
      <c r="T336" s="36">
        <f>IF($A336="","",IF($S336="","",IFERROR(INDEX('[1]natural catastrophe'!$D$6:$D$17,MATCH($S336,'[1]natural catastrophe'!$B$6:$B$17,0)),"?")))</f>
      </c>
      <c r="U336" s="46" t="inlineStr">
        <is>
          <t xml:space="preserve">$5,000</t>
        </is>
      </c>
      <c r="V336" s="48" t="inlineStr">
        <is>
          <t xml:space="preserve">Agreed Value</t>
        </is>
      </c>
      <c r="W336" s="46" t="inlineStr">
        <is>
          <t xml:space="preserve">$1,000</t>
        </is>
      </c>
      <c r="X336" s="48" t="inlineStr">
        <is>
          <t xml:space="preserve">$1,000,000 CSL</t>
        </is>
      </c>
      <c r="Y336" s="46"/>
      <c r="Z336" s="46"/>
      <c r="AA336" s="48" t="inlineStr">
        <is>
          <t xml:space="preserve">Surplus Lines</t>
        </is>
      </c>
      <c r="AB336" s="50">
        <v>6416.85</v>
      </c>
      <c r="AC336" s="51">
        <v>0</v>
      </c>
      <c r="AD336" s="38">
        <f>IF(ISNUMBER($AB336),$AB336*(1+N($AC336)),"")</f>
      </c>
      <c r="AE336" s="50">
        <v>350</v>
      </c>
      <c r="AF336" s="50">
        <v>0</v>
      </c>
      <c r="AG336" s="51"/>
      <c r="AH336" s="39">
        <f>IF(ISNUMBER($AD336),($AD336+$AE336+$AF336)*$AG336,"")</f>
      </c>
      <c r="AI336" s="50"/>
      <c r="AJ336" s="38">
        <f>IF(ISNUMBER($AD336),SUM($AD336:$AH336),"")</f>
      </c>
      <c r="AK336" s="40">
        <f>IF(AND(ISNUMBER($AB336),ISNUMBER($AD336)),IF($AB336&gt;0,$AD336/$AB336,""),"")</f>
      </c>
      <c r="AL336" s="48" t="inlineStr">
        <is>
          <t xml:space="preserve">At technical</t>
        </is>
      </c>
      <c r="AM336" s="41">
        <f>IF(ISNUMBER($AD336),Header!$I$3,"")</f>
      </c>
      <c r="AN336" s="39">
        <f>IF(ISNUMBER($AD336),$AO336+$AP336,"")</f>
      </c>
      <c r="AO336" s="39">
        <f>IF(ISNUMBER($AD336),ROUND($AD336*Header!$K$3,2),"")</f>
      </c>
      <c r="AP336" s="39">
        <f>IF(ISNUMBER($AD336),ROUND($AD336*Header!$M$3,2),"")</f>
      </c>
      <c r="AQ336" s="38">
        <f>IF(ISNUMBER($AD336),ROUND($AD336,2)-$AO336-$AP336,"")</f>
      </c>
      <c r="AR336" s="39">
        <f>IF(ISNUMBER($AD336),IF(Header!$D$34="","?",$AD336*Header!$D$34),"")</f>
      </c>
      <c r="AS336" s="39">
        <f>IF(ISNUMBER($AB336),IF(Header!$D$34="","?",$AB336*Header!$D$34),"")</f>
      </c>
      <c r="AT336" s="42">
        <f>IF(AND(ISNUMBER($AB336),$M336&gt;0),$AB336/$M336*100,"")</f>
      </c>
      <c r="AU336" s="42">
        <f>IF(AND(ISNUMBER($AD336),$M336&gt;0),$AD336/$M336*100,"")</f>
      </c>
      <c r="AV336" s="40">
        <f>IF(AND(ISNUMBER($AB336),ISNUMBER($AD336),ABS($AB336)&gt;0),$AD336/$AB336,"")</f>
      </c>
      <c r="AW336" s="39">
        <f>IF(ISNUMBER($AD336),MAX(0,(1-0.55-Header!$O$3)*Header!$Q$3*$AQ336),"")</f>
      </c>
      <c r="AX336" s="43">
        <f>IF($A336="","",IF(TRIM(IF($A336="","Missing certificate ref. ","") &amp; IF($C336="","Missing effective date. ","") &amp; IF($D336="","Missing binding status. ","") &amp; IF($E336="","Missing movement type. ","") &amp; IF($I336="","Missing make. ","") &amp; IF($L336="","Missing vehicle class. ","") &amp; IF($M336="","Missing agreed value. ","") &amp; IF($N336="","Missing policy type. ","") &amp; IF($Q336="","Missing garaging state. ","") &amp; IF($R336="","Missing garaging ZIP. ","") &amp; IF($S336="","Missing cat zone. ","") &amp; IF($V336="","Missing valuation basis. ","") &amp; IF($W336="","Missing PD deductible. ","") &amp; IF($X336="","Missing liability limit. ","") &amp; IF($AB336="","Missing technical premium. ","") &amp; IF($AF336="","Missing surplus lines tax %. ",""))="","PASS","FAIL: "&amp;TRIM(IF($A336="","Missing certificate ref. ","") &amp; IF($C336="","Missing effective date. ","") &amp; IF($D336="","Missing binding status. ","") &amp; IF($E336="","Missing movement type. ","") &amp; IF($I336="","Missing make. ","") &amp; IF($L336="","Missing vehicle class. ","") &amp; IF($M336="","Missing agreed value. ","") &amp; IF($N336="","Missing policy type. ","") &amp; IF($Q336="","Missing garaging state. ","") &amp; IF($R336="","Missing garaging ZIP. ","") &amp; IF($S336="","Missing cat zone. ","") &amp; IF($V336="","Missing valuation basis. ","") &amp; IF($W336="","Missing PD deductible. ","") &amp; IF($X336="","Missing liability limit. ","") &amp; IF($AB336="","Missing technical premium. ","") &amp; IF($AF336="","Missing surplus lines tax %. ",""))))</f>
      </c>
      <c r="AY336" s="44">
        <f>IF($M336="","",IF(ISNUMBER($M336),IF($M336&gt;=Header!$C$18,"YES — refer","No"),""))</f>
      </c>
      <c r="AZ336" s="44">
        <f>IF($AD336="","",IF(ISNUMBER($AD336),IF($AD336&lt;Header!$C$20,"BELOW MIN PREMIUM","OK"),""))</f>
      </c>
      <c r="BA336" s="48" t="inlineStr">
        <is>
          <t xml:space="preserve">Yes</t>
        </is>
      </c>
      <c r="BB336" s="48" t="inlineStr">
        <is>
          <t xml:space="preserve">Yes</t>
        </is>
      </c>
      <c r="BC336" s="46" t="inlineStr">
        <is>
          <t xml:space="preserve">Synthetic demo data</t>
        </is>
      </c>
      <c r="BE336" s="45">
        <f>IF(OR($A336="",$L336="",$H336=""),"",IF(AND(LEFT($L336,2)="06",$H336&gt;1945),"FAIL - pre-war class, year "&amp;$H336,IF(AND(LEFT($L336,2)="07",OR($H336&lt;1946,$H336&gt;1972)),"FAIL - 1946-72 class, year "&amp;$H336,IF(AND(LEFT($L336,2)="08",OR($H336&lt;1973,$H336&gt;1999)),"FAIL - 1973-99 class, year "&amp;$H336,IF(AND(LEFT($L336,2)="09",OR($H336&lt;2000,$H336&gt;2010)),"FAIL - 2000-10 class, year "&amp;$H336,"OK")))))</f>
      </c>
      <c r="BF336" s="45">
        <f>IF($AD336="","",IF(ROUND($AO336+$AP336+$AQ336-$AD336,2)=0,"OK","FAIL - out by "&amp;TEXT($AO336+$AP336+$AQ336-$AD336,"$0.00")))</f>
      </c>
    </row>
    <row r="337" spans="1:58" ht="18.75" customHeight="1" x14ac:dyDescent="0.25">
      <c r="A337" s="30" t="inlineStr">
        <is>
          <t xml:space="preserve">CANON-202511-002629</t>
        </is>
      </c>
      <c r="B337" s="30" t="inlineStr">
        <is>
          <t xml:space="preserve">Leopold Larsson</t>
        </is>
      </c>
      <c r="C337" s="31">
        <v>45986</v>
      </c>
      <c r="D337" s="32" t="inlineStr">
        <is>
          <t xml:space="preserve">Bound - within authority</t>
        </is>
      </c>
      <c r="E337" s="32" t="inlineStr">
        <is>
          <t xml:space="preserve">New business</t>
        </is>
      </c>
      <c r="F337" s="30" t="inlineStr">
        <is>
          <t xml:space="preserve">B1234EXOTIC26</t>
        </is>
      </c>
      <c r="G337" s="33">
        <f>IF($A337="","",IF($C337="","",YEAR($C337)))</f>
      </c>
      <c r="H337" s="34">
        <v>1974</v>
      </c>
      <c r="I337" s="30" t="inlineStr">
        <is>
          <t xml:space="preserve">McLaren</t>
        </is>
      </c>
      <c r="J337" s="30" t="inlineStr">
        <is>
          <t xml:space="preserve">750S</t>
        </is>
      </c>
      <c r="K337" s="30" t="inlineStr">
        <is>
          <t xml:space="preserve">299MTV888PXSD77RG</t>
        </is>
      </c>
      <c r="L337" s="32" t="inlineStr">
        <is>
          <t xml:space="preserve">03 - Supercar</t>
        </is>
      </c>
      <c r="M337" s="35">
        <v>1270000</v>
      </c>
      <c r="N337" s="32" t="inlineStr">
        <is>
          <t xml:space="preserve">Personal</t>
        </is>
      </c>
      <c r="O337" s="30" t="inlineStr">
        <is>
          <t xml:space="preserve">Personal - regular use</t>
        </is>
      </c>
      <c r="P337" s="30" t="inlineStr">
        <is>
          <t xml:space="preserve">2,500 - 5,000</t>
        </is>
      </c>
      <c r="Q337" s="30" t="inlineStr">
        <is>
          <t xml:space="preserve">Texas</t>
        </is>
      </c>
      <c r="R337" s="30" t="inlineStr">
        <is>
          <t xml:space="preserve">75201</t>
        </is>
      </c>
      <c r="S337" s="32" t="inlineStr">
        <is>
          <t xml:space="preserve">Tier 2 - Coastal wind (1-25 miles)</t>
        </is>
      </c>
      <c r="T337" s="36">
        <f>IF($A337="","",IF($S337="","",IFERROR(INDEX('[1]natural catastrophe'!$D$6:$D$17,MATCH($S337,'[1]natural catastrophe'!$B$6:$B$17,0)),"?")))</f>
      </c>
      <c r="U337" s="30" t="inlineStr">
        <is>
          <t xml:space="preserve">2% of agreed value, minimum $10,000</t>
        </is>
      </c>
      <c r="V337" s="32" t="inlineStr">
        <is>
          <t xml:space="preserve">Agreed Value</t>
        </is>
      </c>
      <c r="W337" s="30" t="inlineStr">
        <is>
          <t xml:space="preserve">$1,000</t>
        </is>
      </c>
      <c r="X337" s="32" t="inlineStr">
        <is>
          <t xml:space="preserve">$1,000,000 CSL</t>
        </is>
      </c>
      <c r="Y337" s="30"/>
      <c r="Z337" s="30"/>
      <c r="AA337" s="32" t="inlineStr">
        <is>
          <t xml:space="preserve">Surplus Lines</t>
        </is>
      </c>
      <c r="AB337" s="35">
        <v>20268.43</v>
      </c>
      <c r="AC337" s="37">
        <v>0</v>
      </c>
      <c r="AD337" s="38">
        <f>IF(ISNUMBER($AB337),$AB337*(1+N($AC337)),"")</f>
      </c>
      <c r="AE337" s="35">
        <v>350</v>
      </c>
      <c r="AF337" s="35">
        <v>250</v>
      </c>
      <c r="AG337" s="37"/>
      <c r="AH337" s="39">
        <f>IF(ISNUMBER($AD337),($AD337+$AE337+$AF337)*$AG337,"")</f>
      </c>
      <c r="AI337" s="35"/>
      <c r="AJ337" s="38">
        <f>IF(ISNUMBER($AD337),SUM($AD337:$AH337),"")</f>
      </c>
      <c r="AK337" s="40">
        <f>IF(AND(ISNUMBER($AB337),ISNUMBER($AD337)),IF($AB337&gt;0,$AD337/$AB337,""),"")</f>
      </c>
      <c r="AL337" s="32" t="inlineStr">
        <is>
          <t xml:space="preserve">At technical</t>
        </is>
      </c>
      <c r="AM337" s="41">
        <f>IF(ISNUMBER($AD337),Header!$I$3,"")</f>
      </c>
      <c r="AN337" s="39">
        <f>IF(ISNUMBER($AD337),$AO337+$AP337,"")</f>
      </c>
      <c r="AO337" s="39">
        <f>IF(ISNUMBER($AD337),ROUND($AD337*Header!$K$3,2),"")</f>
      </c>
      <c r="AP337" s="39">
        <f>IF(ISNUMBER($AD337),ROUND($AD337*Header!$M$3,2),"")</f>
      </c>
      <c r="AQ337" s="38">
        <f>IF(ISNUMBER($AD337),ROUND($AD337,2)-$AO337-$AP337,"")</f>
      </c>
      <c r="AR337" s="39">
        <f>IF(ISNUMBER($AD337),IF(Header!$D$34="","?",$AD337*Header!$D$34),"")</f>
      </c>
      <c r="AS337" s="39">
        <f>IF(ISNUMBER($AB337),IF(Header!$D$34="","?",$AB337*Header!$D$34),"")</f>
      </c>
      <c r="AT337" s="42">
        <f>IF(AND(ISNUMBER($AB337),$M337&gt;0),$AB337/$M337*100,"")</f>
      </c>
      <c r="AU337" s="42">
        <f>IF(AND(ISNUMBER($AD337),$M337&gt;0),$AD337/$M337*100,"")</f>
      </c>
      <c r="AV337" s="40">
        <f>IF(AND(ISNUMBER($AB337),ISNUMBER($AD337),ABS($AB337)&gt;0),$AD337/$AB337,"")</f>
      </c>
      <c r="AW337" s="39">
        <f>IF(ISNUMBER($AD337),MAX(0,(1-0.55-Header!$O$3)*Header!$Q$3*$AQ337),"")</f>
      </c>
      <c r="AX337" s="43">
        <f>IF($A337="","",IF(TRIM(IF($A337="","Missing certificate ref. ","") &amp; IF($C337="","Missing effective date. ","") &amp; IF($D337="","Missing binding status. ","") &amp; IF($E337="","Missing movement type. ","") &amp; IF($I337="","Missing make. ","") &amp; IF($L337="","Missing vehicle class. ","") &amp; IF($M337="","Missing agreed value. ","") &amp; IF($N337="","Missing policy type. ","") &amp; IF($Q337="","Missing garaging state. ","") &amp; IF($R337="","Missing garaging ZIP. ","") &amp; IF($S337="","Missing cat zone. ","") &amp; IF($V337="","Missing valuation basis. ","") &amp; IF($W337="","Missing PD deductible. ","") &amp; IF($X337="","Missing liability limit. ","") &amp; IF($AB337="","Missing technical premium. ","") &amp; IF($AF337="","Missing surplus lines tax %. ",""))="","PASS","FAIL: "&amp;TRIM(IF($A337="","Missing certificate ref. ","") &amp; IF($C337="","Missing effective date. ","") &amp; IF($D337="","Missing binding status. ","") &amp; IF($E337="","Missing movement type. ","") &amp; IF($I337="","Missing make. ","") &amp; IF($L337="","Missing vehicle class. ","") &amp; IF($M337="","Missing agreed value. ","") &amp; IF($N337="","Missing policy type. ","") &amp; IF($Q337="","Missing garaging state. ","") &amp; IF($R337="","Missing garaging ZIP. ","") &amp; IF($S337="","Missing cat zone. ","") &amp; IF($V337="","Missing valuation basis. ","") &amp; IF($W337="","Missing PD deductible. ","") &amp; IF($X337="","Missing liability limit. ","") &amp; IF($AB337="","Missing technical premium. ","") &amp; IF($AF337="","Missing surplus lines tax %. ",""))))</f>
      </c>
      <c r="AY337" s="44">
        <f>IF($M337="","",IF(ISNUMBER($M337),IF($M337&gt;=Header!$C$18,"YES — refer","No"),""))</f>
      </c>
      <c r="AZ337" s="44">
        <f>IF($AD337="","",IF(ISNUMBER($AD337),IF($AD337&lt;Header!$C$20,"BELOW MIN PREMIUM","OK"),""))</f>
      </c>
      <c r="BA337" s="32" t="inlineStr">
        <is>
          <t xml:space="preserve">Yes</t>
        </is>
      </c>
      <c r="BB337" s="32" t="inlineStr">
        <is>
          <t xml:space="preserve">Yes</t>
        </is>
      </c>
      <c r="BC337" s="30" t="inlineStr">
        <is>
          <t xml:space="preserve">Synthetic demo data</t>
        </is>
      </c>
      <c r="BE337" s="45">
        <f>IF(OR($A337="",$L337="",$H337=""),"",IF(AND(LEFT($L337,2)="06",$H337&gt;1945),"FAIL - pre-war class, year "&amp;$H337,IF(AND(LEFT($L337,2)="07",OR($H337&lt;1946,$H337&gt;1972)),"FAIL - 1946-72 class, year "&amp;$H337,IF(AND(LEFT($L337,2)="08",OR($H337&lt;1973,$H337&gt;1999)),"FAIL - 1973-99 class, year "&amp;$H337,IF(AND(LEFT($L337,2)="09",OR($H337&lt;2000,$H337&gt;2010)),"FAIL - 2000-10 class, year "&amp;$H337,"OK")))))</f>
      </c>
      <c r="BF337" s="45">
        <f>IF($AD337="","",IF(ROUND($AO337+$AP337+$AQ337-$AD337,2)=0,"OK","FAIL - out by "&amp;TEXT($AO337+$AP337+$AQ337-$AD337,"$0.00")))</f>
      </c>
    </row>
    <row r="338" spans="1:58" ht="18.75" customHeight="1" x14ac:dyDescent="0.25">
      <c r="A338" s="46" t="inlineStr">
        <is>
          <t xml:space="preserve">CANON-202511-002630</t>
        </is>
      </c>
      <c r="B338" s="46" t="inlineStr">
        <is>
          <t xml:space="preserve">Leopold Bellandi</t>
        </is>
      </c>
      <c r="C338" s="47">
        <v>45966</v>
      </c>
      <c r="D338" s="48" t="inlineStr">
        <is>
          <t xml:space="preserve">Bound - within authority</t>
        </is>
      </c>
      <c r="E338" s="48" t="inlineStr">
        <is>
          <t xml:space="preserve">New business</t>
        </is>
      </c>
      <c r="F338" s="46" t="inlineStr">
        <is>
          <t xml:space="preserve">B1234EXOTIC26</t>
        </is>
      </c>
      <c r="G338" s="33">
        <f>IF($A338="","",IF($C338="","",YEAR($C338)))</f>
      </c>
      <c r="H338" s="49">
        <v>1970</v>
      </c>
      <c r="I338" s="46" t="inlineStr">
        <is>
          <t xml:space="preserve">Porsche</t>
        </is>
      </c>
      <c r="J338" s="46" t="inlineStr">
        <is>
          <t xml:space="preserve">911 Turbo S</t>
        </is>
      </c>
      <c r="K338" s="46" t="inlineStr">
        <is>
          <t xml:space="preserve">32V4Y9M96EM6DYYH8</t>
        </is>
      </c>
      <c r="L338" s="48" t="inlineStr">
        <is>
          <t xml:space="preserve">02 - Sports / GT</t>
        </is>
      </c>
      <c r="M338" s="50">
        <v>360000</v>
      </c>
      <c r="N338" s="48" t="inlineStr">
        <is>
          <t xml:space="preserve">Personal</t>
        </is>
      </c>
      <c r="O338" s="46" t="inlineStr">
        <is>
          <t xml:space="preserve">Personal - regular use</t>
        </is>
      </c>
      <c r="P338" s="46" t="inlineStr">
        <is>
          <t xml:space="preserve">Under 1,000</t>
        </is>
      </c>
      <c r="Q338" s="46" t="inlineStr">
        <is>
          <t xml:space="preserve">Illinois</t>
        </is>
      </c>
      <c r="R338" s="46" t="inlineStr">
        <is>
          <t xml:space="preserve">60601</t>
        </is>
      </c>
      <c r="S338" s="48" t="inlineStr">
        <is>
          <t xml:space="preserve">Severe convective - hail / tornado (moderate)</t>
        </is>
      </c>
      <c r="T338" s="36">
        <f>IF($A338="","",IF($S338="","",IFERROR(INDEX('[1]natural catastrophe'!$D$6:$D$17,MATCH($S338,'[1]natural catastrophe'!$B$6:$B$17,0)),"?")))</f>
      </c>
      <c r="U338" s="46" t="inlineStr">
        <is>
          <t xml:space="preserve">$5,000</t>
        </is>
      </c>
      <c r="V338" s="48" t="inlineStr">
        <is>
          <t xml:space="preserve">Agreed Value</t>
        </is>
      </c>
      <c r="W338" s="46" t="inlineStr">
        <is>
          <t xml:space="preserve">$1,000</t>
        </is>
      </c>
      <c r="X338" s="48" t="inlineStr">
        <is>
          <t xml:space="preserve">$1,000,000 CSL</t>
        </is>
      </c>
      <c r="Y338" s="46"/>
      <c r="Z338" s="46"/>
      <c r="AA338" s="48" t="inlineStr">
        <is>
          <t xml:space="preserve">Surplus Lines</t>
        </is>
      </c>
      <c r="AB338" s="50">
        <v>6369.88</v>
      </c>
      <c r="AC338" s="51">
        <v>0</v>
      </c>
      <c r="AD338" s="38">
        <f>IF(ISNUMBER($AB338),$AB338*(1+N($AC338)),"")</f>
      </c>
      <c r="AE338" s="50">
        <v>350</v>
      </c>
      <c r="AF338" s="50">
        <v>0</v>
      </c>
      <c r="AG338" s="51"/>
      <c r="AH338" s="39">
        <f>IF(ISNUMBER($AD338),($AD338+$AE338+$AF338)*$AG338,"")</f>
      </c>
      <c r="AI338" s="50"/>
      <c r="AJ338" s="38">
        <f>IF(ISNUMBER($AD338),SUM($AD338:$AH338),"")</f>
      </c>
      <c r="AK338" s="40">
        <f>IF(AND(ISNUMBER($AB338),ISNUMBER($AD338)),IF($AB338&gt;0,$AD338/$AB338,""),"")</f>
      </c>
      <c r="AL338" s="48" t="inlineStr">
        <is>
          <t xml:space="preserve">At technical</t>
        </is>
      </c>
      <c r="AM338" s="41">
        <f>IF(ISNUMBER($AD338),Header!$I$3,"")</f>
      </c>
      <c r="AN338" s="39">
        <f>IF(ISNUMBER($AD338),$AO338+$AP338,"")</f>
      </c>
      <c r="AO338" s="39">
        <f>IF(ISNUMBER($AD338),ROUND($AD338*Header!$K$3,2),"")</f>
      </c>
      <c r="AP338" s="39">
        <f>IF(ISNUMBER($AD338),ROUND($AD338*Header!$M$3,2),"")</f>
      </c>
      <c r="AQ338" s="38">
        <f>IF(ISNUMBER($AD338),ROUND($AD338,2)-$AO338-$AP338,"")</f>
      </c>
      <c r="AR338" s="39">
        <f>IF(ISNUMBER($AD338),IF(Header!$D$34="","?",$AD338*Header!$D$34),"")</f>
      </c>
      <c r="AS338" s="39">
        <f>IF(ISNUMBER($AB338),IF(Header!$D$34="","?",$AB338*Header!$D$34),"")</f>
      </c>
      <c r="AT338" s="42">
        <f>IF(AND(ISNUMBER($AB338),$M338&gt;0),$AB338/$M338*100,"")</f>
      </c>
      <c r="AU338" s="42">
        <f>IF(AND(ISNUMBER($AD338),$M338&gt;0),$AD338/$M338*100,"")</f>
      </c>
      <c r="AV338" s="40">
        <f>IF(AND(ISNUMBER($AB338),ISNUMBER($AD338),ABS($AB338)&gt;0),$AD338/$AB338,"")</f>
      </c>
      <c r="AW338" s="39">
        <f>IF(ISNUMBER($AD338),MAX(0,(1-0.55-Header!$O$3)*Header!$Q$3*$AQ338),"")</f>
      </c>
      <c r="AX338" s="43">
        <f>IF($A338="","",IF(TRIM(IF($A338="","Missing certificate ref. ","") &amp; IF($C338="","Missing effective date. ","") &amp; IF($D338="","Missing binding status. ","") &amp; IF($E338="","Missing movement type. ","") &amp; IF($I338="","Missing make. ","") &amp; IF($L338="","Missing vehicle class. ","") &amp; IF($M338="","Missing agreed value. ","") &amp; IF($N338="","Missing policy type. ","") &amp; IF($Q338="","Missing garaging state. ","") &amp; IF($R338="","Missing garaging ZIP. ","") &amp; IF($S338="","Missing cat zone. ","") &amp; IF($V338="","Missing valuation basis. ","") &amp; IF($W338="","Missing PD deductible. ","") &amp; IF($X338="","Missing liability limit. ","") &amp; IF($AB338="","Missing technical premium. ","") &amp; IF($AF338="","Missing surplus lines tax %. ",""))="","PASS","FAIL: "&amp;TRIM(IF($A338="","Missing certificate ref. ","") &amp; IF($C338="","Missing effective date. ","") &amp; IF($D338="","Missing binding status. ","") &amp; IF($E338="","Missing movement type. ","") &amp; IF($I338="","Missing make. ","") &amp; IF($L338="","Missing vehicle class. ","") &amp; IF($M338="","Missing agreed value. ","") &amp; IF($N338="","Missing policy type. ","") &amp; IF($Q338="","Missing garaging state. ","") &amp; IF($R338="","Missing garaging ZIP. ","") &amp; IF($S338="","Missing cat zone. ","") &amp; IF($V338="","Missing valuation basis. ","") &amp; IF($W338="","Missing PD deductible. ","") &amp; IF($X338="","Missing liability limit. ","") &amp; IF($AB338="","Missing technical premium. ","") &amp; IF($AF338="","Missing surplus lines tax %. ",""))))</f>
      </c>
      <c r="AY338" s="44">
        <f>IF($M338="","",IF(ISNUMBER($M338),IF($M338&gt;=Header!$C$18,"YES — refer","No"),""))</f>
      </c>
      <c r="AZ338" s="44">
        <f>IF($AD338="","",IF(ISNUMBER($AD338),IF($AD338&lt;Header!$C$20,"BELOW MIN PREMIUM","OK"),""))</f>
      </c>
      <c r="BA338" s="48" t="inlineStr">
        <is>
          <t xml:space="preserve">Yes</t>
        </is>
      </c>
      <c r="BB338" s="48" t="inlineStr">
        <is>
          <t xml:space="preserve">Yes</t>
        </is>
      </c>
      <c r="BC338" s="46" t="inlineStr">
        <is>
          <t xml:space="preserve">Synthetic demo data</t>
        </is>
      </c>
      <c r="BE338" s="45">
        <f>IF(OR($A338="",$L338="",$H338=""),"",IF(AND(LEFT($L338,2)="06",$H338&gt;1945),"FAIL - pre-war class, year "&amp;$H338,IF(AND(LEFT($L338,2)="07",OR($H338&lt;1946,$H338&gt;1972)),"FAIL - 1946-72 class, year "&amp;$H338,IF(AND(LEFT($L338,2)="08",OR($H338&lt;1973,$H338&gt;1999)),"FAIL - 1973-99 class, year "&amp;$H338,IF(AND(LEFT($L338,2)="09",OR($H338&lt;2000,$H338&gt;2010)),"FAIL - 2000-10 class, year "&amp;$H338,"OK")))))</f>
      </c>
      <c r="BF338" s="45">
        <f>IF($AD338="","",IF(ROUND($AO338+$AP338+$AQ338-$AD338,2)=0,"OK","FAIL - out by "&amp;TEXT($AO338+$AP338+$AQ338-$AD338,"$0.00")))</f>
      </c>
    </row>
    <row r="339" spans="1:58" ht="18.75" customHeight="1" x14ac:dyDescent="0.25">
      <c r="A339" s="30" t="inlineStr">
        <is>
          <t xml:space="preserve">CANON-202511-002631</t>
        </is>
      </c>
      <c r="B339" s="30" t="inlineStr">
        <is>
          <t xml:space="preserve">Noor Vandermeer</t>
        </is>
      </c>
      <c r="C339" s="31">
        <v>45975</v>
      </c>
      <c r="D339" s="32" t="inlineStr">
        <is>
          <t xml:space="preserve">Bound - within authority</t>
        </is>
      </c>
      <c r="E339" s="32" t="inlineStr">
        <is>
          <t xml:space="preserve">New business</t>
        </is>
      </c>
      <c r="F339" s="30" t="inlineStr">
        <is>
          <t xml:space="preserve">B1234EXOTIC26</t>
        </is>
      </c>
      <c r="G339" s="33">
        <f>IF($A339="","",IF($C339="","",YEAR($C339)))</f>
      </c>
      <c r="H339" s="34">
        <v>1967</v>
      </c>
      <c r="I339" s="30" t="inlineStr">
        <is>
          <t xml:space="preserve">Aston Martin</t>
        </is>
      </c>
      <c r="J339" s="30" t="inlineStr">
        <is>
          <t xml:space="preserve">DB5</t>
        </is>
      </c>
      <c r="K339" s="30" t="inlineStr">
        <is>
          <t xml:space="preserve">7GLNNTUV25GVW3UVX</t>
        </is>
      </c>
      <c r="L339" s="32" t="inlineStr">
        <is>
          <t xml:space="preserve">07 - Post-War Classic (1946-1972)</t>
        </is>
      </c>
      <c r="M339" s="35">
        <v>675000</v>
      </c>
      <c r="N339" s="32" t="inlineStr">
        <is>
          <t xml:space="preserve">Personal</t>
        </is>
      </c>
      <c r="O339" s="30" t="inlineStr">
        <is>
          <t xml:space="preserve">Personal - regular use</t>
        </is>
      </c>
      <c r="P339" s="30" t="inlineStr">
        <is>
          <t xml:space="preserve">Under 1,000</t>
        </is>
      </c>
      <c r="Q339" s="30" t="inlineStr">
        <is>
          <t xml:space="preserve">Pennsylvania</t>
        </is>
      </c>
      <c r="R339" s="30" t="inlineStr">
        <is>
          <t xml:space="preserve">19103</t>
        </is>
      </c>
      <c r="S339" s="32" t="inlineStr">
        <is>
          <t xml:space="preserve">Low hazard - inland benign</t>
        </is>
      </c>
      <c r="T339" s="36">
        <f>IF($A339="","",IF($S339="","",IFERROR(INDEX('[1]natural catastrophe'!$D$6:$D$17,MATCH($S339,'[1]natural catastrophe'!$B$6:$B$17,0)),"?")))</f>
      </c>
      <c r="U339" s="30" t="inlineStr">
        <is>
          <t xml:space="preserve">$5,000</t>
        </is>
      </c>
      <c r="V339" s="32" t="inlineStr">
        <is>
          <t xml:space="preserve">Agreed Value</t>
        </is>
      </c>
      <c r="W339" s="30" t="inlineStr">
        <is>
          <t xml:space="preserve">$1,000</t>
        </is>
      </c>
      <c r="X339" s="32" t="inlineStr">
        <is>
          <t xml:space="preserve">$1,000,000 CSL</t>
        </is>
      </c>
      <c r="Y339" s="30"/>
      <c r="Z339" s="30"/>
      <c r="AA339" s="32" t="inlineStr">
        <is>
          <t xml:space="preserve">Surplus Lines</t>
        </is>
      </c>
      <c r="AB339" s="35">
        <v>5035.02</v>
      </c>
      <c r="AC339" s="37">
        <v>0</v>
      </c>
      <c r="AD339" s="38">
        <f>IF(ISNUMBER($AB339),$AB339*(1+N($AC339)),"")</f>
      </c>
      <c r="AE339" s="35">
        <v>350</v>
      </c>
      <c r="AF339" s="35">
        <v>0</v>
      </c>
      <c r="AG339" s="37"/>
      <c r="AH339" s="39">
        <f>IF(ISNUMBER($AD339),($AD339+$AE339+$AF339)*$AG339,"")</f>
      </c>
      <c r="AI339" s="35"/>
      <c r="AJ339" s="38">
        <f>IF(ISNUMBER($AD339),SUM($AD339:$AH339),"")</f>
      </c>
      <c r="AK339" s="40">
        <f>IF(AND(ISNUMBER($AB339),ISNUMBER($AD339)),IF($AB339&gt;0,$AD339/$AB339,""),"")</f>
      </c>
      <c r="AL339" s="32" t="inlineStr">
        <is>
          <t xml:space="preserve">At technical</t>
        </is>
      </c>
      <c r="AM339" s="41">
        <f>IF(ISNUMBER($AD339),Header!$I$3,"")</f>
      </c>
      <c r="AN339" s="39">
        <f>IF(ISNUMBER($AD339),$AO339+$AP339,"")</f>
      </c>
      <c r="AO339" s="39">
        <f>IF(ISNUMBER($AD339),ROUND($AD339*Header!$K$3,2),"")</f>
      </c>
      <c r="AP339" s="39">
        <f>IF(ISNUMBER($AD339),ROUND($AD339*Header!$M$3,2),"")</f>
      </c>
      <c r="AQ339" s="38">
        <f>IF(ISNUMBER($AD339),ROUND($AD339,2)-$AO339-$AP339,"")</f>
      </c>
      <c r="AR339" s="39">
        <f>IF(ISNUMBER($AD339),IF(Header!$D$34="","?",$AD339*Header!$D$34),"")</f>
      </c>
      <c r="AS339" s="39">
        <f>IF(ISNUMBER($AB339),IF(Header!$D$34="","?",$AB339*Header!$D$34),"")</f>
      </c>
      <c r="AT339" s="42">
        <f>IF(AND(ISNUMBER($AB339),$M339&gt;0),$AB339/$M339*100,"")</f>
      </c>
      <c r="AU339" s="42">
        <f>IF(AND(ISNUMBER($AD339),$M339&gt;0),$AD339/$M339*100,"")</f>
      </c>
      <c r="AV339" s="40">
        <f>IF(AND(ISNUMBER($AB339),ISNUMBER($AD339),ABS($AB339)&gt;0),$AD339/$AB339,"")</f>
      </c>
      <c r="AW339" s="39">
        <f>IF(ISNUMBER($AD339),MAX(0,(1-0.55-Header!$O$3)*Header!$Q$3*$AQ339),"")</f>
      </c>
      <c r="AX339" s="43">
        <f>IF($A339="","",IF(TRIM(IF($A339="","Missing certificate ref. ","") &amp; IF($C339="","Missing effective date. ","") &amp; IF($D339="","Missing binding status. ","") &amp; IF($E339="","Missing movement type. ","") &amp; IF($I339="","Missing make. ","") &amp; IF($L339="","Missing vehicle class. ","") &amp; IF($M339="","Missing agreed value. ","") &amp; IF($N339="","Missing policy type. ","") &amp; IF($Q339="","Missing garaging state. ","") &amp; IF($R339="","Missing garaging ZIP. ","") &amp; IF($S339="","Missing cat zone. ","") &amp; IF($V339="","Missing valuation basis. ","") &amp; IF($W339="","Missing PD deductible. ","") &amp; IF($X339="","Missing liability limit. ","") &amp; IF($AB339="","Missing technical premium. ","") &amp; IF($AF339="","Missing surplus lines tax %. ",""))="","PASS","FAIL: "&amp;TRIM(IF($A339="","Missing certificate ref. ","") &amp; IF($C339="","Missing effective date. ","") &amp; IF($D339="","Missing binding status. ","") &amp; IF($E339="","Missing movement type. ","") &amp; IF($I339="","Missing make. ","") &amp; IF($L339="","Missing vehicle class. ","") &amp; IF($M339="","Missing agreed value. ","") &amp; IF($N339="","Missing policy type. ","") &amp; IF($Q339="","Missing garaging state. ","") &amp; IF($R339="","Missing garaging ZIP. ","") &amp; IF($S339="","Missing cat zone. ","") &amp; IF($V339="","Missing valuation basis. ","") &amp; IF($W339="","Missing PD deductible. ","") &amp; IF($X339="","Missing liability limit. ","") &amp; IF($AB339="","Missing technical premium. ","") &amp; IF($AF339="","Missing surplus lines tax %. ",""))))</f>
      </c>
      <c r="AY339" s="44">
        <f>IF($M339="","",IF(ISNUMBER($M339),IF($M339&gt;=Header!$C$18,"YES — refer","No"),""))</f>
      </c>
      <c r="AZ339" s="44">
        <f>IF($AD339="","",IF(ISNUMBER($AD339),IF($AD339&lt;Header!$C$20,"BELOW MIN PREMIUM","OK"),""))</f>
      </c>
      <c r="BA339" s="32" t="inlineStr">
        <is>
          <t xml:space="preserve">Yes</t>
        </is>
      </c>
      <c r="BB339" s="32" t="inlineStr">
        <is>
          <t xml:space="preserve">Yes</t>
        </is>
      </c>
      <c r="BC339" s="30" t="inlineStr">
        <is>
          <t xml:space="preserve">Synthetic demo data</t>
        </is>
      </c>
      <c r="BE339" s="45">
        <f>IF(OR($A339="",$L339="",$H339=""),"",IF(AND(LEFT($L339,2)="06",$H339&gt;1945),"FAIL - pre-war class, year "&amp;$H339,IF(AND(LEFT($L339,2)="07",OR($H339&lt;1946,$H339&gt;1972)),"FAIL - 1946-72 class, year "&amp;$H339,IF(AND(LEFT($L339,2)="08",OR($H339&lt;1973,$H339&gt;1999)),"FAIL - 1973-99 class, year "&amp;$H339,IF(AND(LEFT($L339,2)="09",OR($H339&lt;2000,$H339&gt;2010)),"FAIL - 2000-10 class, year "&amp;$H339,"OK")))))</f>
      </c>
      <c r="BF339" s="45">
        <f>IF($AD339="","",IF(ROUND($AO339+$AP339+$AQ339-$AD339,2)=0,"OK","FAIL - out by "&amp;TEXT($AO339+$AP339+$AQ339-$AD339,"$0.00")))</f>
      </c>
    </row>
    <row r="340" spans="1:58" ht="18.75" customHeight="1" x14ac:dyDescent="0.25">
      <c r="A340" s="46" t="inlineStr">
        <is>
          <t xml:space="preserve">CANON-202511-002632</t>
        </is>
      </c>
      <c r="B340" s="46" t="inlineStr">
        <is>
          <t xml:space="preserve">Horace Kingsford</t>
        </is>
      </c>
      <c r="C340" s="47">
        <v>45965</v>
      </c>
      <c r="D340" s="48" t="inlineStr">
        <is>
          <t xml:space="preserve">Bound - within authority</t>
        </is>
      </c>
      <c r="E340" s="48" t="inlineStr">
        <is>
          <t xml:space="preserve">New business</t>
        </is>
      </c>
      <c r="F340" s="46" t="inlineStr">
        <is>
          <t xml:space="preserve">B1234EXOTIC26</t>
        </is>
      </c>
      <c r="G340" s="33">
        <f>IF($A340="","",IF($C340="","",YEAR($C340)))</f>
      </c>
      <c r="H340" s="49">
        <v>2020</v>
      </c>
      <c r="I340" s="46" t="inlineStr">
        <is>
          <t xml:space="preserve">BMW</t>
        </is>
      </c>
      <c r="J340" s="46" t="inlineStr">
        <is>
          <t xml:space="preserve">M8 Competition</t>
        </is>
      </c>
      <c r="K340" s="46" t="inlineStr">
        <is>
          <t xml:space="preserve">0WAF53SYYX317VS1V</t>
        </is>
      </c>
      <c r="L340" s="48" t="inlineStr">
        <is>
          <t xml:space="preserve">02 - Sports / GT</t>
        </is>
      </c>
      <c r="M340" s="50">
        <v>1275000</v>
      </c>
      <c r="N340" s="48" t="inlineStr">
        <is>
          <t xml:space="preserve">Personal</t>
        </is>
      </c>
      <c r="O340" s="46" t="inlineStr">
        <is>
          <t xml:space="preserve">Personal - regular use</t>
        </is>
      </c>
      <c r="P340" s="46" t="inlineStr">
        <is>
          <t xml:space="preserve">Under 1,000</t>
        </is>
      </c>
      <c r="Q340" s="46" t="inlineStr">
        <is>
          <t xml:space="preserve">Montana</t>
        </is>
      </c>
      <c r="R340" s="46" t="inlineStr">
        <is>
          <t xml:space="preserve">59601</t>
        </is>
      </c>
      <c r="S340" s="48" t="inlineStr">
        <is>
          <t xml:space="preserve">Wildfire - WUI high hazard</t>
        </is>
      </c>
      <c r="T340" s="36">
        <f>IF($A340="","",IF($S340="","",IFERROR(INDEX('[1]natural catastrophe'!$D$6:$D$17,MATCH($S340,'[1]natural catastrophe'!$B$6:$B$17,0)),"?")))</f>
      </c>
      <c r="U340" s="46" t="inlineStr">
        <is>
          <t xml:space="preserve">$5,000</t>
        </is>
      </c>
      <c r="V340" s="48" t="inlineStr">
        <is>
          <t xml:space="preserve">Agreed Value</t>
        </is>
      </c>
      <c r="W340" s="46" t="inlineStr">
        <is>
          <t xml:space="preserve">$1,000</t>
        </is>
      </c>
      <c r="X340" s="48" t="inlineStr">
        <is>
          <t xml:space="preserve">$1,000,000 CSL</t>
        </is>
      </c>
      <c r="Y340" s="46"/>
      <c r="Z340" s="46"/>
      <c r="AA340" s="48" t="inlineStr">
        <is>
          <t xml:space="preserve">Surplus Lines</t>
        </is>
      </c>
      <c r="AB340" s="50">
        <v>11313.17</v>
      </c>
      <c r="AC340" s="51">
        <v>0</v>
      </c>
      <c r="AD340" s="38">
        <f>IF(ISNUMBER($AB340),$AB340*(1+N($AC340)),"")</f>
      </c>
      <c r="AE340" s="50">
        <v>350</v>
      </c>
      <c r="AF340" s="50">
        <v>250</v>
      </c>
      <c r="AG340" s="51"/>
      <c r="AH340" s="39">
        <f>IF(ISNUMBER($AD340),($AD340+$AE340+$AF340)*$AG340,"")</f>
      </c>
      <c r="AI340" s="50"/>
      <c r="AJ340" s="38">
        <f>IF(ISNUMBER($AD340),SUM($AD340:$AH340),"")</f>
      </c>
      <c r="AK340" s="40">
        <f>IF(AND(ISNUMBER($AB340),ISNUMBER($AD340)),IF($AB340&gt;0,$AD340/$AB340,""),"")</f>
      </c>
      <c r="AL340" s="48" t="inlineStr">
        <is>
          <t xml:space="preserve">At technical</t>
        </is>
      </c>
      <c r="AM340" s="41">
        <f>IF(ISNUMBER($AD340),Header!$I$3,"")</f>
      </c>
      <c r="AN340" s="39">
        <f>IF(ISNUMBER($AD340),$AO340+$AP340,"")</f>
      </c>
      <c r="AO340" s="39">
        <f>IF(ISNUMBER($AD340),ROUND($AD340*Header!$K$3,2),"")</f>
      </c>
      <c r="AP340" s="39">
        <f>IF(ISNUMBER($AD340),ROUND($AD340*Header!$M$3,2),"")</f>
      </c>
      <c r="AQ340" s="38">
        <f>IF(ISNUMBER($AD340),ROUND($AD340,2)-$AO340-$AP340,"")</f>
      </c>
      <c r="AR340" s="39">
        <f>IF(ISNUMBER($AD340),IF(Header!$D$34="","?",$AD340*Header!$D$34),"")</f>
      </c>
      <c r="AS340" s="39">
        <f>IF(ISNUMBER($AB340),IF(Header!$D$34="","?",$AB340*Header!$D$34),"")</f>
      </c>
      <c r="AT340" s="42">
        <f>IF(AND(ISNUMBER($AB340),$M340&gt;0),$AB340/$M340*100,"")</f>
      </c>
      <c r="AU340" s="42">
        <f>IF(AND(ISNUMBER($AD340),$M340&gt;0),$AD340/$M340*100,"")</f>
      </c>
      <c r="AV340" s="40">
        <f>IF(AND(ISNUMBER($AB340),ISNUMBER($AD340),ABS($AB340)&gt;0),$AD340/$AB340,"")</f>
      </c>
      <c r="AW340" s="39">
        <f>IF(ISNUMBER($AD340),MAX(0,(1-0.55-Header!$O$3)*Header!$Q$3*$AQ340),"")</f>
      </c>
      <c r="AX340" s="43">
        <f>IF($A340="","",IF(TRIM(IF($A340="","Missing certificate ref. ","") &amp; IF($C340="","Missing effective date. ","") &amp; IF($D340="","Missing binding status. ","") &amp; IF($E340="","Missing movement type. ","") &amp; IF($I340="","Missing make. ","") &amp; IF($L340="","Missing vehicle class. ","") &amp; IF($M340="","Missing agreed value. ","") &amp; IF($N340="","Missing policy type. ","") &amp; IF($Q340="","Missing garaging state. ","") &amp; IF($R340="","Missing garaging ZIP. ","") &amp; IF($S340="","Missing cat zone. ","") &amp; IF($V340="","Missing valuation basis. ","") &amp; IF($W340="","Missing PD deductible. ","") &amp; IF($X340="","Missing liability limit. ","") &amp; IF($AB340="","Missing technical premium. ","") &amp; IF($AF340="","Missing surplus lines tax %. ",""))="","PASS","FAIL: "&amp;TRIM(IF($A340="","Missing certificate ref. ","") &amp; IF($C340="","Missing effective date. ","") &amp; IF($D340="","Missing binding status. ","") &amp; IF($E340="","Missing movement type. ","") &amp; IF($I340="","Missing make. ","") &amp; IF($L340="","Missing vehicle class. ","") &amp; IF($M340="","Missing agreed value. ","") &amp; IF($N340="","Missing policy type. ","") &amp; IF($Q340="","Missing garaging state. ","") &amp; IF($R340="","Missing garaging ZIP. ","") &amp; IF($S340="","Missing cat zone. ","") &amp; IF($V340="","Missing valuation basis. ","") &amp; IF($W340="","Missing PD deductible. ","") &amp; IF($X340="","Missing liability limit. ","") &amp; IF($AB340="","Missing technical premium. ","") &amp; IF($AF340="","Missing surplus lines tax %. ",""))))</f>
      </c>
      <c r="AY340" s="44">
        <f>IF($M340="","",IF(ISNUMBER($M340),IF($M340&gt;=Header!$C$18,"YES — refer","No"),""))</f>
      </c>
      <c r="AZ340" s="44">
        <f>IF($AD340="","",IF(ISNUMBER($AD340),IF($AD340&lt;Header!$C$20,"BELOW MIN PREMIUM","OK"),""))</f>
      </c>
      <c r="BA340" s="48" t="inlineStr">
        <is>
          <t xml:space="preserve">Yes</t>
        </is>
      </c>
      <c r="BB340" s="48" t="inlineStr">
        <is>
          <t xml:space="preserve">Yes</t>
        </is>
      </c>
      <c r="BC340" s="46" t="inlineStr">
        <is>
          <t xml:space="preserve">Synthetic demo data</t>
        </is>
      </c>
      <c r="BE340" s="45">
        <f>IF(OR($A340="",$L340="",$H340=""),"",IF(AND(LEFT($L340,2)="06",$H340&gt;1945),"FAIL - pre-war class, year "&amp;$H340,IF(AND(LEFT($L340,2)="07",OR($H340&lt;1946,$H340&gt;1972)),"FAIL - 1946-72 class, year "&amp;$H340,IF(AND(LEFT($L340,2)="08",OR($H340&lt;1973,$H340&gt;1999)),"FAIL - 1973-99 class, year "&amp;$H340,IF(AND(LEFT($L340,2)="09",OR($H340&lt;2000,$H340&gt;2010)),"FAIL - 2000-10 class, year "&amp;$H340,"OK")))))</f>
      </c>
      <c r="BF340" s="45">
        <f>IF($AD340="","",IF(ROUND($AO340+$AP340+$AQ340-$AD340,2)=0,"OK","FAIL - out by "&amp;TEXT($AO340+$AP340+$AQ340-$AD340,"$0.00")))</f>
      </c>
    </row>
    <row r="341" spans="1:58" ht="18.75" customHeight="1" x14ac:dyDescent="0.25">
      <c r="A341" s="30" t="inlineStr">
        <is>
          <t xml:space="preserve">CANON-202511-002633</t>
        </is>
      </c>
      <c r="B341" s="30" t="inlineStr">
        <is>
          <t xml:space="preserve">Ottilie Fairweather</t>
        </is>
      </c>
      <c r="C341" s="31">
        <v>45966</v>
      </c>
      <c r="D341" s="32" t="inlineStr">
        <is>
          <t xml:space="preserve">Bound - within authority</t>
        </is>
      </c>
      <c r="E341" s="32" t="inlineStr">
        <is>
          <t xml:space="preserve">New business</t>
        </is>
      </c>
      <c r="F341" s="30" t="inlineStr">
        <is>
          <t xml:space="preserve">B1234EXOTIC26</t>
        </is>
      </c>
      <c r="G341" s="33">
        <f>IF($A341="","",IF($C341="","",YEAR($C341)))</f>
      </c>
      <c r="H341" s="34">
        <v>2015</v>
      </c>
      <c r="I341" s="30" t="inlineStr">
        <is>
          <t xml:space="preserve">McLaren</t>
        </is>
      </c>
      <c r="J341" s="30" t="inlineStr">
        <is>
          <t xml:space="preserve">750S</t>
        </is>
      </c>
      <c r="K341" s="30" t="inlineStr">
        <is>
          <t xml:space="preserve">4WLLW04PJE3C8LT92</t>
        </is>
      </c>
      <c r="L341" s="32" t="inlineStr">
        <is>
          <t xml:space="preserve">03 - Supercar</t>
        </is>
      </c>
      <c r="M341" s="35">
        <v>410000</v>
      </c>
      <c r="N341" s="32" t="inlineStr">
        <is>
          <t xml:space="preserve">Personal</t>
        </is>
      </c>
      <c r="O341" s="30" t="inlineStr">
        <is>
          <t xml:space="preserve">Personal - regular use</t>
        </is>
      </c>
      <c r="P341" s="30" t="inlineStr">
        <is>
          <t xml:space="preserve">Under 1,000</t>
        </is>
      </c>
      <c r="Q341" s="30" t="inlineStr">
        <is>
          <t xml:space="preserve">West Virginia</t>
        </is>
      </c>
      <c r="R341" s="30" t="inlineStr">
        <is>
          <t xml:space="preserve">25301</t>
        </is>
      </c>
      <c r="S341" s="32" t="inlineStr">
        <is>
          <t xml:space="preserve">Low hazard - inland benign</t>
        </is>
      </c>
      <c r="T341" s="36">
        <f>IF($A341="","",IF($S341="","",IFERROR(INDEX('[1]natural catastrophe'!$D$6:$D$17,MATCH($S341,'[1]natural catastrophe'!$B$6:$B$17,0)),"?")))</f>
      </c>
      <c r="U341" s="30" t="inlineStr">
        <is>
          <t xml:space="preserve">$5,000</t>
        </is>
      </c>
      <c r="V341" s="32" t="inlineStr">
        <is>
          <t xml:space="preserve">Agreed Value</t>
        </is>
      </c>
      <c r="W341" s="30" t="inlineStr">
        <is>
          <t xml:space="preserve">$1,000</t>
        </is>
      </c>
      <c r="X341" s="32" t="inlineStr">
        <is>
          <t xml:space="preserve">$1,000,000 CSL</t>
        </is>
      </c>
      <c r="Y341" s="30"/>
      <c r="Z341" s="30"/>
      <c r="AA341" s="32" t="inlineStr">
        <is>
          <t xml:space="preserve">Surplus Lines</t>
        </is>
      </c>
      <c r="AB341" s="35">
        <v>10878.32</v>
      </c>
      <c r="AC341" s="37">
        <v>0</v>
      </c>
      <c r="AD341" s="38">
        <f>IF(ISNUMBER($AB341),$AB341*(1+N($AC341)),"")</f>
      </c>
      <c r="AE341" s="35">
        <v>350</v>
      </c>
      <c r="AF341" s="35">
        <v>0</v>
      </c>
      <c r="AG341" s="37"/>
      <c r="AH341" s="39">
        <f>IF(ISNUMBER($AD341),($AD341+$AE341+$AF341)*$AG341,"")</f>
      </c>
      <c r="AI341" s="35"/>
      <c r="AJ341" s="38">
        <f>IF(ISNUMBER($AD341),SUM($AD341:$AH341),"")</f>
      </c>
      <c r="AK341" s="40">
        <f>IF(AND(ISNUMBER($AB341),ISNUMBER($AD341)),IF($AB341&gt;0,$AD341/$AB341,""),"")</f>
      </c>
      <c r="AL341" s="32" t="inlineStr">
        <is>
          <t xml:space="preserve">At technical</t>
        </is>
      </c>
      <c r="AM341" s="41">
        <f>IF(ISNUMBER($AD341),Header!$I$3,"")</f>
      </c>
      <c r="AN341" s="39">
        <f>IF(ISNUMBER($AD341),$AO341+$AP341,"")</f>
      </c>
      <c r="AO341" s="39">
        <f>IF(ISNUMBER($AD341),ROUND($AD341*Header!$K$3,2),"")</f>
      </c>
      <c r="AP341" s="39">
        <f>IF(ISNUMBER($AD341),ROUND($AD341*Header!$M$3,2),"")</f>
      </c>
      <c r="AQ341" s="38">
        <f>IF(ISNUMBER($AD341),ROUND($AD341,2)-$AO341-$AP341,"")</f>
      </c>
      <c r="AR341" s="39">
        <f>IF(ISNUMBER($AD341),IF(Header!$D$34="","?",$AD341*Header!$D$34),"")</f>
      </c>
      <c r="AS341" s="39">
        <f>IF(ISNUMBER($AB341),IF(Header!$D$34="","?",$AB341*Header!$D$34),"")</f>
      </c>
      <c r="AT341" s="42">
        <f>IF(AND(ISNUMBER($AB341),$M341&gt;0),$AB341/$M341*100,"")</f>
      </c>
      <c r="AU341" s="42">
        <f>IF(AND(ISNUMBER($AD341),$M341&gt;0),$AD341/$M341*100,"")</f>
      </c>
      <c r="AV341" s="40">
        <f>IF(AND(ISNUMBER($AB341),ISNUMBER($AD341),ABS($AB341)&gt;0),$AD341/$AB341,"")</f>
      </c>
      <c r="AW341" s="39">
        <f>IF(ISNUMBER($AD341),MAX(0,(1-0.55-Header!$O$3)*Header!$Q$3*$AQ341),"")</f>
      </c>
      <c r="AX341" s="43">
        <f>IF($A341="","",IF(TRIM(IF($A341="","Missing certificate ref. ","") &amp; IF($C341="","Missing effective date. ","") &amp; IF($D341="","Missing binding status. ","") &amp; IF($E341="","Missing movement type. ","") &amp; IF($I341="","Missing make. ","") &amp; IF($L341="","Missing vehicle class. ","") &amp; IF($M341="","Missing agreed value. ","") &amp; IF($N341="","Missing policy type. ","") &amp; IF($Q341="","Missing garaging state. ","") &amp; IF($R341="","Missing garaging ZIP. ","") &amp; IF($S341="","Missing cat zone. ","") &amp; IF($V341="","Missing valuation basis. ","") &amp; IF($W341="","Missing PD deductible. ","") &amp; IF($X341="","Missing liability limit. ","") &amp; IF($AB341="","Missing technical premium. ","") &amp; IF($AF341="","Missing surplus lines tax %. ",""))="","PASS","FAIL: "&amp;TRIM(IF($A341="","Missing certificate ref. ","") &amp; IF($C341="","Missing effective date. ","") &amp; IF($D341="","Missing binding status. ","") &amp; IF($E341="","Missing movement type. ","") &amp; IF($I341="","Missing make. ","") &amp; IF($L341="","Missing vehicle class. ","") &amp; IF($M341="","Missing agreed value. ","") &amp; IF($N341="","Missing policy type. ","") &amp; IF($Q341="","Missing garaging state. ","") &amp; IF($R341="","Missing garaging ZIP. ","") &amp; IF($S341="","Missing cat zone. ","") &amp; IF($V341="","Missing valuation basis. ","") &amp; IF($W341="","Missing PD deductible. ","") &amp; IF($X341="","Missing liability limit. ","") &amp; IF($AB341="","Missing technical premium. ","") &amp; IF($AF341="","Missing surplus lines tax %. ",""))))</f>
      </c>
      <c r="AY341" s="44">
        <f>IF($M341="","",IF(ISNUMBER($M341),IF($M341&gt;=Header!$C$18,"YES — refer","No"),""))</f>
      </c>
      <c r="AZ341" s="44">
        <f>IF($AD341="","",IF(ISNUMBER($AD341),IF($AD341&lt;Header!$C$20,"BELOW MIN PREMIUM","OK"),""))</f>
      </c>
      <c r="BA341" s="32" t="inlineStr">
        <is>
          <t xml:space="preserve">Yes</t>
        </is>
      </c>
      <c r="BB341" s="32" t="inlineStr">
        <is>
          <t xml:space="preserve">Yes</t>
        </is>
      </c>
      <c r="BC341" s="30" t="inlineStr">
        <is>
          <t xml:space="preserve">Synthetic demo data</t>
        </is>
      </c>
      <c r="BE341" s="45">
        <f>IF(OR($A341="",$L341="",$H341=""),"",IF(AND(LEFT($L341,2)="06",$H341&gt;1945),"FAIL - pre-war class, year "&amp;$H341,IF(AND(LEFT($L341,2)="07",OR($H341&lt;1946,$H341&gt;1972)),"FAIL - 1946-72 class, year "&amp;$H341,IF(AND(LEFT($L341,2)="08",OR($H341&lt;1973,$H341&gt;1999)),"FAIL - 1973-99 class, year "&amp;$H341,IF(AND(LEFT($L341,2)="09",OR($H341&lt;2000,$H341&gt;2010)),"FAIL - 2000-10 class, year "&amp;$H341,"OK")))))</f>
      </c>
      <c r="BF341" s="45">
        <f>IF($AD341="","",IF(ROUND($AO341+$AP341+$AQ341-$AD341,2)=0,"OK","FAIL - out by "&amp;TEXT($AO341+$AP341+$AQ341-$AD341,"$0.00")))</f>
      </c>
    </row>
    <row r="342" spans="1:58" ht="18.75" customHeight="1" x14ac:dyDescent="0.25">
      <c r="A342" s="46" t="inlineStr">
        <is>
          <t xml:space="preserve">CANON-202511-002634</t>
        </is>
      </c>
      <c r="B342" s="46" t="inlineStr">
        <is>
          <t xml:space="preserve">Fenwick Rourke</t>
        </is>
      </c>
      <c r="C342" s="47">
        <v>45981</v>
      </c>
      <c r="D342" s="48" t="inlineStr">
        <is>
          <t xml:space="preserve">Bound - within authority</t>
        </is>
      </c>
      <c r="E342" s="48" t="inlineStr">
        <is>
          <t xml:space="preserve">New business</t>
        </is>
      </c>
      <c r="F342" s="46" t="inlineStr">
        <is>
          <t xml:space="preserve">B1234EXOTIC26</t>
        </is>
      </c>
      <c r="G342" s="33">
        <f>IF($A342="","",IF($C342="","",YEAR($C342)))</f>
      </c>
      <c r="H342" s="49">
        <v>2019</v>
      </c>
      <c r="I342" s="46" t="inlineStr">
        <is>
          <t xml:space="preserve">BMW</t>
        </is>
      </c>
      <c r="J342" s="46" t="inlineStr">
        <is>
          <t xml:space="preserve">M8 Competition</t>
        </is>
      </c>
      <c r="K342" s="46" t="inlineStr">
        <is>
          <t xml:space="preserve">NSK3TA3GLEX47CBUV</t>
        </is>
      </c>
      <c r="L342" s="48" t="inlineStr">
        <is>
          <t xml:space="preserve">02 - Sports / GT</t>
        </is>
      </c>
      <c r="M342" s="50">
        <v>310000</v>
      </c>
      <c r="N342" s="48" t="inlineStr">
        <is>
          <t xml:space="preserve">Personal</t>
        </is>
      </c>
      <c r="O342" s="46" t="inlineStr">
        <is>
          <t xml:space="preserve">Personal - regular use</t>
        </is>
      </c>
      <c r="P342" s="46" t="inlineStr">
        <is>
          <t xml:space="preserve">1,000 - 2,500</t>
        </is>
      </c>
      <c r="Q342" s="46" t="inlineStr">
        <is>
          <t xml:space="preserve">Connecticut</t>
        </is>
      </c>
      <c r="R342" s="46" t="inlineStr">
        <is>
          <t xml:space="preserve">06103</t>
        </is>
      </c>
      <c r="S342" s="48" t="inlineStr">
        <is>
          <t xml:space="preserve">Tier 3 - Coastal wind (25-100 miles)</t>
        </is>
      </c>
      <c r="T342" s="36">
        <f>IF($A342="","",IF($S342="","",IFERROR(INDEX('[1]natural catastrophe'!$D$6:$D$17,MATCH($S342,'[1]natural catastrophe'!$B$6:$B$17,0)),"?")))</f>
      </c>
      <c r="U342" s="46" t="inlineStr">
        <is>
          <t xml:space="preserve">2% of agreed value, minimum $10,000</t>
        </is>
      </c>
      <c r="V342" s="48" t="inlineStr">
        <is>
          <t xml:space="preserve">Agreed Value</t>
        </is>
      </c>
      <c r="W342" s="46" t="inlineStr">
        <is>
          <t xml:space="preserve">$1,000</t>
        </is>
      </c>
      <c r="X342" s="48" t="inlineStr">
        <is>
          <t xml:space="preserve">$1,000,000 CSL</t>
        </is>
      </c>
      <c r="Y342" s="46"/>
      <c r="Z342" s="46"/>
      <c r="AA342" s="48" t="inlineStr">
        <is>
          <t xml:space="preserve">Surplus Lines</t>
        </is>
      </c>
      <c r="AB342" s="50">
        <v>4517.21</v>
      </c>
      <c r="AC342" s="51">
        <v>0</v>
      </c>
      <c r="AD342" s="38">
        <f>IF(ISNUMBER($AB342),$AB342*(1+N($AC342)),"")</f>
      </c>
      <c r="AE342" s="50">
        <v>350</v>
      </c>
      <c r="AF342" s="50">
        <v>0</v>
      </c>
      <c r="AG342" s="51"/>
      <c r="AH342" s="39">
        <f>IF(ISNUMBER($AD342),($AD342+$AE342+$AF342)*$AG342,"")</f>
      </c>
      <c r="AI342" s="50"/>
      <c r="AJ342" s="38">
        <f>IF(ISNUMBER($AD342),SUM($AD342:$AH342),"")</f>
      </c>
      <c r="AK342" s="40">
        <f>IF(AND(ISNUMBER($AB342),ISNUMBER($AD342)),IF($AB342&gt;0,$AD342/$AB342,""),"")</f>
      </c>
      <c r="AL342" s="48" t="inlineStr">
        <is>
          <t xml:space="preserve">At technical</t>
        </is>
      </c>
      <c r="AM342" s="41">
        <f>IF(ISNUMBER($AD342),Header!$I$3,"")</f>
      </c>
      <c r="AN342" s="39">
        <f>IF(ISNUMBER($AD342),$AO342+$AP342,"")</f>
      </c>
      <c r="AO342" s="39">
        <f>IF(ISNUMBER($AD342),ROUND($AD342*Header!$K$3,2),"")</f>
      </c>
      <c r="AP342" s="39">
        <f>IF(ISNUMBER($AD342),ROUND($AD342*Header!$M$3,2),"")</f>
      </c>
      <c r="AQ342" s="38">
        <f>IF(ISNUMBER($AD342),ROUND($AD342,2)-$AO342-$AP342,"")</f>
      </c>
      <c r="AR342" s="39">
        <f>IF(ISNUMBER($AD342),IF(Header!$D$34="","?",$AD342*Header!$D$34),"")</f>
      </c>
      <c r="AS342" s="39">
        <f>IF(ISNUMBER($AB342),IF(Header!$D$34="","?",$AB342*Header!$D$34),"")</f>
      </c>
      <c r="AT342" s="42">
        <f>IF(AND(ISNUMBER($AB342),$M342&gt;0),$AB342/$M342*100,"")</f>
      </c>
      <c r="AU342" s="42">
        <f>IF(AND(ISNUMBER($AD342),$M342&gt;0),$AD342/$M342*100,"")</f>
      </c>
      <c r="AV342" s="40">
        <f>IF(AND(ISNUMBER($AB342),ISNUMBER($AD342),ABS($AB342)&gt;0),$AD342/$AB342,"")</f>
      </c>
      <c r="AW342" s="39">
        <f>IF(ISNUMBER($AD342),MAX(0,(1-0.55-Header!$O$3)*Header!$Q$3*$AQ342),"")</f>
      </c>
      <c r="AX342" s="43">
        <f>IF($A342="","",IF(TRIM(IF($A342="","Missing certificate ref. ","") &amp; IF($C342="","Missing effective date. ","") &amp; IF($D342="","Missing binding status. ","") &amp; IF($E342="","Missing movement type. ","") &amp; IF($I342="","Missing make. ","") &amp; IF($L342="","Missing vehicle class. ","") &amp; IF($M342="","Missing agreed value. ","") &amp; IF($N342="","Missing policy type. ","") &amp; IF($Q342="","Missing garaging state. ","") &amp; IF($R342="","Missing garaging ZIP. ","") &amp; IF($S342="","Missing cat zone. ","") &amp; IF($V342="","Missing valuation basis. ","") &amp; IF($W342="","Missing PD deductible. ","") &amp; IF($X342="","Missing liability limit. ","") &amp; IF($AB342="","Missing technical premium. ","") &amp; IF($AF342="","Missing surplus lines tax %. ",""))="","PASS","FAIL: "&amp;TRIM(IF($A342="","Missing certificate ref. ","") &amp; IF($C342="","Missing effective date. ","") &amp; IF($D342="","Missing binding status. ","") &amp; IF($E342="","Missing movement type. ","") &amp; IF($I342="","Missing make. ","") &amp; IF($L342="","Missing vehicle class. ","") &amp; IF($M342="","Missing agreed value. ","") &amp; IF($N342="","Missing policy type. ","") &amp; IF($Q342="","Missing garaging state. ","") &amp; IF($R342="","Missing garaging ZIP. ","") &amp; IF($S342="","Missing cat zone. ","") &amp; IF($V342="","Missing valuation basis. ","") &amp; IF($W342="","Missing PD deductible. ","") &amp; IF($X342="","Missing liability limit. ","") &amp; IF($AB342="","Missing technical premium. ","") &amp; IF($AF342="","Missing surplus lines tax %. ",""))))</f>
      </c>
      <c r="AY342" s="44">
        <f>IF($M342="","",IF(ISNUMBER($M342),IF($M342&gt;=Header!$C$18,"YES — refer","No"),""))</f>
      </c>
      <c r="AZ342" s="44">
        <f>IF($AD342="","",IF(ISNUMBER($AD342),IF($AD342&lt;Header!$C$20,"BELOW MIN PREMIUM","OK"),""))</f>
      </c>
      <c r="BA342" s="48" t="inlineStr">
        <is>
          <t xml:space="preserve">Yes</t>
        </is>
      </c>
      <c r="BB342" s="48" t="inlineStr">
        <is>
          <t xml:space="preserve">Yes</t>
        </is>
      </c>
      <c r="BC342" s="46" t="inlineStr">
        <is>
          <t xml:space="preserve">Synthetic demo data</t>
        </is>
      </c>
      <c r="BE342" s="45">
        <f>IF(OR($A342="",$L342="",$H342=""),"",IF(AND(LEFT($L342,2)="06",$H342&gt;1945),"FAIL - pre-war class, year "&amp;$H342,IF(AND(LEFT($L342,2)="07",OR($H342&lt;1946,$H342&gt;1972)),"FAIL - 1946-72 class, year "&amp;$H342,IF(AND(LEFT($L342,2)="08",OR($H342&lt;1973,$H342&gt;1999)),"FAIL - 1973-99 class, year "&amp;$H342,IF(AND(LEFT($L342,2)="09",OR($H342&lt;2000,$H342&gt;2010)),"FAIL - 2000-10 class, year "&amp;$H342,"OK")))))</f>
      </c>
      <c r="BF342" s="45">
        <f>IF($AD342="","",IF(ROUND($AO342+$AP342+$AQ342-$AD342,2)=0,"OK","FAIL - out by "&amp;TEXT($AO342+$AP342+$AQ342-$AD342,"$0.00")))</f>
      </c>
    </row>
    <row r="343" spans="1:58" ht="18.75" customHeight="1" x14ac:dyDescent="0.25">
      <c r="A343" s="30" t="inlineStr">
        <is>
          <t xml:space="preserve">CANON-202511-002635</t>
        </is>
      </c>
      <c r="B343" s="30" t="inlineStr">
        <is>
          <t xml:space="preserve">Mireille Farkas</t>
        </is>
      </c>
      <c r="C343" s="31">
        <v>45975</v>
      </c>
      <c r="D343" s="32" t="inlineStr">
        <is>
          <t xml:space="preserve">Bound - within authority</t>
        </is>
      </c>
      <c r="E343" s="32" t="inlineStr">
        <is>
          <t xml:space="preserve">New business</t>
        </is>
      </c>
      <c r="F343" s="30" t="inlineStr">
        <is>
          <t xml:space="preserve">B1234EXOTIC26</t>
        </is>
      </c>
      <c r="G343" s="33">
        <f>IF($A343="","",IF($C343="","",YEAR($C343)))</f>
      </c>
      <c r="H343" s="34">
        <v>1975</v>
      </c>
      <c r="I343" s="30" t="inlineStr">
        <is>
          <t xml:space="preserve">Maserati</t>
        </is>
      </c>
      <c r="J343" s="30" t="inlineStr">
        <is>
          <t xml:space="preserve">GranTurismo</t>
        </is>
      </c>
      <c r="K343" s="30" t="inlineStr">
        <is>
          <t xml:space="preserve">3AT5MAZYX1D6EBA39</t>
        </is>
      </c>
      <c r="L343" s="32" t="inlineStr">
        <is>
          <t xml:space="preserve">02 - Sports / GT</t>
        </is>
      </c>
      <c r="M343" s="35">
        <v>980000</v>
      </c>
      <c r="N343" s="32" t="inlineStr">
        <is>
          <t xml:space="preserve">Personal</t>
        </is>
      </c>
      <c r="O343" s="30" t="inlineStr">
        <is>
          <t xml:space="preserve">Personal - regular use</t>
        </is>
      </c>
      <c r="P343" s="30" t="inlineStr">
        <is>
          <t xml:space="preserve">2,500 - 5,000</t>
        </is>
      </c>
      <c r="Q343" s="30" t="inlineStr">
        <is>
          <t xml:space="preserve">Pennsylvania</t>
        </is>
      </c>
      <c r="R343" s="30" t="inlineStr">
        <is>
          <t xml:space="preserve">19103</t>
        </is>
      </c>
      <c r="S343" s="32" t="inlineStr">
        <is>
          <t xml:space="preserve">Low hazard - inland benign</t>
        </is>
      </c>
      <c r="T343" s="36">
        <f>IF($A343="","",IF($S343="","",IFERROR(INDEX('[1]natural catastrophe'!$D$6:$D$17,MATCH($S343,'[1]natural catastrophe'!$B$6:$B$17,0)),"?")))</f>
      </c>
      <c r="U343" s="30" t="inlineStr">
        <is>
          <t xml:space="preserve">$5,000</t>
        </is>
      </c>
      <c r="V343" s="32" t="inlineStr">
        <is>
          <t xml:space="preserve">Agreed Value</t>
        </is>
      </c>
      <c r="W343" s="30" t="inlineStr">
        <is>
          <t xml:space="preserve">$1,000</t>
        </is>
      </c>
      <c r="X343" s="32" t="inlineStr">
        <is>
          <t xml:space="preserve">$1,000,000 CSL</t>
        </is>
      </c>
      <c r="Y343" s="30"/>
      <c r="Z343" s="30"/>
      <c r="AA343" s="32" t="inlineStr">
        <is>
          <t xml:space="preserve">Surplus Lines</t>
        </is>
      </c>
      <c r="AB343" s="35">
        <v>11050.15</v>
      </c>
      <c r="AC343" s="37">
        <v>0</v>
      </c>
      <c r="AD343" s="38">
        <f>IF(ISNUMBER($AB343),$AB343*(1+N($AC343)),"")</f>
      </c>
      <c r="AE343" s="35">
        <v>350</v>
      </c>
      <c r="AF343" s="35">
        <v>0</v>
      </c>
      <c r="AG343" s="37"/>
      <c r="AH343" s="39">
        <f>IF(ISNUMBER($AD343),($AD343+$AE343+$AF343)*$AG343,"")</f>
      </c>
      <c r="AI343" s="35"/>
      <c r="AJ343" s="38">
        <f>IF(ISNUMBER($AD343),SUM($AD343:$AH343),"")</f>
      </c>
      <c r="AK343" s="40">
        <f>IF(AND(ISNUMBER($AB343),ISNUMBER($AD343)),IF($AB343&gt;0,$AD343/$AB343,""),"")</f>
      </c>
      <c r="AL343" s="32" t="inlineStr">
        <is>
          <t xml:space="preserve">At technical</t>
        </is>
      </c>
      <c r="AM343" s="41">
        <f>IF(ISNUMBER($AD343),Header!$I$3,"")</f>
      </c>
      <c r="AN343" s="39">
        <f>IF(ISNUMBER($AD343),$AO343+$AP343,"")</f>
      </c>
      <c r="AO343" s="39">
        <f>IF(ISNUMBER($AD343),ROUND($AD343*Header!$K$3,2),"")</f>
      </c>
      <c r="AP343" s="39">
        <f>IF(ISNUMBER($AD343),ROUND($AD343*Header!$M$3,2),"")</f>
      </c>
      <c r="AQ343" s="38">
        <f>IF(ISNUMBER($AD343),ROUND($AD343,2)-$AO343-$AP343,"")</f>
      </c>
      <c r="AR343" s="39">
        <f>IF(ISNUMBER($AD343),IF(Header!$D$34="","?",$AD343*Header!$D$34),"")</f>
      </c>
      <c r="AS343" s="39">
        <f>IF(ISNUMBER($AB343),IF(Header!$D$34="","?",$AB343*Header!$D$34),"")</f>
      </c>
      <c r="AT343" s="42">
        <f>IF(AND(ISNUMBER($AB343),$M343&gt;0),$AB343/$M343*100,"")</f>
      </c>
      <c r="AU343" s="42">
        <f>IF(AND(ISNUMBER($AD343),$M343&gt;0),$AD343/$M343*100,"")</f>
      </c>
      <c r="AV343" s="40">
        <f>IF(AND(ISNUMBER($AB343),ISNUMBER($AD343),ABS($AB343)&gt;0),$AD343/$AB343,"")</f>
      </c>
      <c r="AW343" s="39">
        <f>IF(ISNUMBER($AD343),MAX(0,(1-0.55-Header!$O$3)*Header!$Q$3*$AQ343),"")</f>
      </c>
      <c r="AX343" s="43">
        <f>IF($A343="","",IF(TRIM(IF($A343="","Missing certificate ref. ","") &amp; IF($C343="","Missing effective date. ","") &amp; IF($D343="","Missing binding status. ","") &amp; IF($E343="","Missing movement type. ","") &amp; IF($I343="","Missing make. ","") &amp; IF($L343="","Missing vehicle class. ","") &amp; IF($M343="","Missing agreed value. ","") &amp; IF($N343="","Missing policy type. ","") &amp; IF($Q343="","Missing garaging state. ","") &amp; IF($R343="","Missing garaging ZIP. ","") &amp; IF($S343="","Missing cat zone. ","") &amp; IF($V343="","Missing valuation basis. ","") &amp; IF($W343="","Missing PD deductible. ","") &amp; IF($X343="","Missing liability limit. ","") &amp; IF($AB343="","Missing technical premium. ","") &amp; IF($AF343="","Missing surplus lines tax %. ",""))="","PASS","FAIL: "&amp;TRIM(IF($A343="","Missing certificate ref. ","") &amp; IF($C343="","Missing effective date. ","") &amp; IF($D343="","Missing binding status. ","") &amp; IF($E343="","Missing movement type. ","") &amp; IF($I343="","Missing make. ","") &amp; IF($L343="","Missing vehicle class. ","") &amp; IF($M343="","Missing agreed value. ","") &amp; IF($N343="","Missing policy type. ","") &amp; IF($Q343="","Missing garaging state. ","") &amp; IF($R343="","Missing garaging ZIP. ","") &amp; IF($S343="","Missing cat zone. ","") &amp; IF($V343="","Missing valuation basis. ","") &amp; IF($W343="","Missing PD deductible. ","") &amp; IF($X343="","Missing liability limit. ","") &amp; IF($AB343="","Missing technical premium. ","") &amp; IF($AF343="","Missing surplus lines tax %. ",""))))</f>
      </c>
      <c r="AY343" s="44">
        <f>IF($M343="","",IF(ISNUMBER($M343),IF($M343&gt;=Header!$C$18,"YES — refer","No"),""))</f>
      </c>
      <c r="AZ343" s="44">
        <f>IF($AD343="","",IF(ISNUMBER($AD343),IF($AD343&lt;Header!$C$20,"BELOW MIN PREMIUM","OK"),""))</f>
      </c>
      <c r="BA343" s="32" t="inlineStr">
        <is>
          <t xml:space="preserve">Yes</t>
        </is>
      </c>
      <c r="BB343" s="32" t="inlineStr">
        <is>
          <t xml:space="preserve">Yes</t>
        </is>
      </c>
      <c r="BC343" s="30" t="inlineStr">
        <is>
          <t xml:space="preserve">Synthetic demo data</t>
        </is>
      </c>
      <c r="BE343" s="45">
        <f>IF(OR($A343="",$L343="",$H343=""),"",IF(AND(LEFT($L343,2)="06",$H343&gt;1945),"FAIL - pre-war class, year "&amp;$H343,IF(AND(LEFT($L343,2)="07",OR($H343&lt;1946,$H343&gt;1972)),"FAIL - 1946-72 class, year "&amp;$H343,IF(AND(LEFT($L343,2)="08",OR($H343&lt;1973,$H343&gt;1999)),"FAIL - 1973-99 class, year "&amp;$H343,IF(AND(LEFT($L343,2)="09",OR($H343&lt;2000,$H343&gt;2010)),"FAIL - 2000-10 class, year "&amp;$H343,"OK")))))</f>
      </c>
      <c r="BF343" s="45">
        <f>IF($AD343="","",IF(ROUND($AO343+$AP343+$AQ343-$AD343,2)=0,"OK","FAIL - out by "&amp;TEXT($AO343+$AP343+$AQ343-$AD343,"$0.00")))</f>
      </c>
    </row>
    <row r="344" spans="1:58" ht="18.75" customHeight="1" x14ac:dyDescent="0.25">
      <c r="A344" s="46" t="inlineStr">
        <is>
          <t xml:space="preserve">CANON-202511-002636</t>
        </is>
      </c>
      <c r="B344" s="46" t="inlineStr">
        <is>
          <t xml:space="preserve">Everett Merriweather</t>
        </is>
      </c>
      <c r="C344" s="47">
        <v>45965</v>
      </c>
      <c r="D344" s="48" t="inlineStr">
        <is>
          <t xml:space="preserve">Bound - within authority</t>
        </is>
      </c>
      <c r="E344" s="48" t="inlineStr">
        <is>
          <t xml:space="preserve">New business</t>
        </is>
      </c>
      <c r="F344" s="46" t="inlineStr">
        <is>
          <t xml:space="preserve">B1234EXOTIC26</t>
        </is>
      </c>
      <c r="G344" s="33">
        <f>IF($A344="","",IF($C344="","",YEAR($C344)))</f>
      </c>
      <c r="H344" s="49">
        <v>1994</v>
      </c>
      <c r="I344" s="46" t="inlineStr">
        <is>
          <t xml:space="preserve">Jaguar</t>
        </is>
      </c>
      <c r="J344" s="46" t="inlineStr">
        <is>
          <t xml:space="preserve">E-Type Series 1</t>
        </is>
      </c>
      <c r="K344" s="46" t="inlineStr">
        <is>
          <t xml:space="preserve">44NAYBW61W7KK0PX2</t>
        </is>
      </c>
      <c r="L344" s="48" t="inlineStr">
        <is>
          <t xml:space="preserve">08 - Modern Classic (1973-1999)</t>
        </is>
      </c>
      <c r="M344" s="50">
        <v>470000</v>
      </c>
      <c r="N344" s="48" t="inlineStr">
        <is>
          <t xml:space="preserve">Personal</t>
        </is>
      </c>
      <c r="O344" s="46" t="inlineStr">
        <is>
          <t xml:space="preserve">Personal - regular use</t>
        </is>
      </c>
      <c r="P344" s="46" t="inlineStr">
        <is>
          <t xml:space="preserve">2,500 - 5,000</t>
        </is>
      </c>
      <c r="Q344" s="46" t="inlineStr">
        <is>
          <t xml:space="preserve">California</t>
        </is>
      </c>
      <c r="R344" s="46" t="inlineStr">
        <is>
          <t xml:space="preserve">90012</t>
        </is>
      </c>
      <c r="S344" s="48" t="inlineStr">
        <is>
          <t xml:space="preserve">Earthquake - high (CA, Cascadia, New Madrid)</t>
        </is>
      </c>
      <c r="T344" s="36">
        <f>IF($A344="","",IF($S344="","",IFERROR(INDEX('[1]natural catastrophe'!$D$6:$D$17,MATCH($S344,'[1]natural catastrophe'!$B$6:$B$17,0)),"?")))</f>
      </c>
      <c r="U344" s="46" t="inlineStr">
        <is>
          <t xml:space="preserve">$5,000</t>
        </is>
      </c>
      <c r="V344" s="48" t="inlineStr">
        <is>
          <t xml:space="preserve">Agreed Value</t>
        </is>
      </c>
      <c r="W344" s="46" t="inlineStr">
        <is>
          <t xml:space="preserve">$1,000</t>
        </is>
      </c>
      <c r="X344" s="48" t="inlineStr">
        <is>
          <t xml:space="preserve">$1,000,000 CSL</t>
        </is>
      </c>
      <c r="Y344" s="46"/>
      <c r="Z344" s="46"/>
      <c r="AA344" s="48" t="inlineStr">
        <is>
          <t xml:space="preserve">Surplus Lines</t>
        </is>
      </c>
      <c r="AB344" s="50">
        <v>5283.26</v>
      </c>
      <c r="AC344" s="51">
        <v>0</v>
      </c>
      <c r="AD344" s="38">
        <f>IF(ISNUMBER($AB344),$AB344*(1+N($AC344)),"")</f>
      </c>
      <c r="AE344" s="50">
        <v>350</v>
      </c>
      <c r="AF344" s="50">
        <v>0</v>
      </c>
      <c r="AG344" s="51"/>
      <c r="AH344" s="39">
        <f>IF(ISNUMBER($AD344),($AD344+$AE344+$AF344)*$AG344,"")</f>
      </c>
      <c r="AI344" s="50"/>
      <c r="AJ344" s="38">
        <f>IF(ISNUMBER($AD344),SUM($AD344:$AH344),"")</f>
      </c>
      <c r="AK344" s="40">
        <f>IF(AND(ISNUMBER($AB344),ISNUMBER($AD344)),IF($AB344&gt;0,$AD344/$AB344,""),"")</f>
      </c>
      <c r="AL344" s="48" t="inlineStr">
        <is>
          <t xml:space="preserve">At technical</t>
        </is>
      </c>
      <c r="AM344" s="41">
        <f>IF(ISNUMBER($AD344),Header!$I$3,"")</f>
      </c>
      <c r="AN344" s="39">
        <f>IF(ISNUMBER($AD344),$AO344+$AP344,"")</f>
      </c>
      <c r="AO344" s="39">
        <f>IF(ISNUMBER($AD344),ROUND($AD344*Header!$K$3,2),"")</f>
      </c>
      <c r="AP344" s="39">
        <f>IF(ISNUMBER($AD344),ROUND($AD344*Header!$M$3,2),"")</f>
      </c>
      <c r="AQ344" s="38">
        <f>IF(ISNUMBER($AD344),ROUND($AD344,2)-$AO344-$AP344,"")</f>
      </c>
      <c r="AR344" s="39">
        <f>IF(ISNUMBER($AD344),IF(Header!$D$34="","?",$AD344*Header!$D$34),"")</f>
      </c>
      <c r="AS344" s="39">
        <f>IF(ISNUMBER($AB344),IF(Header!$D$34="","?",$AB344*Header!$D$34),"")</f>
      </c>
      <c r="AT344" s="42">
        <f>IF(AND(ISNUMBER($AB344),$M344&gt;0),$AB344/$M344*100,"")</f>
      </c>
      <c r="AU344" s="42">
        <f>IF(AND(ISNUMBER($AD344),$M344&gt;0),$AD344/$M344*100,"")</f>
      </c>
      <c r="AV344" s="40">
        <f>IF(AND(ISNUMBER($AB344),ISNUMBER($AD344),ABS($AB344)&gt;0),$AD344/$AB344,"")</f>
      </c>
      <c r="AW344" s="39">
        <f>IF(ISNUMBER($AD344),MAX(0,(1-0.55-Header!$O$3)*Header!$Q$3*$AQ344),"")</f>
      </c>
      <c r="AX344" s="43">
        <f>IF($A344="","",IF(TRIM(IF($A344="","Missing certificate ref. ","") &amp; IF($C344="","Missing effective date. ","") &amp; IF($D344="","Missing binding status. ","") &amp; IF($E344="","Missing movement type. ","") &amp; IF($I344="","Missing make. ","") &amp; IF($L344="","Missing vehicle class. ","") &amp; IF($M344="","Missing agreed value. ","") &amp; IF($N344="","Missing policy type. ","") &amp; IF($Q344="","Missing garaging state. ","") &amp; IF($R344="","Missing garaging ZIP. ","") &amp; IF($S344="","Missing cat zone. ","") &amp; IF($V344="","Missing valuation basis. ","") &amp; IF($W344="","Missing PD deductible. ","") &amp; IF($X344="","Missing liability limit. ","") &amp; IF($AB344="","Missing technical premium. ","") &amp; IF($AF344="","Missing surplus lines tax %. ",""))="","PASS","FAIL: "&amp;TRIM(IF($A344="","Missing certificate ref. ","") &amp; IF($C344="","Missing effective date. ","") &amp; IF($D344="","Missing binding status. ","") &amp; IF($E344="","Missing movement type. ","") &amp; IF($I344="","Missing make. ","") &amp; IF($L344="","Missing vehicle class. ","") &amp; IF($M344="","Missing agreed value. ","") &amp; IF($N344="","Missing policy type. ","") &amp; IF($Q344="","Missing garaging state. ","") &amp; IF($R344="","Missing garaging ZIP. ","") &amp; IF($S344="","Missing cat zone. ","") &amp; IF($V344="","Missing valuation basis. ","") &amp; IF($W344="","Missing PD deductible. ","") &amp; IF($X344="","Missing liability limit. ","") &amp; IF($AB344="","Missing technical premium. ","") &amp; IF($AF344="","Missing surplus lines tax %. ",""))))</f>
      </c>
      <c r="AY344" s="44">
        <f>IF($M344="","",IF(ISNUMBER($M344),IF($M344&gt;=Header!$C$18,"YES — refer","No"),""))</f>
      </c>
      <c r="AZ344" s="44">
        <f>IF($AD344="","",IF(ISNUMBER($AD344),IF($AD344&lt;Header!$C$20,"BELOW MIN PREMIUM","OK"),""))</f>
      </c>
      <c r="BA344" s="48" t="inlineStr">
        <is>
          <t xml:space="preserve">Yes</t>
        </is>
      </c>
      <c r="BB344" s="48" t="inlineStr">
        <is>
          <t xml:space="preserve">Yes</t>
        </is>
      </c>
      <c r="BC344" s="46" t="inlineStr">
        <is>
          <t xml:space="preserve">Synthetic demo data</t>
        </is>
      </c>
      <c r="BE344" s="45">
        <f>IF(OR($A344="",$L344="",$H344=""),"",IF(AND(LEFT($L344,2)="06",$H344&gt;1945),"FAIL - pre-war class, year "&amp;$H344,IF(AND(LEFT($L344,2)="07",OR($H344&lt;1946,$H344&gt;1972)),"FAIL - 1946-72 class, year "&amp;$H344,IF(AND(LEFT($L344,2)="08",OR($H344&lt;1973,$H344&gt;1999)),"FAIL - 1973-99 class, year "&amp;$H344,IF(AND(LEFT($L344,2)="09",OR($H344&lt;2000,$H344&gt;2010)),"FAIL - 2000-10 class, year "&amp;$H344,"OK")))))</f>
      </c>
      <c r="BF344" s="45">
        <f>IF($AD344="","",IF(ROUND($AO344+$AP344+$AQ344-$AD344,2)=0,"OK","FAIL - out by "&amp;TEXT($AO344+$AP344+$AQ344-$AD344,"$0.00")))</f>
      </c>
    </row>
    <row r="345" spans="1:58" ht="18.75" customHeight="1" x14ac:dyDescent="0.25">
      <c r="A345" s="30" t="inlineStr">
        <is>
          <t xml:space="preserve">CANON-202511-002638</t>
        </is>
      </c>
      <c r="B345" s="30" t="inlineStr">
        <is>
          <t xml:space="preserve">Delphine Nakashima</t>
        </is>
      </c>
      <c r="C345" s="31">
        <v>45967</v>
      </c>
      <c r="D345" s="32" t="inlineStr">
        <is>
          <t xml:space="preserve">Bound - within authority</t>
        </is>
      </c>
      <c r="E345" s="32" t="inlineStr">
        <is>
          <t xml:space="preserve">New business</t>
        </is>
      </c>
      <c r="F345" s="30" t="inlineStr">
        <is>
          <t xml:space="preserve">B1234EXOTIC26</t>
        </is>
      </c>
      <c r="G345" s="33">
        <f>IF($A345="","",IF($C345="","",YEAR($C345)))</f>
      </c>
      <c r="H345" s="34">
        <v>2017</v>
      </c>
      <c r="I345" s="30" t="inlineStr">
        <is>
          <t xml:space="preserve">McLaren</t>
        </is>
      </c>
      <c r="J345" s="30" t="inlineStr">
        <is>
          <t xml:space="preserve">750S</t>
        </is>
      </c>
      <c r="K345" s="30" t="inlineStr">
        <is>
          <t xml:space="preserve">BWR7EK1ZMU7HTV8YU</t>
        </is>
      </c>
      <c r="L345" s="32" t="inlineStr">
        <is>
          <t xml:space="preserve">03 - Supercar</t>
        </is>
      </c>
      <c r="M345" s="35">
        <v>1135000</v>
      </c>
      <c r="N345" s="32" t="inlineStr">
        <is>
          <t xml:space="preserve">Personal</t>
        </is>
      </c>
      <c r="O345" s="30" t="inlineStr">
        <is>
          <t xml:space="preserve">Personal - regular use</t>
        </is>
      </c>
      <c r="P345" s="30" t="inlineStr">
        <is>
          <t xml:space="preserve">2,500 - 5,000</t>
        </is>
      </c>
      <c r="Q345" s="30" t="inlineStr">
        <is>
          <t xml:space="preserve">Pennsylvania</t>
        </is>
      </c>
      <c r="R345" s="30" t="inlineStr">
        <is>
          <t xml:space="preserve">19103</t>
        </is>
      </c>
      <c r="S345" s="32" t="inlineStr">
        <is>
          <t xml:space="preserve">Low hazard - inland benign</t>
        </is>
      </c>
      <c r="T345" s="36">
        <f>IF($A345="","",IF($S345="","",IFERROR(INDEX('[1]natural catastrophe'!$D$6:$D$17,MATCH($S345,'[1]natural catastrophe'!$B$6:$B$17,0)),"?")))</f>
      </c>
      <c r="U345" s="30" t="inlineStr">
        <is>
          <t xml:space="preserve">$5,000</t>
        </is>
      </c>
      <c r="V345" s="32" t="inlineStr">
        <is>
          <t xml:space="preserve">Agreed Value</t>
        </is>
      </c>
      <c r="W345" s="30" t="inlineStr">
        <is>
          <t xml:space="preserve">$1,000</t>
        </is>
      </c>
      <c r="X345" s="32" t="inlineStr">
        <is>
          <t xml:space="preserve">$1,000,000 CSL</t>
        </is>
      </c>
      <c r="Y345" s="30"/>
      <c r="Z345" s="30"/>
      <c r="AA345" s="32" t="inlineStr">
        <is>
          <t xml:space="preserve">Surplus Lines</t>
        </is>
      </c>
      <c r="AB345" s="35">
        <v>15751.23</v>
      </c>
      <c r="AC345" s="37">
        <v>0</v>
      </c>
      <c r="AD345" s="38">
        <f>IF(ISNUMBER($AB345),$AB345*(1+N($AC345)),"")</f>
      </c>
      <c r="AE345" s="35">
        <v>350</v>
      </c>
      <c r="AF345" s="35">
        <v>250</v>
      </c>
      <c r="AG345" s="37"/>
      <c r="AH345" s="39">
        <f>IF(ISNUMBER($AD345),($AD345+$AE345+$AF345)*$AG345,"")</f>
      </c>
      <c r="AI345" s="35"/>
      <c r="AJ345" s="38">
        <f>IF(ISNUMBER($AD345),SUM($AD345:$AH345),"")</f>
      </c>
      <c r="AK345" s="40">
        <f>IF(AND(ISNUMBER($AB345),ISNUMBER($AD345)),IF($AB345&gt;0,$AD345/$AB345,""),"")</f>
      </c>
      <c r="AL345" s="32" t="inlineStr">
        <is>
          <t xml:space="preserve">At technical</t>
        </is>
      </c>
      <c r="AM345" s="41">
        <f>IF(ISNUMBER($AD345),Header!$I$3,"")</f>
      </c>
      <c r="AN345" s="39">
        <f>IF(ISNUMBER($AD345),$AO345+$AP345,"")</f>
      </c>
      <c r="AO345" s="39">
        <f>IF(ISNUMBER($AD345),ROUND($AD345*Header!$K$3,2),"")</f>
      </c>
      <c r="AP345" s="39">
        <f>IF(ISNUMBER($AD345),ROUND($AD345*Header!$M$3,2),"")</f>
      </c>
      <c r="AQ345" s="38">
        <f>IF(ISNUMBER($AD345),ROUND($AD345,2)-$AO345-$AP345,"")</f>
      </c>
      <c r="AR345" s="39">
        <f>IF(ISNUMBER($AD345),IF(Header!$D$34="","?",$AD345*Header!$D$34),"")</f>
      </c>
      <c r="AS345" s="39">
        <f>IF(ISNUMBER($AB345),IF(Header!$D$34="","?",$AB345*Header!$D$34),"")</f>
      </c>
      <c r="AT345" s="42">
        <f>IF(AND(ISNUMBER($AB345),$M345&gt;0),$AB345/$M345*100,"")</f>
      </c>
      <c r="AU345" s="42">
        <f>IF(AND(ISNUMBER($AD345),$M345&gt;0),$AD345/$M345*100,"")</f>
      </c>
      <c r="AV345" s="40">
        <f>IF(AND(ISNUMBER($AB345),ISNUMBER($AD345),ABS($AB345)&gt;0),$AD345/$AB345,"")</f>
      </c>
      <c r="AW345" s="39">
        <f>IF(ISNUMBER($AD345),MAX(0,(1-0.55-Header!$O$3)*Header!$Q$3*$AQ345),"")</f>
      </c>
      <c r="AX345" s="43">
        <f>IF($A345="","",IF(TRIM(IF($A345="","Missing certificate ref. ","") &amp; IF($C345="","Missing effective date. ","") &amp; IF($D345="","Missing binding status. ","") &amp; IF($E345="","Missing movement type. ","") &amp; IF($I345="","Missing make. ","") &amp; IF($L345="","Missing vehicle class. ","") &amp; IF($M345="","Missing agreed value. ","") &amp; IF($N345="","Missing policy type. ","") &amp; IF($Q345="","Missing garaging state. ","") &amp; IF($R345="","Missing garaging ZIP. ","") &amp; IF($S345="","Missing cat zone. ","") &amp; IF($V345="","Missing valuation basis. ","") &amp; IF($W345="","Missing PD deductible. ","") &amp; IF($X345="","Missing liability limit. ","") &amp; IF($AB345="","Missing technical premium. ","") &amp; IF($AF345="","Missing surplus lines tax %. ",""))="","PASS","FAIL: "&amp;TRIM(IF($A345="","Missing certificate ref. ","") &amp; IF($C345="","Missing effective date. ","") &amp; IF($D345="","Missing binding status. ","") &amp; IF($E345="","Missing movement type. ","") &amp; IF($I345="","Missing make. ","") &amp; IF($L345="","Missing vehicle class. ","") &amp; IF($M345="","Missing agreed value. ","") &amp; IF($N345="","Missing policy type. ","") &amp; IF($Q345="","Missing garaging state. ","") &amp; IF($R345="","Missing garaging ZIP. ","") &amp; IF($S345="","Missing cat zone. ","") &amp; IF($V345="","Missing valuation basis. ","") &amp; IF($W345="","Missing PD deductible. ","") &amp; IF($X345="","Missing liability limit. ","") &amp; IF($AB345="","Missing technical premium. ","") &amp; IF($AF345="","Missing surplus lines tax %. ",""))))</f>
      </c>
      <c r="AY345" s="44">
        <f>IF($M345="","",IF(ISNUMBER($M345),IF($M345&gt;=Header!$C$18,"YES — refer","No"),""))</f>
      </c>
      <c r="AZ345" s="44">
        <f>IF($AD345="","",IF(ISNUMBER($AD345),IF($AD345&lt;Header!$C$20,"BELOW MIN PREMIUM","OK"),""))</f>
      </c>
      <c r="BA345" s="32" t="inlineStr">
        <is>
          <t xml:space="preserve">Yes</t>
        </is>
      </c>
      <c r="BB345" s="32" t="inlineStr">
        <is>
          <t xml:space="preserve">Yes</t>
        </is>
      </c>
      <c r="BC345" s="30" t="inlineStr">
        <is>
          <t xml:space="preserve">Synthetic demo data</t>
        </is>
      </c>
      <c r="BE345" s="45">
        <f>IF(OR($A345="",$L345="",$H345=""),"",IF(AND(LEFT($L345,2)="06",$H345&gt;1945),"FAIL - pre-war class, year "&amp;$H345,IF(AND(LEFT($L345,2)="07",OR($H345&lt;1946,$H345&gt;1972)),"FAIL - 1946-72 class, year "&amp;$H345,IF(AND(LEFT($L345,2)="08",OR($H345&lt;1973,$H345&gt;1999)),"FAIL - 1973-99 class, year "&amp;$H345,IF(AND(LEFT($L345,2)="09",OR($H345&lt;2000,$H345&gt;2010)),"FAIL - 2000-10 class, year "&amp;$H345,"OK")))))</f>
      </c>
      <c r="BF345" s="45">
        <f>IF($AD345="","",IF(ROUND($AO345+$AP345+$AQ345-$AD345,2)=0,"OK","FAIL - out by "&amp;TEXT($AO345+$AP345+$AQ345-$AD345,"$0.00")))</f>
      </c>
    </row>
    <row r="346" spans="1:58" ht="18.75" customHeight="1" x14ac:dyDescent="0.25">
      <c r="A346" s="46" t="inlineStr">
        <is>
          <t xml:space="preserve">CANON-202511-002639</t>
        </is>
      </c>
      <c r="B346" s="46" t="inlineStr">
        <is>
          <t xml:space="preserve">Marisol Fairweather</t>
        </is>
      </c>
      <c r="C346" s="47">
        <v>45965</v>
      </c>
      <c r="D346" s="48" t="inlineStr">
        <is>
          <t xml:space="preserve">Bound - within authority</t>
        </is>
      </c>
      <c r="E346" s="48" t="inlineStr">
        <is>
          <t xml:space="preserve">New business</t>
        </is>
      </c>
      <c r="F346" s="46" t="inlineStr">
        <is>
          <t xml:space="preserve">B1234EXOTIC26</t>
        </is>
      </c>
      <c r="G346" s="33">
        <f>IF($A346="","",IF($C346="","",YEAR($C346)))</f>
      </c>
      <c r="H346" s="49">
        <v>1960</v>
      </c>
      <c r="I346" s="46" t="inlineStr">
        <is>
          <t xml:space="preserve">Porsche</t>
        </is>
      </c>
      <c r="J346" s="46" t="inlineStr">
        <is>
          <t xml:space="preserve">911 Turbo S</t>
        </is>
      </c>
      <c r="K346" s="46" t="inlineStr">
        <is>
          <t xml:space="preserve">NKPYZA4B811Z61RY1</t>
        </is>
      </c>
      <c r="L346" s="48" t="inlineStr">
        <is>
          <t xml:space="preserve">02 - Sports / GT</t>
        </is>
      </c>
      <c r="M346" s="50">
        <v>1825000</v>
      </c>
      <c r="N346" s="48" t="inlineStr">
        <is>
          <t xml:space="preserve">Personal</t>
        </is>
      </c>
      <c r="O346" s="46" t="inlineStr">
        <is>
          <t xml:space="preserve">Personal - regular use</t>
        </is>
      </c>
      <c r="P346" s="46" t="inlineStr">
        <is>
          <t xml:space="preserve">1,000 - 2,500</t>
        </is>
      </c>
      <c r="Q346" s="46" t="inlineStr">
        <is>
          <t xml:space="preserve">Florida</t>
        </is>
      </c>
      <c r="R346" s="46" t="inlineStr">
        <is>
          <t xml:space="preserve">33139</t>
        </is>
      </c>
      <c r="S346" s="48" t="inlineStr">
        <is>
          <t xml:space="preserve">Tier 2 - Coastal wind (1-25 miles)</t>
        </is>
      </c>
      <c r="T346" s="36">
        <f>IF($A346="","",IF($S346="","",IFERROR(INDEX('[1]natural catastrophe'!$D$6:$D$17,MATCH($S346,'[1]natural catastrophe'!$B$6:$B$17,0)),"?")))</f>
      </c>
      <c r="U346" s="46" t="inlineStr">
        <is>
          <t xml:space="preserve">2% of agreed value, minimum $10,000</t>
        </is>
      </c>
      <c r="V346" s="48" t="inlineStr">
        <is>
          <t xml:space="preserve">Agreed Value</t>
        </is>
      </c>
      <c r="W346" s="46" t="inlineStr">
        <is>
          <t xml:space="preserve">$1,000</t>
        </is>
      </c>
      <c r="X346" s="48" t="inlineStr">
        <is>
          <t xml:space="preserve">$1,000,000 CSL</t>
        </is>
      </c>
      <c r="Y346" s="46"/>
      <c r="Z346" s="46"/>
      <c r="AA346" s="48" t="inlineStr">
        <is>
          <t xml:space="preserve">Surplus Lines</t>
        </is>
      </c>
      <c r="AB346" s="50">
        <v>24725.35</v>
      </c>
      <c r="AC346" s="51">
        <v>0</v>
      </c>
      <c r="AD346" s="38">
        <f>IF(ISNUMBER($AB346),$AB346*(1+N($AC346)),"")</f>
      </c>
      <c r="AE346" s="50">
        <v>350</v>
      </c>
      <c r="AF346" s="50">
        <v>250</v>
      </c>
      <c r="AG346" s="51"/>
      <c r="AH346" s="39">
        <f>IF(ISNUMBER($AD346),($AD346+$AE346+$AF346)*$AG346,"")</f>
      </c>
      <c r="AI346" s="50"/>
      <c r="AJ346" s="38">
        <f>IF(ISNUMBER($AD346),SUM($AD346:$AH346),"")</f>
      </c>
      <c r="AK346" s="40">
        <f>IF(AND(ISNUMBER($AB346),ISNUMBER($AD346)),IF($AB346&gt;0,$AD346/$AB346,""),"")</f>
      </c>
      <c r="AL346" s="48" t="inlineStr">
        <is>
          <t xml:space="preserve">At technical</t>
        </is>
      </c>
      <c r="AM346" s="41">
        <f>IF(ISNUMBER($AD346),Header!$I$3,"")</f>
      </c>
      <c r="AN346" s="39">
        <f>IF(ISNUMBER($AD346),$AO346+$AP346,"")</f>
      </c>
      <c r="AO346" s="39">
        <f>IF(ISNUMBER($AD346),ROUND($AD346*Header!$K$3,2),"")</f>
      </c>
      <c r="AP346" s="39">
        <f>IF(ISNUMBER($AD346),ROUND($AD346*Header!$M$3,2),"")</f>
      </c>
      <c r="AQ346" s="38">
        <f>IF(ISNUMBER($AD346),ROUND($AD346,2)-$AO346-$AP346,"")</f>
      </c>
      <c r="AR346" s="39">
        <f>IF(ISNUMBER($AD346),IF(Header!$D$34="","?",$AD346*Header!$D$34),"")</f>
      </c>
      <c r="AS346" s="39">
        <f>IF(ISNUMBER($AB346),IF(Header!$D$34="","?",$AB346*Header!$D$34),"")</f>
      </c>
      <c r="AT346" s="42">
        <f>IF(AND(ISNUMBER($AB346),$M346&gt;0),$AB346/$M346*100,"")</f>
      </c>
      <c r="AU346" s="42">
        <f>IF(AND(ISNUMBER($AD346),$M346&gt;0),$AD346/$M346*100,"")</f>
      </c>
      <c r="AV346" s="40">
        <f>IF(AND(ISNUMBER($AB346),ISNUMBER($AD346),ABS($AB346)&gt;0),$AD346/$AB346,"")</f>
      </c>
      <c r="AW346" s="39">
        <f>IF(ISNUMBER($AD346),MAX(0,(1-0.55-Header!$O$3)*Header!$Q$3*$AQ346),"")</f>
      </c>
      <c r="AX346" s="43">
        <f>IF($A346="","",IF(TRIM(IF($A346="","Missing certificate ref. ","") &amp; IF($C346="","Missing effective date. ","") &amp; IF($D346="","Missing binding status. ","") &amp; IF($E346="","Missing movement type. ","") &amp; IF($I346="","Missing make. ","") &amp; IF($L346="","Missing vehicle class. ","") &amp; IF($M346="","Missing agreed value. ","") &amp; IF($N346="","Missing policy type. ","") &amp; IF($Q346="","Missing garaging state. ","") &amp; IF($R346="","Missing garaging ZIP. ","") &amp; IF($S346="","Missing cat zone. ","") &amp; IF($V346="","Missing valuation basis. ","") &amp; IF($W346="","Missing PD deductible. ","") &amp; IF($X346="","Missing liability limit. ","") &amp; IF($AB346="","Missing technical premium. ","") &amp; IF($AF346="","Missing surplus lines tax %. ",""))="","PASS","FAIL: "&amp;TRIM(IF($A346="","Missing certificate ref. ","") &amp; IF($C346="","Missing effective date. ","") &amp; IF($D346="","Missing binding status. ","") &amp; IF($E346="","Missing movement type. ","") &amp; IF($I346="","Missing make. ","") &amp; IF($L346="","Missing vehicle class. ","") &amp; IF($M346="","Missing agreed value. ","") &amp; IF($N346="","Missing policy type. ","") &amp; IF($Q346="","Missing garaging state. ","") &amp; IF($R346="","Missing garaging ZIP. ","") &amp; IF($S346="","Missing cat zone. ","") &amp; IF($V346="","Missing valuation basis. ","") &amp; IF($W346="","Missing PD deductible. ","") &amp; IF($X346="","Missing liability limit. ","") &amp; IF($AB346="","Missing technical premium. ","") &amp; IF($AF346="","Missing surplus lines tax %. ",""))))</f>
      </c>
      <c r="AY346" s="44">
        <f>IF($M346="","",IF(ISNUMBER($M346),IF($M346&gt;=Header!$C$18,"YES — refer","No"),""))</f>
      </c>
      <c r="AZ346" s="44">
        <f>IF($AD346="","",IF(ISNUMBER($AD346),IF($AD346&lt;Header!$C$20,"BELOW MIN PREMIUM","OK"),""))</f>
      </c>
      <c r="BA346" s="48" t="inlineStr">
        <is>
          <t xml:space="preserve">Yes</t>
        </is>
      </c>
      <c r="BB346" s="48" t="inlineStr">
        <is>
          <t xml:space="preserve">Yes</t>
        </is>
      </c>
      <c r="BC346" s="46" t="inlineStr">
        <is>
          <t xml:space="preserve">Synthetic demo data</t>
        </is>
      </c>
      <c r="BE346" s="45">
        <f>IF(OR($A346="",$L346="",$H346=""),"",IF(AND(LEFT($L346,2)="06",$H346&gt;1945),"FAIL - pre-war class, year "&amp;$H346,IF(AND(LEFT($L346,2)="07",OR($H346&lt;1946,$H346&gt;1972)),"FAIL - 1946-72 class, year "&amp;$H346,IF(AND(LEFT($L346,2)="08",OR($H346&lt;1973,$H346&gt;1999)),"FAIL - 1973-99 class, year "&amp;$H346,IF(AND(LEFT($L346,2)="09",OR($H346&lt;2000,$H346&gt;2010)),"FAIL - 2000-10 class, year "&amp;$H346,"OK")))))</f>
      </c>
      <c r="BF346" s="45">
        <f>IF($AD346="","",IF(ROUND($AO346+$AP346+$AQ346-$AD346,2)=0,"OK","FAIL - out by "&amp;TEXT($AO346+$AP346+$AQ346-$AD346,"$0.00")))</f>
      </c>
    </row>
    <row r="347" spans="1:58" ht="18.75" customHeight="1" x14ac:dyDescent="0.25">
      <c r="A347" s="30" t="inlineStr">
        <is>
          <t xml:space="preserve">CANON-202511-002640</t>
        </is>
      </c>
      <c r="B347" s="30" t="inlineStr">
        <is>
          <t xml:space="preserve">Aurelio Nakashima</t>
        </is>
      </c>
      <c r="C347" s="31">
        <v>45974</v>
      </c>
      <c r="D347" s="32" t="inlineStr">
        <is>
          <t xml:space="preserve">Bound - within authority</t>
        </is>
      </c>
      <c r="E347" s="32" t="inlineStr">
        <is>
          <t xml:space="preserve">New business</t>
        </is>
      </c>
      <c r="F347" s="30" t="inlineStr">
        <is>
          <t xml:space="preserve">B1234EXOTIC26</t>
        </is>
      </c>
      <c r="G347" s="33">
        <f>IF($A347="","",IF($C347="","",YEAR($C347)))</f>
      </c>
      <c r="H347" s="34">
        <v>1986</v>
      </c>
      <c r="I347" s="30" t="inlineStr">
        <is>
          <t xml:space="preserve">Bentley</t>
        </is>
      </c>
      <c r="J347" s="30" t="inlineStr">
        <is>
          <t xml:space="preserve">Continental GT</t>
        </is>
      </c>
      <c r="K347" s="30" t="inlineStr">
        <is>
          <t xml:space="preserve">DU503SBGZ274VA9H6</t>
        </is>
      </c>
      <c r="L347" s="32" t="inlineStr">
        <is>
          <t xml:space="preserve">02 - Sports / GT</t>
        </is>
      </c>
      <c r="M347" s="35">
        <v>910000</v>
      </c>
      <c r="N347" s="32" t="inlineStr">
        <is>
          <t xml:space="preserve">Personal</t>
        </is>
      </c>
      <c r="O347" s="30" t="inlineStr">
        <is>
          <t xml:space="preserve">Personal - regular use</t>
        </is>
      </c>
      <c r="P347" s="30" t="inlineStr">
        <is>
          <t xml:space="preserve">2,500 - 5,000</t>
        </is>
      </c>
      <c r="Q347" s="30" t="inlineStr">
        <is>
          <t xml:space="preserve">Idaho</t>
        </is>
      </c>
      <c r="R347" s="30" t="inlineStr">
        <is>
          <t xml:space="preserve">83702</t>
        </is>
      </c>
      <c r="S347" s="32" t="inlineStr">
        <is>
          <t xml:space="preserve">Wildfire - WUI high hazard</t>
        </is>
      </c>
      <c r="T347" s="36">
        <f>IF($A347="","",IF($S347="","",IFERROR(INDEX('[1]natural catastrophe'!$D$6:$D$17,MATCH($S347,'[1]natural catastrophe'!$B$6:$B$17,0)),"?")))</f>
      </c>
      <c r="U347" s="30" t="inlineStr">
        <is>
          <t xml:space="preserve">$5,000</t>
        </is>
      </c>
      <c r="V347" s="32" t="inlineStr">
        <is>
          <t xml:space="preserve">Agreed Value</t>
        </is>
      </c>
      <c r="W347" s="30" t="inlineStr">
        <is>
          <t xml:space="preserve">$1,000</t>
        </is>
      </c>
      <c r="X347" s="32" t="inlineStr">
        <is>
          <t xml:space="preserve">$1,000,000 CSL</t>
        </is>
      </c>
      <c r="Y347" s="30"/>
      <c r="Z347" s="30"/>
      <c r="AA347" s="32" t="inlineStr">
        <is>
          <t xml:space="preserve">Surplus Lines</t>
        </is>
      </c>
      <c r="AB347" s="35">
        <v>10158.24</v>
      </c>
      <c r="AC347" s="37">
        <v>0</v>
      </c>
      <c r="AD347" s="38">
        <f>IF(ISNUMBER($AB347),$AB347*(1+N($AC347)),"")</f>
      </c>
      <c r="AE347" s="35">
        <v>350</v>
      </c>
      <c r="AF347" s="35">
        <v>0</v>
      </c>
      <c r="AG347" s="37"/>
      <c r="AH347" s="39">
        <f>IF(ISNUMBER($AD347),($AD347+$AE347+$AF347)*$AG347,"")</f>
      </c>
      <c r="AI347" s="35"/>
      <c r="AJ347" s="38">
        <f>IF(ISNUMBER($AD347),SUM($AD347:$AH347),"")</f>
      </c>
      <c r="AK347" s="40">
        <f>IF(AND(ISNUMBER($AB347),ISNUMBER($AD347)),IF($AB347&gt;0,$AD347/$AB347,""),"")</f>
      </c>
      <c r="AL347" s="32" t="inlineStr">
        <is>
          <t xml:space="preserve">At technical</t>
        </is>
      </c>
      <c r="AM347" s="41">
        <f>IF(ISNUMBER($AD347),Header!$I$3,"")</f>
      </c>
      <c r="AN347" s="39">
        <f>IF(ISNUMBER($AD347),$AO347+$AP347,"")</f>
      </c>
      <c r="AO347" s="39">
        <f>IF(ISNUMBER($AD347),ROUND($AD347*Header!$K$3,2),"")</f>
      </c>
      <c r="AP347" s="39">
        <f>IF(ISNUMBER($AD347),ROUND($AD347*Header!$M$3,2),"")</f>
      </c>
      <c r="AQ347" s="38">
        <f>IF(ISNUMBER($AD347),ROUND($AD347,2)-$AO347-$AP347,"")</f>
      </c>
      <c r="AR347" s="39">
        <f>IF(ISNUMBER($AD347),IF(Header!$D$34="","?",$AD347*Header!$D$34),"")</f>
      </c>
      <c r="AS347" s="39">
        <f>IF(ISNUMBER($AB347),IF(Header!$D$34="","?",$AB347*Header!$D$34),"")</f>
      </c>
      <c r="AT347" s="42">
        <f>IF(AND(ISNUMBER($AB347),$M347&gt;0),$AB347/$M347*100,"")</f>
      </c>
      <c r="AU347" s="42">
        <f>IF(AND(ISNUMBER($AD347),$M347&gt;0),$AD347/$M347*100,"")</f>
      </c>
      <c r="AV347" s="40">
        <f>IF(AND(ISNUMBER($AB347),ISNUMBER($AD347),ABS($AB347)&gt;0),$AD347/$AB347,"")</f>
      </c>
      <c r="AW347" s="39">
        <f>IF(ISNUMBER($AD347),MAX(0,(1-0.55-Header!$O$3)*Header!$Q$3*$AQ347),"")</f>
      </c>
      <c r="AX347" s="43">
        <f>IF($A347="","",IF(TRIM(IF($A347="","Missing certificate ref. ","") &amp; IF($C347="","Missing effective date. ","") &amp; IF($D347="","Missing binding status. ","") &amp; IF($E347="","Missing movement type. ","") &amp; IF($I347="","Missing make. ","") &amp; IF($L347="","Missing vehicle class. ","") &amp; IF($M347="","Missing agreed value. ","") &amp; IF($N347="","Missing policy type. ","") &amp; IF($Q347="","Missing garaging state. ","") &amp; IF($R347="","Missing garaging ZIP. ","") &amp; IF($S347="","Missing cat zone. ","") &amp; IF($V347="","Missing valuation basis. ","") &amp; IF($W347="","Missing PD deductible. ","") &amp; IF($X347="","Missing liability limit. ","") &amp; IF($AB347="","Missing technical premium. ","") &amp; IF($AF347="","Missing surplus lines tax %. ",""))="","PASS","FAIL: "&amp;TRIM(IF($A347="","Missing certificate ref. ","") &amp; IF($C347="","Missing effective date. ","") &amp; IF($D347="","Missing binding status. ","") &amp; IF($E347="","Missing movement type. ","") &amp; IF($I347="","Missing make. ","") &amp; IF($L347="","Missing vehicle class. ","") &amp; IF($M347="","Missing agreed value. ","") &amp; IF($N347="","Missing policy type. ","") &amp; IF($Q347="","Missing garaging state. ","") &amp; IF($R347="","Missing garaging ZIP. ","") &amp; IF($S347="","Missing cat zone. ","") &amp; IF($V347="","Missing valuation basis. ","") &amp; IF($W347="","Missing PD deductible. ","") &amp; IF($X347="","Missing liability limit. ","") &amp; IF($AB347="","Missing technical premium. ","") &amp; IF($AF347="","Missing surplus lines tax %. ",""))))</f>
      </c>
      <c r="AY347" s="44">
        <f>IF($M347="","",IF(ISNUMBER($M347),IF($M347&gt;=Header!$C$18,"YES — refer","No"),""))</f>
      </c>
      <c r="AZ347" s="44">
        <f>IF($AD347="","",IF(ISNUMBER($AD347),IF($AD347&lt;Header!$C$20,"BELOW MIN PREMIUM","OK"),""))</f>
      </c>
      <c r="BA347" s="32" t="inlineStr">
        <is>
          <t xml:space="preserve">Yes</t>
        </is>
      </c>
      <c r="BB347" s="32" t="inlineStr">
        <is>
          <t xml:space="preserve">Yes</t>
        </is>
      </c>
      <c r="BC347" s="30" t="inlineStr">
        <is>
          <t xml:space="preserve">Synthetic demo data</t>
        </is>
      </c>
      <c r="BE347" s="45">
        <f>IF(OR($A347="",$L347="",$H347=""),"",IF(AND(LEFT($L347,2)="06",$H347&gt;1945),"FAIL - pre-war class, year "&amp;$H347,IF(AND(LEFT($L347,2)="07",OR($H347&lt;1946,$H347&gt;1972)),"FAIL - 1946-72 class, year "&amp;$H347,IF(AND(LEFT($L347,2)="08",OR($H347&lt;1973,$H347&gt;1999)),"FAIL - 1973-99 class, year "&amp;$H347,IF(AND(LEFT($L347,2)="09",OR($H347&lt;2000,$H347&gt;2010)),"FAIL - 2000-10 class, year "&amp;$H347,"OK")))))</f>
      </c>
      <c r="BF347" s="45">
        <f>IF($AD347="","",IF(ROUND($AO347+$AP347+$AQ347-$AD347,2)=0,"OK","FAIL - out by "&amp;TEXT($AO347+$AP347+$AQ347-$AD347,"$0.00")))</f>
      </c>
    </row>
    <row r="348" spans="1:58" ht="18.75" customHeight="1" x14ac:dyDescent="0.25">
      <c r="A348" s="46" t="inlineStr">
        <is>
          <t xml:space="preserve">CANON-202511-002642</t>
        </is>
      </c>
      <c r="B348" s="46" t="inlineStr">
        <is>
          <t xml:space="preserve">Aurelio Vasquez</t>
        </is>
      </c>
      <c r="C348" s="47">
        <v>45962</v>
      </c>
      <c r="D348" s="48" t="inlineStr">
        <is>
          <t xml:space="preserve">Bound - within authority</t>
        </is>
      </c>
      <c r="E348" s="48" t="inlineStr">
        <is>
          <t xml:space="preserve">New business</t>
        </is>
      </c>
      <c r="F348" s="46" t="inlineStr">
        <is>
          <t xml:space="preserve">B1234EXOTIC26</t>
        </is>
      </c>
      <c r="G348" s="33">
        <f>IF($A348="","",IF($C348="","",YEAR($C348)))</f>
      </c>
      <c r="H348" s="49">
        <v>1970</v>
      </c>
      <c r="I348" s="46" t="inlineStr">
        <is>
          <t xml:space="preserve">Porsche</t>
        </is>
      </c>
      <c r="J348" s="46" t="inlineStr">
        <is>
          <t xml:space="preserve">911 Turbo S</t>
        </is>
      </c>
      <c r="K348" s="46" t="inlineStr">
        <is>
          <t xml:space="preserve">X6AMG4CKYPC3AW5JF</t>
        </is>
      </c>
      <c r="L348" s="48" t="inlineStr">
        <is>
          <t xml:space="preserve">02 - Sports / GT</t>
        </is>
      </c>
      <c r="M348" s="50">
        <v>1160000</v>
      </c>
      <c r="N348" s="48" t="inlineStr">
        <is>
          <t xml:space="preserve">Personal</t>
        </is>
      </c>
      <c r="O348" s="46" t="inlineStr">
        <is>
          <t xml:space="preserve">Personal - regular use</t>
        </is>
      </c>
      <c r="P348" s="46" t="inlineStr">
        <is>
          <t xml:space="preserve">Under 1,000</t>
        </is>
      </c>
      <c r="Q348" s="46" t="inlineStr">
        <is>
          <t xml:space="preserve">New York</t>
        </is>
      </c>
      <c r="R348" s="46" t="inlineStr">
        <is>
          <t xml:space="preserve">10022</t>
        </is>
      </c>
      <c r="S348" s="48" t="inlineStr">
        <is>
          <t xml:space="preserve">Tier 3 - Coastal wind (25-100 miles)</t>
        </is>
      </c>
      <c r="T348" s="36">
        <f>IF($A348="","",IF($S348="","",IFERROR(INDEX('[1]natural catastrophe'!$D$6:$D$17,MATCH($S348,'[1]natural catastrophe'!$B$6:$B$17,0)),"?")))</f>
      </c>
      <c r="U348" s="46" t="inlineStr">
        <is>
          <t xml:space="preserve">2% of agreed value, minimum $10,000</t>
        </is>
      </c>
      <c r="V348" s="48" t="inlineStr">
        <is>
          <t xml:space="preserve">Agreed Value</t>
        </is>
      </c>
      <c r="W348" s="46" t="inlineStr">
        <is>
          <t xml:space="preserve">$1,000</t>
        </is>
      </c>
      <c r="X348" s="48" t="inlineStr">
        <is>
          <t xml:space="preserve">$1,000,000 CSL</t>
        </is>
      </c>
      <c r="Y348" s="46"/>
      <c r="Z348" s="46"/>
      <c r="AA348" s="48" t="inlineStr">
        <is>
          <t xml:space="preserve">Surplus Lines</t>
        </is>
      </c>
      <c r="AB348" s="50">
        <v>14166.39</v>
      </c>
      <c r="AC348" s="51">
        <v>0</v>
      </c>
      <c r="AD348" s="38">
        <f>IF(ISNUMBER($AB348),$AB348*(1+N($AC348)),"")</f>
      </c>
      <c r="AE348" s="50">
        <v>350</v>
      </c>
      <c r="AF348" s="50">
        <v>250</v>
      </c>
      <c r="AG348" s="51"/>
      <c r="AH348" s="39">
        <f>IF(ISNUMBER($AD348),($AD348+$AE348+$AF348)*$AG348,"")</f>
      </c>
      <c r="AI348" s="50"/>
      <c r="AJ348" s="38">
        <f>IF(ISNUMBER($AD348),SUM($AD348:$AH348),"")</f>
      </c>
      <c r="AK348" s="40">
        <f>IF(AND(ISNUMBER($AB348),ISNUMBER($AD348)),IF($AB348&gt;0,$AD348/$AB348,""),"")</f>
      </c>
      <c r="AL348" s="48" t="inlineStr">
        <is>
          <t xml:space="preserve">At technical</t>
        </is>
      </c>
      <c r="AM348" s="41">
        <f>IF(ISNUMBER($AD348),Header!$I$3,"")</f>
      </c>
      <c r="AN348" s="39">
        <f>IF(ISNUMBER($AD348),$AO348+$AP348,"")</f>
      </c>
      <c r="AO348" s="39">
        <f>IF(ISNUMBER($AD348),ROUND($AD348*Header!$K$3,2),"")</f>
      </c>
      <c r="AP348" s="39">
        <f>IF(ISNUMBER($AD348),ROUND($AD348*Header!$M$3,2),"")</f>
      </c>
      <c r="AQ348" s="38">
        <f>IF(ISNUMBER($AD348),ROUND($AD348,2)-$AO348-$AP348,"")</f>
      </c>
      <c r="AR348" s="39">
        <f>IF(ISNUMBER($AD348),IF(Header!$D$34="","?",$AD348*Header!$D$34),"")</f>
      </c>
      <c r="AS348" s="39">
        <f>IF(ISNUMBER($AB348),IF(Header!$D$34="","?",$AB348*Header!$D$34),"")</f>
      </c>
      <c r="AT348" s="42">
        <f>IF(AND(ISNUMBER($AB348),$M348&gt;0),$AB348/$M348*100,"")</f>
      </c>
      <c r="AU348" s="42">
        <f>IF(AND(ISNUMBER($AD348),$M348&gt;0),$AD348/$M348*100,"")</f>
      </c>
      <c r="AV348" s="40">
        <f>IF(AND(ISNUMBER($AB348),ISNUMBER($AD348),ABS($AB348)&gt;0),$AD348/$AB348,"")</f>
      </c>
      <c r="AW348" s="39">
        <f>IF(ISNUMBER($AD348),MAX(0,(1-0.55-Header!$O$3)*Header!$Q$3*$AQ348),"")</f>
      </c>
      <c r="AX348" s="43">
        <f>IF($A348="","",IF(TRIM(IF($A348="","Missing certificate ref. ","") &amp; IF($C348="","Missing effective date. ","") &amp; IF($D348="","Missing binding status. ","") &amp; IF($E348="","Missing movement type. ","") &amp; IF($I348="","Missing make. ","") &amp; IF($L348="","Missing vehicle class. ","") &amp; IF($M348="","Missing agreed value. ","") &amp; IF($N348="","Missing policy type. ","") &amp; IF($Q348="","Missing garaging state. ","") &amp; IF($R348="","Missing garaging ZIP. ","") &amp; IF($S348="","Missing cat zone. ","") &amp; IF($V348="","Missing valuation basis. ","") &amp; IF($W348="","Missing PD deductible. ","") &amp; IF($X348="","Missing liability limit. ","") &amp; IF($AB348="","Missing technical premium. ","") &amp; IF($AF348="","Missing surplus lines tax %. ",""))="","PASS","FAIL: "&amp;TRIM(IF($A348="","Missing certificate ref. ","") &amp; IF($C348="","Missing effective date. ","") &amp; IF($D348="","Missing binding status. ","") &amp; IF($E348="","Missing movement type. ","") &amp; IF($I348="","Missing make. ","") &amp; IF($L348="","Missing vehicle class. ","") &amp; IF($M348="","Missing agreed value. ","") &amp; IF($N348="","Missing policy type. ","") &amp; IF($Q348="","Missing garaging state. ","") &amp; IF($R348="","Missing garaging ZIP. ","") &amp; IF($S348="","Missing cat zone. ","") &amp; IF($V348="","Missing valuation basis. ","") &amp; IF($W348="","Missing PD deductible. ","") &amp; IF($X348="","Missing liability limit. ","") &amp; IF($AB348="","Missing technical premium. ","") &amp; IF($AF348="","Missing surplus lines tax %. ",""))))</f>
      </c>
      <c r="AY348" s="44">
        <f>IF($M348="","",IF(ISNUMBER($M348),IF($M348&gt;=Header!$C$18,"YES — refer","No"),""))</f>
      </c>
      <c r="AZ348" s="44">
        <f>IF($AD348="","",IF(ISNUMBER($AD348),IF($AD348&lt;Header!$C$20,"BELOW MIN PREMIUM","OK"),""))</f>
      </c>
      <c r="BA348" s="48" t="inlineStr">
        <is>
          <t xml:space="preserve">Yes</t>
        </is>
      </c>
      <c r="BB348" s="48" t="inlineStr">
        <is>
          <t xml:space="preserve">Yes</t>
        </is>
      </c>
      <c r="BC348" s="46" t="inlineStr">
        <is>
          <t xml:space="preserve">Synthetic demo data</t>
        </is>
      </c>
      <c r="BE348" s="45">
        <f>IF(OR($A348="",$L348="",$H348=""),"",IF(AND(LEFT($L348,2)="06",$H348&gt;1945),"FAIL - pre-war class, year "&amp;$H348,IF(AND(LEFT($L348,2)="07",OR($H348&lt;1946,$H348&gt;1972)),"FAIL - 1946-72 class, year "&amp;$H348,IF(AND(LEFT($L348,2)="08",OR($H348&lt;1973,$H348&gt;1999)),"FAIL - 1973-99 class, year "&amp;$H348,IF(AND(LEFT($L348,2)="09",OR($H348&lt;2000,$H348&gt;2010)),"FAIL - 2000-10 class, year "&amp;$H348,"OK")))))</f>
      </c>
      <c r="BF348" s="45">
        <f>IF($AD348="","",IF(ROUND($AO348+$AP348+$AQ348-$AD348,2)=0,"OK","FAIL - out by "&amp;TEXT($AO348+$AP348+$AQ348-$AD348,"$0.00")))</f>
      </c>
    </row>
    <row r="349" spans="1:58" ht="18.75" customHeight="1" x14ac:dyDescent="0.25">
      <c r="A349" s="30" t="inlineStr">
        <is>
          <t xml:space="preserve">CANON-202511-002643</t>
        </is>
      </c>
      <c r="B349" s="30" t="inlineStr">
        <is>
          <t xml:space="preserve">Leopold Harrington</t>
        </is>
      </c>
      <c r="C349" s="31">
        <v>45989</v>
      </c>
      <c r="D349" s="32" t="inlineStr">
        <is>
          <t xml:space="preserve">Bound - within authority</t>
        </is>
      </c>
      <c r="E349" s="32" t="inlineStr">
        <is>
          <t xml:space="preserve">New business</t>
        </is>
      </c>
      <c r="F349" s="30" t="inlineStr">
        <is>
          <t xml:space="preserve">B1234EXOTIC26</t>
        </is>
      </c>
      <c r="G349" s="33">
        <f>IF($A349="","",IF($C349="","",YEAR($C349)))</f>
      </c>
      <c r="H349" s="34">
        <v>1972</v>
      </c>
      <c r="I349" s="30" t="inlineStr">
        <is>
          <t xml:space="preserve">Aston Martin</t>
        </is>
      </c>
      <c r="J349" s="30" t="inlineStr">
        <is>
          <t xml:space="preserve">DB12</t>
        </is>
      </c>
      <c r="K349" s="30" t="inlineStr">
        <is>
          <t xml:space="preserve">X9ZHX2E72R2ZH894A</t>
        </is>
      </c>
      <c r="L349" s="32" t="inlineStr">
        <is>
          <t xml:space="preserve">02 - Sports / GT</t>
        </is>
      </c>
      <c r="M349" s="35">
        <v>860000</v>
      </c>
      <c r="N349" s="32" t="inlineStr">
        <is>
          <t xml:space="preserve">Personal</t>
        </is>
      </c>
      <c r="O349" s="30" t="inlineStr">
        <is>
          <t xml:space="preserve">Personal - regular use</t>
        </is>
      </c>
      <c r="P349" s="30" t="inlineStr">
        <is>
          <t xml:space="preserve">2,500 - 5,000</t>
        </is>
      </c>
      <c r="Q349" s="30" t="inlineStr">
        <is>
          <t xml:space="preserve">Kansas</t>
        </is>
      </c>
      <c r="R349" s="30" t="inlineStr">
        <is>
          <t xml:space="preserve">66603</t>
        </is>
      </c>
      <c r="S349" s="32" t="inlineStr">
        <is>
          <t xml:space="preserve">Severe convective - hail alley (high)</t>
        </is>
      </c>
      <c r="T349" s="36">
        <f>IF($A349="","",IF($S349="","",IFERROR(INDEX('[1]natural catastrophe'!$D$6:$D$17,MATCH($S349,'[1]natural catastrophe'!$B$6:$B$17,0)),"?")))</f>
      </c>
      <c r="U349" s="30" t="inlineStr">
        <is>
          <t xml:space="preserve">$5,000</t>
        </is>
      </c>
      <c r="V349" s="32" t="inlineStr">
        <is>
          <t xml:space="preserve">Agreed Value</t>
        </is>
      </c>
      <c r="W349" s="30" t="inlineStr">
        <is>
          <t xml:space="preserve">$1,000</t>
        </is>
      </c>
      <c r="X349" s="32" t="inlineStr">
        <is>
          <t xml:space="preserve">$1,000,000 CSL</t>
        </is>
      </c>
      <c r="Y349" s="30"/>
      <c r="Z349" s="30"/>
      <c r="AA349" s="32" t="inlineStr">
        <is>
          <t xml:space="preserve">Surplus Lines</t>
        </is>
      </c>
      <c r="AB349" s="35">
        <v>9406.15</v>
      </c>
      <c r="AC349" s="37">
        <v>0</v>
      </c>
      <c r="AD349" s="38">
        <f>IF(ISNUMBER($AB349),$AB349*(1+N($AC349)),"")</f>
      </c>
      <c r="AE349" s="35">
        <v>350</v>
      </c>
      <c r="AF349" s="35">
        <v>0</v>
      </c>
      <c r="AG349" s="37"/>
      <c r="AH349" s="39">
        <f>IF(ISNUMBER($AD349),($AD349+$AE349+$AF349)*$AG349,"")</f>
      </c>
      <c r="AI349" s="35"/>
      <c r="AJ349" s="38">
        <f>IF(ISNUMBER($AD349),SUM($AD349:$AH349),"")</f>
      </c>
      <c r="AK349" s="40">
        <f>IF(AND(ISNUMBER($AB349),ISNUMBER($AD349)),IF($AB349&gt;0,$AD349/$AB349,""),"")</f>
      </c>
      <c r="AL349" s="32" t="inlineStr">
        <is>
          <t xml:space="preserve">At technical</t>
        </is>
      </c>
      <c r="AM349" s="41">
        <f>IF(ISNUMBER($AD349),Header!$I$3,"")</f>
      </c>
      <c r="AN349" s="39">
        <f>IF(ISNUMBER($AD349),$AO349+$AP349,"")</f>
      </c>
      <c r="AO349" s="39">
        <f>IF(ISNUMBER($AD349),ROUND($AD349*Header!$K$3,2),"")</f>
      </c>
      <c r="AP349" s="39">
        <f>IF(ISNUMBER($AD349),ROUND($AD349*Header!$M$3,2),"")</f>
      </c>
      <c r="AQ349" s="38">
        <f>IF(ISNUMBER($AD349),ROUND($AD349,2)-$AO349-$AP349,"")</f>
      </c>
      <c r="AR349" s="39">
        <f>IF(ISNUMBER($AD349),IF(Header!$D$34="","?",$AD349*Header!$D$34),"")</f>
      </c>
      <c r="AS349" s="39">
        <f>IF(ISNUMBER($AB349),IF(Header!$D$34="","?",$AB349*Header!$D$34),"")</f>
      </c>
      <c r="AT349" s="42">
        <f>IF(AND(ISNUMBER($AB349),$M349&gt;0),$AB349/$M349*100,"")</f>
      </c>
      <c r="AU349" s="42">
        <f>IF(AND(ISNUMBER($AD349),$M349&gt;0),$AD349/$M349*100,"")</f>
      </c>
      <c r="AV349" s="40">
        <f>IF(AND(ISNUMBER($AB349),ISNUMBER($AD349),ABS($AB349)&gt;0),$AD349/$AB349,"")</f>
      </c>
      <c r="AW349" s="39">
        <f>IF(ISNUMBER($AD349),MAX(0,(1-0.55-Header!$O$3)*Header!$Q$3*$AQ349),"")</f>
      </c>
      <c r="AX349" s="43">
        <f>IF($A349="","",IF(TRIM(IF($A349="","Missing certificate ref. ","") &amp; IF($C349="","Missing effective date. ","") &amp; IF($D349="","Missing binding status. ","") &amp; IF($E349="","Missing movement type. ","") &amp; IF($I349="","Missing make. ","") &amp; IF($L349="","Missing vehicle class. ","") &amp; IF($M349="","Missing agreed value. ","") &amp; IF($N349="","Missing policy type. ","") &amp; IF($Q349="","Missing garaging state. ","") &amp; IF($R349="","Missing garaging ZIP. ","") &amp; IF($S349="","Missing cat zone. ","") &amp; IF($V349="","Missing valuation basis. ","") &amp; IF($W349="","Missing PD deductible. ","") &amp; IF($X349="","Missing liability limit. ","") &amp; IF($AB349="","Missing technical premium. ","") &amp; IF($AF349="","Missing surplus lines tax %. ",""))="","PASS","FAIL: "&amp;TRIM(IF($A349="","Missing certificate ref. ","") &amp; IF($C349="","Missing effective date. ","") &amp; IF($D349="","Missing binding status. ","") &amp; IF($E349="","Missing movement type. ","") &amp; IF($I349="","Missing make. ","") &amp; IF($L349="","Missing vehicle class. ","") &amp; IF($M349="","Missing agreed value. ","") &amp; IF($N349="","Missing policy type. ","") &amp; IF($Q349="","Missing garaging state. ","") &amp; IF($R349="","Missing garaging ZIP. ","") &amp; IF($S349="","Missing cat zone. ","") &amp; IF($V349="","Missing valuation basis. ","") &amp; IF($W349="","Missing PD deductible. ","") &amp; IF($X349="","Missing liability limit. ","") &amp; IF($AB349="","Missing technical premium. ","") &amp; IF($AF349="","Missing surplus lines tax %. ",""))))</f>
      </c>
      <c r="AY349" s="44">
        <f>IF($M349="","",IF(ISNUMBER($M349),IF($M349&gt;=Header!$C$18,"YES — refer","No"),""))</f>
      </c>
      <c r="AZ349" s="44">
        <f>IF($AD349="","",IF(ISNUMBER($AD349),IF($AD349&lt;Header!$C$20,"BELOW MIN PREMIUM","OK"),""))</f>
      </c>
      <c r="BA349" s="32" t="inlineStr">
        <is>
          <t xml:space="preserve">Yes</t>
        </is>
      </c>
      <c r="BB349" s="32" t="inlineStr">
        <is>
          <t xml:space="preserve">Yes</t>
        </is>
      </c>
      <c r="BC349" s="30" t="inlineStr">
        <is>
          <t xml:space="preserve">Synthetic demo data</t>
        </is>
      </c>
      <c r="BE349" s="45">
        <f>IF(OR($A349="",$L349="",$H349=""),"",IF(AND(LEFT($L349,2)="06",$H349&gt;1945),"FAIL - pre-war class, year "&amp;$H349,IF(AND(LEFT($L349,2)="07",OR($H349&lt;1946,$H349&gt;1972)),"FAIL - 1946-72 class, year "&amp;$H349,IF(AND(LEFT($L349,2)="08",OR($H349&lt;1973,$H349&gt;1999)),"FAIL - 1973-99 class, year "&amp;$H349,IF(AND(LEFT($L349,2)="09",OR($H349&lt;2000,$H349&gt;2010)),"FAIL - 2000-10 class, year "&amp;$H349,"OK")))))</f>
      </c>
      <c r="BF349" s="45">
        <f>IF($AD349="","",IF(ROUND($AO349+$AP349+$AQ349-$AD349,2)=0,"OK","FAIL - out by "&amp;TEXT($AO349+$AP349+$AQ349-$AD349,"$0.00")))</f>
      </c>
    </row>
    <row r="350" spans="1:58" ht="18.75" customHeight="1" x14ac:dyDescent="0.25">
      <c r="A350" s="46" t="inlineStr">
        <is>
          <t xml:space="preserve">CANON-202511-002644</t>
        </is>
      </c>
      <c r="B350" s="46" t="inlineStr">
        <is>
          <t xml:space="preserve">Noor Vandermeer</t>
        </is>
      </c>
      <c r="C350" s="47">
        <v>45964</v>
      </c>
      <c r="D350" s="48" t="inlineStr">
        <is>
          <t xml:space="preserve">Bound - within authority</t>
        </is>
      </c>
      <c r="E350" s="48" t="inlineStr">
        <is>
          <t xml:space="preserve">New business</t>
        </is>
      </c>
      <c r="F350" s="46" t="inlineStr">
        <is>
          <t xml:space="preserve">B1234EXOTIC26</t>
        </is>
      </c>
      <c r="G350" s="33">
        <f>IF($A350="","",IF($C350="","",YEAR($C350)))</f>
      </c>
      <c r="H350" s="49">
        <v>1957</v>
      </c>
      <c r="I350" s="46" t="inlineStr">
        <is>
          <t xml:space="preserve">Bentley</t>
        </is>
      </c>
      <c r="J350" s="46" t="inlineStr">
        <is>
          <t xml:space="preserve">Continental GT</t>
        </is>
      </c>
      <c r="K350" s="46" t="inlineStr">
        <is>
          <t xml:space="preserve">L7ZUYHZ6F3E7P27R3</t>
        </is>
      </c>
      <c r="L350" s="48" t="inlineStr">
        <is>
          <t xml:space="preserve">02 - Sports / GT</t>
        </is>
      </c>
      <c r="M350" s="50">
        <v>535000</v>
      </c>
      <c r="N350" s="48" t="inlineStr">
        <is>
          <t xml:space="preserve">Personal</t>
        </is>
      </c>
      <c r="O350" s="46" t="inlineStr">
        <is>
          <t xml:space="preserve">Personal - regular use</t>
        </is>
      </c>
      <c r="P350" s="46" t="inlineStr">
        <is>
          <t xml:space="preserve">1,000 - 2,500</t>
        </is>
      </c>
      <c r="Q350" s="46" t="inlineStr">
        <is>
          <t xml:space="preserve">Kentucky</t>
        </is>
      </c>
      <c r="R350" s="46" t="inlineStr">
        <is>
          <t xml:space="preserve">40202</t>
        </is>
      </c>
      <c r="S350" s="48" t="inlineStr">
        <is>
          <t xml:space="preserve">Severe convective - hail / tornado (moderate)</t>
        </is>
      </c>
      <c r="T350" s="36">
        <f>IF($A350="","",IF($S350="","",IFERROR(INDEX('[1]natural catastrophe'!$D$6:$D$17,MATCH($S350,'[1]natural catastrophe'!$B$6:$B$17,0)),"?")))</f>
      </c>
      <c r="U350" s="46" t="inlineStr">
        <is>
          <t xml:space="preserve">$5,000</t>
        </is>
      </c>
      <c r="V350" s="48" t="inlineStr">
        <is>
          <t xml:space="preserve">Agreed Value</t>
        </is>
      </c>
      <c r="W350" s="46" t="inlineStr">
        <is>
          <t xml:space="preserve">$1,000</t>
        </is>
      </c>
      <c r="X350" s="48" t="inlineStr">
        <is>
          <t xml:space="preserve">$1,000,000 CSL</t>
        </is>
      </c>
      <c r="Y350" s="46"/>
      <c r="Z350" s="46"/>
      <c r="AA350" s="48" t="inlineStr">
        <is>
          <t xml:space="preserve">Surplus Lines</t>
        </is>
      </c>
      <c r="AB350" s="50">
        <v>8083.52</v>
      </c>
      <c r="AC350" s="51">
        <v>0</v>
      </c>
      <c r="AD350" s="38">
        <f>IF(ISNUMBER($AB350),$AB350*(1+N($AC350)),"")</f>
      </c>
      <c r="AE350" s="50">
        <v>350</v>
      </c>
      <c r="AF350" s="50">
        <v>0</v>
      </c>
      <c r="AG350" s="51"/>
      <c r="AH350" s="39">
        <f>IF(ISNUMBER($AD350),($AD350+$AE350+$AF350)*$AG350,"")</f>
      </c>
      <c r="AI350" s="50"/>
      <c r="AJ350" s="38">
        <f>IF(ISNUMBER($AD350),SUM($AD350:$AH350),"")</f>
      </c>
      <c r="AK350" s="40">
        <f>IF(AND(ISNUMBER($AB350),ISNUMBER($AD350)),IF($AB350&gt;0,$AD350/$AB350,""),"")</f>
      </c>
      <c r="AL350" s="48" t="inlineStr">
        <is>
          <t xml:space="preserve">At technical</t>
        </is>
      </c>
      <c r="AM350" s="41">
        <f>IF(ISNUMBER($AD350),Header!$I$3,"")</f>
      </c>
      <c r="AN350" s="39">
        <f>IF(ISNUMBER($AD350),$AO350+$AP350,"")</f>
      </c>
      <c r="AO350" s="39">
        <f>IF(ISNUMBER($AD350),ROUND($AD350*Header!$K$3,2),"")</f>
      </c>
      <c r="AP350" s="39">
        <f>IF(ISNUMBER($AD350),ROUND($AD350*Header!$M$3,2),"")</f>
      </c>
      <c r="AQ350" s="38">
        <f>IF(ISNUMBER($AD350),ROUND($AD350,2)-$AO350-$AP350,"")</f>
      </c>
      <c r="AR350" s="39">
        <f>IF(ISNUMBER($AD350),IF(Header!$D$34="","?",$AD350*Header!$D$34),"")</f>
      </c>
      <c r="AS350" s="39">
        <f>IF(ISNUMBER($AB350),IF(Header!$D$34="","?",$AB350*Header!$D$34),"")</f>
      </c>
      <c r="AT350" s="42">
        <f>IF(AND(ISNUMBER($AB350),$M350&gt;0),$AB350/$M350*100,"")</f>
      </c>
      <c r="AU350" s="42">
        <f>IF(AND(ISNUMBER($AD350),$M350&gt;0),$AD350/$M350*100,"")</f>
      </c>
      <c r="AV350" s="40">
        <f>IF(AND(ISNUMBER($AB350),ISNUMBER($AD350),ABS($AB350)&gt;0),$AD350/$AB350,"")</f>
      </c>
      <c r="AW350" s="39">
        <f>IF(ISNUMBER($AD350),MAX(0,(1-0.55-Header!$O$3)*Header!$Q$3*$AQ350),"")</f>
      </c>
      <c r="AX350" s="43">
        <f>IF($A350="","",IF(TRIM(IF($A350="","Missing certificate ref. ","") &amp; IF($C350="","Missing effective date. ","") &amp; IF($D350="","Missing binding status. ","") &amp; IF($E350="","Missing movement type. ","") &amp; IF($I350="","Missing make. ","") &amp; IF($L350="","Missing vehicle class. ","") &amp; IF($M350="","Missing agreed value. ","") &amp; IF($N350="","Missing policy type. ","") &amp; IF($Q350="","Missing garaging state. ","") &amp; IF($R350="","Missing garaging ZIP. ","") &amp; IF($S350="","Missing cat zone. ","") &amp; IF($V350="","Missing valuation basis. ","") &amp; IF($W350="","Missing PD deductible. ","") &amp; IF($X350="","Missing liability limit. ","") &amp; IF($AB350="","Missing technical premium. ","") &amp; IF($AF350="","Missing surplus lines tax %. ",""))="","PASS","FAIL: "&amp;TRIM(IF($A350="","Missing certificate ref. ","") &amp; IF($C350="","Missing effective date. ","") &amp; IF($D350="","Missing binding status. ","") &amp; IF($E350="","Missing movement type. ","") &amp; IF($I350="","Missing make. ","") &amp; IF($L350="","Missing vehicle class. ","") &amp; IF($M350="","Missing agreed value. ","") &amp; IF($N350="","Missing policy type. ","") &amp; IF($Q350="","Missing garaging state. ","") &amp; IF($R350="","Missing garaging ZIP. ","") &amp; IF($S350="","Missing cat zone. ","") &amp; IF($V350="","Missing valuation basis. ","") &amp; IF($W350="","Missing PD deductible. ","") &amp; IF($X350="","Missing liability limit. ","") &amp; IF($AB350="","Missing technical premium. ","") &amp; IF($AF350="","Missing surplus lines tax %. ",""))))</f>
      </c>
      <c r="AY350" s="44">
        <f>IF($M350="","",IF(ISNUMBER($M350),IF($M350&gt;=Header!$C$18,"YES — refer","No"),""))</f>
      </c>
      <c r="AZ350" s="44">
        <f>IF($AD350="","",IF(ISNUMBER($AD350),IF($AD350&lt;Header!$C$20,"BELOW MIN PREMIUM","OK"),""))</f>
      </c>
      <c r="BA350" s="48" t="inlineStr">
        <is>
          <t xml:space="preserve">Yes</t>
        </is>
      </c>
      <c r="BB350" s="48" t="inlineStr">
        <is>
          <t xml:space="preserve">Yes</t>
        </is>
      </c>
      <c r="BC350" s="46" t="inlineStr">
        <is>
          <t xml:space="preserve">Synthetic demo data</t>
        </is>
      </c>
      <c r="BE350" s="45">
        <f>IF(OR($A350="",$L350="",$H350=""),"",IF(AND(LEFT($L350,2)="06",$H350&gt;1945),"FAIL - pre-war class, year "&amp;$H350,IF(AND(LEFT($L350,2)="07",OR($H350&lt;1946,$H350&gt;1972)),"FAIL - 1946-72 class, year "&amp;$H350,IF(AND(LEFT($L350,2)="08",OR($H350&lt;1973,$H350&gt;1999)),"FAIL - 1973-99 class, year "&amp;$H350,IF(AND(LEFT($L350,2)="09",OR($H350&lt;2000,$H350&gt;2010)),"FAIL - 2000-10 class, year "&amp;$H350,"OK")))))</f>
      </c>
      <c r="BF350" s="45">
        <f>IF($AD350="","",IF(ROUND($AO350+$AP350+$AQ350-$AD350,2)=0,"OK","FAIL - out by "&amp;TEXT($AO350+$AP350+$AQ350-$AD350,"$0.00")))</f>
      </c>
    </row>
    <row r="351" spans="1:58" ht="18.75" customHeight="1" x14ac:dyDescent="0.25">
      <c r="A351" s="30" t="inlineStr">
        <is>
          <t xml:space="preserve">CANON-202511-002645</t>
        </is>
      </c>
      <c r="B351" s="30" t="inlineStr">
        <is>
          <t xml:space="preserve">Fitzgerald Harrington</t>
        </is>
      </c>
      <c r="C351" s="31">
        <v>45976</v>
      </c>
      <c r="D351" s="32" t="inlineStr">
        <is>
          <t xml:space="preserve">Bound - within authority</t>
        </is>
      </c>
      <c r="E351" s="32" t="inlineStr">
        <is>
          <t xml:space="preserve">New business</t>
        </is>
      </c>
      <c r="F351" s="30" t="inlineStr">
        <is>
          <t xml:space="preserve">B1234EXOTIC26</t>
        </is>
      </c>
      <c r="G351" s="33">
        <f>IF($A351="","",IF($C351="","",YEAR($C351)))</f>
      </c>
      <c r="H351" s="34">
        <v>1975</v>
      </c>
      <c r="I351" s="30" t="inlineStr">
        <is>
          <t xml:space="preserve">BMW</t>
        </is>
      </c>
      <c r="J351" s="30" t="inlineStr">
        <is>
          <t xml:space="preserve">M8 Competition</t>
        </is>
      </c>
      <c r="K351" s="30" t="inlineStr">
        <is>
          <t xml:space="preserve">0CBH45696WHKNFN6W</t>
        </is>
      </c>
      <c r="L351" s="32" t="inlineStr">
        <is>
          <t xml:space="preserve">02 - Sports / GT</t>
        </is>
      </c>
      <c r="M351" s="35">
        <v>645000</v>
      </c>
      <c r="N351" s="32" t="inlineStr">
        <is>
          <t xml:space="preserve">Personal</t>
        </is>
      </c>
      <c r="O351" s="30" t="inlineStr">
        <is>
          <t xml:space="preserve">Personal - regular use</t>
        </is>
      </c>
      <c r="P351" s="30" t="inlineStr">
        <is>
          <t xml:space="preserve">Under 1,000</t>
        </is>
      </c>
      <c r="Q351" s="30" t="inlineStr">
        <is>
          <t xml:space="preserve">Colorado</t>
        </is>
      </c>
      <c r="R351" s="30" t="inlineStr">
        <is>
          <t xml:space="preserve">80202</t>
        </is>
      </c>
      <c r="S351" s="32" t="inlineStr">
        <is>
          <t xml:space="preserve">Severe convective - hail alley (high)</t>
        </is>
      </c>
      <c r="T351" s="36">
        <f>IF($A351="","",IF($S351="","",IFERROR(INDEX('[1]natural catastrophe'!$D$6:$D$17,MATCH($S351,'[1]natural catastrophe'!$B$6:$B$17,0)),"?")))</f>
      </c>
      <c r="U351" s="30" t="inlineStr">
        <is>
          <t xml:space="preserve">$5,000</t>
        </is>
      </c>
      <c r="V351" s="32" t="inlineStr">
        <is>
          <t xml:space="preserve">Agreed Value</t>
        </is>
      </c>
      <c r="W351" s="30" t="inlineStr">
        <is>
          <t xml:space="preserve">$1,000</t>
        </is>
      </c>
      <c r="X351" s="32" t="inlineStr">
        <is>
          <t xml:space="preserve">$1,000,000 CSL</t>
        </is>
      </c>
      <c r="Y351" s="30"/>
      <c r="Z351" s="30"/>
      <c r="AA351" s="32" t="inlineStr">
        <is>
          <t xml:space="preserve">Surplus Lines</t>
        </is>
      </c>
      <c r="AB351" s="35">
        <v>8000.09</v>
      </c>
      <c r="AC351" s="37">
        <v>0</v>
      </c>
      <c r="AD351" s="38">
        <f>IF(ISNUMBER($AB351),$AB351*(1+N($AC351)),"")</f>
      </c>
      <c r="AE351" s="35">
        <v>350</v>
      </c>
      <c r="AF351" s="35">
        <v>0</v>
      </c>
      <c r="AG351" s="37"/>
      <c r="AH351" s="39">
        <f>IF(ISNUMBER($AD351),($AD351+$AE351+$AF351)*$AG351,"")</f>
      </c>
      <c r="AI351" s="35"/>
      <c r="AJ351" s="38">
        <f>IF(ISNUMBER($AD351),SUM($AD351:$AH351),"")</f>
      </c>
      <c r="AK351" s="40">
        <f>IF(AND(ISNUMBER($AB351),ISNUMBER($AD351)),IF($AB351&gt;0,$AD351/$AB351,""),"")</f>
      </c>
      <c r="AL351" s="32" t="inlineStr">
        <is>
          <t xml:space="preserve">At technical</t>
        </is>
      </c>
      <c r="AM351" s="41">
        <f>IF(ISNUMBER($AD351),Header!$I$3,"")</f>
      </c>
      <c r="AN351" s="39">
        <f>IF(ISNUMBER($AD351),$AO351+$AP351,"")</f>
      </c>
      <c r="AO351" s="39">
        <f>IF(ISNUMBER($AD351),ROUND($AD351*Header!$K$3,2),"")</f>
      </c>
      <c r="AP351" s="39">
        <f>IF(ISNUMBER($AD351),ROUND($AD351*Header!$M$3,2),"")</f>
      </c>
      <c r="AQ351" s="38">
        <f>IF(ISNUMBER($AD351),ROUND($AD351,2)-$AO351-$AP351,"")</f>
      </c>
      <c r="AR351" s="39">
        <f>IF(ISNUMBER($AD351),IF(Header!$D$34="","?",$AD351*Header!$D$34),"")</f>
      </c>
      <c r="AS351" s="39">
        <f>IF(ISNUMBER($AB351),IF(Header!$D$34="","?",$AB351*Header!$D$34),"")</f>
      </c>
      <c r="AT351" s="42">
        <f>IF(AND(ISNUMBER($AB351),$M351&gt;0),$AB351/$M351*100,"")</f>
      </c>
      <c r="AU351" s="42">
        <f>IF(AND(ISNUMBER($AD351),$M351&gt;0),$AD351/$M351*100,"")</f>
      </c>
      <c r="AV351" s="40">
        <f>IF(AND(ISNUMBER($AB351),ISNUMBER($AD351),ABS($AB351)&gt;0),$AD351/$AB351,"")</f>
      </c>
      <c r="AW351" s="39">
        <f>IF(ISNUMBER($AD351),MAX(0,(1-0.55-Header!$O$3)*Header!$Q$3*$AQ351),"")</f>
      </c>
      <c r="AX351" s="43">
        <f>IF($A351="","",IF(TRIM(IF($A351="","Missing certificate ref. ","") &amp; IF($C351="","Missing effective date. ","") &amp; IF($D351="","Missing binding status. ","") &amp; IF($E351="","Missing movement type. ","") &amp; IF($I351="","Missing make. ","") &amp; IF($L351="","Missing vehicle class. ","") &amp; IF($M351="","Missing agreed value. ","") &amp; IF($N351="","Missing policy type. ","") &amp; IF($Q351="","Missing garaging state. ","") &amp; IF($R351="","Missing garaging ZIP. ","") &amp; IF($S351="","Missing cat zone. ","") &amp; IF($V351="","Missing valuation basis. ","") &amp; IF($W351="","Missing PD deductible. ","") &amp; IF($X351="","Missing liability limit. ","") &amp; IF($AB351="","Missing technical premium. ","") &amp; IF($AF351="","Missing surplus lines tax %. ",""))="","PASS","FAIL: "&amp;TRIM(IF($A351="","Missing certificate ref. ","") &amp; IF($C351="","Missing effective date. ","") &amp; IF($D351="","Missing binding status. ","") &amp; IF($E351="","Missing movement type. ","") &amp; IF($I351="","Missing make. ","") &amp; IF($L351="","Missing vehicle class. ","") &amp; IF($M351="","Missing agreed value. ","") &amp; IF($N351="","Missing policy type. ","") &amp; IF($Q351="","Missing garaging state. ","") &amp; IF($R351="","Missing garaging ZIP. ","") &amp; IF($S351="","Missing cat zone. ","") &amp; IF($V351="","Missing valuation basis. ","") &amp; IF($W351="","Missing PD deductible. ","") &amp; IF($X351="","Missing liability limit. ","") &amp; IF($AB351="","Missing technical premium. ","") &amp; IF($AF351="","Missing surplus lines tax %. ",""))))</f>
      </c>
      <c r="AY351" s="44">
        <f>IF($M351="","",IF(ISNUMBER($M351),IF($M351&gt;=Header!$C$18,"YES — refer","No"),""))</f>
      </c>
      <c r="AZ351" s="44">
        <f>IF($AD351="","",IF(ISNUMBER($AD351),IF($AD351&lt;Header!$C$20,"BELOW MIN PREMIUM","OK"),""))</f>
      </c>
      <c r="BA351" s="32" t="inlineStr">
        <is>
          <t xml:space="preserve">Yes</t>
        </is>
      </c>
      <c r="BB351" s="32" t="inlineStr">
        <is>
          <t xml:space="preserve">Yes</t>
        </is>
      </c>
      <c r="BC351" s="30" t="inlineStr">
        <is>
          <t xml:space="preserve">Synthetic demo data</t>
        </is>
      </c>
      <c r="BE351" s="45">
        <f>IF(OR($A351="",$L351="",$H351=""),"",IF(AND(LEFT($L351,2)="06",$H351&gt;1945),"FAIL - pre-war class, year "&amp;$H351,IF(AND(LEFT($L351,2)="07",OR($H351&lt;1946,$H351&gt;1972)),"FAIL - 1946-72 class, year "&amp;$H351,IF(AND(LEFT($L351,2)="08",OR($H351&lt;1973,$H351&gt;1999)),"FAIL - 1973-99 class, year "&amp;$H351,IF(AND(LEFT($L351,2)="09",OR($H351&lt;2000,$H351&gt;2010)),"FAIL - 2000-10 class, year "&amp;$H351,"OK")))))</f>
      </c>
      <c r="BF351" s="45">
        <f>IF($AD351="","",IF(ROUND($AO351+$AP351+$AQ351-$AD351,2)=0,"OK","FAIL - out by "&amp;TEXT($AO351+$AP351+$AQ351-$AD351,"$0.00")))</f>
      </c>
    </row>
    <row r="352" spans="1:58" ht="18.75" customHeight="1" x14ac:dyDescent="0.25">
      <c r="A352" s="46" t="inlineStr">
        <is>
          <t xml:space="preserve">CANON-202511-002646</t>
        </is>
      </c>
      <c r="B352" s="46" t="inlineStr">
        <is>
          <t xml:space="preserve">Ottilie Vasquez</t>
        </is>
      </c>
      <c r="C352" s="47">
        <v>45965</v>
      </c>
      <c r="D352" s="48" t="inlineStr">
        <is>
          <t xml:space="preserve">Bound - within authority</t>
        </is>
      </c>
      <c r="E352" s="48" t="inlineStr">
        <is>
          <t xml:space="preserve">New business</t>
        </is>
      </c>
      <c r="F352" s="46" t="inlineStr">
        <is>
          <t xml:space="preserve">B1234EXOTIC26</t>
        </is>
      </c>
      <c r="G352" s="33">
        <f>IF($A352="","",IF($C352="","",YEAR($C352)))</f>
      </c>
      <c r="H352" s="49">
        <v>2014</v>
      </c>
      <c r="I352" s="46" t="inlineStr">
        <is>
          <t xml:space="preserve">Ferrari</t>
        </is>
      </c>
      <c r="J352" s="46" t="inlineStr">
        <is>
          <t xml:space="preserve">SF90 Stradale</t>
        </is>
      </c>
      <c r="K352" s="46" t="inlineStr">
        <is>
          <t xml:space="preserve">D2CSCC667WEVFCZFS</t>
        </is>
      </c>
      <c r="L352" s="48" t="inlineStr">
        <is>
          <t xml:space="preserve">03 - Supercar</t>
        </is>
      </c>
      <c r="M352" s="50">
        <v>1730000</v>
      </c>
      <c r="N352" s="48" t="inlineStr">
        <is>
          <t xml:space="preserve">Personal</t>
        </is>
      </c>
      <c r="O352" s="46" t="inlineStr">
        <is>
          <t xml:space="preserve">Personal - regular use</t>
        </is>
      </c>
      <c r="P352" s="46" t="inlineStr">
        <is>
          <t xml:space="preserve">Under 1,000</t>
        </is>
      </c>
      <c r="Q352" s="46" t="inlineStr">
        <is>
          <t xml:space="preserve">Michigan</t>
        </is>
      </c>
      <c r="R352" s="46" t="inlineStr">
        <is>
          <t xml:space="preserve">48226</t>
        </is>
      </c>
      <c r="S352" s="48" t="inlineStr">
        <is>
          <t xml:space="preserve">Severe convective - hail / tornado (moderate)</t>
        </is>
      </c>
      <c r="T352" s="36">
        <f>IF($A352="","",IF($S352="","",IFERROR(INDEX('[1]natural catastrophe'!$D$6:$D$17,MATCH($S352,'[1]natural catastrophe'!$B$6:$B$17,0)),"?")))</f>
      </c>
      <c r="U352" s="46" t="inlineStr">
        <is>
          <t xml:space="preserve">$5,000</t>
        </is>
      </c>
      <c r="V352" s="48" t="inlineStr">
        <is>
          <t xml:space="preserve">Agreed Value</t>
        </is>
      </c>
      <c r="W352" s="46" t="inlineStr">
        <is>
          <t xml:space="preserve">$1,000</t>
        </is>
      </c>
      <c r="X352" s="48" t="inlineStr">
        <is>
          <t xml:space="preserve">$1,000,000 CSL</t>
        </is>
      </c>
      <c r="Y352" s="46"/>
      <c r="Z352" s="46"/>
      <c r="AA352" s="48" t="inlineStr">
        <is>
          <t xml:space="preserve">Surplus Lines</t>
        </is>
      </c>
      <c r="AB352" s="50">
        <v>37213.15</v>
      </c>
      <c r="AC352" s="51">
        <v>0</v>
      </c>
      <c r="AD352" s="38">
        <f>IF(ISNUMBER($AB352),$AB352*(1+N($AC352)),"")</f>
      </c>
      <c r="AE352" s="50">
        <v>350</v>
      </c>
      <c r="AF352" s="50">
        <v>250</v>
      </c>
      <c r="AG352" s="51"/>
      <c r="AH352" s="39">
        <f>IF(ISNUMBER($AD352),($AD352+$AE352+$AF352)*$AG352,"")</f>
      </c>
      <c r="AI352" s="50"/>
      <c r="AJ352" s="38">
        <f>IF(ISNUMBER($AD352),SUM($AD352:$AH352),"")</f>
      </c>
      <c r="AK352" s="40">
        <f>IF(AND(ISNUMBER($AB352),ISNUMBER($AD352)),IF($AB352&gt;0,$AD352/$AB352,""),"")</f>
      </c>
      <c r="AL352" s="48" t="inlineStr">
        <is>
          <t xml:space="preserve">At technical</t>
        </is>
      </c>
      <c r="AM352" s="41">
        <f>IF(ISNUMBER($AD352),Header!$I$3,"")</f>
      </c>
      <c r="AN352" s="39">
        <f>IF(ISNUMBER($AD352),$AO352+$AP352,"")</f>
      </c>
      <c r="AO352" s="39">
        <f>IF(ISNUMBER($AD352),ROUND($AD352*Header!$K$3,2),"")</f>
      </c>
      <c r="AP352" s="39">
        <f>IF(ISNUMBER($AD352),ROUND($AD352*Header!$M$3,2),"")</f>
      </c>
      <c r="AQ352" s="38">
        <f>IF(ISNUMBER($AD352),ROUND($AD352,2)-$AO352-$AP352,"")</f>
      </c>
      <c r="AR352" s="39">
        <f>IF(ISNUMBER($AD352),IF(Header!$D$34="","?",$AD352*Header!$D$34),"")</f>
      </c>
      <c r="AS352" s="39">
        <f>IF(ISNUMBER($AB352),IF(Header!$D$34="","?",$AB352*Header!$D$34),"")</f>
      </c>
      <c r="AT352" s="42">
        <f>IF(AND(ISNUMBER($AB352),$M352&gt;0),$AB352/$M352*100,"")</f>
      </c>
      <c r="AU352" s="42">
        <f>IF(AND(ISNUMBER($AD352),$M352&gt;0),$AD352/$M352*100,"")</f>
      </c>
      <c r="AV352" s="40">
        <f>IF(AND(ISNUMBER($AB352),ISNUMBER($AD352),ABS($AB352)&gt;0),$AD352/$AB352,"")</f>
      </c>
      <c r="AW352" s="39">
        <f>IF(ISNUMBER($AD352),MAX(0,(1-0.55-Header!$O$3)*Header!$Q$3*$AQ352),"")</f>
      </c>
      <c r="AX352" s="43">
        <f>IF($A352="","",IF(TRIM(IF($A352="","Missing certificate ref. ","") &amp; IF($C352="","Missing effective date. ","") &amp; IF($D352="","Missing binding status. ","") &amp; IF($E352="","Missing movement type. ","") &amp; IF($I352="","Missing make. ","") &amp; IF($L352="","Missing vehicle class. ","") &amp; IF($M352="","Missing agreed value. ","") &amp; IF($N352="","Missing policy type. ","") &amp; IF($Q352="","Missing garaging state. ","") &amp; IF($R352="","Missing garaging ZIP. ","") &amp; IF($S352="","Missing cat zone. ","") &amp; IF($V352="","Missing valuation basis. ","") &amp; IF($W352="","Missing PD deductible. ","") &amp; IF($X352="","Missing liability limit. ","") &amp; IF($AB352="","Missing technical premium. ","") &amp; IF($AF352="","Missing surplus lines tax %. ",""))="","PASS","FAIL: "&amp;TRIM(IF($A352="","Missing certificate ref. ","") &amp; IF($C352="","Missing effective date. ","") &amp; IF($D352="","Missing binding status. ","") &amp; IF($E352="","Missing movement type. ","") &amp; IF($I352="","Missing make. ","") &amp; IF($L352="","Missing vehicle class. ","") &amp; IF($M352="","Missing agreed value. ","") &amp; IF($N352="","Missing policy type. ","") &amp; IF($Q352="","Missing garaging state. ","") &amp; IF($R352="","Missing garaging ZIP. ","") &amp; IF($S352="","Missing cat zone. ","") &amp; IF($V352="","Missing valuation basis. ","") &amp; IF($W352="","Missing PD deductible. ","") &amp; IF($X352="","Missing liability limit. ","") &amp; IF($AB352="","Missing technical premium. ","") &amp; IF($AF352="","Missing surplus lines tax %. ",""))))</f>
      </c>
      <c r="AY352" s="44">
        <f>IF($M352="","",IF(ISNUMBER($M352),IF($M352&gt;=Header!$C$18,"YES — refer","No"),""))</f>
      </c>
      <c r="AZ352" s="44">
        <f>IF($AD352="","",IF(ISNUMBER($AD352),IF($AD352&lt;Header!$C$20,"BELOW MIN PREMIUM","OK"),""))</f>
      </c>
      <c r="BA352" s="48" t="inlineStr">
        <is>
          <t xml:space="preserve">Yes</t>
        </is>
      </c>
      <c r="BB352" s="48" t="inlineStr">
        <is>
          <t xml:space="preserve">Yes</t>
        </is>
      </c>
      <c r="BC352" s="46" t="inlineStr">
        <is>
          <t xml:space="preserve">Synthetic demo data</t>
        </is>
      </c>
      <c r="BE352" s="45">
        <f>IF(OR($A352="",$L352="",$H352=""),"",IF(AND(LEFT($L352,2)="06",$H352&gt;1945),"FAIL - pre-war class, year "&amp;$H352,IF(AND(LEFT($L352,2)="07",OR($H352&lt;1946,$H352&gt;1972)),"FAIL - 1946-72 class, year "&amp;$H352,IF(AND(LEFT($L352,2)="08",OR($H352&lt;1973,$H352&gt;1999)),"FAIL - 1973-99 class, year "&amp;$H352,IF(AND(LEFT($L352,2)="09",OR($H352&lt;2000,$H352&gt;2010)),"FAIL - 2000-10 class, year "&amp;$H352,"OK")))))</f>
      </c>
      <c r="BF352" s="45">
        <f>IF($AD352="","",IF(ROUND($AO352+$AP352+$AQ352-$AD352,2)=0,"OK","FAIL - out by "&amp;TEXT($AO352+$AP352+$AQ352-$AD352,"$0.00")))</f>
      </c>
    </row>
    <row r="353" spans="1:58" ht="18.75" customHeight="1" x14ac:dyDescent="0.25">
      <c r="A353" s="30" t="inlineStr">
        <is>
          <t xml:space="preserve">CANON-202511-002647</t>
        </is>
      </c>
      <c r="B353" s="30" t="inlineStr">
        <is>
          <t xml:space="preserve">Priya Montoya</t>
        </is>
      </c>
      <c r="C353" s="31">
        <v>45965</v>
      </c>
      <c r="D353" s="32" t="inlineStr">
        <is>
          <t xml:space="preserve">Bound - within authority</t>
        </is>
      </c>
      <c r="E353" s="32" t="inlineStr">
        <is>
          <t xml:space="preserve">New business</t>
        </is>
      </c>
      <c r="F353" s="30" t="inlineStr">
        <is>
          <t xml:space="preserve">B1234EXOTIC26</t>
        </is>
      </c>
      <c r="G353" s="33">
        <f>IF($A353="","",IF($C353="","",YEAR($C353)))</f>
      </c>
      <c r="H353" s="34">
        <v>2022</v>
      </c>
      <c r="I353" s="30" t="inlineStr">
        <is>
          <t xml:space="preserve">Aston Martin</t>
        </is>
      </c>
      <c r="J353" s="30" t="inlineStr">
        <is>
          <t xml:space="preserve">DB12</t>
        </is>
      </c>
      <c r="K353" s="30" t="inlineStr">
        <is>
          <t xml:space="preserve">HCKFNGRU2F12KJ6RZ</t>
        </is>
      </c>
      <c r="L353" s="32" t="inlineStr">
        <is>
          <t xml:space="preserve">02 - Sports / GT</t>
        </is>
      </c>
      <c r="M353" s="35">
        <v>565000</v>
      </c>
      <c r="N353" s="32" t="inlineStr">
        <is>
          <t xml:space="preserve">Personal</t>
        </is>
      </c>
      <c r="O353" s="30" t="inlineStr">
        <is>
          <t xml:space="preserve">Personal - regular use</t>
        </is>
      </c>
      <c r="P353" s="30" t="inlineStr">
        <is>
          <t xml:space="preserve">2,500 - 5,000</t>
        </is>
      </c>
      <c r="Q353" s="30" t="inlineStr">
        <is>
          <t xml:space="preserve">Alaska</t>
        </is>
      </c>
      <c r="R353" s="30" t="inlineStr">
        <is>
          <t xml:space="preserve">99501</t>
        </is>
      </c>
      <c r="S353" s="32" t="inlineStr">
        <is>
          <t xml:space="preserve">Earthquake - high (CA, Cascadia, New Madrid)</t>
        </is>
      </c>
      <c r="T353" s="36">
        <f>IF($A353="","",IF($S353="","",IFERROR(INDEX('[1]natural catastrophe'!$D$6:$D$17,MATCH($S353,'[1]natural catastrophe'!$B$6:$B$17,0)),"?")))</f>
      </c>
      <c r="U353" s="30" t="inlineStr">
        <is>
          <t xml:space="preserve">$5,000</t>
        </is>
      </c>
      <c r="V353" s="32" t="inlineStr">
        <is>
          <t xml:space="preserve">Agreed Value</t>
        </is>
      </c>
      <c r="W353" s="30" t="inlineStr">
        <is>
          <t xml:space="preserve">$1,000</t>
        </is>
      </c>
      <c r="X353" s="32" t="inlineStr">
        <is>
          <t xml:space="preserve">$1,000,000 CSL</t>
        </is>
      </c>
      <c r="Y353" s="30"/>
      <c r="Z353" s="30"/>
      <c r="AA353" s="32" t="inlineStr">
        <is>
          <t xml:space="preserve">Surplus Lines</t>
        </is>
      </c>
      <c r="AB353" s="35">
        <v>7262.65</v>
      </c>
      <c r="AC353" s="37">
        <v>0</v>
      </c>
      <c r="AD353" s="38">
        <f>IF(ISNUMBER($AB353),$AB353*(1+N($AC353)),"")</f>
      </c>
      <c r="AE353" s="35">
        <v>350</v>
      </c>
      <c r="AF353" s="35">
        <v>0</v>
      </c>
      <c r="AG353" s="37"/>
      <c r="AH353" s="39">
        <f>IF(ISNUMBER($AD353),($AD353+$AE353+$AF353)*$AG353,"")</f>
      </c>
      <c r="AI353" s="35"/>
      <c r="AJ353" s="38">
        <f>IF(ISNUMBER($AD353),SUM($AD353:$AH353),"")</f>
      </c>
      <c r="AK353" s="40">
        <f>IF(AND(ISNUMBER($AB353),ISNUMBER($AD353)),IF($AB353&gt;0,$AD353/$AB353,""),"")</f>
      </c>
      <c r="AL353" s="32" t="inlineStr">
        <is>
          <t xml:space="preserve">At technical</t>
        </is>
      </c>
      <c r="AM353" s="41">
        <f>IF(ISNUMBER($AD353),Header!$I$3,"")</f>
      </c>
      <c r="AN353" s="39">
        <f>IF(ISNUMBER($AD353),$AO353+$AP353,"")</f>
      </c>
      <c r="AO353" s="39">
        <f>IF(ISNUMBER($AD353),ROUND($AD353*Header!$K$3,2),"")</f>
      </c>
      <c r="AP353" s="39">
        <f>IF(ISNUMBER($AD353),ROUND($AD353*Header!$M$3,2),"")</f>
      </c>
      <c r="AQ353" s="38">
        <f>IF(ISNUMBER($AD353),ROUND($AD353,2)-$AO353-$AP353,"")</f>
      </c>
      <c r="AR353" s="39">
        <f>IF(ISNUMBER($AD353),IF(Header!$D$34="","?",$AD353*Header!$D$34),"")</f>
      </c>
      <c r="AS353" s="39">
        <f>IF(ISNUMBER($AB353),IF(Header!$D$34="","?",$AB353*Header!$D$34),"")</f>
      </c>
      <c r="AT353" s="42">
        <f>IF(AND(ISNUMBER($AB353),$M353&gt;0),$AB353/$M353*100,"")</f>
      </c>
      <c r="AU353" s="42">
        <f>IF(AND(ISNUMBER($AD353),$M353&gt;0),$AD353/$M353*100,"")</f>
      </c>
      <c r="AV353" s="40">
        <f>IF(AND(ISNUMBER($AB353),ISNUMBER($AD353),ABS($AB353)&gt;0),$AD353/$AB353,"")</f>
      </c>
      <c r="AW353" s="39">
        <f>IF(ISNUMBER($AD353),MAX(0,(1-0.55-Header!$O$3)*Header!$Q$3*$AQ353),"")</f>
      </c>
      <c r="AX353" s="43">
        <f>IF($A353="","",IF(TRIM(IF($A353="","Missing certificate ref. ","") &amp; IF($C353="","Missing effective date. ","") &amp; IF($D353="","Missing binding status. ","") &amp; IF($E353="","Missing movement type. ","") &amp; IF($I353="","Missing make. ","") &amp; IF($L353="","Missing vehicle class. ","") &amp; IF($M353="","Missing agreed value. ","") &amp; IF($N353="","Missing policy type. ","") &amp; IF($Q353="","Missing garaging state. ","") &amp; IF($R353="","Missing garaging ZIP. ","") &amp; IF($S353="","Missing cat zone. ","") &amp; IF($V353="","Missing valuation basis. ","") &amp; IF($W353="","Missing PD deductible. ","") &amp; IF($X353="","Missing liability limit. ","") &amp; IF($AB353="","Missing technical premium. ","") &amp; IF($AF353="","Missing surplus lines tax %. ",""))="","PASS","FAIL: "&amp;TRIM(IF($A353="","Missing certificate ref. ","") &amp; IF($C353="","Missing effective date. ","") &amp; IF($D353="","Missing binding status. ","") &amp; IF($E353="","Missing movement type. ","") &amp; IF($I353="","Missing make. ","") &amp; IF($L353="","Missing vehicle class. ","") &amp; IF($M353="","Missing agreed value. ","") &amp; IF($N353="","Missing policy type. ","") &amp; IF($Q353="","Missing garaging state. ","") &amp; IF($R353="","Missing garaging ZIP. ","") &amp; IF($S353="","Missing cat zone. ","") &amp; IF($V353="","Missing valuation basis. ","") &amp; IF($W353="","Missing PD deductible. ","") &amp; IF($X353="","Missing liability limit. ","") &amp; IF($AB353="","Missing technical premium. ","") &amp; IF($AF353="","Missing surplus lines tax %. ",""))))</f>
      </c>
      <c r="AY353" s="44">
        <f>IF($M353="","",IF(ISNUMBER($M353),IF($M353&gt;=Header!$C$18,"YES — refer","No"),""))</f>
      </c>
      <c r="AZ353" s="44">
        <f>IF($AD353="","",IF(ISNUMBER($AD353),IF($AD353&lt;Header!$C$20,"BELOW MIN PREMIUM","OK"),""))</f>
      </c>
      <c r="BA353" s="32" t="inlineStr">
        <is>
          <t xml:space="preserve">Yes</t>
        </is>
      </c>
      <c r="BB353" s="32" t="inlineStr">
        <is>
          <t xml:space="preserve">Yes</t>
        </is>
      </c>
      <c r="BC353" s="30" t="inlineStr">
        <is>
          <t xml:space="preserve">Synthetic demo data</t>
        </is>
      </c>
      <c r="BE353" s="45">
        <f>IF(OR($A353="",$L353="",$H353=""),"",IF(AND(LEFT($L353,2)="06",$H353&gt;1945),"FAIL - pre-war class, year "&amp;$H353,IF(AND(LEFT($L353,2)="07",OR($H353&lt;1946,$H353&gt;1972)),"FAIL - 1946-72 class, year "&amp;$H353,IF(AND(LEFT($L353,2)="08",OR($H353&lt;1973,$H353&gt;1999)),"FAIL - 1973-99 class, year "&amp;$H353,IF(AND(LEFT($L353,2)="09",OR($H353&lt;2000,$H353&gt;2010)),"FAIL - 2000-10 class, year "&amp;$H353,"OK")))))</f>
      </c>
      <c r="BF353" s="45">
        <f>IF($AD353="","",IF(ROUND($AO353+$AP353+$AQ353-$AD353,2)=0,"OK","FAIL - out by "&amp;TEXT($AO353+$AP353+$AQ353-$AD353,"$0.00")))</f>
      </c>
    </row>
    <row r="354" spans="1:58" ht="18.75" customHeight="1" x14ac:dyDescent="0.25">
      <c r="A354" s="46" t="inlineStr">
        <is>
          <t xml:space="preserve">CANON-202511-002649</t>
        </is>
      </c>
      <c r="B354" s="46" t="inlineStr">
        <is>
          <t xml:space="preserve">Marisol Nakashima</t>
        </is>
      </c>
      <c r="C354" s="47">
        <v>45963</v>
      </c>
      <c r="D354" s="48" t="inlineStr">
        <is>
          <t xml:space="preserve">Bound - within authority</t>
        </is>
      </c>
      <c r="E354" s="48" t="inlineStr">
        <is>
          <t xml:space="preserve">New business</t>
        </is>
      </c>
      <c r="F354" s="46" t="inlineStr">
        <is>
          <t xml:space="preserve">B1234EXOTIC26</t>
        </is>
      </c>
      <c r="G354" s="33">
        <f>IF($A354="","",IF($C354="","",YEAR($C354)))</f>
      </c>
      <c r="H354" s="49">
        <v>1986</v>
      </c>
      <c r="I354" s="46" t="inlineStr">
        <is>
          <t xml:space="preserve">Aston Martin</t>
        </is>
      </c>
      <c r="J354" s="46" t="inlineStr">
        <is>
          <t xml:space="preserve">DB12</t>
        </is>
      </c>
      <c r="K354" s="46" t="inlineStr">
        <is>
          <t xml:space="preserve">AT1ZV6U3Y8LFD91T4</t>
        </is>
      </c>
      <c r="L354" s="48" t="inlineStr">
        <is>
          <t xml:space="preserve">02 - Sports / GT</t>
        </is>
      </c>
      <c r="M354" s="50">
        <v>1310000</v>
      </c>
      <c r="N354" s="48" t="inlineStr">
        <is>
          <t xml:space="preserve">Personal</t>
        </is>
      </c>
      <c r="O354" s="46" t="inlineStr">
        <is>
          <t xml:space="preserve">Personal - regular use</t>
        </is>
      </c>
      <c r="P354" s="46" t="inlineStr">
        <is>
          <t xml:space="preserve">2,500 - 5,000</t>
        </is>
      </c>
      <c r="Q354" s="46" t="inlineStr">
        <is>
          <t xml:space="preserve">Maryland</t>
        </is>
      </c>
      <c r="R354" s="46" t="inlineStr">
        <is>
          <t xml:space="preserve">21201</t>
        </is>
      </c>
      <c r="S354" s="48" t="inlineStr">
        <is>
          <t xml:space="preserve">Tier 3 - Coastal wind (25-100 miles)</t>
        </is>
      </c>
      <c r="T354" s="36">
        <f>IF($A354="","",IF($S354="","",IFERROR(INDEX('[1]natural catastrophe'!$D$6:$D$17,MATCH($S354,'[1]natural catastrophe'!$B$6:$B$17,0)),"?")))</f>
      </c>
      <c r="U354" s="46" t="inlineStr">
        <is>
          <t xml:space="preserve">2% of agreed value, minimum $10,000</t>
        </is>
      </c>
      <c r="V354" s="48" t="inlineStr">
        <is>
          <t xml:space="preserve">Agreed Value</t>
        </is>
      </c>
      <c r="W354" s="46" t="inlineStr">
        <is>
          <t xml:space="preserve">$1,000</t>
        </is>
      </c>
      <c r="X354" s="48" t="inlineStr">
        <is>
          <t xml:space="preserve">$1,000,000 CSL</t>
        </is>
      </c>
      <c r="Y354" s="46"/>
      <c r="Z354" s="46"/>
      <c r="AA354" s="48" t="inlineStr">
        <is>
          <t xml:space="preserve">Surplus Lines</t>
        </is>
      </c>
      <c r="AB354" s="50">
        <v>11873.7</v>
      </c>
      <c r="AC354" s="51">
        <v>0</v>
      </c>
      <c r="AD354" s="38">
        <f>IF(ISNUMBER($AB354),$AB354*(1+N($AC354)),"")</f>
      </c>
      <c r="AE354" s="50">
        <v>350</v>
      </c>
      <c r="AF354" s="50">
        <v>250</v>
      </c>
      <c r="AG354" s="51"/>
      <c r="AH354" s="39">
        <f>IF(ISNUMBER($AD354),($AD354+$AE354+$AF354)*$AG354,"")</f>
      </c>
      <c r="AI354" s="50"/>
      <c r="AJ354" s="38">
        <f>IF(ISNUMBER($AD354),SUM($AD354:$AH354),"")</f>
      </c>
      <c r="AK354" s="40">
        <f>IF(AND(ISNUMBER($AB354),ISNUMBER($AD354)),IF($AB354&gt;0,$AD354/$AB354,""),"")</f>
      </c>
      <c r="AL354" s="48" t="inlineStr">
        <is>
          <t xml:space="preserve">At technical</t>
        </is>
      </c>
      <c r="AM354" s="41">
        <f>IF(ISNUMBER($AD354),Header!$I$3,"")</f>
      </c>
      <c r="AN354" s="39">
        <f>IF(ISNUMBER($AD354),$AO354+$AP354,"")</f>
      </c>
      <c r="AO354" s="39">
        <f>IF(ISNUMBER($AD354),ROUND($AD354*Header!$K$3,2),"")</f>
      </c>
      <c r="AP354" s="39">
        <f>IF(ISNUMBER($AD354),ROUND($AD354*Header!$M$3,2),"")</f>
      </c>
      <c r="AQ354" s="38">
        <f>IF(ISNUMBER($AD354),ROUND($AD354,2)-$AO354-$AP354,"")</f>
      </c>
      <c r="AR354" s="39">
        <f>IF(ISNUMBER($AD354),IF(Header!$D$34="","?",$AD354*Header!$D$34),"")</f>
      </c>
      <c r="AS354" s="39">
        <f>IF(ISNUMBER($AB354),IF(Header!$D$34="","?",$AB354*Header!$D$34),"")</f>
      </c>
      <c r="AT354" s="42">
        <f>IF(AND(ISNUMBER($AB354),$M354&gt;0),$AB354/$M354*100,"")</f>
      </c>
      <c r="AU354" s="42">
        <f>IF(AND(ISNUMBER($AD354),$M354&gt;0),$AD354/$M354*100,"")</f>
      </c>
      <c r="AV354" s="40">
        <f>IF(AND(ISNUMBER($AB354),ISNUMBER($AD354),ABS($AB354)&gt;0),$AD354/$AB354,"")</f>
      </c>
      <c r="AW354" s="39">
        <f>IF(ISNUMBER($AD354),MAX(0,(1-0.55-Header!$O$3)*Header!$Q$3*$AQ354),"")</f>
      </c>
      <c r="AX354" s="43">
        <f>IF($A354="","",IF(TRIM(IF($A354="","Missing certificate ref. ","") &amp; IF($C354="","Missing effective date. ","") &amp; IF($D354="","Missing binding status. ","") &amp; IF($E354="","Missing movement type. ","") &amp; IF($I354="","Missing make. ","") &amp; IF($L354="","Missing vehicle class. ","") &amp; IF($M354="","Missing agreed value. ","") &amp; IF($N354="","Missing policy type. ","") &amp; IF($Q354="","Missing garaging state. ","") &amp; IF($R354="","Missing garaging ZIP. ","") &amp; IF($S354="","Missing cat zone. ","") &amp; IF($V354="","Missing valuation basis. ","") &amp; IF($W354="","Missing PD deductible. ","") &amp; IF($X354="","Missing liability limit. ","") &amp; IF($AB354="","Missing technical premium. ","") &amp; IF($AF354="","Missing surplus lines tax %. ",""))="","PASS","FAIL: "&amp;TRIM(IF($A354="","Missing certificate ref. ","") &amp; IF($C354="","Missing effective date. ","") &amp; IF($D354="","Missing binding status. ","") &amp; IF($E354="","Missing movement type. ","") &amp; IF($I354="","Missing make. ","") &amp; IF($L354="","Missing vehicle class. ","") &amp; IF($M354="","Missing agreed value. ","") &amp; IF($N354="","Missing policy type. ","") &amp; IF($Q354="","Missing garaging state. ","") &amp; IF($R354="","Missing garaging ZIP. ","") &amp; IF($S354="","Missing cat zone. ","") &amp; IF($V354="","Missing valuation basis. ","") &amp; IF($W354="","Missing PD deductible. ","") &amp; IF($X354="","Missing liability limit. ","") &amp; IF($AB354="","Missing technical premium. ","") &amp; IF($AF354="","Missing surplus lines tax %. ",""))))</f>
      </c>
      <c r="AY354" s="44">
        <f>IF($M354="","",IF(ISNUMBER($M354),IF($M354&gt;=Header!$C$18,"YES — refer","No"),""))</f>
      </c>
      <c r="AZ354" s="44">
        <f>IF($AD354="","",IF(ISNUMBER($AD354),IF($AD354&lt;Header!$C$20,"BELOW MIN PREMIUM","OK"),""))</f>
      </c>
      <c r="BA354" s="48" t="inlineStr">
        <is>
          <t xml:space="preserve">Yes</t>
        </is>
      </c>
      <c r="BB354" s="48" t="inlineStr">
        <is>
          <t xml:space="preserve">Yes</t>
        </is>
      </c>
      <c r="BC354" s="46" t="inlineStr">
        <is>
          <t xml:space="preserve">Synthetic demo data</t>
        </is>
      </c>
      <c r="BE354" s="45">
        <f>IF(OR($A354="",$L354="",$H354=""),"",IF(AND(LEFT($L354,2)="06",$H354&gt;1945),"FAIL - pre-war class, year "&amp;$H354,IF(AND(LEFT($L354,2)="07",OR($H354&lt;1946,$H354&gt;1972)),"FAIL - 1946-72 class, year "&amp;$H354,IF(AND(LEFT($L354,2)="08",OR($H354&lt;1973,$H354&gt;1999)),"FAIL - 1973-99 class, year "&amp;$H354,IF(AND(LEFT($L354,2)="09",OR($H354&lt;2000,$H354&gt;2010)),"FAIL - 2000-10 class, year "&amp;$H354,"OK")))))</f>
      </c>
      <c r="BF354" s="45">
        <f>IF($AD354="","",IF(ROUND($AO354+$AP354+$AQ354-$AD354,2)=0,"OK","FAIL - out by "&amp;TEXT($AO354+$AP354+$AQ354-$AD354,"$0.00")))</f>
      </c>
    </row>
    <row r="355" spans="1:58" ht="18.75" customHeight="1" x14ac:dyDescent="0.25">
      <c r="A355" s="30" t="inlineStr">
        <is>
          <t xml:space="preserve">CANON-202511-002651</t>
        </is>
      </c>
      <c r="B355" s="30" t="inlineStr">
        <is>
          <t xml:space="preserve">Marisol Larsson</t>
        </is>
      </c>
      <c r="C355" s="31">
        <v>45988</v>
      </c>
      <c r="D355" s="32" t="inlineStr">
        <is>
          <t xml:space="preserve">Bound - within authority</t>
        </is>
      </c>
      <c r="E355" s="32" t="inlineStr">
        <is>
          <t xml:space="preserve">New business</t>
        </is>
      </c>
      <c r="F355" s="30" t="inlineStr">
        <is>
          <t xml:space="preserve">B1234EXOTIC26</t>
        </is>
      </c>
      <c r="G355" s="33">
        <f>IF($A355="","",IF($C355="","",YEAR($C355)))</f>
      </c>
      <c r="H355" s="34">
        <v>1998</v>
      </c>
      <c r="I355" s="30" t="inlineStr">
        <is>
          <t xml:space="preserve">BMW</t>
        </is>
      </c>
      <c r="J355" s="30" t="inlineStr">
        <is>
          <t xml:space="preserve">M8 Competition</t>
        </is>
      </c>
      <c r="K355" s="30" t="inlineStr">
        <is>
          <t xml:space="preserve">58YD9DR2CP6CF20R0</t>
        </is>
      </c>
      <c r="L355" s="32" t="inlineStr">
        <is>
          <t xml:space="preserve">02 - Sports / GT</t>
        </is>
      </c>
      <c r="M355" s="35">
        <v>505000</v>
      </c>
      <c r="N355" s="32" t="inlineStr">
        <is>
          <t xml:space="preserve">Personal</t>
        </is>
      </c>
      <c r="O355" s="30" t="inlineStr">
        <is>
          <t xml:space="preserve">Personal - regular use</t>
        </is>
      </c>
      <c r="P355" s="30" t="inlineStr">
        <is>
          <t xml:space="preserve">2,500 - 5,000</t>
        </is>
      </c>
      <c r="Q355" s="30" t="inlineStr">
        <is>
          <t xml:space="preserve">Oregon</t>
        </is>
      </c>
      <c r="R355" s="30" t="inlineStr">
        <is>
          <t xml:space="preserve">97204</t>
        </is>
      </c>
      <c r="S355" s="32" t="inlineStr">
        <is>
          <t xml:space="preserve">Earthquake - high (CA, Cascadia, New Madrid)</t>
        </is>
      </c>
      <c r="T355" s="36">
        <f>IF($A355="","",IF($S355="","",IFERROR(INDEX('[1]natural catastrophe'!$D$6:$D$17,MATCH($S355,'[1]natural catastrophe'!$B$6:$B$17,0)),"?")))</f>
      </c>
      <c r="U355" s="30" t="inlineStr">
        <is>
          <t xml:space="preserve">$5,000</t>
        </is>
      </c>
      <c r="V355" s="32" t="inlineStr">
        <is>
          <t xml:space="preserve">Agreed Value</t>
        </is>
      </c>
      <c r="W355" s="30" t="inlineStr">
        <is>
          <t xml:space="preserve">$1,000</t>
        </is>
      </c>
      <c r="X355" s="32" t="inlineStr">
        <is>
          <t xml:space="preserve">$1,000,000 CSL</t>
        </is>
      </c>
      <c r="Y355" s="30"/>
      <c r="Z355" s="30"/>
      <c r="AA355" s="32" t="inlineStr">
        <is>
          <t xml:space="preserve">Surplus Lines</t>
        </is>
      </c>
      <c r="AB355" s="35">
        <v>6434.46</v>
      </c>
      <c r="AC355" s="37">
        <v>0</v>
      </c>
      <c r="AD355" s="38">
        <f>IF(ISNUMBER($AB355),$AB355*(1+N($AC355)),"")</f>
      </c>
      <c r="AE355" s="35">
        <v>350</v>
      </c>
      <c r="AF355" s="35">
        <v>0</v>
      </c>
      <c r="AG355" s="37"/>
      <c r="AH355" s="39">
        <f>IF(ISNUMBER($AD355),($AD355+$AE355+$AF355)*$AG355,"")</f>
      </c>
      <c r="AI355" s="35"/>
      <c r="AJ355" s="38">
        <f>IF(ISNUMBER($AD355),SUM($AD355:$AH355),"")</f>
      </c>
      <c r="AK355" s="40">
        <f>IF(AND(ISNUMBER($AB355),ISNUMBER($AD355)),IF($AB355&gt;0,$AD355/$AB355,""),"")</f>
      </c>
      <c r="AL355" s="32" t="inlineStr">
        <is>
          <t xml:space="preserve">At technical</t>
        </is>
      </c>
      <c r="AM355" s="41">
        <f>IF(ISNUMBER($AD355),Header!$I$3,"")</f>
      </c>
      <c r="AN355" s="39">
        <f>IF(ISNUMBER($AD355),$AO355+$AP355,"")</f>
      </c>
      <c r="AO355" s="39">
        <f>IF(ISNUMBER($AD355),ROUND($AD355*Header!$K$3,2),"")</f>
      </c>
      <c r="AP355" s="39">
        <f>IF(ISNUMBER($AD355),ROUND($AD355*Header!$M$3,2),"")</f>
      </c>
      <c r="AQ355" s="38">
        <f>IF(ISNUMBER($AD355),ROUND($AD355,2)-$AO355-$AP355,"")</f>
      </c>
      <c r="AR355" s="39">
        <f>IF(ISNUMBER($AD355),IF(Header!$D$34="","?",$AD355*Header!$D$34),"")</f>
      </c>
      <c r="AS355" s="39">
        <f>IF(ISNUMBER($AB355),IF(Header!$D$34="","?",$AB355*Header!$D$34),"")</f>
      </c>
      <c r="AT355" s="42">
        <f>IF(AND(ISNUMBER($AB355),$M355&gt;0),$AB355/$M355*100,"")</f>
      </c>
      <c r="AU355" s="42">
        <f>IF(AND(ISNUMBER($AD355),$M355&gt;0),$AD355/$M355*100,"")</f>
      </c>
      <c r="AV355" s="40">
        <f>IF(AND(ISNUMBER($AB355),ISNUMBER($AD355),ABS($AB355)&gt;0),$AD355/$AB355,"")</f>
      </c>
      <c r="AW355" s="39">
        <f>IF(ISNUMBER($AD355),MAX(0,(1-0.55-Header!$O$3)*Header!$Q$3*$AQ355),"")</f>
      </c>
      <c r="AX355" s="43">
        <f>IF($A355="","",IF(TRIM(IF($A355="","Missing certificate ref. ","") &amp; IF($C355="","Missing effective date. ","") &amp; IF($D355="","Missing binding status. ","") &amp; IF($E355="","Missing movement type. ","") &amp; IF($I355="","Missing make. ","") &amp; IF($L355="","Missing vehicle class. ","") &amp; IF($M355="","Missing agreed value. ","") &amp; IF($N355="","Missing policy type. ","") &amp; IF($Q355="","Missing garaging state. ","") &amp; IF($R355="","Missing garaging ZIP. ","") &amp; IF($S355="","Missing cat zone. ","") &amp; IF($V355="","Missing valuation basis. ","") &amp; IF($W355="","Missing PD deductible. ","") &amp; IF($X355="","Missing liability limit. ","") &amp; IF($AB355="","Missing technical premium. ","") &amp; IF($AF355="","Missing surplus lines tax %. ",""))="","PASS","FAIL: "&amp;TRIM(IF($A355="","Missing certificate ref. ","") &amp; IF($C355="","Missing effective date. ","") &amp; IF($D355="","Missing binding status. ","") &amp; IF($E355="","Missing movement type. ","") &amp; IF($I355="","Missing make. ","") &amp; IF($L355="","Missing vehicle class. ","") &amp; IF($M355="","Missing agreed value. ","") &amp; IF($N355="","Missing policy type. ","") &amp; IF($Q355="","Missing garaging state. ","") &amp; IF($R355="","Missing garaging ZIP. ","") &amp; IF($S355="","Missing cat zone. ","") &amp; IF($V355="","Missing valuation basis. ","") &amp; IF($W355="","Missing PD deductible. ","") &amp; IF($X355="","Missing liability limit. ","") &amp; IF($AB355="","Missing technical premium. ","") &amp; IF($AF355="","Missing surplus lines tax %. ",""))))</f>
      </c>
      <c r="AY355" s="44">
        <f>IF($M355="","",IF(ISNUMBER($M355),IF($M355&gt;=Header!$C$18,"YES — refer","No"),""))</f>
      </c>
      <c r="AZ355" s="44">
        <f>IF($AD355="","",IF(ISNUMBER($AD355),IF($AD355&lt;Header!$C$20,"BELOW MIN PREMIUM","OK"),""))</f>
      </c>
      <c r="BA355" s="32" t="inlineStr">
        <is>
          <t xml:space="preserve">Yes</t>
        </is>
      </c>
      <c r="BB355" s="32" t="inlineStr">
        <is>
          <t xml:space="preserve">Yes</t>
        </is>
      </c>
      <c r="BC355" s="30" t="inlineStr">
        <is>
          <t xml:space="preserve">Synthetic demo data</t>
        </is>
      </c>
      <c r="BE355" s="45">
        <f>IF(OR($A355="",$L355="",$H355=""),"",IF(AND(LEFT($L355,2)="06",$H355&gt;1945),"FAIL - pre-war class, year "&amp;$H355,IF(AND(LEFT($L355,2)="07",OR($H355&lt;1946,$H355&gt;1972)),"FAIL - 1946-72 class, year "&amp;$H355,IF(AND(LEFT($L355,2)="08",OR($H355&lt;1973,$H355&gt;1999)),"FAIL - 1973-99 class, year "&amp;$H355,IF(AND(LEFT($L355,2)="09",OR($H355&lt;2000,$H355&gt;2010)),"FAIL - 2000-10 class, year "&amp;$H355,"OK")))))</f>
      </c>
      <c r="BF355" s="45">
        <f>IF($AD355="","",IF(ROUND($AO355+$AP355+$AQ355-$AD355,2)=0,"OK","FAIL - out by "&amp;TEXT($AO355+$AP355+$AQ355-$AD355,"$0.00")))</f>
      </c>
    </row>
    <row r="356" spans="1:58" ht="18.75" customHeight="1" x14ac:dyDescent="0.25">
      <c r="A356" s="46" t="inlineStr">
        <is>
          <t xml:space="preserve">CANON-202511-002652</t>
        </is>
      </c>
      <c r="B356" s="46" t="inlineStr">
        <is>
          <t xml:space="preserve">Fitzgerald Fairweather</t>
        </is>
      </c>
      <c r="C356" s="47">
        <v>45990</v>
      </c>
      <c r="D356" s="48" t="inlineStr">
        <is>
          <t xml:space="preserve">Bound - within authority</t>
        </is>
      </c>
      <c r="E356" s="48" t="inlineStr">
        <is>
          <t xml:space="preserve">New business</t>
        </is>
      </c>
      <c r="F356" s="46" t="inlineStr">
        <is>
          <t xml:space="preserve">B1234EXOTIC26</t>
        </is>
      </c>
      <c r="G356" s="33">
        <f>IF($A356="","",IF($C356="","",YEAR($C356)))</f>
      </c>
      <c r="H356" s="49">
        <v>2002</v>
      </c>
      <c r="I356" s="46" t="inlineStr">
        <is>
          <t xml:space="preserve">Porsche</t>
        </is>
      </c>
      <c r="J356" s="46" t="inlineStr">
        <is>
          <t xml:space="preserve">911 Turbo S</t>
        </is>
      </c>
      <c r="K356" s="46" t="inlineStr">
        <is>
          <t xml:space="preserve">T9B93JK2L2NKGK129</t>
        </is>
      </c>
      <c r="L356" s="48" t="inlineStr">
        <is>
          <t xml:space="preserve">02 - Sports / GT</t>
        </is>
      </c>
      <c r="M356" s="50">
        <v>335000</v>
      </c>
      <c r="N356" s="48" t="inlineStr">
        <is>
          <t xml:space="preserve">Personal</t>
        </is>
      </c>
      <c r="O356" s="46" t="inlineStr">
        <is>
          <t xml:space="preserve">Personal - regular use</t>
        </is>
      </c>
      <c r="P356" s="46" t="inlineStr">
        <is>
          <t xml:space="preserve">1,000 - 2,500</t>
        </is>
      </c>
      <c r="Q356" s="46" t="inlineStr">
        <is>
          <t xml:space="preserve">Texas</t>
        </is>
      </c>
      <c r="R356" s="46" t="inlineStr">
        <is>
          <t xml:space="preserve">75201</t>
        </is>
      </c>
      <c r="S356" s="48" t="inlineStr">
        <is>
          <t xml:space="preserve">Tier 2 - Coastal wind (1-25 miles)</t>
        </is>
      </c>
      <c r="T356" s="36">
        <f>IF($A356="","",IF($S356="","",IFERROR(INDEX('[1]natural catastrophe'!$D$6:$D$17,MATCH($S356,'[1]natural catastrophe'!$B$6:$B$17,0)),"?")))</f>
      </c>
      <c r="U356" s="46" t="inlineStr">
        <is>
          <t xml:space="preserve">2% of agreed value, minimum $10,000</t>
        </is>
      </c>
      <c r="V356" s="48" t="inlineStr">
        <is>
          <t xml:space="preserve">Agreed Value</t>
        </is>
      </c>
      <c r="W356" s="46" t="inlineStr">
        <is>
          <t xml:space="preserve">$1,000</t>
        </is>
      </c>
      <c r="X356" s="48" t="inlineStr">
        <is>
          <t xml:space="preserve">$1,000,000 CSL</t>
        </is>
      </c>
      <c r="Y356" s="46"/>
      <c r="Z356" s="46"/>
      <c r="AA356" s="48" t="inlineStr">
        <is>
          <t xml:space="preserve">Surplus Lines</t>
        </is>
      </c>
      <c r="AB356" s="50">
        <v>5012.25</v>
      </c>
      <c r="AC356" s="51">
        <v>0</v>
      </c>
      <c r="AD356" s="38">
        <f>IF(ISNUMBER($AB356),$AB356*(1+N($AC356)),"")</f>
      </c>
      <c r="AE356" s="50">
        <v>350</v>
      </c>
      <c r="AF356" s="50">
        <v>0</v>
      </c>
      <c r="AG356" s="51"/>
      <c r="AH356" s="39">
        <f>IF(ISNUMBER($AD356),($AD356+$AE356+$AF356)*$AG356,"")</f>
      </c>
      <c r="AI356" s="50"/>
      <c r="AJ356" s="38">
        <f>IF(ISNUMBER($AD356),SUM($AD356:$AH356),"")</f>
      </c>
      <c r="AK356" s="40">
        <f>IF(AND(ISNUMBER($AB356),ISNUMBER($AD356)),IF($AB356&gt;0,$AD356/$AB356,""),"")</f>
      </c>
      <c r="AL356" s="48" t="inlineStr">
        <is>
          <t xml:space="preserve">At technical</t>
        </is>
      </c>
      <c r="AM356" s="41">
        <f>IF(ISNUMBER($AD356),Header!$I$3,"")</f>
      </c>
      <c r="AN356" s="39">
        <f>IF(ISNUMBER($AD356),$AO356+$AP356,"")</f>
      </c>
      <c r="AO356" s="39">
        <f>IF(ISNUMBER($AD356),ROUND($AD356*Header!$K$3,2),"")</f>
      </c>
      <c r="AP356" s="39">
        <f>IF(ISNUMBER($AD356),ROUND($AD356*Header!$M$3,2),"")</f>
      </c>
      <c r="AQ356" s="38">
        <f>IF(ISNUMBER($AD356),ROUND($AD356,2)-$AO356-$AP356,"")</f>
      </c>
      <c r="AR356" s="39">
        <f>IF(ISNUMBER($AD356),IF(Header!$D$34="","?",$AD356*Header!$D$34),"")</f>
      </c>
      <c r="AS356" s="39">
        <f>IF(ISNUMBER($AB356),IF(Header!$D$34="","?",$AB356*Header!$D$34),"")</f>
      </c>
      <c r="AT356" s="42">
        <f>IF(AND(ISNUMBER($AB356),$M356&gt;0),$AB356/$M356*100,"")</f>
      </c>
      <c r="AU356" s="42">
        <f>IF(AND(ISNUMBER($AD356),$M356&gt;0),$AD356/$M356*100,"")</f>
      </c>
      <c r="AV356" s="40">
        <f>IF(AND(ISNUMBER($AB356),ISNUMBER($AD356),ABS($AB356)&gt;0),$AD356/$AB356,"")</f>
      </c>
      <c r="AW356" s="39">
        <f>IF(ISNUMBER($AD356),MAX(0,(1-0.55-Header!$O$3)*Header!$Q$3*$AQ356),"")</f>
      </c>
      <c r="AX356" s="43">
        <f>IF($A356="","",IF(TRIM(IF($A356="","Missing certificate ref. ","") &amp; IF($C356="","Missing effective date. ","") &amp; IF($D356="","Missing binding status. ","") &amp; IF($E356="","Missing movement type. ","") &amp; IF($I356="","Missing make. ","") &amp; IF($L356="","Missing vehicle class. ","") &amp; IF($M356="","Missing agreed value. ","") &amp; IF($N356="","Missing policy type. ","") &amp; IF($Q356="","Missing garaging state. ","") &amp; IF($R356="","Missing garaging ZIP. ","") &amp; IF($S356="","Missing cat zone. ","") &amp; IF($V356="","Missing valuation basis. ","") &amp; IF($W356="","Missing PD deductible. ","") &amp; IF($X356="","Missing liability limit. ","") &amp; IF($AB356="","Missing technical premium. ","") &amp; IF($AF356="","Missing surplus lines tax %. ",""))="","PASS","FAIL: "&amp;TRIM(IF($A356="","Missing certificate ref. ","") &amp; IF($C356="","Missing effective date. ","") &amp; IF($D356="","Missing binding status. ","") &amp; IF($E356="","Missing movement type. ","") &amp; IF($I356="","Missing make. ","") &amp; IF($L356="","Missing vehicle class. ","") &amp; IF($M356="","Missing agreed value. ","") &amp; IF($N356="","Missing policy type. ","") &amp; IF($Q356="","Missing garaging state. ","") &amp; IF($R356="","Missing garaging ZIP. ","") &amp; IF($S356="","Missing cat zone. ","") &amp; IF($V356="","Missing valuation basis. ","") &amp; IF($W356="","Missing PD deductible. ","") &amp; IF($X356="","Missing liability limit. ","") &amp; IF($AB356="","Missing technical premium. ","") &amp; IF($AF356="","Missing surplus lines tax %. ",""))))</f>
      </c>
      <c r="AY356" s="44">
        <f>IF($M356="","",IF(ISNUMBER($M356),IF($M356&gt;=Header!$C$18,"YES — refer","No"),""))</f>
      </c>
      <c r="AZ356" s="44">
        <f>IF($AD356="","",IF(ISNUMBER($AD356),IF($AD356&lt;Header!$C$20,"BELOW MIN PREMIUM","OK"),""))</f>
      </c>
      <c r="BA356" s="48" t="inlineStr">
        <is>
          <t xml:space="preserve">Yes</t>
        </is>
      </c>
      <c r="BB356" s="48" t="inlineStr">
        <is>
          <t xml:space="preserve">Yes</t>
        </is>
      </c>
      <c r="BC356" s="46" t="inlineStr">
        <is>
          <t xml:space="preserve">Synthetic demo data</t>
        </is>
      </c>
      <c r="BE356" s="45">
        <f>IF(OR($A356="",$L356="",$H356=""),"",IF(AND(LEFT($L356,2)="06",$H356&gt;1945),"FAIL - pre-war class, year "&amp;$H356,IF(AND(LEFT($L356,2)="07",OR($H356&lt;1946,$H356&gt;1972)),"FAIL - 1946-72 class, year "&amp;$H356,IF(AND(LEFT($L356,2)="08",OR($H356&lt;1973,$H356&gt;1999)),"FAIL - 1973-99 class, year "&amp;$H356,IF(AND(LEFT($L356,2)="09",OR($H356&lt;2000,$H356&gt;2010)),"FAIL - 2000-10 class, year "&amp;$H356,"OK")))))</f>
      </c>
      <c r="BF356" s="45">
        <f>IF($AD356="","",IF(ROUND($AO356+$AP356+$AQ356-$AD356,2)=0,"OK","FAIL - out by "&amp;TEXT($AO356+$AP356+$AQ356-$AD356,"$0.00")))</f>
      </c>
    </row>
    <row r="357" spans="1:58" ht="18.75" customHeight="1" x14ac:dyDescent="0.25">
      <c r="A357" s="30" t="inlineStr">
        <is>
          <t xml:space="preserve">CANON-202511-002653</t>
        </is>
      </c>
      <c r="B357" s="30" t="inlineStr">
        <is>
          <t xml:space="preserve">Fitzgerald Chattopadhyay</t>
        </is>
      </c>
      <c r="C357" s="31">
        <v>45976</v>
      </c>
      <c r="D357" s="32" t="inlineStr">
        <is>
          <t xml:space="preserve">Bound - within authority</t>
        </is>
      </c>
      <c r="E357" s="32" t="inlineStr">
        <is>
          <t xml:space="preserve">New business</t>
        </is>
      </c>
      <c r="F357" s="30" t="inlineStr">
        <is>
          <t xml:space="preserve">B1234EXOTIC26</t>
        </is>
      </c>
      <c r="G357" s="33">
        <f>IF($A357="","",IF($C357="","",YEAR($C357)))</f>
      </c>
      <c r="H357" s="34">
        <v>1999</v>
      </c>
      <c r="I357" s="30" t="inlineStr">
        <is>
          <t xml:space="preserve">Lamborghini</t>
        </is>
      </c>
      <c r="J357" s="30" t="inlineStr">
        <is>
          <t xml:space="preserve">Huracan EVO</t>
        </is>
      </c>
      <c r="K357" s="30" t="inlineStr">
        <is>
          <t xml:space="preserve">ZTXALCDTVHPR8HYTZ</t>
        </is>
      </c>
      <c r="L357" s="32" t="inlineStr">
        <is>
          <t xml:space="preserve">03 - Supercar</t>
        </is>
      </c>
      <c r="M357" s="35">
        <v>1950000</v>
      </c>
      <c r="N357" s="32" t="inlineStr">
        <is>
          <t xml:space="preserve">Personal</t>
        </is>
      </c>
      <c r="O357" s="30" t="inlineStr">
        <is>
          <t xml:space="preserve">Personal - regular use</t>
        </is>
      </c>
      <c r="P357" s="30" t="inlineStr">
        <is>
          <t xml:space="preserve">Under 1,000</t>
        </is>
      </c>
      <c r="Q357" s="30" t="inlineStr">
        <is>
          <t xml:space="preserve">Washington</t>
        </is>
      </c>
      <c r="R357" s="30" t="inlineStr">
        <is>
          <t xml:space="preserve">98101</t>
        </is>
      </c>
      <c r="S357" s="32" t="inlineStr">
        <is>
          <t xml:space="preserve">Earthquake - high (CA, Cascadia, New Madrid)</t>
        </is>
      </c>
      <c r="T357" s="36">
        <f>IF($A357="","",IF($S357="","",IFERROR(INDEX('[1]natural catastrophe'!$D$6:$D$17,MATCH($S357,'[1]natural catastrophe'!$B$6:$B$17,0)),"?")))</f>
      </c>
      <c r="U357" s="30" t="inlineStr">
        <is>
          <t xml:space="preserve">$5,000</t>
        </is>
      </c>
      <c r="V357" s="32" t="inlineStr">
        <is>
          <t xml:space="preserve">Agreed Value</t>
        </is>
      </c>
      <c r="W357" s="30" t="inlineStr">
        <is>
          <t xml:space="preserve">$1,000</t>
        </is>
      </c>
      <c r="X357" s="32" t="inlineStr">
        <is>
          <t xml:space="preserve">$1,000,000 CSL</t>
        </is>
      </c>
      <c r="Y357" s="30"/>
      <c r="Z357" s="30"/>
      <c r="AA357" s="32" t="inlineStr">
        <is>
          <t xml:space="preserve">Surplus Lines</t>
        </is>
      </c>
      <c r="AB357" s="35">
        <v>25979.12</v>
      </c>
      <c r="AC357" s="37">
        <v>0</v>
      </c>
      <c r="AD357" s="38">
        <f>IF(ISNUMBER($AB357),$AB357*(1+N($AC357)),"")</f>
      </c>
      <c r="AE357" s="35">
        <v>350</v>
      </c>
      <c r="AF357" s="35">
        <v>250</v>
      </c>
      <c r="AG357" s="37"/>
      <c r="AH357" s="39">
        <f>IF(ISNUMBER($AD357),($AD357+$AE357+$AF357)*$AG357,"")</f>
      </c>
      <c r="AI357" s="35"/>
      <c r="AJ357" s="38">
        <f>IF(ISNUMBER($AD357),SUM($AD357:$AH357),"")</f>
      </c>
      <c r="AK357" s="40">
        <f>IF(AND(ISNUMBER($AB357),ISNUMBER($AD357)),IF($AB357&gt;0,$AD357/$AB357,""),"")</f>
      </c>
      <c r="AL357" s="32" t="inlineStr">
        <is>
          <t xml:space="preserve">At technical</t>
        </is>
      </c>
      <c r="AM357" s="41">
        <f>IF(ISNUMBER($AD357),Header!$I$3,"")</f>
      </c>
      <c r="AN357" s="39">
        <f>IF(ISNUMBER($AD357),$AO357+$AP357,"")</f>
      </c>
      <c r="AO357" s="39">
        <f>IF(ISNUMBER($AD357),ROUND($AD357*Header!$K$3,2),"")</f>
      </c>
      <c r="AP357" s="39">
        <f>IF(ISNUMBER($AD357),ROUND($AD357*Header!$M$3,2),"")</f>
      </c>
      <c r="AQ357" s="38">
        <f>IF(ISNUMBER($AD357),ROUND($AD357,2)-$AO357-$AP357,"")</f>
      </c>
      <c r="AR357" s="39">
        <f>IF(ISNUMBER($AD357),IF(Header!$D$34="","?",$AD357*Header!$D$34),"")</f>
      </c>
      <c r="AS357" s="39">
        <f>IF(ISNUMBER($AB357),IF(Header!$D$34="","?",$AB357*Header!$D$34),"")</f>
      </c>
      <c r="AT357" s="42">
        <f>IF(AND(ISNUMBER($AB357),$M357&gt;0),$AB357/$M357*100,"")</f>
      </c>
      <c r="AU357" s="42">
        <f>IF(AND(ISNUMBER($AD357),$M357&gt;0),$AD357/$M357*100,"")</f>
      </c>
      <c r="AV357" s="40">
        <f>IF(AND(ISNUMBER($AB357),ISNUMBER($AD357),ABS($AB357)&gt;0),$AD357/$AB357,"")</f>
      </c>
      <c r="AW357" s="39">
        <f>IF(ISNUMBER($AD357),MAX(0,(1-0.55-Header!$O$3)*Header!$Q$3*$AQ357),"")</f>
      </c>
      <c r="AX357" s="43">
        <f>IF($A357="","",IF(TRIM(IF($A357="","Missing certificate ref. ","") &amp; IF($C357="","Missing effective date. ","") &amp; IF($D357="","Missing binding status. ","") &amp; IF($E357="","Missing movement type. ","") &amp; IF($I357="","Missing make. ","") &amp; IF($L357="","Missing vehicle class. ","") &amp; IF($M357="","Missing agreed value. ","") &amp; IF($N357="","Missing policy type. ","") &amp; IF($Q357="","Missing garaging state. ","") &amp; IF($R357="","Missing garaging ZIP. ","") &amp; IF($S357="","Missing cat zone. ","") &amp; IF($V357="","Missing valuation basis. ","") &amp; IF($W357="","Missing PD deductible. ","") &amp; IF($X357="","Missing liability limit. ","") &amp; IF($AB357="","Missing technical premium. ","") &amp; IF($AF357="","Missing surplus lines tax %. ",""))="","PASS","FAIL: "&amp;TRIM(IF($A357="","Missing certificate ref. ","") &amp; IF($C357="","Missing effective date. ","") &amp; IF($D357="","Missing binding status. ","") &amp; IF($E357="","Missing movement type. ","") &amp; IF($I357="","Missing make. ","") &amp; IF($L357="","Missing vehicle class. ","") &amp; IF($M357="","Missing agreed value. ","") &amp; IF($N357="","Missing policy type. ","") &amp; IF($Q357="","Missing garaging state. ","") &amp; IF($R357="","Missing garaging ZIP. ","") &amp; IF($S357="","Missing cat zone. ","") &amp; IF($V357="","Missing valuation basis. ","") &amp; IF($W357="","Missing PD deductible. ","") &amp; IF($X357="","Missing liability limit. ","") &amp; IF($AB357="","Missing technical premium. ","") &amp; IF($AF357="","Missing surplus lines tax %. ",""))))</f>
      </c>
      <c r="AY357" s="44">
        <f>IF($M357="","",IF(ISNUMBER($M357),IF($M357&gt;=Header!$C$18,"YES — refer","No"),""))</f>
      </c>
      <c r="AZ357" s="44">
        <f>IF($AD357="","",IF(ISNUMBER($AD357),IF($AD357&lt;Header!$C$20,"BELOW MIN PREMIUM","OK"),""))</f>
      </c>
      <c r="BA357" s="32" t="inlineStr">
        <is>
          <t xml:space="preserve">Yes</t>
        </is>
      </c>
      <c r="BB357" s="32" t="inlineStr">
        <is>
          <t xml:space="preserve">Yes</t>
        </is>
      </c>
      <c r="BC357" s="30" t="inlineStr">
        <is>
          <t xml:space="preserve">Synthetic demo data</t>
        </is>
      </c>
      <c r="BE357" s="45">
        <f>IF(OR($A357="",$L357="",$H357=""),"",IF(AND(LEFT($L357,2)="06",$H357&gt;1945),"FAIL - pre-war class, year "&amp;$H357,IF(AND(LEFT($L357,2)="07",OR($H357&lt;1946,$H357&gt;1972)),"FAIL - 1946-72 class, year "&amp;$H357,IF(AND(LEFT($L357,2)="08",OR($H357&lt;1973,$H357&gt;1999)),"FAIL - 1973-99 class, year "&amp;$H357,IF(AND(LEFT($L357,2)="09",OR($H357&lt;2000,$H357&gt;2010)),"FAIL - 2000-10 class, year "&amp;$H357,"OK")))))</f>
      </c>
      <c r="BF357" s="45">
        <f>IF($AD357="","",IF(ROUND($AO357+$AP357+$AQ357-$AD357,2)=0,"OK","FAIL - out by "&amp;TEXT($AO357+$AP357+$AQ357-$AD357,"$0.00")))</f>
      </c>
    </row>
    <row r="358" spans="1:58" ht="18.75" customHeight="1" x14ac:dyDescent="0.25">
      <c r="A358" s="46" t="inlineStr">
        <is>
          <t xml:space="preserve">CANON-202511-002654</t>
        </is>
      </c>
      <c r="B358" s="46" t="inlineStr">
        <is>
          <t xml:space="preserve">Thaddeus Blackwood</t>
        </is>
      </c>
      <c r="C358" s="47">
        <v>45988</v>
      </c>
      <c r="D358" s="48" t="inlineStr">
        <is>
          <t xml:space="preserve">Bound - within authority</t>
        </is>
      </c>
      <c r="E358" s="48" t="inlineStr">
        <is>
          <t xml:space="preserve">New business</t>
        </is>
      </c>
      <c r="F358" s="46" t="inlineStr">
        <is>
          <t xml:space="preserve">B1234EXOTIC26</t>
        </is>
      </c>
      <c r="G358" s="33">
        <f>IF($A358="","",IF($C358="","",YEAR($C358)))</f>
      </c>
      <c r="H358" s="49">
        <v>1998</v>
      </c>
      <c r="I358" s="46" t="inlineStr">
        <is>
          <t xml:space="preserve">Bentley</t>
        </is>
      </c>
      <c r="J358" s="46" t="inlineStr">
        <is>
          <t xml:space="preserve">Continental GT</t>
        </is>
      </c>
      <c r="K358" s="46" t="inlineStr">
        <is>
          <t xml:space="preserve">YE6UFLGBUEM207LK8</t>
        </is>
      </c>
      <c r="L358" s="48" t="inlineStr">
        <is>
          <t xml:space="preserve">02 - Sports / GT</t>
        </is>
      </c>
      <c r="M358" s="50">
        <v>535000</v>
      </c>
      <c r="N358" s="48" t="inlineStr">
        <is>
          <t xml:space="preserve">Personal</t>
        </is>
      </c>
      <c r="O358" s="46" t="inlineStr">
        <is>
          <t xml:space="preserve">Personal - regular use</t>
        </is>
      </c>
      <c r="P358" s="46" t="inlineStr">
        <is>
          <t xml:space="preserve">2,500 - 5,000</t>
        </is>
      </c>
      <c r="Q358" s="46" t="inlineStr">
        <is>
          <t xml:space="preserve">Kentucky</t>
        </is>
      </c>
      <c r="R358" s="46" t="inlineStr">
        <is>
          <t xml:space="preserve">40202</t>
        </is>
      </c>
      <c r="S358" s="48" t="inlineStr">
        <is>
          <t xml:space="preserve">Severe convective - hail / tornado (moderate)</t>
        </is>
      </c>
      <c r="T358" s="36">
        <f>IF($A358="","",IF($S358="","",IFERROR(INDEX('[1]natural catastrophe'!$D$6:$D$17,MATCH($S358,'[1]natural catastrophe'!$B$6:$B$17,0)),"?")))</f>
      </c>
      <c r="U358" s="46" t="inlineStr">
        <is>
          <t xml:space="preserve">$5,000</t>
        </is>
      </c>
      <c r="V358" s="48" t="inlineStr">
        <is>
          <t xml:space="preserve">Agreed Value</t>
        </is>
      </c>
      <c r="W358" s="46" t="inlineStr">
        <is>
          <t xml:space="preserve">$1,000</t>
        </is>
      </c>
      <c r="X358" s="48" t="inlineStr">
        <is>
          <t xml:space="preserve">$1,000,000 CSL</t>
        </is>
      </c>
      <c r="Y358" s="46"/>
      <c r="Z358" s="46"/>
      <c r="AA358" s="48" t="inlineStr">
        <is>
          <t xml:space="preserve">Surplus Lines</t>
        </is>
      </c>
      <c r="AB358" s="50">
        <v>8083.52</v>
      </c>
      <c r="AC358" s="51">
        <v>0</v>
      </c>
      <c r="AD358" s="38">
        <f>IF(ISNUMBER($AB358),$AB358*(1+N($AC358)),"")</f>
      </c>
      <c r="AE358" s="50">
        <v>350</v>
      </c>
      <c r="AF358" s="50">
        <v>0</v>
      </c>
      <c r="AG358" s="51"/>
      <c r="AH358" s="39">
        <f>IF(ISNUMBER($AD358),($AD358+$AE358+$AF358)*$AG358,"")</f>
      </c>
      <c r="AI358" s="50"/>
      <c r="AJ358" s="38">
        <f>IF(ISNUMBER($AD358),SUM($AD358:$AH358),"")</f>
      </c>
      <c r="AK358" s="40">
        <f>IF(AND(ISNUMBER($AB358),ISNUMBER($AD358)),IF($AB358&gt;0,$AD358/$AB358,""),"")</f>
      </c>
      <c r="AL358" s="48" t="inlineStr">
        <is>
          <t xml:space="preserve">At technical</t>
        </is>
      </c>
      <c r="AM358" s="41">
        <f>IF(ISNUMBER($AD358),Header!$I$3,"")</f>
      </c>
      <c r="AN358" s="39">
        <f>IF(ISNUMBER($AD358),$AO358+$AP358,"")</f>
      </c>
      <c r="AO358" s="39">
        <f>IF(ISNUMBER($AD358),ROUND($AD358*Header!$K$3,2),"")</f>
      </c>
      <c r="AP358" s="39">
        <f>IF(ISNUMBER($AD358),ROUND($AD358*Header!$M$3,2),"")</f>
      </c>
      <c r="AQ358" s="38">
        <f>IF(ISNUMBER($AD358),ROUND($AD358,2)-$AO358-$AP358,"")</f>
      </c>
      <c r="AR358" s="39">
        <f>IF(ISNUMBER($AD358),IF(Header!$D$34="","?",$AD358*Header!$D$34),"")</f>
      </c>
      <c r="AS358" s="39">
        <f>IF(ISNUMBER($AB358),IF(Header!$D$34="","?",$AB358*Header!$D$34),"")</f>
      </c>
      <c r="AT358" s="42">
        <f>IF(AND(ISNUMBER($AB358),$M358&gt;0),$AB358/$M358*100,"")</f>
      </c>
      <c r="AU358" s="42">
        <f>IF(AND(ISNUMBER($AD358),$M358&gt;0),$AD358/$M358*100,"")</f>
      </c>
      <c r="AV358" s="40">
        <f>IF(AND(ISNUMBER($AB358),ISNUMBER($AD358),ABS($AB358)&gt;0),$AD358/$AB358,"")</f>
      </c>
      <c r="AW358" s="39">
        <f>IF(ISNUMBER($AD358),MAX(0,(1-0.55-Header!$O$3)*Header!$Q$3*$AQ358),"")</f>
      </c>
      <c r="AX358" s="43">
        <f>IF($A358="","",IF(TRIM(IF($A358="","Missing certificate ref. ","") &amp; IF($C358="","Missing effective date. ","") &amp; IF($D358="","Missing binding status. ","") &amp; IF($E358="","Missing movement type. ","") &amp; IF($I358="","Missing make. ","") &amp; IF($L358="","Missing vehicle class. ","") &amp; IF($M358="","Missing agreed value. ","") &amp; IF($N358="","Missing policy type. ","") &amp; IF($Q358="","Missing garaging state. ","") &amp; IF($R358="","Missing garaging ZIP. ","") &amp; IF($S358="","Missing cat zone. ","") &amp; IF($V358="","Missing valuation basis. ","") &amp; IF($W358="","Missing PD deductible. ","") &amp; IF($X358="","Missing liability limit. ","") &amp; IF($AB358="","Missing technical premium. ","") &amp; IF($AF358="","Missing surplus lines tax %. ",""))="","PASS","FAIL: "&amp;TRIM(IF($A358="","Missing certificate ref. ","") &amp; IF($C358="","Missing effective date. ","") &amp; IF($D358="","Missing binding status. ","") &amp; IF($E358="","Missing movement type. ","") &amp; IF($I358="","Missing make. ","") &amp; IF($L358="","Missing vehicle class. ","") &amp; IF($M358="","Missing agreed value. ","") &amp; IF($N358="","Missing policy type. ","") &amp; IF($Q358="","Missing garaging state. ","") &amp; IF($R358="","Missing garaging ZIP. ","") &amp; IF($S358="","Missing cat zone. ","") &amp; IF($V358="","Missing valuation basis. ","") &amp; IF($W358="","Missing PD deductible. ","") &amp; IF($X358="","Missing liability limit. ","") &amp; IF($AB358="","Missing technical premium. ","") &amp; IF($AF358="","Missing surplus lines tax %. ",""))))</f>
      </c>
      <c r="AY358" s="44">
        <f>IF($M358="","",IF(ISNUMBER($M358),IF($M358&gt;=Header!$C$18,"YES — refer","No"),""))</f>
      </c>
      <c r="AZ358" s="44">
        <f>IF($AD358="","",IF(ISNUMBER($AD358),IF($AD358&lt;Header!$C$20,"BELOW MIN PREMIUM","OK"),""))</f>
      </c>
      <c r="BA358" s="48" t="inlineStr">
        <is>
          <t xml:space="preserve">Yes</t>
        </is>
      </c>
      <c r="BB358" s="48" t="inlineStr">
        <is>
          <t xml:space="preserve">Yes</t>
        </is>
      </c>
      <c r="BC358" s="46" t="inlineStr">
        <is>
          <t xml:space="preserve">Synthetic demo data</t>
        </is>
      </c>
      <c r="BE358" s="45">
        <f>IF(OR($A358="",$L358="",$H358=""),"",IF(AND(LEFT($L358,2)="06",$H358&gt;1945),"FAIL - pre-war class, year "&amp;$H358,IF(AND(LEFT($L358,2)="07",OR($H358&lt;1946,$H358&gt;1972)),"FAIL - 1946-72 class, year "&amp;$H358,IF(AND(LEFT($L358,2)="08",OR($H358&lt;1973,$H358&gt;1999)),"FAIL - 1973-99 class, year "&amp;$H358,IF(AND(LEFT($L358,2)="09",OR($H358&lt;2000,$H358&gt;2010)),"FAIL - 2000-10 class, year "&amp;$H358,"OK")))))</f>
      </c>
      <c r="BF358" s="45">
        <f>IF($AD358="","",IF(ROUND($AO358+$AP358+$AQ358-$AD358,2)=0,"OK","FAIL - out by "&amp;TEXT($AO358+$AP358+$AQ358-$AD358,"$0.00")))</f>
      </c>
    </row>
    <row r="359" spans="1:58" ht="18.75" customHeight="1" x14ac:dyDescent="0.25">
      <c r="A359" s="30" t="inlineStr">
        <is>
          <t xml:space="preserve">CANON-202511-002655</t>
        </is>
      </c>
      <c r="B359" s="30" t="inlineStr">
        <is>
          <t xml:space="preserve">Fenwick Okonkwo</t>
        </is>
      </c>
      <c r="C359" s="31">
        <v>45967</v>
      </c>
      <c r="D359" s="32" t="inlineStr">
        <is>
          <t xml:space="preserve">Bound - within authority</t>
        </is>
      </c>
      <c r="E359" s="32" t="inlineStr">
        <is>
          <t xml:space="preserve">New business</t>
        </is>
      </c>
      <c r="F359" s="30" t="inlineStr">
        <is>
          <t xml:space="preserve">B1234EXOTIC26</t>
        </is>
      </c>
      <c r="G359" s="33">
        <f>IF($A359="","",IF($C359="","",YEAR($C359)))</f>
      </c>
      <c r="H359" s="34">
        <v>2008</v>
      </c>
      <c r="I359" s="30" t="inlineStr">
        <is>
          <t xml:space="preserve">Ringbrothers</t>
        </is>
      </c>
      <c r="J359" s="30" t="inlineStr">
        <is>
          <t xml:space="preserve">Mustang</t>
        </is>
      </c>
      <c r="K359" s="30" t="inlineStr">
        <is>
          <t xml:space="preserve">KDP5XNCM8KXBSJ9BC</t>
        </is>
      </c>
      <c r="L359" s="32" t="inlineStr">
        <is>
          <t xml:space="preserve">11 - Restomod / Coachbuilt / Bespoke</t>
        </is>
      </c>
      <c r="M359" s="35">
        <v>220000</v>
      </c>
      <c r="N359" s="32" t="inlineStr">
        <is>
          <t xml:space="preserve">Personal</t>
        </is>
      </c>
      <c r="O359" s="30" t="inlineStr">
        <is>
          <t xml:space="preserve">Personal - regular use</t>
        </is>
      </c>
      <c r="P359" s="30" t="inlineStr">
        <is>
          <t xml:space="preserve">1,000 - 2,500</t>
        </is>
      </c>
      <c r="Q359" s="30" t="inlineStr">
        <is>
          <t xml:space="preserve">Louisiana</t>
        </is>
      </c>
      <c r="R359" s="30" t="inlineStr">
        <is>
          <t xml:space="preserve">70112</t>
        </is>
      </c>
      <c r="S359" s="32" t="inlineStr">
        <is>
          <t xml:space="preserve">Tier 2 - Coastal wind (1-25 miles)</t>
        </is>
      </c>
      <c r="T359" s="36">
        <f>IF($A359="","",IF($S359="","",IFERROR(INDEX('[1]natural catastrophe'!$D$6:$D$17,MATCH($S359,'[1]natural catastrophe'!$B$6:$B$17,0)),"?")))</f>
      </c>
      <c r="U359" s="30" t="inlineStr">
        <is>
          <t xml:space="preserve">2% of agreed value, minimum $10,000</t>
        </is>
      </c>
      <c r="V359" s="32" t="inlineStr">
        <is>
          <t xml:space="preserve">Agreed Value</t>
        </is>
      </c>
      <c r="W359" s="30" t="inlineStr">
        <is>
          <t xml:space="preserve">$1,000</t>
        </is>
      </c>
      <c r="X359" s="32" t="inlineStr">
        <is>
          <t xml:space="preserve">$1,000,000 CSL</t>
        </is>
      </c>
      <c r="Y359" s="30"/>
      <c r="Z359" s="30"/>
      <c r="AA359" s="32" t="inlineStr">
        <is>
          <t xml:space="preserve">Surplus Lines</t>
        </is>
      </c>
      <c r="AB359" s="35">
        <v>4848.7</v>
      </c>
      <c r="AC359" s="37">
        <v>0</v>
      </c>
      <c r="AD359" s="38">
        <f>IF(ISNUMBER($AB359),$AB359*(1+N($AC359)),"")</f>
      </c>
      <c r="AE359" s="35">
        <v>350</v>
      </c>
      <c r="AF359" s="35">
        <v>0</v>
      </c>
      <c r="AG359" s="37"/>
      <c r="AH359" s="39">
        <f>IF(ISNUMBER($AD359),($AD359+$AE359+$AF359)*$AG359,"")</f>
      </c>
      <c r="AI359" s="35"/>
      <c r="AJ359" s="38">
        <f>IF(ISNUMBER($AD359),SUM($AD359:$AH359),"")</f>
      </c>
      <c r="AK359" s="40">
        <f>IF(AND(ISNUMBER($AB359),ISNUMBER($AD359)),IF($AB359&gt;0,$AD359/$AB359,""),"")</f>
      </c>
      <c r="AL359" s="32" t="inlineStr">
        <is>
          <t xml:space="preserve">At technical</t>
        </is>
      </c>
      <c r="AM359" s="41">
        <f>IF(ISNUMBER($AD359),Header!$I$3,"")</f>
      </c>
      <c r="AN359" s="39">
        <f>IF(ISNUMBER($AD359),$AO359+$AP359,"")</f>
      </c>
      <c r="AO359" s="39">
        <f>IF(ISNUMBER($AD359),ROUND($AD359*Header!$K$3,2),"")</f>
      </c>
      <c r="AP359" s="39">
        <f>IF(ISNUMBER($AD359),ROUND($AD359*Header!$M$3,2),"")</f>
      </c>
      <c r="AQ359" s="38">
        <f>IF(ISNUMBER($AD359),ROUND($AD359,2)-$AO359-$AP359,"")</f>
      </c>
      <c r="AR359" s="39">
        <f>IF(ISNUMBER($AD359),IF(Header!$D$34="","?",$AD359*Header!$D$34),"")</f>
      </c>
      <c r="AS359" s="39">
        <f>IF(ISNUMBER($AB359),IF(Header!$D$34="","?",$AB359*Header!$D$34),"")</f>
      </c>
      <c r="AT359" s="42">
        <f>IF(AND(ISNUMBER($AB359),$M359&gt;0),$AB359/$M359*100,"")</f>
      </c>
      <c r="AU359" s="42">
        <f>IF(AND(ISNUMBER($AD359),$M359&gt;0),$AD359/$M359*100,"")</f>
      </c>
      <c r="AV359" s="40">
        <f>IF(AND(ISNUMBER($AB359),ISNUMBER($AD359),ABS($AB359)&gt;0),$AD359/$AB359,"")</f>
      </c>
      <c r="AW359" s="39">
        <f>IF(ISNUMBER($AD359),MAX(0,(1-0.55-Header!$O$3)*Header!$Q$3*$AQ359),"")</f>
      </c>
      <c r="AX359" s="43">
        <f>IF($A359="","",IF(TRIM(IF($A359="","Missing certificate ref. ","") &amp; IF($C359="","Missing effective date. ","") &amp; IF($D359="","Missing binding status. ","") &amp; IF($E359="","Missing movement type. ","") &amp; IF($I359="","Missing make. ","") &amp; IF($L359="","Missing vehicle class. ","") &amp; IF($M359="","Missing agreed value. ","") &amp; IF($N359="","Missing policy type. ","") &amp; IF($Q359="","Missing garaging state. ","") &amp; IF($R359="","Missing garaging ZIP. ","") &amp; IF($S359="","Missing cat zone. ","") &amp; IF($V359="","Missing valuation basis. ","") &amp; IF($W359="","Missing PD deductible. ","") &amp; IF($X359="","Missing liability limit. ","") &amp; IF($AB359="","Missing technical premium. ","") &amp; IF($AF359="","Missing surplus lines tax %. ",""))="","PASS","FAIL: "&amp;TRIM(IF($A359="","Missing certificate ref. ","") &amp; IF($C359="","Missing effective date. ","") &amp; IF($D359="","Missing binding status. ","") &amp; IF($E359="","Missing movement type. ","") &amp; IF($I359="","Missing make. ","") &amp; IF($L359="","Missing vehicle class. ","") &amp; IF($M359="","Missing agreed value. ","") &amp; IF($N359="","Missing policy type. ","") &amp; IF($Q359="","Missing garaging state. ","") &amp; IF($R359="","Missing garaging ZIP. ","") &amp; IF($S359="","Missing cat zone. ","") &amp; IF($V359="","Missing valuation basis. ","") &amp; IF($W359="","Missing PD deductible. ","") &amp; IF($X359="","Missing liability limit. ","") &amp; IF($AB359="","Missing technical premium. ","") &amp; IF($AF359="","Missing surplus lines tax %. ",""))))</f>
      </c>
      <c r="AY359" s="44">
        <f>IF($M359="","",IF(ISNUMBER($M359),IF($M359&gt;=Header!$C$18,"YES — refer","No"),""))</f>
      </c>
      <c r="AZ359" s="44">
        <f>IF($AD359="","",IF(ISNUMBER($AD359),IF($AD359&lt;Header!$C$20,"BELOW MIN PREMIUM","OK"),""))</f>
      </c>
      <c r="BA359" s="32" t="inlineStr">
        <is>
          <t xml:space="preserve">Yes</t>
        </is>
      </c>
      <c r="BB359" s="32" t="inlineStr">
        <is>
          <t xml:space="preserve">Yes</t>
        </is>
      </c>
      <c r="BC359" s="30" t="inlineStr">
        <is>
          <t xml:space="preserve">Synthetic demo data</t>
        </is>
      </c>
      <c r="BE359" s="45">
        <f>IF(OR($A359="",$L359="",$H359=""),"",IF(AND(LEFT($L359,2)="06",$H359&gt;1945),"FAIL - pre-war class, year "&amp;$H359,IF(AND(LEFT($L359,2)="07",OR($H359&lt;1946,$H359&gt;1972)),"FAIL - 1946-72 class, year "&amp;$H359,IF(AND(LEFT($L359,2)="08",OR($H359&lt;1973,$H359&gt;1999)),"FAIL - 1973-99 class, year "&amp;$H359,IF(AND(LEFT($L359,2)="09",OR($H359&lt;2000,$H359&gt;2010)),"FAIL - 2000-10 class, year "&amp;$H359,"OK")))))</f>
      </c>
      <c r="BF359" s="45">
        <f>IF($AD359="","",IF(ROUND($AO359+$AP359+$AQ359-$AD359,2)=0,"OK","FAIL - out by "&amp;TEXT($AO359+$AP359+$AQ359-$AD359,"$0.00")))</f>
      </c>
    </row>
    <row r="360" spans="1:58" ht="18.75" customHeight="1" x14ac:dyDescent="0.25">
      <c r="A360" s="46" t="inlineStr">
        <is>
          <t xml:space="preserve">CANON-202511-002656</t>
        </is>
      </c>
      <c r="B360" s="46" t="inlineStr">
        <is>
          <t xml:space="preserve">Ramona Thistlewood</t>
        </is>
      </c>
      <c r="C360" s="47">
        <v>45986</v>
      </c>
      <c r="D360" s="48" t="inlineStr">
        <is>
          <t xml:space="preserve">Bound - within authority</t>
        </is>
      </c>
      <c r="E360" s="48" t="inlineStr">
        <is>
          <t xml:space="preserve">New business</t>
        </is>
      </c>
      <c r="F360" s="46" t="inlineStr">
        <is>
          <t xml:space="preserve">B1234EXOTIC26</t>
        </is>
      </c>
      <c r="G360" s="33">
        <f>IF($A360="","",IF($C360="","",YEAR($C360)))</f>
      </c>
      <c r="H360" s="49">
        <v>1967</v>
      </c>
      <c r="I360" s="46" t="inlineStr">
        <is>
          <t xml:space="preserve">BMW</t>
        </is>
      </c>
      <c r="J360" s="46" t="inlineStr">
        <is>
          <t xml:space="preserve">M8 Competition</t>
        </is>
      </c>
      <c r="K360" s="46" t="inlineStr">
        <is>
          <t xml:space="preserve">VCMYTTWJD387267S1</t>
        </is>
      </c>
      <c r="L360" s="48" t="inlineStr">
        <is>
          <t xml:space="preserve">02 - Sports / GT</t>
        </is>
      </c>
      <c r="M360" s="50">
        <v>395000</v>
      </c>
      <c r="N360" s="48" t="inlineStr">
        <is>
          <t xml:space="preserve">Personal</t>
        </is>
      </c>
      <c r="O360" s="46" t="inlineStr">
        <is>
          <t xml:space="preserve">Personal - regular use</t>
        </is>
      </c>
      <c r="P360" s="46" t="inlineStr">
        <is>
          <t xml:space="preserve">1,000 - 2,500</t>
        </is>
      </c>
      <c r="Q360" s="46" t="inlineStr">
        <is>
          <t xml:space="preserve">Alaska</t>
        </is>
      </c>
      <c r="R360" s="46" t="inlineStr">
        <is>
          <t xml:space="preserve">99501</t>
        </is>
      </c>
      <c r="S360" s="48" t="inlineStr">
        <is>
          <t xml:space="preserve">Earthquake - high (CA, Cascadia, New Madrid)</t>
        </is>
      </c>
      <c r="T360" s="36">
        <f>IF($A360="","",IF($S360="","",IFERROR(INDEX('[1]natural catastrophe'!$D$6:$D$17,MATCH($S360,'[1]natural catastrophe'!$B$6:$B$17,0)),"?")))</f>
      </c>
      <c r="U360" s="46" t="inlineStr">
        <is>
          <t xml:space="preserve">$5,000</t>
        </is>
      </c>
      <c r="V360" s="48" t="inlineStr">
        <is>
          <t xml:space="preserve">Agreed Value</t>
        </is>
      </c>
      <c r="W360" s="46" t="inlineStr">
        <is>
          <t xml:space="preserve">$1,000</t>
        </is>
      </c>
      <c r="X360" s="48" t="inlineStr">
        <is>
          <t xml:space="preserve">$1,000,000 CSL</t>
        </is>
      </c>
      <c r="Y360" s="46"/>
      <c r="Z360" s="46"/>
      <c r="AA360" s="48" t="inlineStr">
        <is>
          <t xml:space="preserve">Surplus Lines</t>
        </is>
      </c>
      <c r="AB360" s="50">
        <v>5858.57</v>
      </c>
      <c r="AC360" s="51">
        <v>0</v>
      </c>
      <c r="AD360" s="38">
        <f>IF(ISNUMBER($AB360),$AB360*(1+N($AC360)),"")</f>
      </c>
      <c r="AE360" s="50">
        <v>350</v>
      </c>
      <c r="AF360" s="50">
        <v>0</v>
      </c>
      <c r="AG360" s="51"/>
      <c r="AH360" s="39">
        <f>IF(ISNUMBER($AD360),($AD360+$AE360+$AF360)*$AG360,"")</f>
      </c>
      <c r="AI360" s="50"/>
      <c r="AJ360" s="38">
        <f>IF(ISNUMBER($AD360),SUM($AD360:$AH360),"")</f>
      </c>
      <c r="AK360" s="40">
        <f>IF(AND(ISNUMBER($AB360),ISNUMBER($AD360)),IF($AB360&gt;0,$AD360/$AB360,""),"")</f>
      </c>
      <c r="AL360" s="48" t="inlineStr">
        <is>
          <t xml:space="preserve">At technical</t>
        </is>
      </c>
      <c r="AM360" s="41">
        <f>IF(ISNUMBER($AD360),Header!$I$3,"")</f>
      </c>
      <c r="AN360" s="39">
        <f>IF(ISNUMBER($AD360),$AO360+$AP360,"")</f>
      </c>
      <c r="AO360" s="39">
        <f>IF(ISNUMBER($AD360),ROUND($AD360*Header!$K$3,2),"")</f>
      </c>
      <c r="AP360" s="39">
        <f>IF(ISNUMBER($AD360),ROUND($AD360*Header!$M$3,2),"")</f>
      </c>
      <c r="AQ360" s="38">
        <f>IF(ISNUMBER($AD360),ROUND($AD360,2)-$AO360-$AP360,"")</f>
      </c>
      <c r="AR360" s="39">
        <f>IF(ISNUMBER($AD360),IF(Header!$D$34="","?",$AD360*Header!$D$34),"")</f>
      </c>
      <c r="AS360" s="39">
        <f>IF(ISNUMBER($AB360),IF(Header!$D$34="","?",$AB360*Header!$D$34),"")</f>
      </c>
      <c r="AT360" s="42">
        <f>IF(AND(ISNUMBER($AB360),$M360&gt;0),$AB360/$M360*100,"")</f>
      </c>
      <c r="AU360" s="42">
        <f>IF(AND(ISNUMBER($AD360),$M360&gt;0),$AD360/$M360*100,"")</f>
      </c>
      <c r="AV360" s="40">
        <f>IF(AND(ISNUMBER($AB360),ISNUMBER($AD360),ABS($AB360)&gt;0),$AD360/$AB360,"")</f>
      </c>
      <c r="AW360" s="39">
        <f>IF(ISNUMBER($AD360),MAX(0,(1-0.55-Header!$O$3)*Header!$Q$3*$AQ360),"")</f>
      </c>
      <c r="AX360" s="43">
        <f>IF($A360="","",IF(TRIM(IF($A360="","Missing certificate ref. ","") &amp; IF($C360="","Missing effective date. ","") &amp; IF($D360="","Missing binding status. ","") &amp; IF($E360="","Missing movement type. ","") &amp; IF($I360="","Missing make. ","") &amp; IF($L360="","Missing vehicle class. ","") &amp; IF($M360="","Missing agreed value. ","") &amp; IF($N360="","Missing policy type. ","") &amp; IF($Q360="","Missing garaging state. ","") &amp; IF($R360="","Missing garaging ZIP. ","") &amp; IF($S360="","Missing cat zone. ","") &amp; IF($V360="","Missing valuation basis. ","") &amp; IF($W360="","Missing PD deductible. ","") &amp; IF($X360="","Missing liability limit. ","") &amp; IF($AB360="","Missing technical premium. ","") &amp; IF($AF360="","Missing surplus lines tax %. ",""))="","PASS","FAIL: "&amp;TRIM(IF($A360="","Missing certificate ref. ","") &amp; IF($C360="","Missing effective date. ","") &amp; IF($D360="","Missing binding status. ","") &amp; IF($E360="","Missing movement type. ","") &amp; IF($I360="","Missing make. ","") &amp; IF($L360="","Missing vehicle class. ","") &amp; IF($M360="","Missing agreed value. ","") &amp; IF($N360="","Missing policy type. ","") &amp; IF($Q360="","Missing garaging state. ","") &amp; IF($R360="","Missing garaging ZIP. ","") &amp; IF($S360="","Missing cat zone. ","") &amp; IF($V360="","Missing valuation basis. ","") &amp; IF($W360="","Missing PD deductible. ","") &amp; IF($X360="","Missing liability limit. ","") &amp; IF($AB360="","Missing technical premium. ","") &amp; IF($AF360="","Missing surplus lines tax %. ",""))))</f>
      </c>
      <c r="AY360" s="44">
        <f>IF($M360="","",IF(ISNUMBER($M360),IF($M360&gt;=Header!$C$18,"YES — refer","No"),""))</f>
      </c>
      <c r="AZ360" s="44">
        <f>IF($AD360="","",IF(ISNUMBER($AD360),IF($AD360&lt;Header!$C$20,"BELOW MIN PREMIUM","OK"),""))</f>
      </c>
      <c r="BA360" s="48" t="inlineStr">
        <is>
          <t xml:space="preserve">Yes</t>
        </is>
      </c>
      <c r="BB360" s="48" t="inlineStr">
        <is>
          <t xml:space="preserve">Yes</t>
        </is>
      </c>
      <c r="BC360" s="46" t="inlineStr">
        <is>
          <t xml:space="preserve">Synthetic demo data</t>
        </is>
      </c>
      <c r="BE360" s="45">
        <f>IF(OR($A360="",$L360="",$H360=""),"",IF(AND(LEFT($L360,2)="06",$H360&gt;1945),"FAIL - pre-war class, year "&amp;$H360,IF(AND(LEFT($L360,2)="07",OR($H360&lt;1946,$H360&gt;1972)),"FAIL - 1946-72 class, year "&amp;$H360,IF(AND(LEFT($L360,2)="08",OR($H360&lt;1973,$H360&gt;1999)),"FAIL - 1973-99 class, year "&amp;$H360,IF(AND(LEFT($L360,2)="09",OR($H360&lt;2000,$H360&gt;2010)),"FAIL - 2000-10 class, year "&amp;$H360,"OK")))))</f>
      </c>
      <c r="BF360" s="45">
        <f>IF($AD360="","",IF(ROUND($AO360+$AP360+$AQ360-$AD360,2)=0,"OK","FAIL - out by "&amp;TEXT($AO360+$AP360+$AQ360-$AD360,"$0.00")))</f>
      </c>
    </row>
    <row r="361" spans="1:58" ht="18.75" customHeight="1" x14ac:dyDescent="0.25">
      <c r="A361" s="30" t="inlineStr">
        <is>
          <t xml:space="preserve">CANON-202511-002658</t>
        </is>
      </c>
      <c r="B361" s="30" t="inlineStr">
        <is>
          <t xml:space="preserve">Sunniva Vandermeer</t>
        </is>
      </c>
      <c r="C361" s="31">
        <v>45979</v>
      </c>
      <c r="D361" s="32" t="inlineStr">
        <is>
          <t xml:space="preserve">Bound - within authority</t>
        </is>
      </c>
      <c r="E361" s="32" t="inlineStr">
        <is>
          <t xml:space="preserve">New business</t>
        </is>
      </c>
      <c r="F361" s="30" t="inlineStr">
        <is>
          <t xml:space="preserve">B1234EXOTIC26</t>
        </is>
      </c>
      <c r="G361" s="33">
        <f>IF($A361="","",IF($C361="","",YEAR($C361)))</f>
      </c>
      <c r="H361" s="34">
        <v>1984</v>
      </c>
      <c r="I361" s="30" t="inlineStr">
        <is>
          <t xml:space="preserve">Ringbrothers</t>
        </is>
      </c>
      <c r="J361" s="30" t="inlineStr">
        <is>
          <t xml:space="preserve">Mustang</t>
        </is>
      </c>
      <c r="K361" s="30" t="inlineStr">
        <is>
          <t xml:space="preserve">866AVAAVRGHHWN9GY</t>
        </is>
      </c>
      <c r="L361" s="32" t="inlineStr">
        <is>
          <t xml:space="preserve">11 - Restomod / Coachbuilt / Bespoke</t>
        </is>
      </c>
      <c r="M361" s="35">
        <v>1265000</v>
      </c>
      <c r="N361" s="32" t="inlineStr">
        <is>
          <t xml:space="preserve">Personal</t>
        </is>
      </c>
      <c r="O361" s="30" t="inlineStr">
        <is>
          <t xml:space="preserve">Personal - regular use</t>
        </is>
      </c>
      <c r="P361" s="30" t="inlineStr">
        <is>
          <t xml:space="preserve">2,500 - 5,000</t>
        </is>
      </c>
      <c r="Q361" s="30" t="inlineStr">
        <is>
          <t xml:space="preserve">Maine</t>
        </is>
      </c>
      <c r="R361" s="30" t="inlineStr">
        <is>
          <t xml:space="preserve">04101</t>
        </is>
      </c>
      <c r="S361" s="32" t="inlineStr">
        <is>
          <t xml:space="preserve">Tier 3 - Coastal wind (25-100 miles)</t>
        </is>
      </c>
      <c r="T361" s="36">
        <f>IF($A361="","",IF($S361="","",IFERROR(INDEX('[1]natural catastrophe'!$D$6:$D$17,MATCH($S361,'[1]natural catastrophe'!$B$6:$B$17,0)),"?")))</f>
      </c>
      <c r="U361" s="30" t="inlineStr">
        <is>
          <t xml:space="preserve">2% of agreed value, minimum $10,000</t>
        </is>
      </c>
      <c r="V361" s="32" t="inlineStr">
        <is>
          <t xml:space="preserve">Agreed Value</t>
        </is>
      </c>
      <c r="W361" s="30" t="inlineStr">
        <is>
          <t xml:space="preserve">$1,000</t>
        </is>
      </c>
      <c r="X361" s="32" t="inlineStr">
        <is>
          <t xml:space="preserve">$1,000,000 CSL</t>
        </is>
      </c>
      <c r="Y361" s="30"/>
      <c r="Z361" s="30"/>
      <c r="AA361" s="32" t="inlineStr">
        <is>
          <t xml:space="preserve">Surplus Lines</t>
        </is>
      </c>
      <c r="AB361" s="35">
        <v>16115.79</v>
      </c>
      <c r="AC361" s="37">
        <v>0</v>
      </c>
      <c r="AD361" s="38">
        <f>IF(ISNUMBER($AB361),$AB361*(1+N($AC361)),"")</f>
      </c>
      <c r="AE361" s="35">
        <v>350</v>
      </c>
      <c r="AF361" s="35">
        <v>250</v>
      </c>
      <c r="AG361" s="37"/>
      <c r="AH361" s="39">
        <f>IF(ISNUMBER($AD361),($AD361+$AE361+$AF361)*$AG361,"")</f>
      </c>
      <c r="AI361" s="35"/>
      <c r="AJ361" s="38">
        <f>IF(ISNUMBER($AD361),SUM($AD361:$AH361),"")</f>
      </c>
      <c r="AK361" s="40">
        <f>IF(AND(ISNUMBER($AB361),ISNUMBER($AD361)),IF($AB361&gt;0,$AD361/$AB361,""),"")</f>
      </c>
      <c r="AL361" s="32" t="inlineStr">
        <is>
          <t xml:space="preserve">At technical</t>
        </is>
      </c>
      <c r="AM361" s="41">
        <f>IF(ISNUMBER($AD361),Header!$I$3,"")</f>
      </c>
      <c r="AN361" s="39">
        <f>IF(ISNUMBER($AD361),$AO361+$AP361,"")</f>
      </c>
      <c r="AO361" s="39">
        <f>IF(ISNUMBER($AD361),ROUND($AD361*Header!$K$3,2),"")</f>
      </c>
      <c r="AP361" s="39">
        <f>IF(ISNUMBER($AD361),ROUND($AD361*Header!$M$3,2),"")</f>
      </c>
      <c r="AQ361" s="38">
        <f>IF(ISNUMBER($AD361),ROUND($AD361,2)-$AO361-$AP361,"")</f>
      </c>
      <c r="AR361" s="39">
        <f>IF(ISNUMBER($AD361),IF(Header!$D$34="","?",$AD361*Header!$D$34),"")</f>
      </c>
      <c r="AS361" s="39">
        <f>IF(ISNUMBER($AB361),IF(Header!$D$34="","?",$AB361*Header!$D$34),"")</f>
      </c>
      <c r="AT361" s="42">
        <f>IF(AND(ISNUMBER($AB361),$M361&gt;0),$AB361/$M361*100,"")</f>
      </c>
      <c r="AU361" s="42">
        <f>IF(AND(ISNUMBER($AD361),$M361&gt;0),$AD361/$M361*100,"")</f>
      </c>
      <c r="AV361" s="40">
        <f>IF(AND(ISNUMBER($AB361),ISNUMBER($AD361),ABS($AB361)&gt;0),$AD361/$AB361,"")</f>
      </c>
      <c r="AW361" s="39">
        <f>IF(ISNUMBER($AD361),MAX(0,(1-0.55-Header!$O$3)*Header!$Q$3*$AQ361),"")</f>
      </c>
      <c r="AX361" s="43">
        <f>IF($A361="","",IF(TRIM(IF($A361="","Missing certificate ref. ","") &amp; IF($C361="","Missing effective date. ","") &amp; IF($D361="","Missing binding status. ","") &amp; IF($E361="","Missing movement type. ","") &amp; IF($I361="","Missing make. ","") &amp; IF($L361="","Missing vehicle class. ","") &amp; IF($M361="","Missing agreed value. ","") &amp; IF($N361="","Missing policy type. ","") &amp; IF($Q361="","Missing garaging state. ","") &amp; IF($R361="","Missing garaging ZIP. ","") &amp; IF($S361="","Missing cat zone. ","") &amp; IF($V361="","Missing valuation basis. ","") &amp; IF($W361="","Missing PD deductible. ","") &amp; IF($X361="","Missing liability limit. ","") &amp; IF($AB361="","Missing technical premium. ","") &amp; IF($AF361="","Missing surplus lines tax %. ",""))="","PASS","FAIL: "&amp;TRIM(IF($A361="","Missing certificate ref. ","") &amp; IF($C361="","Missing effective date. ","") &amp; IF($D361="","Missing binding status. ","") &amp; IF($E361="","Missing movement type. ","") &amp; IF($I361="","Missing make. ","") &amp; IF($L361="","Missing vehicle class. ","") &amp; IF($M361="","Missing agreed value. ","") &amp; IF($N361="","Missing policy type. ","") &amp; IF($Q361="","Missing garaging state. ","") &amp; IF($R361="","Missing garaging ZIP. ","") &amp; IF($S361="","Missing cat zone. ","") &amp; IF($V361="","Missing valuation basis. ","") &amp; IF($W361="","Missing PD deductible. ","") &amp; IF($X361="","Missing liability limit. ","") &amp; IF($AB361="","Missing technical premium. ","") &amp; IF($AF361="","Missing surplus lines tax %. ",""))))</f>
      </c>
      <c r="AY361" s="44">
        <f>IF($M361="","",IF(ISNUMBER($M361),IF($M361&gt;=Header!$C$18,"YES — refer","No"),""))</f>
      </c>
      <c r="AZ361" s="44">
        <f>IF($AD361="","",IF(ISNUMBER($AD361),IF($AD361&lt;Header!$C$20,"BELOW MIN PREMIUM","OK"),""))</f>
      </c>
      <c r="BA361" s="32" t="inlineStr">
        <is>
          <t xml:space="preserve">Yes</t>
        </is>
      </c>
      <c r="BB361" s="32" t="inlineStr">
        <is>
          <t xml:space="preserve">Yes</t>
        </is>
      </c>
      <c r="BC361" s="30" t="inlineStr">
        <is>
          <t xml:space="preserve">Synthetic demo data</t>
        </is>
      </c>
      <c r="BE361" s="45">
        <f>IF(OR($A361="",$L361="",$H361=""),"",IF(AND(LEFT($L361,2)="06",$H361&gt;1945),"FAIL - pre-war class, year "&amp;$H361,IF(AND(LEFT($L361,2)="07",OR($H361&lt;1946,$H361&gt;1972)),"FAIL - 1946-72 class, year "&amp;$H361,IF(AND(LEFT($L361,2)="08",OR($H361&lt;1973,$H361&gt;1999)),"FAIL - 1973-99 class, year "&amp;$H361,IF(AND(LEFT($L361,2)="09",OR($H361&lt;2000,$H361&gt;2010)),"FAIL - 2000-10 class, year "&amp;$H361,"OK")))))</f>
      </c>
      <c r="BF361" s="45">
        <f>IF($AD361="","",IF(ROUND($AO361+$AP361+$AQ361-$AD361,2)=0,"OK","FAIL - out by "&amp;TEXT($AO361+$AP361+$AQ361-$AD361,"$0.00")))</f>
      </c>
    </row>
    <row r="362" spans="1:58" ht="18.75" customHeight="1" x14ac:dyDescent="0.25">
      <c r="A362" s="46" t="inlineStr">
        <is>
          <t xml:space="preserve">CANON-202511-002659</t>
        </is>
      </c>
      <c r="B362" s="46" t="inlineStr">
        <is>
          <t xml:space="preserve">Ramona Fairweather</t>
        </is>
      </c>
      <c r="C362" s="47">
        <v>45984</v>
      </c>
      <c r="D362" s="48" t="inlineStr">
        <is>
          <t xml:space="preserve">Bound - within authority</t>
        </is>
      </c>
      <c r="E362" s="48" t="inlineStr">
        <is>
          <t xml:space="preserve">New business</t>
        </is>
      </c>
      <c r="F362" s="46" t="inlineStr">
        <is>
          <t xml:space="preserve">B1234EXOTIC26</t>
        </is>
      </c>
      <c r="G362" s="33">
        <f>IF($A362="","",IF($C362="","",YEAR($C362)))</f>
      </c>
      <c r="H362" s="49">
        <v>1966</v>
      </c>
      <c r="I362" s="46" t="inlineStr">
        <is>
          <t xml:space="preserve">Maserati</t>
        </is>
      </c>
      <c r="J362" s="46" t="inlineStr">
        <is>
          <t xml:space="preserve">GranTurismo</t>
        </is>
      </c>
      <c r="K362" s="46" t="inlineStr">
        <is>
          <t xml:space="preserve">94JZN9K4UX1UZSAWV</t>
        </is>
      </c>
      <c r="L362" s="48" t="inlineStr">
        <is>
          <t xml:space="preserve">02 - Sports / GT</t>
        </is>
      </c>
      <c r="M362" s="50">
        <v>570000</v>
      </c>
      <c r="N362" s="48" t="inlineStr">
        <is>
          <t xml:space="preserve">Personal</t>
        </is>
      </c>
      <c r="O362" s="46" t="inlineStr">
        <is>
          <t xml:space="preserve">Personal - regular use</t>
        </is>
      </c>
      <c r="P362" s="46" t="inlineStr">
        <is>
          <t xml:space="preserve">2,500 - 5,000</t>
        </is>
      </c>
      <c r="Q362" s="46" t="inlineStr">
        <is>
          <t xml:space="preserve">New Mexico</t>
        </is>
      </c>
      <c r="R362" s="46" t="inlineStr">
        <is>
          <t xml:space="preserve">87501</t>
        </is>
      </c>
      <c r="S362" s="48" t="inlineStr">
        <is>
          <t xml:space="preserve">Wildfire - WUI high hazard</t>
        </is>
      </c>
      <c r="T362" s="36">
        <f>IF($A362="","",IF($S362="","",IFERROR(INDEX('[1]natural catastrophe'!$D$6:$D$17,MATCH($S362,'[1]natural catastrophe'!$B$6:$B$17,0)),"?")))</f>
      </c>
      <c r="U362" s="46" t="inlineStr">
        <is>
          <t xml:space="preserve">$5,000</t>
        </is>
      </c>
      <c r="V362" s="48" t="inlineStr">
        <is>
          <t xml:space="preserve">Agreed Value</t>
        </is>
      </c>
      <c r="W362" s="46" t="inlineStr">
        <is>
          <t xml:space="preserve">$1,000</t>
        </is>
      </c>
      <c r="X362" s="48" t="inlineStr">
        <is>
          <t xml:space="preserve">$1,000,000 CSL</t>
        </is>
      </c>
      <c r="Y362" s="46"/>
      <c r="Z362" s="46"/>
      <c r="AA362" s="48" t="inlineStr">
        <is>
          <t xml:space="preserve">Surplus Lines</t>
        </is>
      </c>
      <c r="AB362" s="50">
        <v>8226.72</v>
      </c>
      <c r="AC362" s="51">
        <v>0</v>
      </c>
      <c r="AD362" s="38">
        <f>IF(ISNUMBER($AB362),$AB362*(1+N($AC362)),"")</f>
      </c>
      <c r="AE362" s="50">
        <v>350</v>
      </c>
      <c r="AF362" s="50">
        <v>0</v>
      </c>
      <c r="AG362" s="51"/>
      <c r="AH362" s="39">
        <f>IF(ISNUMBER($AD362),($AD362+$AE362+$AF362)*$AG362,"")</f>
      </c>
      <c r="AI362" s="50"/>
      <c r="AJ362" s="38">
        <f>IF(ISNUMBER($AD362),SUM($AD362:$AH362),"")</f>
      </c>
      <c r="AK362" s="40">
        <f>IF(AND(ISNUMBER($AB362),ISNUMBER($AD362)),IF($AB362&gt;0,$AD362/$AB362,""),"")</f>
      </c>
      <c r="AL362" s="48" t="inlineStr">
        <is>
          <t xml:space="preserve">At technical</t>
        </is>
      </c>
      <c r="AM362" s="41">
        <f>IF(ISNUMBER($AD362),Header!$I$3,"")</f>
      </c>
      <c r="AN362" s="39">
        <f>IF(ISNUMBER($AD362),$AO362+$AP362,"")</f>
      </c>
      <c r="AO362" s="39">
        <f>IF(ISNUMBER($AD362),ROUND($AD362*Header!$K$3,2),"")</f>
      </c>
      <c r="AP362" s="39">
        <f>IF(ISNUMBER($AD362),ROUND($AD362*Header!$M$3,2),"")</f>
      </c>
      <c r="AQ362" s="38">
        <f>IF(ISNUMBER($AD362),ROUND($AD362,2)-$AO362-$AP362,"")</f>
      </c>
      <c r="AR362" s="39">
        <f>IF(ISNUMBER($AD362),IF(Header!$D$34="","?",$AD362*Header!$D$34),"")</f>
      </c>
      <c r="AS362" s="39">
        <f>IF(ISNUMBER($AB362),IF(Header!$D$34="","?",$AB362*Header!$D$34),"")</f>
      </c>
      <c r="AT362" s="42">
        <f>IF(AND(ISNUMBER($AB362),$M362&gt;0),$AB362/$M362*100,"")</f>
      </c>
      <c r="AU362" s="42">
        <f>IF(AND(ISNUMBER($AD362),$M362&gt;0),$AD362/$M362*100,"")</f>
      </c>
      <c r="AV362" s="40">
        <f>IF(AND(ISNUMBER($AB362),ISNUMBER($AD362),ABS($AB362)&gt;0),$AD362/$AB362,"")</f>
      </c>
      <c r="AW362" s="39">
        <f>IF(ISNUMBER($AD362),MAX(0,(1-0.55-Header!$O$3)*Header!$Q$3*$AQ362),"")</f>
      </c>
      <c r="AX362" s="43">
        <f>IF($A362="","",IF(TRIM(IF($A362="","Missing certificate ref. ","") &amp; IF($C362="","Missing effective date. ","") &amp; IF($D362="","Missing binding status. ","") &amp; IF($E362="","Missing movement type. ","") &amp; IF($I362="","Missing make. ","") &amp; IF($L362="","Missing vehicle class. ","") &amp; IF($M362="","Missing agreed value. ","") &amp; IF($N362="","Missing policy type. ","") &amp; IF($Q362="","Missing garaging state. ","") &amp; IF($R362="","Missing garaging ZIP. ","") &amp; IF($S362="","Missing cat zone. ","") &amp; IF($V362="","Missing valuation basis. ","") &amp; IF($W362="","Missing PD deductible. ","") &amp; IF($X362="","Missing liability limit. ","") &amp; IF($AB362="","Missing technical premium. ","") &amp; IF($AF362="","Missing surplus lines tax %. ",""))="","PASS","FAIL: "&amp;TRIM(IF($A362="","Missing certificate ref. ","") &amp; IF($C362="","Missing effective date. ","") &amp; IF($D362="","Missing binding status. ","") &amp; IF($E362="","Missing movement type. ","") &amp; IF($I362="","Missing make. ","") &amp; IF($L362="","Missing vehicle class. ","") &amp; IF($M362="","Missing agreed value. ","") &amp; IF($N362="","Missing policy type. ","") &amp; IF($Q362="","Missing garaging state. ","") &amp; IF($R362="","Missing garaging ZIP. ","") &amp; IF($S362="","Missing cat zone. ","") &amp; IF($V362="","Missing valuation basis. ","") &amp; IF($W362="","Missing PD deductible. ","") &amp; IF($X362="","Missing liability limit. ","") &amp; IF($AB362="","Missing technical premium. ","") &amp; IF($AF362="","Missing surplus lines tax %. ",""))))</f>
      </c>
      <c r="AY362" s="44">
        <f>IF($M362="","",IF(ISNUMBER($M362),IF($M362&gt;=Header!$C$18,"YES — refer","No"),""))</f>
      </c>
      <c r="AZ362" s="44">
        <f>IF($AD362="","",IF(ISNUMBER($AD362),IF($AD362&lt;Header!$C$20,"BELOW MIN PREMIUM","OK"),""))</f>
      </c>
      <c r="BA362" s="48" t="inlineStr">
        <is>
          <t xml:space="preserve">Yes</t>
        </is>
      </c>
      <c r="BB362" s="48" t="inlineStr">
        <is>
          <t xml:space="preserve">Yes</t>
        </is>
      </c>
      <c r="BC362" s="46" t="inlineStr">
        <is>
          <t xml:space="preserve">Synthetic demo data</t>
        </is>
      </c>
      <c r="BE362" s="45">
        <f>IF(OR($A362="",$L362="",$H362=""),"",IF(AND(LEFT($L362,2)="06",$H362&gt;1945),"FAIL - pre-war class, year "&amp;$H362,IF(AND(LEFT($L362,2)="07",OR($H362&lt;1946,$H362&gt;1972)),"FAIL - 1946-72 class, year "&amp;$H362,IF(AND(LEFT($L362,2)="08",OR($H362&lt;1973,$H362&gt;1999)),"FAIL - 1973-99 class, year "&amp;$H362,IF(AND(LEFT($L362,2)="09",OR($H362&lt;2000,$H362&gt;2010)),"FAIL - 2000-10 class, year "&amp;$H362,"OK")))))</f>
      </c>
      <c r="BF362" s="45">
        <f>IF($AD362="","",IF(ROUND($AO362+$AP362+$AQ362-$AD362,2)=0,"OK","FAIL - out by "&amp;TEXT($AO362+$AP362+$AQ362-$AD362,"$0.00")))</f>
      </c>
    </row>
    <row r="363" spans="1:58" ht="18.75" customHeight="1" x14ac:dyDescent="0.25">
      <c r="A363" s="30" t="inlineStr">
        <is>
          <t xml:space="preserve">CANON-202511-002661</t>
        </is>
      </c>
      <c r="B363" s="30" t="inlineStr">
        <is>
          <t xml:space="preserve">Ramona Fairweather</t>
        </is>
      </c>
      <c r="C363" s="31">
        <v>45973</v>
      </c>
      <c r="D363" s="32" t="inlineStr">
        <is>
          <t xml:space="preserve">Bound - within authority</t>
        </is>
      </c>
      <c r="E363" s="32" t="inlineStr">
        <is>
          <t xml:space="preserve">New business</t>
        </is>
      </c>
      <c r="F363" s="30" t="inlineStr">
        <is>
          <t xml:space="preserve">B1234EXOTIC26</t>
        </is>
      </c>
      <c r="G363" s="33">
        <f>IF($A363="","",IF($C363="","",YEAR($C363)))</f>
      </c>
      <c r="H363" s="34">
        <v>1966</v>
      </c>
      <c r="I363" s="30" t="inlineStr">
        <is>
          <t xml:space="preserve">Porsche</t>
        </is>
      </c>
      <c r="J363" s="30" t="inlineStr">
        <is>
          <t xml:space="preserve">911 Turbo S</t>
        </is>
      </c>
      <c r="K363" s="30" t="inlineStr">
        <is>
          <t xml:space="preserve">USRX5U23WLN36MJS3</t>
        </is>
      </c>
      <c r="L363" s="32" t="inlineStr">
        <is>
          <t xml:space="preserve">02 - Sports / GT</t>
        </is>
      </c>
      <c r="M363" s="35">
        <v>545000</v>
      </c>
      <c r="N363" s="32" t="inlineStr">
        <is>
          <t xml:space="preserve">Personal</t>
        </is>
      </c>
      <c r="O363" s="30" t="inlineStr">
        <is>
          <t xml:space="preserve">Personal - regular use</t>
        </is>
      </c>
      <c r="P363" s="30" t="inlineStr">
        <is>
          <t xml:space="preserve">2,500 - 5,000</t>
        </is>
      </c>
      <c r="Q363" s="30" t="inlineStr">
        <is>
          <t xml:space="preserve">Vermont</t>
        </is>
      </c>
      <c r="R363" s="30" t="inlineStr">
        <is>
          <t xml:space="preserve">05601</t>
        </is>
      </c>
      <c r="S363" s="32" t="inlineStr">
        <is>
          <t xml:space="preserve">Low hazard - inland benign</t>
        </is>
      </c>
      <c r="T363" s="36">
        <f>IF($A363="","",IF($S363="","",IFERROR(INDEX('[1]natural catastrophe'!$D$6:$D$17,MATCH($S363,'[1]natural catastrophe'!$B$6:$B$17,0)),"?")))</f>
      </c>
      <c r="U363" s="30" t="inlineStr">
        <is>
          <t xml:space="preserve">$5,000</t>
        </is>
      </c>
      <c r="V363" s="32" t="inlineStr">
        <is>
          <t xml:space="preserve">Agreed Value</t>
        </is>
      </c>
      <c r="W363" s="30" t="inlineStr">
        <is>
          <t xml:space="preserve">$1,000</t>
        </is>
      </c>
      <c r="X363" s="32" t="inlineStr">
        <is>
          <t xml:space="preserve">$1,000,000 CSL</t>
        </is>
      </c>
      <c r="Y363" s="30"/>
      <c r="Z363" s="30"/>
      <c r="AA363" s="32" t="inlineStr">
        <is>
          <t xml:space="preserve">Surplus Lines</t>
        </is>
      </c>
      <c r="AB363" s="35">
        <v>7497.18</v>
      </c>
      <c r="AC363" s="37">
        <v>0</v>
      </c>
      <c r="AD363" s="38">
        <f>IF(ISNUMBER($AB363),$AB363*(1+N($AC363)),"")</f>
      </c>
      <c r="AE363" s="35">
        <v>350</v>
      </c>
      <c r="AF363" s="35">
        <v>0</v>
      </c>
      <c r="AG363" s="37"/>
      <c r="AH363" s="39">
        <f>IF(ISNUMBER($AD363),($AD363+$AE363+$AF363)*$AG363,"")</f>
      </c>
      <c r="AI363" s="35"/>
      <c r="AJ363" s="38">
        <f>IF(ISNUMBER($AD363),SUM($AD363:$AH363),"")</f>
      </c>
      <c r="AK363" s="40">
        <f>IF(AND(ISNUMBER($AB363),ISNUMBER($AD363)),IF($AB363&gt;0,$AD363/$AB363,""),"")</f>
      </c>
      <c r="AL363" s="32" t="inlineStr">
        <is>
          <t xml:space="preserve">At technical</t>
        </is>
      </c>
      <c r="AM363" s="41">
        <f>IF(ISNUMBER($AD363),Header!$I$3,"")</f>
      </c>
      <c r="AN363" s="39">
        <f>IF(ISNUMBER($AD363),$AO363+$AP363,"")</f>
      </c>
      <c r="AO363" s="39">
        <f>IF(ISNUMBER($AD363),ROUND($AD363*Header!$K$3,2),"")</f>
      </c>
      <c r="AP363" s="39">
        <f>IF(ISNUMBER($AD363),ROUND($AD363*Header!$M$3,2),"")</f>
      </c>
      <c r="AQ363" s="38">
        <f>IF(ISNUMBER($AD363),ROUND($AD363,2)-$AO363-$AP363,"")</f>
      </c>
      <c r="AR363" s="39">
        <f>IF(ISNUMBER($AD363),IF(Header!$D$34="","?",$AD363*Header!$D$34),"")</f>
      </c>
      <c r="AS363" s="39">
        <f>IF(ISNUMBER($AB363),IF(Header!$D$34="","?",$AB363*Header!$D$34),"")</f>
      </c>
      <c r="AT363" s="42">
        <f>IF(AND(ISNUMBER($AB363),$M363&gt;0),$AB363/$M363*100,"")</f>
      </c>
      <c r="AU363" s="42">
        <f>IF(AND(ISNUMBER($AD363),$M363&gt;0),$AD363/$M363*100,"")</f>
      </c>
      <c r="AV363" s="40">
        <f>IF(AND(ISNUMBER($AB363),ISNUMBER($AD363),ABS($AB363)&gt;0),$AD363/$AB363,"")</f>
      </c>
      <c r="AW363" s="39">
        <f>IF(ISNUMBER($AD363),MAX(0,(1-0.55-Header!$O$3)*Header!$Q$3*$AQ363),"")</f>
      </c>
      <c r="AX363" s="43">
        <f>IF($A363="","",IF(TRIM(IF($A363="","Missing certificate ref. ","") &amp; IF($C363="","Missing effective date. ","") &amp; IF($D363="","Missing binding status. ","") &amp; IF($E363="","Missing movement type. ","") &amp; IF($I363="","Missing make. ","") &amp; IF($L363="","Missing vehicle class. ","") &amp; IF($M363="","Missing agreed value. ","") &amp; IF($N363="","Missing policy type. ","") &amp; IF($Q363="","Missing garaging state. ","") &amp; IF($R363="","Missing garaging ZIP. ","") &amp; IF($S363="","Missing cat zone. ","") &amp; IF($V363="","Missing valuation basis. ","") &amp; IF($W363="","Missing PD deductible. ","") &amp; IF($X363="","Missing liability limit. ","") &amp; IF($AB363="","Missing technical premium. ","") &amp; IF($AF363="","Missing surplus lines tax %. ",""))="","PASS","FAIL: "&amp;TRIM(IF($A363="","Missing certificate ref. ","") &amp; IF($C363="","Missing effective date. ","") &amp; IF($D363="","Missing binding status. ","") &amp; IF($E363="","Missing movement type. ","") &amp; IF($I363="","Missing make. ","") &amp; IF($L363="","Missing vehicle class. ","") &amp; IF($M363="","Missing agreed value. ","") &amp; IF($N363="","Missing policy type. ","") &amp; IF($Q363="","Missing garaging state. ","") &amp; IF($R363="","Missing garaging ZIP. ","") &amp; IF($S363="","Missing cat zone. ","") &amp; IF($V363="","Missing valuation basis. ","") &amp; IF($W363="","Missing PD deductible. ","") &amp; IF($X363="","Missing liability limit. ","") &amp; IF($AB363="","Missing technical premium. ","") &amp; IF($AF363="","Missing surplus lines tax %. ",""))))</f>
      </c>
      <c r="AY363" s="44">
        <f>IF($M363="","",IF(ISNUMBER($M363),IF($M363&gt;=Header!$C$18,"YES — refer","No"),""))</f>
      </c>
      <c r="AZ363" s="44">
        <f>IF($AD363="","",IF(ISNUMBER($AD363),IF($AD363&lt;Header!$C$20,"BELOW MIN PREMIUM","OK"),""))</f>
      </c>
      <c r="BA363" s="32" t="inlineStr">
        <is>
          <t xml:space="preserve">Yes</t>
        </is>
      </c>
      <c r="BB363" s="32" t="inlineStr">
        <is>
          <t xml:space="preserve">Yes</t>
        </is>
      </c>
      <c r="BC363" s="30" t="inlineStr">
        <is>
          <t xml:space="preserve">Synthetic demo data</t>
        </is>
      </c>
      <c r="BE363" s="45">
        <f>IF(OR($A363="",$L363="",$H363=""),"",IF(AND(LEFT($L363,2)="06",$H363&gt;1945),"FAIL - pre-war class, year "&amp;$H363,IF(AND(LEFT($L363,2)="07",OR($H363&lt;1946,$H363&gt;1972)),"FAIL - 1946-72 class, year "&amp;$H363,IF(AND(LEFT($L363,2)="08",OR($H363&lt;1973,$H363&gt;1999)),"FAIL - 1973-99 class, year "&amp;$H363,IF(AND(LEFT($L363,2)="09",OR($H363&lt;2000,$H363&gt;2010)),"FAIL - 2000-10 class, year "&amp;$H363,"OK")))))</f>
      </c>
      <c r="BF363" s="45">
        <f>IF($AD363="","",IF(ROUND($AO363+$AP363+$AQ363-$AD363,2)=0,"OK","FAIL - out by "&amp;TEXT($AO363+$AP363+$AQ363-$AD363,"$0.00")))</f>
      </c>
    </row>
    <row r="364" spans="1:58" ht="18.75" customHeight="1" x14ac:dyDescent="0.25">
      <c r="A364" s="46" t="inlineStr">
        <is>
          <t xml:space="preserve">CANON-202511-002662</t>
        </is>
      </c>
      <c r="B364" s="46" t="inlineStr">
        <is>
          <t xml:space="preserve">Fitzgerald Ashcombe</t>
        </is>
      </c>
      <c r="C364" s="47">
        <v>45964</v>
      </c>
      <c r="D364" s="48" t="inlineStr">
        <is>
          <t xml:space="preserve">Bound - within authority</t>
        </is>
      </c>
      <c r="E364" s="48" t="inlineStr">
        <is>
          <t xml:space="preserve">New business</t>
        </is>
      </c>
      <c r="F364" s="46" t="inlineStr">
        <is>
          <t xml:space="preserve">B1234EXOTIC26</t>
        </is>
      </c>
      <c r="G364" s="33">
        <f>IF($A364="","",IF($C364="","",YEAR($C364)))</f>
      </c>
      <c r="H364" s="49">
        <v>2011</v>
      </c>
      <c r="I364" s="46" t="inlineStr">
        <is>
          <t xml:space="preserve">Ferrari</t>
        </is>
      </c>
      <c r="J364" s="46" t="inlineStr">
        <is>
          <t xml:space="preserve">SF90 Stradale</t>
        </is>
      </c>
      <c r="K364" s="46" t="inlineStr">
        <is>
          <t xml:space="preserve">UD7N2R7S7JB3W2DP3</t>
        </is>
      </c>
      <c r="L364" s="48" t="inlineStr">
        <is>
          <t xml:space="preserve">03 - Supercar</t>
        </is>
      </c>
      <c r="M364" s="50">
        <v>1035000</v>
      </c>
      <c r="N364" s="48" t="inlineStr">
        <is>
          <t xml:space="preserve">Personal</t>
        </is>
      </c>
      <c r="O364" s="46" t="inlineStr">
        <is>
          <t xml:space="preserve">Personal - regular use</t>
        </is>
      </c>
      <c r="P364" s="46" t="inlineStr">
        <is>
          <t xml:space="preserve">Under 1,000</t>
        </is>
      </c>
      <c r="Q364" s="46" t="inlineStr">
        <is>
          <t xml:space="preserve">Florida</t>
        </is>
      </c>
      <c r="R364" s="46" t="inlineStr">
        <is>
          <t xml:space="preserve">33139</t>
        </is>
      </c>
      <c r="S364" s="48" t="inlineStr">
        <is>
          <t xml:space="preserve">Tier 2 - Coastal wind (1-25 miles)</t>
        </is>
      </c>
      <c r="T364" s="36">
        <f>IF($A364="","",IF($S364="","",IFERROR(INDEX('[1]natural catastrophe'!$D$6:$D$17,MATCH($S364,'[1]natural catastrophe'!$B$6:$B$17,0)),"?")))</f>
      </c>
      <c r="U364" s="46" t="inlineStr">
        <is>
          <t xml:space="preserve">2% of agreed value, minimum $10,000</t>
        </is>
      </c>
      <c r="V364" s="48" t="inlineStr">
        <is>
          <t xml:space="preserve">Agreed Value</t>
        </is>
      </c>
      <c r="W364" s="46" t="inlineStr">
        <is>
          <t xml:space="preserve">$1,000</t>
        </is>
      </c>
      <c r="X364" s="48" t="inlineStr">
        <is>
          <t xml:space="preserve">$1,000,000 CSL</t>
        </is>
      </c>
      <c r="Y364" s="46"/>
      <c r="Z364" s="46"/>
      <c r="AA364" s="48" t="inlineStr">
        <is>
          <t xml:space="preserve">Surplus Lines</t>
        </is>
      </c>
      <c r="AB364" s="50">
        <v>20396.11</v>
      </c>
      <c r="AC364" s="51">
        <v>0</v>
      </c>
      <c r="AD364" s="38">
        <f>IF(ISNUMBER($AB364),$AB364*(1+N($AC364)),"")</f>
      </c>
      <c r="AE364" s="50">
        <v>350</v>
      </c>
      <c r="AF364" s="50">
        <v>250</v>
      </c>
      <c r="AG364" s="51"/>
      <c r="AH364" s="39">
        <f>IF(ISNUMBER($AD364),($AD364+$AE364+$AF364)*$AG364,"")</f>
      </c>
      <c r="AI364" s="50"/>
      <c r="AJ364" s="38">
        <f>IF(ISNUMBER($AD364),SUM($AD364:$AH364),"")</f>
      </c>
      <c r="AK364" s="40">
        <f>IF(AND(ISNUMBER($AB364),ISNUMBER($AD364)),IF($AB364&gt;0,$AD364/$AB364,""),"")</f>
      </c>
      <c r="AL364" s="48" t="inlineStr">
        <is>
          <t xml:space="preserve">At technical</t>
        </is>
      </c>
      <c r="AM364" s="41">
        <f>IF(ISNUMBER($AD364),Header!$I$3,"")</f>
      </c>
      <c r="AN364" s="39">
        <f>IF(ISNUMBER($AD364),$AO364+$AP364,"")</f>
      </c>
      <c r="AO364" s="39">
        <f>IF(ISNUMBER($AD364),ROUND($AD364*Header!$K$3,2),"")</f>
      </c>
      <c r="AP364" s="39">
        <f>IF(ISNUMBER($AD364),ROUND($AD364*Header!$M$3,2),"")</f>
      </c>
      <c r="AQ364" s="38">
        <f>IF(ISNUMBER($AD364),ROUND($AD364,2)-$AO364-$AP364,"")</f>
      </c>
      <c r="AR364" s="39">
        <f>IF(ISNUMBER($AD364),IF(Header!$D$34="","?",$AD364*Header!$D$34),"")</f>
      </c>
      <c r="AS364" s="39">
        <f>IF(ISNUMBER($AB364),IF(Header!$D$34="","?",$AB364*Header!$D$34),"")</f>
      </c>
      <c r="AT364" s="42">
        <f>IF(AND(ISNUMBER($AB364),$M364&gt;0),$AB364/$M364*100,"")</f>
      </c>
      <c r="AU364" s="42">
        <f>IF(AND(ISNUMBER($AD364),$M364&gt;0),$AD364/$M364*100,"")</f>
      </c>
      <c r="AV364" s="40">
        <f>IF(AND(ISNUMBER($AB364),ISNUMBER($AD364),ABS($AB364)&gt;0),$AD364/$AB364,"")</f>
      </c>
      <c r="AW364" s="39">
        <f>IF(ISNUMBER($AD364),MAX(0,(1-0.55-Header!$O$3)*Header!$Q$3*$AQ364),"")</f>
      </c>
      <c r="AX364" s="43">
        <f>IF($A364="","",IF(TRIM(IF($A364="","Missing certificate ref. ","") &amp; IF($C364="","Missing effective date. ","") &amp; IF($D364="","Missing binding status. ","") &amp; IF($E364="","Missing movement type. ","") &amp; IF($I364="","Missing make. ","") &amp; IF($L364="","Missing vehicle class. ","") &amp; IF($M364="","Missing agreed value. ","") &amp; IF($N364="","Missing policy type. ","") &amp; IF($Q364="","Missing garaging state. ","") &amp; IF($R364="","Missing garaging ZIP. ","") &amp; IF($S364="","Missing cat zone. ","") &amp; IF($V364="","Missing valuation basis. ","") &amp; IF($W364="","Missing PD deductible. ","") &amp; IF($X364="","Missing liability limit. ","") &amp; IF($AB364="","Missing technical premium. ","") &amp; IF($AF364="","Missing surplus lines tax %. ",""))="","PASS","FAIL: "&amp;TRIM(IF($A364="","Missing certificate ref. ","") &amp; IF($C364="","Missing effective date. ","") &amp; IF($D364="","Missing binding status. ","") &amp; IF($E364="","Missing movement type. ","") &amp; IF($I364="","Missing make. ","") &amp; IF($L364="","Missing vehicle class. ","") &amp; IF($M364="","Missing agreed value. ","") &amp; IF($N364="","Missing policy type. ","") &amp; IF($Q364="","Missing garaging state. ","") &amp; IF($R364="","Missing garaging ZIP. ","") &amp; IF($S364="","Missing cat zone. ","") &amp; IF($V364="","Missing valuation basis. ","") &amp; IF($W364="","Missing PD deductible. ","") &amp; IF($X364="","Missing liability limit. ","") &amp; IF($AB364="","Missing technical premium. ","") &amp; IF($AF364="","Missing surplus lines tax %. ",""))))</f>
      </c>
      <c r="AY364" s="44">
        <f>IF($M364="","",IF(ISNUMBER($M364),IF($M364&gt;=Header!$C$18,"YES — refer","No"),""))</f>
      </c>
      <c r="AZ364" s="44">
        <f>IF($AD364="","",IF(ISNUMBER($AD364),IF($AD364&lt;Header!$C$20,"BELOW MIN PREMIUM","OK"),""))</f>
      </c>
      <c r="BA364" s="48" t="inlineStr">
        <is>
          <t xml:space="preserve">Yes</t>
        </is>
      </c>
      <c r="BB364" s="48" t="inlineStr">
        <is>
          <t xml:space="preserve">Yes</t>
        </is>
      </c>
      <c r="BC364" s="46" t="inlineStr">
        <is>
          <t xml:space="preserve">Synthetic demo data</t>
        </is>
      </c>
      <c r="BE364" s="45">
        <f>IF(OR($A364="",$L364="",$H364=""),"",IF(AND(LEFT($L364,2)="06",$H364&gt;1945),"FAIL - pre-war class, year "&amp;$H364,IF(AND(LEFT($L364,2)="07",OR($H364&lt;1946,$H364&gt;1972)),"FAIL - 1946-72 class, year "&amp;$H364,IF(AND(LEFT($L364,2)="08",OR($H364&lt;1973,$H364&gt;1999)),"FAIL - 1973-99 class, year "&amp;$H364,IF(AND(LEFT($L364,2)="09",OR($H364&lt;2000,$H364&gt;2010)),"FAIL - 2000-10 class, year "&amp;$H364,"OK")))))</f>
      </c>
      <c r="BF364" s="45">
        <f>IF($AD364="","",IF(ROUND($AO364+$AP364+$AQ364-$AD364,2)=0,"OK","FAIL - out by "&amp;TEXT($AO364+$AP364+$AQ364-$AD364,"$0.00")))</f>
      </c>
    </row>
    <row r="365" spans="1:58" ht="18.75" customHeight="1" x14ac:dyDescent="0.25">
      <c r="A365" s="30" t="inlineStr">
        <is>
          <t xml:space="preserve">CANON-202511-002663</t>
        </is>
      </c>
      <c r="B365" s="30" t="inlineStr">
        <is>
          <t xml:space="preserve">Ingrid Merriweather</t>
        </is>
      </c>
      <c r="C365" s="31">
        <v>45981</v>
      </c>
      <c r="D365" s="32" t="inlineStr">
        <is>
          <t xml:space="preserve">Bound - within authority</t>
        </is>
      </c>
      <c r="E365" s="32" t="inlineStr">
        <is>
          <t xml:space="preserve">New business</t>
        </is>
      </c>
      <c r="F365" s="30" t="inlineStr">
        <is>
          <t xml:space="preserve">B1234EXOTIC26</t>
        </is>
      </c>
      <c r="G365" s="33">
        <f>IF($A365="","",IF($C365="","",YEAR($C365)))</f>
      </c>
      <c r="H365" s="34">
        <v>1979</v>
      </c>
      <c r="I365" s="30" t="inlineStr">
        <is>
          <t xml:space="preserve">Porsche</t>
        </is>
      </c>
      <c r="J365" s="30" t="inlineStr">
        <is>
          <t xml:space="preserve">911 Turbo S</t>
        </is>
      </c>
      <c r="K365" s="30" t="inlineStr">
        <is>
          <t xml:space="preserve">YKW5UKGGL34RCTLNT</t>
        </is>
      </c>
      <c r="L365" s="32" t="inlineStr">
        <is>
          <t xml:space="preserve">02 - Sports / GT</t>
        </is>
      </c>
      <c r="M365" s="35">
        <v>685000</v>
      </c>
      <c r="N365" s="32" t="inlineStr">
        <is>
          <t xml:space="preserve">Personal</t>
        </is>
      </c>
      <c r="O365" s="30" t="inlineStr">
        <is>
          <t xml:space="preserve">Personal - regular use</t>
        </is>
      </c>
      <c r="P365" s="30" t="inlineStr">
        <is>
          <t xml:space="preserve">Under 1,000</t>
        </is>
      </c>
      <c r="Q365" s="30" t="inlineStr">
        <is>
          <t xml:space="preserve">Kentucky</t>
        </is>
      </c>
      <c r="R365" s="30" t="inlineStr">
        <is>
          <t xml:space="preserve">40202</t>
        </is>
      </c>
      <c r="S365" s="32" t="inlineStr">
        <is>
          <t xml:space="preserve">Severe convective - hail / tornado (moderate)</t>
        </is>
      </c>
      <c r="T365" s="36">
        <f>IF($A365="","",IF($S365="","",IFERROR(INDEX('[1]natural catastrophe'!$D$6:$D$17,MATCH($S365,'[1]natural catastrophe'!$B$6:$B$17,0)),"?")))</f>
      </c>
      <c r="U365" s="30" t="inlineStr">
        <is>
          <t xml:space="preserve">$5,000</t>
        </is>
      </c>
      <c r="V365" s="32" t="inlineStr">
        <is>
          <t xml:space="preserve">Agreed Value</t>
        </is>
      </c>
      <c r="W365" s="30" t="inlineStr">
        <is>
          <t xml:space="preserve">$1,000</t>
        </is>
      </c>
      <c r="X365" s="32" t="inlineStr">
        <is>
          <t xml:space="preserve">$1,000,000 CSL</t>
        </is>
      </c>
      <c r="Y365" s="30"/>
      <c r="Z365" s="30"/>
      <c r="AA365" s="32" t="inlineStr">
        <is>
          <t xml:space="preserve">Surplus Lines</t>
        </is>
      </c>
      <c r="AB365" s="35">
        <v>10349.92</v>
      </c>
      <c r="AC365" s="37">
        <v>0</v>
      </c>
      <c r="AD365" s="38">
        <f>IF(ISNUMBER($AB365),$AB365*(1+N($AC365)),"")</f>
      </c>
      <c r="AE365" s="35">
        <v>350</v>
      </c>
      <c r="AF365" s="35">
        <v>0</v>
      </c>
      <c r="AG365" s="37"/>
      <c r="AH365" s="39">
        <f>IF(ISNUMBER($AD365),($AD365+$AE365+$AF365)*$AG365,"")</f>
      </c>
      <c r="AI365" s="35"/>
      <c r="AJ365" s="38">
        <f>IF(ISNUMBER($AD365),SUM($AD365:$AH365),"")</f>
      </c>
      <c r="AK365" s="40">
        <f>IF(AND(ISNUMBER($AB365),ISNUMBER($AD365)),IF($AB365&gt;0,$AD365/$AB365,""),"")</f>
      </c>
      <c r="AL365" s="32" t="inlineStr">
        <is>
          <t xml:space="preserve">At technical</t>
        </is>
      </c>
      <c r="AM365" s="41">
        <f>IF(ISNUMBER($AD365),Header!$I$3,"")</f>
      </c>
      <c r="AN365" s="39">
        <f>IF(ISNUMBER($AD365),$AO365+$AP365,"")</f>
      </c>
      <c r="AO365" s="39">
        <f>IF(ISNUMBER($AD365),ROUND($AD365*Header!$K$3,2),"")</f>
      </c>
      <c r="AP365" s="39">
        <f>IF(ISNUMBER($AD365),ROUND($AD365*Header!$M$3,2),"")</f>
      </c>
      <c r="AQ365" s="38">
        <f>IF(ISNUMBER($AD365),ROUND($AD365,2)-$AO365-$AP365,"")</f>
      </c>
      <c r="AR365" s="39">
        <f>IF(ISNUMBER($AD365),IF(Header!$D$34="","?",$AD365*Header!$D$34),"")</f>
      </c>
      <c r="AS365" s="39">
        <f>IF(ISNUMBER($AB365),IF(Header!$D$34="","?",$AB365*Header!$D$34),"")</f>
      </c>
      <c r="AT365" s="42">
        <f>IF(AND(ISNUMBER($AB365),$M365&gt;0),$AB365/$M365*100,"")</f>
      </c>
      <c r="AU365" s="42">
        <f>IF(AND(ISNUMBER($AD365),$M365&gt;0),$AD365/$M365*100,"")</f>
      </c>
      <c r="AV365" s="40">
        <f>IF(AND(ISNUMBER($AB365),ISNUMBER($AD365),ABS($AB365)&gt;0),$AD365/$AB365,"")</f>
      </c>
      <c r="AW365" s="39">
        <f>IF(ISNUMBER($AD365),MAX(0,(1-0.55-Header!$O$3)*Header!$Q$3*$AQ365),"")</f>
      </c>
      <c r="AX365" s="43">
        <f>IF($A365="","",IF(TRIM(IF($A365="","Missing certificate ref. ","") &amp; IF($C365="","Missing effective date. ","") &amp; IF($D365="","Missing binding status. ","") &amp; IF($E365="","Missing movement type. ","") &amp; IF($I365="","Missing make. ","") &amp; IF($L365="","Missing vehicle class. ","") &amp; IF($M365="","Missing agreed value. ","") &amp; IF($N365="","Missing policy type. ","") &amp; IF($Q365="","Missing garaging state. ","") &amp; IF($R365="","Missing garaging ZIP. ","") &amp; IF($S365="","Missing cat zone. ","") &amp; IF($V365="","Missing valuation basis. ","") &amp; IF($W365="","Missing PD deductible. ","") &amp; IF($X365="","Missing liability limit. ","") &amp; IF($AB365="","Missing technical premium. ","") &amp; IF($AF365="","Missing surplus lines tax %. ",""))="","PASS","FAIL: "&amp;TRIM(IF($A365="","Missing certificate ref. ","") &amp; IF($C365="","Missing effective date. ","") &amp; IF($D365="","Missing binding status. ","") &amp; IF($E365="","Missing movement type. ","") &amp; IF($I365="","Missing make. ","") &amp; IF($L365="","Missing vehicle class. ","") &amp; IF($M365="","Missing agreed value. ","") &amp; IF($N365="","Missing policy type. ","") &amp; IF($Q365="","Missing garaging state. ","") &amp; IF($R365="","Missing garaging ZIP. ","") &amp; IF($S365="","Missing cat zone. ","") &amp; IF($V365="","Missing valuation basis. ","") &amp; IF($W365="","Missing PD deductible. ","") &amp; IF($X365="","Missing liability limit. ","") &amp; IF($AB365="","Missing technical premium. ","") &amp; IF($AF365="","Missing surplus lines tax %. ",""))))</f>
      </c>
      <c r="AY365" s="44">
        <f>IF($M365="","",IF(ISNUMBER($M365),IF($M365&gt;=Header!$C$18,"YES — refer","No"),""))</f>
      </c>
      <c r="AZ365" s="44">
        <f>IF($AD365="","",IF(ISNUMBER($AD365),IF($AD365&lt;Header!$C$20,"BELOW MIN PREMIUM","OK"),""))</f>
      </c>
      <c r="BA365" s="32" t="inlineStr">
        <is>
          <t xml:space="preserve">Yes</t>
        </is>
      </c>
      <c r="BB365" s="32" t="inlineStr">
        <is>
          <t xml:space="preserve">Yes</t>
        </is>
      </c>
      <c r="BC365" s="30" t="inlineStr">
        <is>
          <t xml:space="preserve">Synthetic demo data</t>
        </is>
      </c>
      <c r="BE365" s="45">
        <f>IF(OR($A365="",$L365="",$H365=""),"",IF(AND(LEFT($L365,2)="06",$H365&gt;1945),"FAIL - pre-war class, year "&amp;$H365,IF(AND(LEFT($L365,2)="07",OR($H365&lt;1946,$H365&gt;1972)),"FAIL - 1946-72 class, year "&amp;$H365,IF(AND(LEFT($L365,2)="08",OR($H365&lt;1973,$H365&gt;1999)),"FAIL - 1973-99 class, year "&amp;$H365,IF(AND(LEFT($L365,2)="09",OR($H365&lt;2000,$H365&gt;2010)),"FAIL - 2000-10 class, year "&amp;$H365,"OK")))))</f>
      </c>
      <c r="BF365" s="45">
        <f>IF($AD365="","",IF(ROUND($AO365+$AP365+$AQ365-$AD365,2)=0,"OK","FAIL - out by "&amp;TEXT($AO365+$AP365+$AQ365-$AD365,"$0.00")))</f>
      </c>
    </row>
    <row r="366" spans="1:58" ht="18.75" customHeight="1" x14ac:dyDescent="0.25">
      <c r="A366" s="46" t="inlineStr">
        <is>
          <t xml:space="preserve">CANON-202511-002665</t>
        </is>
      </c>
      <c r="B366" s="46" t="inlineStr">
        <is>
          <t xml:space="preserve">Saoirse Delacroix</t>
        </is>
      </c>
      <c r="C366" s="47">
        <v>45970</v>
      </c>
      <c r="D366" s="48" t="inlineStr">
        <is>
          <t xml:space="preserve">Bound - within authority</t>
        </is>
      </c>
      <c r="E366" s="48" t="inlineStr">
        <is>
          <t xml:space="preserve">New business</t>
        </is>
      </c>
      <c r="F366" s="46" t="inlineStr">
        <is>
          <t xml:space="preserve">B1234EXOTIC26</t>
        </is>
      </c>
      <c r="G366" s="33">
        <f>IF($A366="","",IF($C366="","",YEAR($C366)))</f>
      </c>
      <c r="H366" s="49">
        <v>1971</v>
      </c>
      <c r="I366" s="46" t="inlineStr">
        <is>
          <t xml:space="preserve">BMW</t>
        </is>
      </c>
      <c r="J366" s="46" t="inlineStr">
        <is>
          <t xml:space="preserve">M8 Competition</t>
        </is>
      </c>
      <c r="K366" s="46" t="inlineStr">
        <is>
          <t xml:space="preserve">1SM066XFN1ENWSJTW</t>
        </is>
      </c>
      <c r="L366" s="48" t="inlineStr">
        <is>
          <t xml:space="preserve">02 - Sports / GT</t>
        </is>
      </c>
      <c r="M366" s="50">
        <v>520000</v>
      </c>
      <c r="N366" s="48" t="inlineStr">
        <is>
          <t xml:space="preserve">Personal</t>
        </is>
      </c>
      <c r="O366" s="46" t="inlineStr">
        <is>
          <t xml:space="preserve">Personal - regular use</t>
        </is>
      </c>
      <c r="P366" s="46" t="inlineStr">
        <is>
          <t xml:space="preserve">2,500 - 5,000</t>
        </is>
      </c>
      <c r="Q366" s="46" t="inlineStr">
        <is>
          <t xml:space="preserve">Illinois</t>
        </is>
      </c>
      <c r="R366" s="46" t="inlineStr">
        <is>
          <t xml:space="preserve">60601</t>
        </is>
      </c>
      <c r="S366" s="48" t="inlineStr">
        <is>
          <t xml:space="preserve">Severe convective - hail / tornado (moderate)</t>
        </is>
      </c>
      <c r="T366" s="36">
        <f>IF($A366="","",IF($S366="","",IFERROR(INDEX('[1]natural catastrophe'!$D$6:$D$17,MATCH($S366,'[1]natural catastrophe'!$B$6:$B$17,0)),"?")))</f>
      </c>
      <c r="U366" s="46" t="inlineStr">
        <is>
          <t xml:space="preserve">$5,000</t>
        </is>
      </c>
      <c r="V366" s="48" t="inlineStr">
        <is>
          <t xml:space="preserve">Agreed Value</t>
        </is>
      </c>
      <c r="W366" s="46" t="inlineStr">
        <is>
          <t xml:space="preserve">$1,000</t>
        </is>
      </c>
      <c r="X366" s="48" t="inlineStr">
        <is>
          <t xml:space="preserve">$1,000,000 CSL</t>
        </is>
      </c>
      <c r="Y366" s="46"/>
      <c r="Z366" s="46"/>
      <c r="AA366" s="48" t="inlineStr">
        <is>
          <t xml:space="preserve">Surplus Lines</t>
        </is>
      </c>
      <c r="AB366" s="50">
        <v>7974.15</v>
      </c>
      <c r="AC366" s="51">
        <v>0</v>
      </c>
      <c r="AD366" s="38">
        <f>IF(ISNUMBER($AB366),$AB366*(1+N($AC366)),"")</f>
      </c>
      <c r="AE366" s="50">
        <v>350</v>
      </c>
      <c r="AF366" s="50">
        <v>0</v>
      </c>
      <c r="AG366" s="51"/>
      <c r="AH366" s="39">
        <f>IF(ISNUMBER($AD366),($AD366+$AE366+$AF366)*$AG366,"")</f>
      </c>
      <c r="AI366" s="50"/>
      <c r="AJ366" s="38">
        <f>IF(ISNUMBER($AD366),SUM($AD366:$AH366),"")</f>
      </c>
      <c r="AK366" s="40">
        <f>IF(AND(ISNUMBER($AB366),ISNUMBER($AD366)),IF($AB366&gt;0,$AD366/$AB366,""),"")</f>
      </c>
      <c r="AL366" s="48" t="inlineStr">
        <is>
          <t xml:space="preserve">At technical</t>
        </is>
      </c>
      <c r="AM366" s="41">
        <f>IF(ISNUMBER($AD366),Header!$I$3,"")</f>
      </c>
      <c r="AN366" s="39">
        <f>IF(ISNUMBER($AD366),$AO366+$AP366,"")</f>
      </c>
      <c r="AO366" s="39">
        <f>IF(ISNUMBER($AD366),ROUND($AD366*Header!$K$3,2),"")</f>
      </c>
      <c r="AP366" s="39">
        <f>IF(ISNUMBER($AD366),ROUND($AD366*Header!$M$3,2),"")</f>
      </c>
      <c r="AQ366" s="38">
        <f>IF(ISNUMBER($AD366),ROUND($AD366,2)-$AO366-$AP366,"")</f>
      </c>
      <c r="AR366" s="39">
        <f>IF(ISNUMBER($AD366),IF(Header!$D$34="","?",$AD366*Header!$D$34),"")</f>
      </c>
      <c r="AS366" s="39">
        <f>IF(ISNUMBER($AB366),IF(Header!$D$34="","?",$AB366*Header!$D$34),"")</f>
      </c>
      <c r="AT366" s="42">
        <f>IF(AND(ISNUMBER($AB366),$M366&gt;0),$AB366/$M366*100,"")</f>
      </c>
      <c r="AU366" s="42">
        <f>IF(AND(ISNUMBER($AD366),$M366&gt;0),$AD366/$M366*100,"")</f>
      </c>
      <c r="AV366" s="40">
        <f>IF(AND(ISNUMBER($AB366),ISNUMBER($AD366),ABS($AB366)&gt;0),$AD366/$AB366,"")</f>
      </c>
      <c r="AW366" s="39">
        <f>IF(ISNUMBER($AD366),MAX(0,(1-0.55-Header!$O$3)*Header!$Q$3*$AQ366),"")</f>
      </c>
      <c r="AX366" s="43">
        <f>IF($A366="","",IF(TRIM(IF($A366="","Missing certificate ref. ","") &amp; IF($C366="","Missing effective date. ","") &amp; IF($D366="","Missing binding status. ","") &amp; IF($E366="","Missing movement type. ","") &amp; IF($I366="","Missing make. ","") &amp; IF($L366="","Missing vehicle class. ","") &amp; IF($M366="","Missing agreed value. ","") &amp; IF($N366="","Missing policy type. ","") &amp; IF($Q366="","Missing garaging state. ","") &amp; IF($R366="","Missing garaging ZIP. ","") &amp; IF($S366="","Missing cat zone. ","") &amp; IF($V366="","Missing valuation basis. ","") &amp; IF($W366="","Missing PD deductible. ","") &amp; IF($X366="","Missing liability limit. ","") &amp; IF($AB366="","Missing technical premium. ","") &amp; IF($AF366="","Missing surplus lines tax %. ",""))="","PASS","FAIL: "&amp;TRIM(IF($A366="","Missing certificate ref. ","") &amp; IF($C366="","Missing effective date. ","") &amp; IF($D366="","Missing binding status. ","") &amp; IF($E366="","Missing movement type. ","") &amp; IF($I366="","Missing make. ","") &amp; IF($L366="","Missing vehicle class. ","") &amp; IF($M366="","Missing agreed value. ","") &amp; IF($N366="","Missing policy type. ","") &amp; IF($Q366="","Missing garaging state. ","") &amp; IF($R366="","Missing garaging ZIP. ","") &amp; IF($S366="","Missing cat zone. ","") &amp; IF($V366="","Missing valuation basis. ","") &amp; IF($W366="","Missing PD deductible. ","") &amp; IF($X366="","Missing liability limit. ","") &amp; IF($AB366="","Missing technical premium. ","") &amp; IF($AF366="","Missing surplus lines tax %. ",""))))</f>
      </c>
      <c r="AY366" s="44">
        <f>IF($M366="","",IF(ISNUMBER($M366),IF($M366&gt;=Header!$C$18,"YES — refer","No"),""))</f>
      </c>
      <c r="AZ366" s="44">
        <f>IF($AD366="","",IF(ISNUMBER($AD366),IF($AD366&lt;Header!$C$20,"BELOW MIN PREMIUM","OK"),""))</f>
      </c>
      <c r="BA366" s="48" t="inlineStr">
        <is>
          <t xml:space="preserve">Yes</t>
        </is>
      </c>
      <c r="BB366" s="48" t="inlineStr">
        <is>
          <t xml:space="preserve">Yes</t>
        </is>
      </c>
      <c r="BC366" s="46" t="inlineStr">
        <is>
          <t xml:space="preserve">Synthetic demo data</t>
        </is>
      </c>
      <c r="BE366" s="45">
        <f>IF(OR($A366="",$L366="",$H366=""),"",IF(AND(LEFT($L366,2)="06",$H366&gt;1945),"FAIL - pre-war class, year "&amp;$H366,IF(AND(LEFT($L366,2)="07",OR($H366&lt;1946,$H366&gt;1972)),"FAIL - 1946-72 class, year "&amp;$H366,IF(AND(LEFT($L366,2)="08",OR($H366&lt;1973,$H366&gt;1999)),"FAIL - 1973-99 class, year "&amp;$H366,IF(AND(LEFT($L366,2)="09",OR($H366&lt;2000,$H366&gt;2010)),"FAIL - 2000-10 class, year "&amp;$H366,"OK")))))</f>
      </c>
      <c r="BF366" s="45">
        <f>IF($AD366="","",IF(ROUND($AO366+$AP366+$AQ366-$AD366,2)=0,"OK","FAIL - out by "&amp;TEXT($AO366+$AP366+$AQ366-$AD366,"$0.00")))</f>
      </c>
    </row>
    <row r="367" spans="1:58" ht="18.75" customHeight="1" x14ac:dyDescent="0.25">
      <c r="A367" s="30" t="inlineStr">
        <is>
          <t xml:space="preserve">CANON-202511-002666</t>
        </is>
      </c>
      <c r="B367" s="30" t="inlineStr">
        <is>
          <t xml:space="preserve">Cassius Fairweather</t>
        </is>
      </c>
      <c r="C367" s="31">
        <v>45970</v>
      </c>
      <c r="D367" s="32" t="inlineStr">
        <is>
          <t xml:space="preserve">Bound - within authority</t>
        </is>
      </c>
      <c r="E367" s="32" t="inlineStr">
        <is>
          <t xml:space="preserve">New business</t>
        </is>
      </c>
      <c r="F367" s="30" t="inlineStr">
        <is>
          <t xml:space="preserve">B1234EXOTIC26</t>
        </is>
      </c>
      <c r="G367" s="33">
        <f>IF($A367="","",IF($C367="","",YEAR($C367)))</f>
      </c>
      <c r="H367" s="34">
        <v>1968</v>
      </c>
      <c r="I367" s="30" t="inlineStr">
        <is>
          <t xml:space="preserve">Porsche</t>
        </is>
      </c>
      <c r="J367" s="30" t="inlineStr">
        <is>
          <t xml:space="preserve">911 Turbo S</t>
        </is>
      </c>
      <c r="K367" s="30" t="inlineStr">
        <is>
          <t xml:space="preserve">J2R1GF0B2D9769JW1</t>
        </is>
      </c>
      <c r="L367" s="32" t="inlineStr">
        <is>
          <t xml:space="preserve">02 - Sports / GT</t>
        </is>
      </c>
      <c r="M367" s="35">
        <v>1560000</v>
      </c>
      <c r="N367" s="32" t="inlineStr">
        <is>
          <t xml:space="preserve">Personal</t>
        </is>
      </c>
      <c r="O367" s="30" t="inlineStr">
        <is>
          <t xml:space="preserve">Personal - regular use</t>
        </is>
      </c>
      <c r="P367" s="30" t="inlineStr">
        <is>
          <t xml:space="preserve">Under 1,000</t>
        </is>
      </c>
      <c r="Q367" s="30" t="inlineStr">
        <is>
          <t xml:space="preserve">Illinois</t>
        </is>
      </c>
      <c r="R367" s="30" t="inlineStr">
        <is>
          <t xml:space="preserve">60601</t>
        </is>
      </c>
      <c r="S367" s="32" t="inlineStr">
        <is>
          <t xml:space="preserve">Severe convective - hail / tornado (moderate)</t>
        </is>
      </c>
      <c r="T367" s="36">
        <f>IF($A367="","",IF($S367="","",IFERROR(INDEX('[1]natural catastrophe'!$D$6:$D$17,MATCH($S367,'[1]natural catastrophe'!$B$6:$B$17,0)),"?")))</f>
      </c>
      <c r="U367" s="30" t="inlineStr">
        <is>
          <t xml:space="preserve">$5,000</t>
        </is>
      </c>
      <c r="V367" s="32" t="inlineStr">
        <is>
          <t xml:space="preserve">Agreed Value</t>
        </is>
      </c>
      <c r="W367" s="30" t="inlineStr">
        <is>
          <t xml:space="preserve">$1,000</t>
        </is>
      </c>
      <c r="X367" s="32" t="inlineStr">
        <is>
          <t xml:space="preserve">$1,000,000 CSL</t>
        </is>
      </c>
      <c r="Y367" s="30"/>
      <c r="Z367" s="30"/>
      <c r="AA367" s="32" t="inlineStr">
        <is>
          <t xml:space="preserve">Surplus Lines</t>
        </is>
      </c>
      <c r="AB367" s="35">
        <v>20242.06</v>
      </c>
      <c r="AC367" s="37">
        <v>0</v>
      </c>
      <c r="AD367" s="38">
        <f>IF(ISNUMBER($AB367),$AB367*(1+N($AC367)),"")</f>
      </c>
      <c r="AE367" s="35">
        <v>350</v>
      </c>
      <c r="AF367" s="35">
        <v>250</v>
      </c>
      <c r="AG367" s="37"/>
      <c r="AH367" s="39">
        <f>IF(ISNUMBER($AD367),($AD367+$AE367+$AF367)*$AG367,"")</f>
      </c>
      <c r="AI367" s="35"/>
      <c r="AJ367" s="38">
        <f>IF(ISNUMBER($AD367),SUM($AD367:$AH367),"")</f>
      </c>
      <c r="AK367" s="40">
        <f>IF(AND(ISNUMBER($AB367),ISNUMBER($AD367)),IF($AB367&gt;0,$AD367/$AB367,""),"")</f>
      </c>
      <c r="AL367" s="32" t="inlineStr">
        <is>
          <t xml:space="preserve">At technical</t>
        </is>
      </c>
      <c r="AM367" s="41">
        <f>IF(ISNUMBER($AD367),Header!$I$3,"")</f>
      </c>
      <c r="AN367" s="39">
        <f>IF(ISNUMBER($AD367),$AO367+$AP367,"")</f>
      </c>
      <c r="AO367" s="39">
        <f>IF(ISNUMBER($AD367),ROUND($AD367*Header!$K$3,2),"")</f>
      </c>
      <c r="AP367" s="39">
        <f>IF(ISNUMBER($AD367),ROUND($AD367*Header!$M$3,2),"")</f>
      </c>
      <c r="AQ367" s="38">
        <f>IF(ISNUMBER($AD367),ROUND($AD367,2)-$AO367-$AP367,"")</f>
      </c>
      <c r="AR367" s="39">
        <f>IF(ISNUMBER($AD367),IF(Header!$D$34="","?",$AD367*Header!$D$34),"")</f>
      </c>
      <c r="AS367" s="39">
        <f>IF(ISNUMBER($AB367),IF(Header!$D$34="","?",$AB367*Header!$D$34),"")</f>
      </c>
      <c r="AT367" s="42">
        <f>IF(AND(ISNUMBER($AB367),$M367&gt;0),$AB367/$M367*100,"")</f>
      </c>
      <c r="AU367" s="42">
        <f>IF(AND(ISNUMBER($AD367),$M367&gt;0),$AD367/$M367*100,"")</f>
      </c>
      <c r="AV367" s="40">
        <f>IF(AND(ISNUMBER($AB367),ISNUMBER($AD367),ABS($AB367)&gt;0),$AD367/$AB367,"")</f>
      </c>
      <c r="AW367" s="39">
        <f>IF(ISNUMBER($AD367),MAX(0,(1-0.55-Header!$O$3)*Header!$Q$3*$AQ367),"")</f>
      </c>
      <c r="AX367" s="43">
        <f>IF($A367="","",IF(TRIM(IF($A367="","Missing certificate ref. ","") &amp; IF($C367="","Missing effective date. ","") &amp; IF($D367="","Missing binding status. ","") &amp; IF($E367="","Missing movement type. ","") &amp; IF($I367="","Missing make. ","") &amp; IF($L367="","Missing vehicle class. ","") &amp; IF($M367="","Missing agreed value. ","") &amp; IF($N367="","Missing policy type. ","") &amp; IF($Q367="","Missing garaging state. ","") &amp; IF($R367="","Missing garaging ZIP. ","") &amp; IF($S367="","Missing cat zone. ","") &amp; IF($V367="","Missing valuation basis. ","") &amp; IF($W367="","Missing PD deductible. ","") &amp; IF($X367="","Missing liability limit. ","") &amp; IF($AB367="","Missing technical premium. ","") &amp; IF($AF367="","Missing surplus lines tax %. ",""))="","PASS","FAIL: "&amp;TRIM(IF($A367="","Missing certificate ref. ","") &amp; IF($C367="","Missing effective date. ","") &amp; IF($D367="","Missing binding status. ","") &amp; IF($E367="","Missing movement type. ","") &amp; IF($I367="","Missing make. ","") &amp; IF($L367="","Missing vehicle class. ","") &amp; IF($M367="","Missing agreed value. ","") &amp; IF($N367="","Missing policy type. ","") &amp; IF($Q367="","Missing garaging state. ","") &amp; IF($R367="","Missing garaging ZIP. ","") &amp; IF($S367="","Missing cat zone. ","") &amp; IF($V367="","Missing valuation basis. ","") &amp; IF($W367="","Missing PD deductible. ","") &amp; IF($X367="","Missing liability limit. ","") &amp; IF($AB367="","Missing technical premium. ","") &amp; IF($AF367="","Missing surplus lines tax %. ",""))))</f>
      </c>
      <c r="AY367" s="44">
        <f>IF($M367="","",IF(ISNUMBER($M367),IF($M367&gt;=Header!$C$18,"YES — refer","No"),""))</f>
      </c>
      <c r="AZ367" s="44">
        <f>IF($AD367="","",IF(ISNUMBER($AD367),IF($AD367&lt;Header!$C$20,"BELOW MIN PREMIUM","OK"),""))</f>
      </c>
      <c r="BA367" s="32" t="inlineStr">
        <is>
          <t xml:space="preserve">Yes</t>
        </is>
      </c>
      <c r="BB367" s="32" t="inlineStr">
        <is>
          <t xml:space="preserve">Yes</t>
        </is>
      </c>
      <c r="BC367" s="30" t="inlineStr">
        <is>
          <t xml:space="preserve">Synthetic demo data</t>
        </is>
      </c>
      <c r="BE367" s="45">
        <f>IF(OR($A367="",$L367="",$H367=""),"",IF(AND(LEFT($L367,2)="06",$H367&gt;1945),"FAIL - pre-war class, year "&amp;$H367,IF(AND(LEFT($L367,2)="07",OR($H367&lt;1946,$H367&gt;1972)),"FAIL - 1946-72 class, year "&amp;$H367,IF(AND(LEFT($L367,2)="08",OR($H367&lt;1973,$H367&gt;1999)),"FAIL - 1973-99 class, year "&amp;$H367,IF(AND(LEFT($L367,2)="09",OR($H367&lt;2000,$H367&gt;2010)),"FAIL - 2000-10 class, year "&amp;$H367,"OK")))))</f>
      </c>
      <c r="BF367" s="45">
        <f>IF($AD367="","",IF(ROUND($AO367+$AP367+$AQ367-$AD367,2)=0,"OK","FAIL - out by "&amp;TEXT($AO367+$AP367+$AQ367-$AD367,"$0.00")))</f>
      </c>
    </row>
    <row r="368" spans="1:58" ht="18.75" customHeight="1" x14ac:dyDescent="0.25">
      <c r="A368" s="46" t="inlineStr">
        <is>
          <t xml:space="preserve">CANON-202511-002667</t>
        </is>
      </c>
      <c r="B368" s="46" t="inlineStr">
        <is>
          <t xml:space="preserve">Horace Bellandi</t>
        </is>
      </c>
      <c r="C368" s="47">
        <v>45977</v>
      </c>
      <c r="D368" s="48" t="inlineStr">
        <is>
          <t xml:space="preserve">Bound - within authority</t>
        </is>
      </c>
      <c r="E368" s="48" t="inlineStr">
        <is>
          <t xml:space="preserve">New business</t>
        </is>
      </c>
      <c r="F368" s="46" t="inlineStr">
        <is>
          <t xml:space="preserve">B1234EXOTIC26</t>
        </is>
      </c>
      <c r="G368" s="33">
        <f>IF($A368="","",IF($C368="","",YEAR($C368)))</f>
      </c>
      <c r="H368" s="49">
        <v>1975</v>
      </c>
      <c r="I368" s="46" t="inlineStr">
        <is>
          <t xml:space="preserve">Bentley</t>
        </is>
      </c>
      <c r="J368" s="46" t="inlineStr">
        <is>
          <t xml:space="preserve">Continental GT</t>
        </is>
      </c>
      <c r="K368" s="46" t="inlineStr">
        <is>
          <t xml:space="preserve">L6U1V7WDJL3H5DYHN</t>
        </is>
      </c>
      <c r="L368" s="48" t="inlineStr">
        <is>
          <t xml:space="preserve">02 - Sports / GT</t>
        </is>
      </c>
      <c r="M368" s="50">
        <v>555000</v>
      </c>
      <c r="N368" s="48" t="inlineStr">
        <is>
          <t xml:space="preserve">Personal</t>
        </is>
      </c>
      <c r="O368" s="46" t="inlineStr">
        <is>
          <t xml:space="preserve">Personal - regular use</t>
        </is>
      </c>
      <c r="P368" s="46" t="inlineStr">
        <is>
          <t xml:space="preserve">Under 1,000</t>
        </is>
      </c>
      <c r="Q368" s="46" t="inlineStr">
        <is>
          <t xml:space="preserve">Ohio</t>
        </is>
      </c>
      <c r="R368" s="46" t="inlineStr">
        <is>
          <t xml:space="preserve">43215</t>
        </is>
      </c>
      <c r="S368" s="48" t="inlineStr">
        <is>
          <t xml:space="preserve">Severe convective - hail / tornado (moderate)</t>
        </is>
      </c>
      <c r="T368" s="36">
        <f>IF($A368="","",IF($S368="","",IFERROR(INDEX('[1]natural catastrophe'!$D$6:$D$17,MATCH($S368,'[1]natural catastrophe'!$B$6:$B$17,0)),"?")))</f>
      </c>
      <c r="U368" s="46" t="inlineStr">
        <is>
          <t xml:space="preserve">$5,000</t>
        </is>
      </c>
      <c r="V368" s="48" t="inlineStr">
        <is>
          <t xml:space="preserve">Agreed Value</t>
        </is>
      </c>
      <c r="W368" s="46" t="inlineStr">
        <is>
          <t xml:space="preserve">$1,000</t>
        </is>
      </c>
      <c r="X368" s="48" t="inlineStr">
        <is>
          <t xml:space="preserve">$1,000,000 CSL</t>
        </is>
      </c>
      <c r="Y368" s="46"/>
      <c r="Z368" s="46"/>
      <c r="AA368" s="48" t="inlineStr">
        <is>
          <t xml:space="preserve">Surplus Lines</t>
        </is>
      </c>
      <c r="AB368" s="50">
        <v>8698.61</v>
      </c>
      <c r="AC368" s="51">
        <v>0</v>
      </c>
      <c r="AD368" s="38">
        <f>IF(ISNUMBER($AB368),$AB368*(1+N($AC368)),"")</f>
      </c>
      <c r="AE368" s="50">
        <v>350</v>
      </c>
      <c r="AF368" s="50">
        <v>0</v>
      </c>
      <c r="AG368" s="51"/>
      <c r="AH368" s="39">
        <f>IF(ISNUMBER($AD368),($AD368+$AE368+$AF368)*$AG368,"")</f>
      </c>
      <c r="AI368" s="50"/>
      <c r="AJ368" s="38">
        <f>IF(ISNUMBER($AD368),SUM($AD368:$AH368),"")</f>
      </c>
      <c r="AK368" s="40">
        <f>IF(AND(ISNUMBER($AB368),ISNUMBER($AD368)),IF($AB368&gt;0,$AD368/$AB368,""),"")</f>
      </c>
      <c r="AL368" s="48" t="inlineStr">
        <is>
          <t xml:space="preserve">At technical</t>
        </is>
      </c>
      <c r="AM368" s="41">
        <f>IF(ISNUMBER($AD368),Header!$I$3,"")</f>
      </c>
      <c r="AN368" s="39">
        <f>IF(ISNUMBER($AD368),$AO368+$AP368,"")</f>
      </c>
      <c r="AO368" s="39">
        <f>IF(ISNUMBER($AD368),ROUND($AD368*Header!$K$3,2),"")</f>
      </c>
      <c r="AP368" s="39">
        <f>IF(ISNUMBER($AD368),ROUND($AD368*Header!$M$3,2),"")</f>
      </c>
      <c r="AQ368" s="38">
        <f>IF(ISNUMBER($AD368),ROUND($AD368,2)-$AO368-$AP368,"")</f>
      </c>
      <c r="AR368" s="39">
        <f>IF(ISNUMBER($AD368),IF(Header!$D$34="","?",$AD368*Header!$D$34),"")</f>
      </c>
      <c r="AS368" s="39">
        <f>IF(ISNUMBER($AB368),IF(Header!$D$34="","?",$AB368*Header!$D$34),"")</f>
      </c>
      <c r="AT368" s="42">
        <f>IF(AND(ISNUMBER($AB368),$M368&gt;0),$AB368/$M368*100,"")</f>
      </c>
      <c r="AU368" s="42">
        <f>IF(AND(ISNUMBER($AD368),$M368&gt;0),$AD368/$M368*100,"")</f>
      </c>
      <c r="AV368" s="40">
        <f>IF(AND(ISNUMBER($AB368),ISNUMBER($AD368),ABS($AB368)&gt;0),$AD368/$AB368,"")</f>
      </c>
      <c r="AW368" s="39">
        <f>IF(ISNUMBER($AD368),MAX(0,(1-0.55-Header!$O$3)*Header!$Q$3*$AQ368),"")</f>
      </c>
      <c r="AX368" s="43">
        <f>IF($A368="","",IF(TRIM(IF($A368="","Missing certificate ref. ","") &amp; IF($C368="","Missing effective date. ","") &amp; IF($D368="","Missing binding status. ","") &amp; IF($E368="","Missing movement type. ","") &amp; IF($I368="","Missing make. ","") &amp; IF($L368="","Missing vehicle class. ","") &amp; IF($M368="","Missing agreed value. ","") &amp; IF($N368="","Missing policy type. ","") &amp; IF($Q368="","Missing garaging state. ","") &amp; IF($R368="","Missing garaging ZIP. ","") &amp; IF($S368="","Missing cat zone. ","") &amp; IF($V368="","Missing valuation basis. ","") &amp; IF($W368="","Missing PD deductible. ","") &amp; IF($X368="","Missing liability limit. ","") &amp; IF($AB368="","Missing technical premium. ","") &amp; IF($AF368="","Missing surplus lines tax %. ",""))="","PASS","FAIL: "&amp;TRIM(IF($A368="","Missing certificate ref. ","") &amp; IF($C368="","Missing effective date. ","") &amp; IF($D368="","Missing binding status. ","") &amp; IF($E368="","Missing movement type. ","") &amp; IF($I368="","Missing make. ","") &amp; IF($L368="","Missing vehicle class. ","") &amp; IF($M368="","Missing agreed value. ","") &amp; IF($N368="","Missing policy type. ","") &amp; IF($Q368="","Missing garaging state. ","") &amp; IF($R368="","Missing garaging ZIP. ","") &amp; IF($S368="","Missing cat zone. ","") &amp; IF($V368="","Missing valuation basis. ","") &amp; IF($W368="","Missing PD deductible. ","") &amp; IF($X368="","Missing liability limit. ","") &amp; IF($AB368="","Missing technical premium. ","") &amp; IF($AF368="","Missing surplus lines tax %. ",""))))</f>
      </c>
      <c r="AY368" s="44">
        <f>IF($M368="","",IF(ISNUMBER($M368),IF($M368&gt;=Header!$C$18,"YES — refer","No"),""))</f>
      </c>
      <c r="AZ368" s="44">
        <f>IF($AD368="","",IF(ISNUMBER($AD368),IF($AD368&lt;Header!$C$20,"BELOW MIN PREMIUM","OK"),""))</f>
      </c>
      <c r="BA368" s="48" t="inlineStr">
        <is>
          <t xml:space="preserve">Yes</t>
        </is>
      </c>
      <c r="BB368" s="48" t="inlineStr">
        <is>
          <t xml:space="preserve">Yes</t>
        </is>
      </c>
      <c r="BC368" s="46" t="inlineStr">
        <is>
          <t xml:space="preserve">Synthetic demo data</t>
        </is>
      </c>
      <c r="BE368" s="45">
        <f>IF(OR($A368="",$L368="",$H368=""),"",IF(AND(LEFT($L368,2)="06",$H368&gt;1945),"FAIL - pre-war class, year "&amp;$H368,IF(AND(LEFT($L368,2)="07",OR($H368&lt;1946,$H368&gt;1972)),"FAIL - 1946-72 class, year "&amp;$H368,IF(AND(LEFT($L368,2)="08",OR($H368&lt;1973,$H368&gt;1999)),"FAIL - 1973-99 class, year "&amp;$H368,IF(AND(LEFT($L368,2)="09",OR($H368&lt;2000,$H368&gt;2010)),"FAIL - 2000-10 class, year "&amp;$H368,"OK")))))</f>
      </c>
      <c r="BF368" s="45">
        <f>IF($AD368="","",IF(ROUND($AO368+$AP368+$AQ368-$AD368,2)=0,"OK","FAIL - out by "&amp;TEXT($AO368+$AP368+$AQ368-$AD368,"$0.00")))</f>
      </c>
    </row>
    <row r="369" spans="1:58" ht="18.75" customHeight="1" x14ac:dyDescent="0.25">
      <c r="A369" s="30" t="inlineStr">
        <is>
          <t xml:space="preserve">CANON-202511-002669</t>
        </is>
      </c>
      <c r="B369" s="30" t="inlineStr">
        <is>
          <t xml:space="preserve">Callum Farkas</t>
        </is>
      </c>
      <c r="C369" s="31">
        <v>45983</v>
      </c>
      <c r="D369" s="32" t="inlineStr">
        <is>
          <t xml:space="preserve">Bound - within authority</t>
        </is>
      </c>
      <c r="E369" s="32" t="inlineStr">
        <is>
          <t xml:space="preserve">New business</t>
        </is>
      </c>
      <c r="F369" s="30" t="inlineStr">
        <is>
          <t xml:space="preserve">B1234EXOTIC26</t>
        </is>
      </c>
      <c r="G369" s="33">
        <f>IF($A369="","",IF($C369="","",YEAR($C369)))</f>
      </c>
      <c r="H369" s="34">
        <v>1971</v>
      </c>
      <c r="I369" s="30" t="inlineStr">
        <is>
          <t xml:space="preserve">Ferrari</t>
        </is>
      </c>
      <c r="J369" s="30" t="inlineStr">
        <is>
          <t xml:space="preserve">275 GTB/4</t>
        </is>
      </c>
      <c r="K369" s="30" t="inlineStr">
        <is>
          <t xml:space="preserve">VF0BLWXT5WWY6BTZE</t>
        </is>
      </c>
      <c r="L369" s="32" t="inlineStr">
        <is>
          <t xml:space="preserve">07 - Post-War Classic (1946-1972)</t>
        </is>
      </c>
      <c r="M369" s="35">
        <v>435000</v>
      </c>
      <c r="N369" s="32" t="inlineStr">
        <is>
          <t xml:space="preserve">Personal</t>
        </is>
      </c>
      <c r="O369" s="30" t="inlineStr">
        <is>
          <t xml:space="preserve">Personal - regular use</t>
        </is>
      </c>
      <c r="P369" s="30" t="inlineStr">
        <is>
          <t xml:space="preserve">1,000 - 2,500</t>
        </is>
      </c>
      <c r="Q369" s="30" t="inlineStr">
        <is>
          <t xml:space="preserve">New Hampshire</t>
        </is>
      </c>
      <c r="R369" s="30" t="inlineStr">
        <is>
          <t xml:space="preserve">03301</t>
        </is>
      </c>
      <c r="S369" s="32" t="inlineStr">
        <is>
          <t xml:space="preserve">Tier 3 - Coastal wind (25-100 miles)</t>
        </is>
      </c>
      <c r="T369" s="36">
        <f>IF($A369="","",IF($S369="","",IFERROR(INDEX('[1]natural catastrophe'!$D$6:$D$17,MATCH($S369,'[1]natural catastrophe'!$B$6:$B$17,0)),"?")))</f>
      </c>
      <c r="U369" s="30" t="inlineStr">
        <is>
          <t xml:space="preserve">2% of agreed value, minimum $10,000</t>
        </is>
      </c>
      <c r="V369" s="32" t="inlineStr">
        <is>
          <t xml:space="preserve">Agreed Value</t>
        </is>
      </c>
      <c r="W369" s="30" t="inlineStr">
        <is>
          <t xml:space="preserve">$1,000</t>
        </is>
      </c>
      <c r="X369" s="32" t="inlineStr">
        <is>
          <t xml:space="preserve">$1,000,000 CSL</t>
        </is>
      </c>
      <c r="Y369" s="30"/>
      <c r="Z369" s="30"/>
      <c r="AA369" s="32" t="inlineStr">
        <is>
          <t xml:space="preserve">Surplus Lines</t>
        </is>
      </c>
      <c r="AB369" s="35">
        <v>3766.97</v>
      </c>
      <c r="AC369" s="37">
        <v>0</v>
      </c>
      <c r="AD369" s="38">
        <f>IF(ISNUMBER($AB369),$AB369*(1+N($AC369)),"")</f>
      </c>
      <c r="AE369" s="35">
        <v>350</v>
      </c>
      <c r="AF369" s="35">
        <v>0</v>
      </c>
      <c r="AG369" s="37"/>
      <c r="AH369" s="39">
        <f>IF(ISNUMBER($AD369),($AD369+$AE369+$AF369)*$AG369,"")</f>
      </c>
      <c r="AI369" s="35"/>
      <c r="AJ369" s="38">
        <f>IF(ISNUMBER($AD369),SUM($AD369:$AH369),"")</f>
      </c>
      <c r="AK369" s="40">
        <f>IF(AND(ISNUMBER($AB369),ISNUMBER($AD369)),IF($AB369&gt;0,$AD369/$AB369,""),"")</f>
      </c>
      <c r="AL369" s="32" t="inlineStr">
        <is>
          <t xml:space="preserve">At technical</t>
        </is>
      </c>
      <c r="AM369" s="41">
        <f>IF(ISNUMBER($AD369),Header!$I$3,"")</f>
      </c>
      <c r="AN369" s="39">
        <f>IF(ISNUMBER($AD369),$AO369+$AP369,"")</f>
      </c>
      <c r="AO369" s="39">
        <f>IF(ISNUMBER($AD369),ROUND($AD369*Header!$K$3,2),"")</f>
      </c>
      <c r="AP369" s="39">
        <f>IF(ISNUMBER($AD369),ROUND($AD369*Header!$M$3,2),"")</f>
      </c>
      <c r="AQ369" s="38">
        <f>IF(ISNUMBER($AD369),ROUND($AD369,2)-$AO369-$AP369,"")</f>
      </c>
      <c r="AR369" s="39">
        <f>IF(ISNUMBER($AD369),IF(Header!$D$34="","?",$AD369*Header!$D$34),"")</f>
      </c>
      <c r="AS369" s="39">
        <f>IF(ISNUMBER($AB369),IF(Header!$D$34="","?",$AB369*Header!$D$34),"")</f>
      </c>
      <c r="AT369" s="42">
        <f>IF(AND(ISNUMBER($AB369),$M369&gt;0),$AB369/$M369*100,"")</f>
      </c>
      <c r="AU369" s="42">
        <f>IF(AND(ISNUMBER($AD369),$M369&gt;0),$AD369/$M369*100,"")</f>
      </c>
      <c r="AV369" s="40">
        <f>IF(AND(ISNUMBER($AB369),ISNUMBER($AD369),ABS($AB369)&gt;0),$AD369/$AB369,"")</f>
      </c>
      <c r="AW369" s="39">
        <f>IF(ISNUMBER($AD369),MAX(0,(1-0.55-Header!$O$3)*Header!$Q$3*$AQ369),"")</f>
      </c>
      <c r="AX369" s="43">
        <f>IF($A369="","",IF(TRIM(IF($A369="","Missing certificate ref. ","") &amp; IF($C369="","Missing effective date. ","") &amp; IF($D369="","Missing binding status. ","") &amp; IF($E369="","Missing movement type. ","") &amp; IF($I369="","Missing make. ","") &amp; IF($L369="","Missing vehicle class. ","") &amp; IF($M369="","Missing agreed value. ","") &amp; IF($N369="","Missing policy type. ","") &amp; IF($Q369="","Missing garaging state. ","") &amp; IF($R369="","Missing garaging ZIP. ","") &amp; IF($S369="","Missing cat zone. ","") &amp; IF($V369="","Missing valuation basis. ","") &amp; IF($W369="","Missing PD deductible. ","") &amp; IF($X369="","Missing liability limit. ","") &amp; IF($AB369="","Missing technical premium. ","") &amp; IF($AF369="","Missing surplus lines tax %. ",""))="","PASS","FAIL: "&amp;TRIM(IF($A369="","Missing certificate ref. ","") &amp; IF($C369="","Missing effective date. ","") &amp; IF($D369="","Missing binding status. ","") &amp; IF($E369="","Missing movement type. ","") &amp; IF($I369="","Missing make. ","") &amp; IF($L369="","Missing vehicle class. ","") &amp; IF($M369="","Missing agreed value. ","") &amp; IF($N369="","Missing policy type. ","") &amp; IF($Q369="","Missing garaging state. ","") &amp; IF($R369="","Missing garaging ZIP. ","") &amp; IF($S369="","Missing cat zone. ","") &amp; IF($V369="","Missing valuation basis. ","") &amp; IF($W369="","Missing PD deductible. ","") &amp; IF($X369="","Missing liability limit. ","") &amp; IF($AB369="","Missing technical premium. ","") &amp; IF($AF369="","Missing surplus lines tax %. ",""))))</f>
      </c>
      <c r="AY369" s="44">
        <f>IF($M369="","",IF(ISNUMBER($M369),IF($M369&gt;=Header!$C$18,"YES — refer","No"),""))</f>
      </c>
      <c r="AZ369" s="44">
        <f>IF($AD369="","",IF(ISNUMBER($AD369),IF($AD369&lt;Header!$C$20,"BELOW MIN PREMIUM","OK"),""))</f>
      </c>
      <c r="BA369" s="32" t="inlineStr">
        <is>
          <t xml:space="preserve">Yes</t>
        </is>
      </c>
      <c r="BB369" s="32" t="inlineStr">
        <is>
          <t xml:space="preserve">Yes</t>
        </is>
      </c>
      <c r="BC369" s="30" t="inlineStr">
        <is>
          <t xml:space="preserve">Synthetic demo data</t>
        </is>
      </c>
      <c r="BE369" s="45">
        <f>IF(OR($A369="",$L369="",$H369=""),"",IF(AND(LEFT($L369,2)="06",$H369&gt;1945),"FAIL - pre-war class, year "&amp;$H369,IF(AND(LEFT($L369,2)="07",OR($H369&lt;1946,$H369&gt;1972)),"FAIL - 1946-72 class, year "&amp;$H369,IF(AND(LEFT($L369,2)="08",OR($H369&lt;1973,$H369&gt;1999)),"FAIL - 1973-99 class, year "&amp;$H369,IF(AND(LEFT($L369,2)="09",OR($H369&lt;2000,$H369&gt;2010)),"FAIL - 2000-10 class, year "&amp;$H369,"OK")))))</f>
      </c>
      <c r="BF369" s="45">
        <f>IF($AD369="","",IF(ROUND($AO369+$AP369+$AQ369-$AD369,2)=0,"OK","FAIL - out by "&amp;TEXT($AO369+$AP369+$AQ369-$AD369,"$0.00")))</f>
      </c>
    </row>
    <row r="370" spans="1:58" ht="18.75" customHeight="1" x14ac:dyDescent="0.25">
      <c r="A370" s="46" t="inlineStr">
        <is>
          <t xml:space="preserve">CANON-202511-002670</t>
        </is>
      </c>
      <c r="B370" s="46" t="inlineStr">
        <is>
          <t xml:space="preserve">Priya Underwood</t>
        </is>
      </c>
      <c r="C370" s="47">
        <v>45971</v>
      </c>
      <c r="D370" s="48" t="inlineStr">
        <is>
          <t xml:space="preserve">Bound - within authority</t>
        </is>
      </c>
      <c r="E370" s="48" t="inlineStr">
        <is>
          <t xml:space="preserve">New business</t>
        </is>
      </c>
      <c r="F370" s="46" t="inlineStr">
        <is>
          <t xml:space="preserve">B1234EXOTIC26</t>
        </is>
      </c>
      <c r="G370" s="33">
        <f>IF($A370="","",IF($C370="","",YEAR($C370)))</f>
      </c>
      <c r="H370" s="49">
        <v>1993</v>
      </c>
      <c r="I370" s="46" t="inlineStr">
        <is>
          <t xml:space="preserve">Ferrari</t>
        </is>
      </c>
      <c r="J370" s="46" t="inlineStr">
        <is>
          <t xml:space="preserve">275 GTB/4</t>
        </is>
      </c>
      <c r="K370" s="46" t="inlineStr">
        <is>
          <t xml:space="preserve">WEPSL2NSM1HXN22S7</t>
        </is>
      </c>
      <c r="L370" s="48" t="inlineStr">
        <is>
          <t xml:space="preserve">08 - Modern Classic (1973-1999)</t>
        </is>
      </c>
      <c r="M370" s="50">
        <v>645000</v>
      </c>
      <c r="N370" s="48" t="inlineStr">
        <is>
          <t xml:space="preserve">Personal</t>
        </is>
      </c>
      <c r="O370" s="46" t="inlineStr">
        <is>
          <t xml:space="preserve">Personal - regular use</t>
        </is>
      </c>
      <c r="P370" s="46" t="inlineStr">
        <is>
          <t xml:space="preserve">Under 1,000</t>
        </is>
      </c>
      <c r="Q370" s="46" t="inlineStr">
        <is>
          <t xml:space="preserve">New York</t>
        </is>
      </c>
      <c r="R370" s="46" t="inlineStr">
        <is>
          <t xml:space="preserve">10022</t>
        </is>
      </c>
      <c r="S370" s="48" t="inlineStr">
        <is>
          <t xml:space="preserve">Tier 3 - Coastal wind (25-100 miles)</t>
        </is>
      </c>
      <c r="T370" s="36">
        <f>IF($A370="","",IF($S370="","",IFERROR(INDEX('[1]natural catastrophe'!$D$6:$D$17,MATCH($S370,'[1]natural catastrophe'!$B$6:$B$17,0)),"?")))</f>
      </c>
      <c r="U370" s="46" t="inlineStr">
        <is>
          <t xml:space="preserve">2% of agreed value, minimum $10,000</t>
        </is>
      </c>
      <c r="V370" s="48" t="inlineStr">
        <is>
          <t xml:space="preserve">Agreed Value</t>
        </is>
      </c>
      <c r="W370" s="46" t="inlineStr">
        <is>
          <t xml:space="preserve">$1,000</t>
        </is>
      </c>
      <c r="X370" s="48" t="inlineStr">
        <is>
          <t xml:space="preserve">$1,000,000 CSL</t>
        </is>
      </c>
      <c r="Y370" s="46"/>
      <c r="Z370" s="46"/>
      <c r="AA370" s="48" t="inlineStr">
        <is>
          <t xml:space="preserve">Surplus Lines</t>
        </is>
      </c>
      <c r="AB370" s="50">
        <v>6158.38</v>
      </c>
      <c r="AC370" s="51">
        <v>0</v>
      </c>
      <c r="AD370" s="38">
        <f>IF(ISNUMBER($AB370),$AB370*(1+N($AC370)),"")</f>
      </c>
      <c r="AE370" s="50">
        <v>350</v>
      </c>
      <c r="AF370" s="50">
        <v>0</v>
      </c>
      <c r="AG370" s="51"/>
      <c r="AH370" s="39">
        <f>IF(ISNUMBER($AD370),($AD370+$AE370+$AF370)*$AG370,"")</f>
      </c>
      <c r="AI370" s="50"/>
      <c r="AJ370" s="38">
        <f>IF(ISNUMBER($AD370),SUM($AD370:$AH370),"")</f>
      </c>
      <c r="AK370" s="40">
        <f>IF(AND(ISNUMBER($AB370),ISNUMBER($AD370)),IF($AB370&gt;0,$AD370/$AB370,""),"")</f>
      </c>
      <c r="AL370" s="48" t="inlineStr">
        <is>
          <t xml:space="preserve">At technical</t>
        </is>
      </c>
      <c r="AM370" s="41">
        <f>IF(ISNUMBER($AD370),Header!$I$3,"")</f>
      </c>
      <c r="AN370" s="39">
        <f>IF(ISNUMBER($AD370),$AO370+$AP370,"")</f>
      </c>
      <c r="AO370" s="39">
        <f>IF(ISNUMBER($AD370),ROUND($AD370*Header!$K$3,2),"")</f>
      </c>
      <c r="AP370" s="39">
        <f>IF(ISNUMBER($AD370),ROUND($AD370*Header!$M$3,2),"")</f>
      </c>
      <c r="AQ370" s="38">
        <f>IF(ISNUMBER($AD370),ROUND($AD370,2)-$AO370-$AP370,"")</f>
      </c>
      <c r="AR370" s="39">
        <f>IF(ISNUMBER($AD370),IF(Header!$D$34="","?",$AD370*Header!$D$34),"")</f>
      </c>
      <c r="AS370" s="39">
        <f>IF(ISNUMBER($AB370),IF(Header!$D$34="","?",$AB370*Header!$D$34),"")</f>
      </c>
      <c r="AT370" s="42">
        <f>IF(AND(ISNUMBER($AB370),$M370&gt;0),$AB370/$M370*100,"")</f>
      </c>
      <c r="AU370" s="42">
        <f>IF(AND(ISNUMBER($AD370),$M370&gt;0),$AD370/$M370*100,"")</f>
      </c>
      <c r="AV370" s="40">
        <f>IF(AND(ISNUMBER($AB370),ISNUMBER($AD370),ABS($AB370)&gt;0),$AD370/$AB370,"")</f>
      </c>
      <c r="AW370" s="39">
        <f>IF(ISNUMBER($AD370),MAX(0,(1-0.55-Header!$O$3)*Header!$Q$3*$AQ370),"")</f>
      </c>
      <c r="AX370" s="43">
        <f>IF($A370="","",IF(TRIM(IF($A370="","Missing certificate ref. ","") &amp; IF($C370="","Missing effective date. ","") &amp; IF($D370="","Missing binding status. ","") &amp; IF($E370="","Missing movement type. ","") &amp; IF($I370="","Missing make. ","") &amp; IF($L370="","Missing vehicle class. ","") &amp; IF($M370="","Missing agreed value. ","") &amp; IF($N370="","Missing policy type. ","") &amp; IF($Q370="","Missing garaging state. ","") &amp; IF($R370="","Missing garaging ZIP. ","") &amp; IF($S370="","Missing cat zone. ","") &amp; IF($V370="","Missing valuation basis. ","") &amp; IF($W370="","Missing PD deductible. ","") &amp; IF($X370="","Missing liability limit. ","") &amp; IF($AB370="","Missing technical premium. ","") &amp; IF($AF370="","Missing surplus lines tax %. ",""))="","PASS","FAIL: "&amp;TRIM(IF($A370="","Missing certificate ref. ","") &amp; IF($C370="","Missing effective date. ","") &amp; IF($D370="","Missing binding status. ","") &amp; IF($E370="","Missing movement type. ","") &amp; IF($I370="","Missing make. ","") &amp; IF($L370="","Missing vehicle class. ","") &amp; IF($M370="","Missing agreed value. ","") &amp; IF($N370="","Missing policy type. ","") &amp; IF($Q370="","Missing garaging state. ","") &amp; IF($R370="","Missing garaging ZIP. ","") &amp; IF($S370="","Missing cat zone. ","") &amp; IF($V370="","Missing valuation basis. ","") &amp; IF($W370="","Missing PD deductible. ","") &amp; IF($X370="","Missing liability limit. ","") &amp; IF($AB370="","Missing technical premium. ","") &amp; IF($AF370="","Missing surplus lines tax %. ",""))))</f>
      </c>
      <c r="AY370" s="44">
        <f>IF($M370="","",IF(ISNUMBER($M370),IF($M370&gt;=Header!$C$18,"YES — refer","No"),""))</f>
      </c>
      <c r="AZ370" s="44">
        <f>IF($AD370="","",IF(ISNUMBER($AD370),IF($AD370&lt;Header!$C$20,"BELOW MIN PREMIUM","OK"),""))</f>
      </c>
      <c r="BA370" s="48" t="inlineStr">
        <is>
          <t xml:space="preserve">Yes</t>
        </is>
      </c>
      <c r="BB370" s="48" t="inlineStr">
        <is>
          <t xml:space="preserve">Yes</t>
        </is>
      </c>
      <c r="BC370" s="46" t="inlineStr">
        <is>
          <t xml:space="preserve">Synthetic demo data</t>
        </is>
      </c>
      <c r="BE370" s="45">
        <f>IF(OR($A370="",$L370="",$H370=""),"",IF(AND(LEFT($L370,2)="06",$H370&gt;1945),"FAIL - pre-war class, year "&amp;$H370,IF(AND(LEFT($L370,2)="07",OR($H370&lt;1946,$H370&gt;1972)),"FAIL - 1946-72 class, year "&amp;$H370,IF(AND(LEFT($L370,2)="08",OR($H370&lt;1973,$H370&gt;1999)),"FAIL - 1973-99 class, year "&amp;$H370,IF(AND(LEFT($L370,2)="09",OR($H370&lt;2000,$H370&gt;2010)),"FAIL - 2000-10 class, year "&amp;$H370,"OK")))))</f>
      </c>
      <c r="BF370" s="45">
        <f>IF($AD370="","",IF(ROUND($AO370+$AP370+$AQ370-$AD370,2)=0,"OK","FAIL - out by "&amp;TEXT($AO370+$AP370+$AQ370-$AD370,"$0.00")))</f>
      </c>
    </row>
    <row r="371" spans="1:58" ht="18.75" customHeight="1" x14ac:dyDescent="0.25">
      <c r="A371" s="30" t="inlineStr">
        <is>
          <t xml:space="preserve">CANON-202511-002671</t>
        </is>
      </c>
      <c r="B371" s="30" t="inlineStr">
        <is>
          <t xml:space="preserve">Priya Castellanos</t>
        </is>
      </c>
      <c r="C371" s="31">
        <v>45975</v>
      </c>
      <c r="D371" s="32" t="inlineStr">
        <is>
          <t xml:space="preserve">Bound - within authority</t>
        </is>
      </c>
      <c r="E371" s="32" t="inlineStr">
        <is>
          <t xml:space="preserve">New business</t>
        </is>
      </c>
      <c r="F371" s="30" t="inlineStr">
        <is>
          <t xml:space="preserve">B1234EXOTIC26</t>
        </is>
      </c>
      <c r="G371" s="33">
        <f>IF($A371="","",IF($C371="","",YEAR($C371)))</f>
      </c>
      <c r="H371" s="34">
        <v>1989</v>
      </c>
      <c r="I371" s="30" t="inlineStr">
        <is>
          <t xml:space="preserve">BMW</t>
        </is>
      </c>
      <c r="J371" s="30" t="inlineStr">
        <is>
          <t xml:space="preserve">M8 Competition</t>
        </is>
      </c>
      <c r="K371" s="30" t="inlineStr">
        <is>
          <t xml:space="preserve">YTLTBWJAYAWBN41V5</t>
        </is>
      </c>
      <c r="L371" s="32" t="inlineStr">
        <is>
          <t xml:space="preserve">02 - Sports / GT</t>
        </is>
      </c>
      <c r="M371" s="35">
        <v>345000</v>
      </c>
      <c r="N371" s="32" t="inlineStr">
        <is>
          <t xml:space="preserve">Personal</t>
        </is>
      </c>
      <c r="O371" s="30" t="inlineStr">
        <is>
          <t xml:space="preserve">Personal - regular use</t>
        </is>
      </c>
      <c r="P371" s="30" t="inlineStr">
        <is>
          <t xml:space="preserve">Under 1,000</t>
        </is>
      </c>
      <c r="Q371" s="30" t="inlineStr">
        <is>
          <t xml:space="preserve">Ohio</t>
        </is>
      </c>
      <c r="R371" s="30" t="inlineStr">
        <is>
          <t xml:space="preserve">43215</t>
        </is>
      </c>
      <c r="S371" s="32" t="inlineStr">
        <is>
          <t xml:space="preserve">Severe convective - hail / tornado (moderate)</t>
        </is>
      </c>
      <c r="T371" s="36">
        <f>IF($A371="","",IF($S371="","",IFERROR(INDEX('[1]natural catastrophe'!$D$6:$D$17,MATCH($S371,'[1]natural catastrophe'!$B$6:$B$17,0)),"?")))</f>
      </c>
      <c r="U371" s="30" t="inlineStr">
        <is>
          <t xml:space="preserve">$5,000</t>
        </is>
      </c>
      <c r="V371" s="32" t="inlineStr">
        <is>
          <t xml:space="preserve">Agreed Value</t>
        </is>
      </c>
      <c r="W371" s="30" t="inlineStr">
        <is>
          <t xml:space="preserve">$1,000</t>
        </is>
      </c>
      <c r="X371" s="32" t="inlineStr">
        <is>
          <t xml:space="preserve">$1,000,000 CSL</t>
        </is>
      </c>
      <c r="Y371" s="30"/>
      <c r="Z371" s="30"/>
      <c r="AA371" s="32" t="inlineStr">
        <is>
          <t xml:space="preserve">Surplus Lines</t>
        </is>
      </c>
      <c r="AB371" s="35">
        <v>6239.12</v>
      </c>
      <c r="AC371" s="37">
        <v>0</v>
      </c>
      <c r="AD371" s="38">
        <f>IF(ISNUMBER($AB371),$AB371*(1+N($AC371)),"")</f>
      </c>
      <c r="AE371" s="35">
        <v>350</v>
      </c>
      <c r="AF371" s="35">
        <v>0</v>
      </c>
      <c r="AG371" s="37"/>
      <c r="AH371" s="39">
        <f>IF(ISNUMBER($AD371),($AD371+$AE371+$AF371)*$AG371,"")</f>
      </c>
      <c r="AI371" s="35"/>
      <c r="AJ371" s="38">
        <f>IF(ISNUMBER($AD371),SUM($AD371:$AH371),"")</f>
      </c>
      <c r="AK371" s="40">
        <f>IF(AND(ISNUMBER($AB371),ISNUMBER($AD371)),IF($AB371&gt;0,$AD371/$AB371,""),"")</f>
      </c>
      <c r="AL371" s="32" t="inlineStr">
        <is>
          <t xml:space="preserve">At technical</t>
        </is>
      </c>
      <c r="AM371" s="41">
        <f>IF(ISNUMBER($AD371),Header!$I$3,"")</f>
      </c>
      <c r="AN371" s="39">
        <f>IF(ISNUMBER($AD371),$AO371+$AP371,"")</f>
      </c>
      <c r="AO371" s="39">
        <f>IF(ISNUMBER($AD371),ROUND($AD371*Header!$K$3,2),"")</f>
      </c>
      <c r="AP371" s="39">
        <f>IF(ISNUMBER($AD371),ROUND($AD371*Header!$M$3,2),"")</f>
      </c>
      <c r="AQ371" s="38">
        <f>IF(ISNUMBER($AD371),ROUND($AD371,2)-$AO371-$AP371,"")</f>
      </c>
      <c r="AR371" s="39">
        <f>IF(ISNUMBER($AD371),IF(Header!$D$34="","?",$AD371*Header!$D$34),"")</f>
      </c>
      <c r="AS371" s="39">
        <f>IF(ISNUMBER($AB371),IF(Header!$D$34="","?",$AB371*Header!$D$34),"")</f>
      </c>
      <c r="AT371" s="42">
        <f>IF(AND(ISNUMBER($AB371),$M371&gt;0),$AB371/$M371*100,"")</f>
      </c>
      <c r="AU371" s="42">
        <f>IF(AND(ISNUMBER($AD371),$M371&gt;0),$AD371/$M371*100,"")</f>
      </c>
      <c r="AV371" s="40">
        <f>IF(AND(ISNUMBER($AB371),ISNUMBER($AD371),ABS($AB371)&gt;0),$AD371/$AB371,"")</f>
      </c>
      <c r="AW371" s="39">
        <f>IF(ISNUMBER($AD371),MAX(0,(1-0.55-Header!$O$3)*Header!$Q$3*$AQ371),"")</f>
      </c>
      <c r="AX371" s="43">
        <f>IF($A371="","",IF(TRIM(IF($A371="","Missing certificate ref. ","") &amp; IF($C371="","Missing effective date. ","") &amp; IF($D371="","Missing binding status. ","") &amp; IF($E371="","Missing movement type. ","") &amp; IF($I371="","Missing make. ","") &amp; IF($L371="","Missing vehicle class. ","") &amp; IF($M371="","Missing agreed value. ","") &amp; IF($N371="","Missing policy type. ","") &amp; IF($Q371="","Missing garaging state. ","") &amp; IF($R371="","Missing garaging ZIP. ","") &amp; IF($S371="","Missing cat zone. ","") &amp; IF($V371="","Missing valuation basis. ","") &amp; IF($W371="","Missing PD deductible. ","") &amp; IF($X371="","Missing liability limit. ","") &amp; IF($AB371="","Missing technical premium. ","") &amp; IF($AF371="","Missing surplus lines tax %. ",""))="","PASS","FAIL: "&amp;TRIM(IF($A371="","Missing certificate ref. ","") &amp; IF($C371="","Missing effective date. ","") &amp; IF($D371="","Missing binding status. ","") &amp; IF($E371="","Missing movement type. ","") &amp; IF($I371="","Missing make. ","") &amp; IF($L371="","Missing vehicle class. ","") &amp; IF($M371="","Missing agreed value. ","") &amp; IF($N371="","Missing policy type. ","") &amp; IF($Q371="","Missing garaging state. ","") &amp; IF($R371="","Missing garaging ZIP. ","") &amp; IF($S371="","Missing cat zone. ","") &amp; IF($V371="","Missing valuation basis. ","") &amp; IF($W371="","Missing PD deductible. ","") &amp; IF($X371="","Missing liability limit. ","") &amp; IF($AB371="","Missing technical premium. ","") &amp; IF($AF371="","Missing surplus lines tax %. ",""))))</f>
      </c>
      <c r="AY371" s="44">
        <f>IF($M371="","",IF(ISNUMBER($M371),IF($M371&gt;=Header!$C$18,"YES — refer","No"),""))</f>
      </c>
      <c r="AZ371" s="44">
        <f>IF($AD371="","",IF(ISNUMBER($AD371),IF($AD371&lt;Header!$C$20,"BELOW MIN PREMIUM","OK"),""))</f>
      </c>
      <c r="BA371" s="32" t="inlineStr">
        <is>
          <t xml:space="preserve">Yes</t>
        </is>
      </c>
      <c r="BB371" s="32" t="inlineStr">
        <is>
          <t xml:space="preserve">Yes</t>
        </is>
      </c>
      <c r="BC371" s="30" t="inlineStr">
        <is>
          <t xml:space="preserve">Synthetic demo data</t>
        </is>
      </c>
      <c r="BE371" s="45">
        <f>IF(OR($A371="",$L371="",$H371=""),"",IF(AND(LEFT($L371,2)="06",$H371&gt;1945),"FAIL - pre-war class, year "&amp;$H371,IF(AND(LEFT($L371,2)="07",OR($H371&lt;1946,$H371&gt;1972)),"FAIL - 1946-72 class, year "&amp;$H371,IF(AND(LEFT($L371,2)="08",OR($H371&lt;1973,$H371&gt;1999)),"FAIL - 1973-99 class, year "&amp;$H371,IF(AND(LEFT($L371,2)="09",OR($H371&lt;2000,$H371&gt;2010)),"FAIL - 2000-10 class, year "&amp;$H371,"OK")))))</f>
      </c>
      <c r="BF371" s="45">
        <f>IF($AD371="","",IF(ROUND($AO371+$AP371+$AQ371-$AD371,2)=0,"OK","FAIL - out by "&amp;TEXT($AO371+$AP371+$AQ371-$AD371,"$0.00")))</f>
      </c>
    </row>
    <row r="372" spans="1:58" ht="18.75" customHeight="1" x14ac:dyDescent="0.25">
      <c r="A372" s="46" t="inlineStr">
        <is>
          <t xml:space="preserve">CANON-202511-002672</t>
        </is>
      </c>
      <c r="B372" s="46" t="inlineStr">
        <is>
          <t xml:space="preserve">Saoirse Castellanos</t>
        </is>
      </c>
      <c r="C372" s="47">
        <v>45978</v>
      </c>
      <c r="D372" s="48" t="inlineStr">
        <is>
          <t xml:space="preserve">Bound - within authority</t>
        </is>
      </c>
      <c r="E372" s="48" t="inlineStr">
        <is>
          <t xml:space="preserve">New business</t>
        </is>
      </c>
      <c r="F372" s="46" t="inlineStr">
        <is>
          <t xml:space="preserve">B1234EXOTIC26</t>
        </is>
      </c>
      <c r="G372" s="33">
        <f>IF($A372="","",IF($C372="","",YEAR($C372)))</f>
      </c>
      <c r="H372" s="49">
        <v>1979</v>
      </c>
      <c r="I372" s="46" t="inlineStr">
        <is>
          <t xml:space="preserve">Aston Martin</t>
        </is>
      </c>
      <c r="J372" s="46" t="inlineStr">
        <is>
          <t xml:space="preserve">DB12</t>
        </is>
      </c>
      <c r="K372" s="46" t="inlineStr">
        <is>
          <t xml:space="preserve">3ZTK4UZA0VCA0A7DP</t>
        </is>
      </c>
      <c r="L372" s="48" t="inlineStr">
        <is>
          <t xml:space="preserve">02 - Sports / GT</t>
        </is>
      </c>
      <c r="M372" s="50">
        <v>275000</v>
      </c>
      <c r="N372" s="48" t="inlineStr">
        <is>
          <t xml:space="preserve">Personal</t>
        </is>
      </c>
      <c r="O372" s="46" t="inlineStr">
        <is>
          <t xml:space="preserve">Personal - regular use</t>
        </is>
      </c>
      <c r="P372" s="46" t="inlineStr">
        <is>
          <t xml:space="preserve">2,500 - 5,000</t>
        </is>
      </c>
      <c r="Q372" s="46" t="inlineStr">
        <is>
          <t xml:space="preserve">Idaho</t>
        </is>
      </c>
      <c r="R372" s="46" t="inlineStr">
        <is>
          <t xml:space="preserve">83702</t>
        </is>
      </c>
      <c r="S372" s="48" t="inlineStr">
        <is>
          <t xml:space="preserve">Wildfire - WUI high hazard</t>
        </is>
      </c>
      <c r="T372" s="36">
        <f>IF($A372="","",IF($S372="","",IFERROR(INDEX('[1]natural catastrophe'!$D$6:$D$17,MATCH($S372,'[1]natural catastrophe'!$B$6:$B$17,0)),"?")))</f>
      </c>
      <c r="U372" s="46" t="inlineStr">
        <is>
          <t xml:space="preserve">$5,000</t>
        </is>
      </c>
      <c r="V372" s="48" t="inlineStr">
        <is>
          <t xml:space="preserve">Agreed Value</t>
        </is>
      </c>
      <c r="W372" s="46" t="inlineStr">
        <is>
          <t xml:space="preserve">$1,000</t>
        </is>
      </c>
      <c r="X372" s="48" t="inlineStr">
        <is>
          <t xml:space="preserve">$1,000,000 CSL</t>
        </is>
      </c>
      <c r="Y372" s="46"/>
      <c r="Z372" s="46"/>
      <c r="AA372" s="48" t="inlineStr">
        <is>
          <t xml:space="preserve">Surplus Lines</t>
        </is>
      </c>
      <c r="AB372" s="50">
        <v>3542.07</v>
      </c>
      <c r="AC372" s="51">
        <v>0</v>
      </c>
      <c r="AD372" s="38">
        <f>IF(ISNUMBER($AB372),$AB372*(1+N($AC372)),"")</f>
      </c>
      <c r="AE372" s="50">
        <v>350</v>
      </c>
      <c r="AF372" s="50">
        <v>0</v>
      </c>
      <c r="AG372" s="51"/>
      <c r="AH372" s="39">
        <f>IF(ISNUMBER($AD372),($AD372+$AE372+$AF372)*$AG372,"")</f>
      </c>
      <c r="AI372" s="50"/>
      <c r="AJ372" s="38">
        <f>IF(ISNUMBER($AD372),SUM($AD372:$AH372),"")</f>
      </c>
      <c r="AK372" s="40">
        <f>IF(AND(ISNUMBER($AB372),ISNUMBER($AD372)),IF($AB372&gt;0,$AD372/$AB372,""),"")</f>
      </c>
      <c r="AL372" s="48" t="inlineStr">
        <is>
          <t xml:space="preserve">At technical</t>
        </is>
      </c>
      <c r="AM372" s="41">
        <f>IF(ISNUMBER($AD372),Header!$I$3,"")</f>
      </c>
      <c r="AN372" s="39">
        <f>IF(ISNUMBER($AD372),$AO372+$AP372,"")</f>
      </c>
      <c r="AO372" s="39">
        <f>IF(ISNUMBER($AD372),ROUND($AD372*Header!$K$3,2),"")</f>
      </c>
      <c r="AP372" s="39">
        <f>IF(ISNUMBER($AD372),ROUND($AD372*Header!$M$3,2),"")</f>
      </c>
      <c r="AQ372" s="38">
        <f>IF(ISNUMBER($AD372),ROUND($AD372,2)-$AO372-$AP372,"")</f>
      </c>
      <c r="AR372" s="39">
        <f>IF(ISNUMBER($AD372),IF(Header!$D$34="","?",$AD372*Header!$D$34),"")</f>
      </c>
      <c r="AS372" s="39">
        <f>IF(ISNUMBER($AB372),IF(Header!$D$34="","?",$AB372*Header!$D$34),"")</f>
      </c>
      <c r="AT372" s="42">
        <f>IF(AND(ISNUMBER($AB372),$M372&gt;0),$AB372/$M372*100,"")</f>
      </c>
      <c r="AU372" s="42">
        <f>IF(AND(ISNUMBER($AD372),$M372&gt;0),$AD372/$M372*100,"")</f>
      </c>
      <c r="AV372" s="40">
        <f>IF(AND(ISNUMBER($AB372),ISNUMBER($AD372),ABS($AB372)&gt;0),$AD372/$AB372,"")</f>
      </c>
      <c r="AW372" s="39">
        <f>IF(ISNUMBER($AD372),MAX(0,(1-0.55-Header!$O$3)*Header!$Q$3*$AQ372),"")</f>
      </c>
      <c r="AX372" s="43">
        <f>IF($A372="","",IF(TRIM(IF($A372="","Missing certificate ref. ","") &amp; IF($C372="","Missing effective date. ","") &amp; IF($D372="","Missing binding status. ","") &amp; IF($E372="","Missing movement type. ","") &amp; IF($I372="","Missing make. ","") &amp; IF($L372="","Missing vehicle class. ","") &amp; IF($M372="","Missing agreed value. ","") &amp; IF($N372="","Missing policy type. ","") &amp; IF($Q372="","Missing garaging state. ","") &amp; IF($R372="","Missing garaging ZIP. ","") &amp; IF($S372="","Missing cat zone. ","") &amp; IF($V372="","Missing valuation basis. ","") &amp; IF($W372="","Missing PD deductible. ","") &amp; IF($X372="","Missing liability limit. ","") &amp; IF($AB372="","Missing technical premium. ","") &amp; IF($AF372="","Missing surplus lines tax %. ",""))="","PASS","FAIL: "&amp;TRIM(IF($A372="","Missing certificate ref. ","") &amp; IF($C372="","Missing effective date. ","") &amp; IF($D372="","Missing binding status. ","") &amp; IF($E372="","Missing movement type. ","") &amp; IF($I372="","Missing make. ","") &amp; IF($L372="","Missing vehicle class. ","") &amp; IF($M372="","Missing agreed value. ","") &amp; IF($N372="","Missing policy type. ","") &amp; IF($Q372="","Missing garaging state. ","") &amp; IF($R372="","Missing garaging ZIP. ","") &amp; IF($S372="","Missing cat zone. ","") &amp; IF($V372="","Missing valuation basis. ","") &amp; IF($W372="","Missing PD deductible. ","") &amp; IF($X372="","Missing liability limit. ","") &amp; IF($AB372="","Missing technical premium. ","") &amp; IF($AF372="","Missing surplus lines tax %. ",""))))</f>
      </c>
      <c r="AY372" s="44">
        <f>IF($M372="","",IF(ISNUMBER($M372),IF($M372&gt;=Header!$C$18,"YES — refer","No"),""))</f>
      </c>
      <c r="AZ372" s="44">
        <f>IF($AD372="","",IF(ISNUMBER($AD372),IF($AD372&lt;Header!$C$20,"BELOW MIN PREMIUM","OK"),""))</f>
      </c>
      <c r="BA372" s="48" t="inlineStr">
        <is>
          <t xml:space="preserve">Yes</t>
        </is>
      </c>
      <c r="BB372" s="48" t="inlineStr">
        <is>
          <t xml:space="preserve">Yes</t>
        </is>
      </c>
      <c r="BC372" s="46" t="inlineStr">
        <is>
          <t xml:space="preserve">Synthetic demo data</t>
        </is>
      </c>
      <c r="BE372" s="45">
        <f>IF(OR($A372="",$L372="",$H372=""),"",IF(AND(LEFT($L372,2)="06",$H372&gt;1945),"FAIL - pre-war class, year "&amp;$H372,IF(AND(LEFT($L372,2)="07",OR($H372&lt;1946,$H372&gt;1972)),"FAIL - 1946-72 class, year "&amp;$H372,IF(AND(LEFT($L372,2)="08",OR($H372&lt;1973,$H372&gt;1999)),"FAIL - 1973-99 class, year "&amp;$H372,IF(AND(LEFT($L372,2)="09",OR($H372&lt;2000,$H372&gt;2010)),"FAIL - 2000-10 class, year "&amp;$H372,"OK")))))</f>
      </c>
      <c r="BF372" s="45">
        <f>IF($AD372="","",IF(ROUND($AO372+$AP372+$AQ372-$AD372,2)=0,"OK","FAIL - out by "&amp;TEXT($AO372+$AP372+$AQ372-$AD372,"$0.00")))</f>
      </c>
    </row>
    <row r="373" spans="1:58" ht="18.75" customHeight="1" x14ac:dyDescent="0.25">
      <c r="A373" s="30" t="inlineStr">
        <is>
          <t xml:space="preserve">CANON-202511-002673</t>
        </is>
      </c>
      <c r="B373" s="30" t="inlineStr">
        <is>
          <t xml:space="preserve">Mireille Castellanos</t>
        </is>
      </c>
      <c r="C373" s="31">
        <v>45968</v>
      </c>
      <c r="D373" s="32" t="inlineStr">
        <is>
          <t xml:space="preserve">Bound - within authority</t>
        </is>
      </c>
      <c r="E373" s="32" t="inlineStr">
        <is>
          <t xml:space="preserve">New business</t>
        </is>
      </c>
      <c r="F373" s="30" t="inlineStr">
        <is>
          <t xml:space="preserve">B1234EXOTIC26</t>
        </is>
      </c>
      <c r="G373" s="33">
        <f>IF($A373="","",IF($C373="","",YEAR($C373)))</f>
      </c>
      <c r="H373" s="34">
        <v>1975</v>
      </c>
      <c r="I373" s="30" t="inlineStr">
        <is>
          <t xml:space="preserve">Porsche</t>
        </is>
      </c>
      <c r="J373" s="30" t="inlineStr">
        <is>
          <t xml:space="preserve">911 Turbo S</t>
        </is>
      </c>
      <c r="K373" s="30" t="inlineStr">
        <is>
          <t xml:space="preserve">0MFKR56D7M2RWY5EK</t>
        </is>
      </c>
      <c r="L373" s="32" t="inlineStr">
        <is>
          <t xml:space="preserve">02 - Sports / GT</t>
        </is>
      </c>
      <c r="M373" s="35">
        <v>365000</v>
      </c>
      <c r="N373" s="32" t="inlineStr">
        <is>
          <t xml:space="preserve">Personal</t>
        </is>
      </c>
      <c r="O373" s="30" t="inlineStr">
        <is>
          <t xml:space="preserve">Personal - regular use</t>
        </is>
      </c>
      <c r="P373" s="30" t="inlineStr">
        <is>
          <t xml:space="preserve">1,000 - 2,500</t>
        </is>
      </c>
      <c r="Q373" s="30" t="inlineStr">
        <is>
          <t xml:space="preserve">New Jersey</t>
        </is>
      </c>
      <c r="R373" s="30" t="inlineStr">
        <is>
          <t xml:space="preserve">07102</t>
        </is>
      </c>
      <c r="S373" s="32" t="inlineStr">
        <is>
          <t xml:space="preserve">Tier 3 - Coastal wind (25-100 miles)</t>
        </is>
      </c>
      <c r="T373" s="36">
        <f>IF($A373="","",IF($S373="","",IFERROR(INDEX('[1]natural catastrophe'!$D$6:$D$17,MATCH($S373,'[1]natural catastrophe'!$B$6:$B$17,0)),"?")))</f>
      </c>
      <c r="U373" s="30" t="inlineStr">
        <is>
          <t xml:space="preserve">2% of agreed value, minimum $10,000</t>
        </is>
      </c>
      <c r="V373" s="32" t="inlineStr">
        <is>
          <t xml:space="preserve">Agreed Value</t>
        </is>
      </c>
      <c r="W373" s="30" t="inlineStr">
        <is>
          <t xml:space="preserve">$1,000</t>
        </is>
      </c>
      <c r="X373" s="32" t="inlineStr">
        <is>
          <t xml:space="preserve">$1,000,000 CSL</t>
        </is>
      </c>
      <c r="Y373" s="30"/>
      <c r="Z373" s="30"/>
      <c r="AA373" s="32" t="inlineStr">
        <is>
          <t xml:space="preserve">Surplus Lines</t>
        </is>
      </c>
      <c r="AB373" s="35">
        <v>4321.4</v>
      </c>
      <c r="AC373" s="37">
        <v>0</v>
      </c>
      <c r="AD373" s="38">
        <f>IF(ISNUMBER($AB373),$AB373*(1+N($AC373)),"")</f>
      </c>
      <c r="AE373" s="35">
        <v>350</v>
      </c>
      <c r="AF373" s="35">
        <v>0</v>
      </c>
      <c r="AG373" s="37"/>
      <c r="AH373" s="39">
        <f>IF(ISNUMBER($AD373),($AD373+$AE373+$AF373)*$AG373,"")</f>
      </c>
      <c r="AI373" s="35"/>
      <c r="AJ373" s="38">
        <f>IF(ISNUMBER($AD373),SUM($AD373:$AH373),"")</f>
      </c>
      <c r="AK373" s="40">
        <f>IF(AND(ISNUMBER($AB373),ISNUMBER($AD373)),IF($AB373&gt;0,$AD373/$AB373,""),"")</f>
      </c>
      <c r="AL373" s="32" t="inlineStr">
        <is>
          <t xml:space="preserve">At technical</t>
        </is>
      </c>
      <c r="AM373" s="41">
        <f>IF(ISNUMBER($AD373),Header!$I$3,"")</f>
      </c>
      <c r="AN373" s="39">
        <f>IF(ISNUMBER($AD373),$AO373+$AP373,"")</f>
      </c>
      <c r="AO373" s="39">
        <f>IF(ISNUMBER($AD373),ROUND($AD373*Header!$K$3,2),"")</f>
      </c>
      <c r="AP373" s="39">
        <f>IF(ISNUMBER($AD373),ROUND($AD373*Header!$M$3,2),"")</f>
      </c>
      <c r="AQ373" s="38">
        <f>IF(ISNUMBER($AD373),ROUND($AD373,2)-$AO373-$AP373,"")</f>
      </c>
      <c r="AR373" s="39">
        <f>IF(ISNUMBER($AD373),IF(Header!$D$34="","?",$AD373*Header!$D$34),"")</f>
      </c>
      <c r="AS373" s="39">
        <f>IF(ISNUMBER($AB373),IF(Header!$D$34="","?",$AB373*Header!$D$34),"")</f>
      </c>
      <c r="AT373" s="42">
        <f>IF(AND(ISNUMBER($AB373),$M373&gt;0),$AB373/$M373*100,"")</f>
      </c>
      <c r="AU373" s="42">
        <f>IF(AND(ISNUMBER($AD373),$M373&gt;0),$AD373/$M373*100,"")</f>
      </c>
      <c r="AV373" s="40">
        <f>IF(AND(ISNUMBER($AB373),ISNUMBER($AD373),ABS($AB373)&gt;0),$AD373/$AB373,"")</f>
      </c>
      <c r="AW373" s="39">
        <f>IF(ISNUMBER($AD373),MAX(0,(1-0.55-Header!$O$3)*Header!$Q$3*$AQ373),"")</f>
      </c>
      <c r="AX373" s="43">
        <f>IF($A373="","",IF(TRIM(IF($A373="","Missing certificate ref. ","") &amp; IF($C373="","Missing effective date. ","") &amp; IF($D373="","Missing binding status. ","") &amp; IF($E373="","Missing movement type. ","") &amp; IF($I373="","Missing make. ","") &amp; IF($L373="","Missing vehicle class. ","") &amp; IF($M373="","Missing agreed value. ","") &amp; IF($N373="","Missing policy type. ","") &amp; IF($Q373="","Missing garaging state. ","") &amp; IF($R373="","Missing garaging ZIP. ","") &amp; IF($S373="","Missing cat zone. ","") &amp; IF($V373="","Missing valuation basis. ","") &amp; IF($W373="","Missing PD deductible. ","") &amp; IF($X373="","Missing liability limit. ","") &amp; IF($AB373="","Missing technical premium. ","") &amp; IF($AF373="","Missing surplus lines tax %. ",""))="","PASS","FAIL: "&amp;TRIM(IF($A373="","Missing certificate ref. ","") &amp; IF($C373="","Missing effective date. ","") &amp; IF($D373="","Missing binding status. ","") &amp; IF($E373="","Missing movement type. ","") &amp; IF($I373="","Missing make. ","") &amp; IF($L373="","Missing vehicle class. ","") &amp; IF($M373="","Missing agreed value. ","") &amp; IF($N373="","Missing policy type. ","") &amp; IF($Q373="","Missing garaging state. ","") &amp; IF($R373="","Missing garaging ZIP. ","") &amp; IF($S373="","Missing cat zone. ","") &amp; IF($V373="","Missing valuation basis. ","") &amp; IF($W373="","Missing PD deductible. ","") &amp; IF($X373="","Missing liability limit. ","") &amp; IF($AB373="","Missing technical premium. ","") &amp; IF($AF373="","Missing surplus lines tax %. ",""))))</f>
      </c>
      <c r="AY373" s="44">
        <f>IF($M373="","",IF(ISNUMBER($M373),IF($M373&gt;=Header!$C$18,"YES — refer","No"),""))</f>
      </c>
      <c r="AZ373" s="44">
        <f>IF($AD373="","",IF(ISNUMBER($AD373),IF($AD373&lt;Header!$C$20,"BELOW MIN PREMIUM","OK"),""))</f>
      </c>
      <c r="BA373" s="32" t="inlineStr">
        <is>
          <t xml:space="preserve">Yes</t>
        </is>
      </c>
      <c r="BB373" s="32" t="inlineStr">
        <is>
          <t xml:space="preserve">Yes</t>
        </is>
      </c>
      <c r="BC373" s="30" t="inlineStr">
        <is>
          <t xml:space="preserve">Synthetic demo data</t>
        </is>
      </c>
      <c r="BE373" s="45">
        <f>IF(OR($A373="",$L373="",$H373=""),"",IF(AND(LEFT($L373,2)="06",$H373&gt;1945),"FAIL - pre-war class, year "&amp;$H373,IF(AND(LEFT($L373,2)="07",OR($H373&lt;1946,$H373&gt;1972)),"FAIL - 1946-72 class, year "&amp;$H373,IF(AND(LEFT($L373,2)="08",OR($H373&lt;1973,$H373&gt;1999)),"FAIL - 1973-99 class, year "&amp;$H373,IF(AND(LEFT($L373,2)="09",OR($H373&lt;2000,$H373&gt;2010)),"FAIL - 2000-10 class, year "&amp;$H373,"OK")))))</f>
      </c>
      <c r="BF373" s="45">
        <f>IF($AD373="","",IF(ROUND($AO373+$AP373+$AQ373-$AD373,2)=0,"OK","FAIL - out by "&amp;TEXT($AO373+$AP373+$AQ373-$AD373,"$0.00")))</f>
      </c>
    </row>
    <row r="374" spans="1:58" ht="18.75" customHeight="1" x14ac:dyDescent="0.25">
      <c r="A374" s="46" t="inlineStr">
        <is>
          <t xml:space="preserve">CANON-202511-002674</t>
        </is>
      </c>
      <c r="B374" s="46" t="inlineStr">
        <is>
          <t xml:space="preserve">Priya Whitlock</t>
        </is>
      </c>
      <c r="C374" s="47">
        <v>45967</v>
      </c>
      <c r="D374" s="48" t="inlineStr">
        <is>
          <t xml:space="preserve">Bound - within authority</t>
        </is>
      </c>
      <c r="E374" s="48" t="inlineStr">
        <is>
          <t xml:space="preserve">New business</t>
        </is>
      </c>
      <c r="F374" s="46" t="inlineStr">
        <is>
          <t xml:space="preserve">B1234EXOTIC26</t>
        </is>
      </c>
      <c r="G374" s="33">
        <f>IF($A374="","",IF($C374="","",YEAR($C374)))</f>
      </c>
      <c r="H374" s="49">
        <v>2015</v>
      </c>
      <c r="I374" s="46" t="inlineStr">
        <is>
          <t xml:space="preserve">Maserati</t>
        </is>
      </c>
      <c r="J374" s="46" t="inlineStr">
        <is>
          <t xml:space="preserve">GranTurismo</t>
        </is>
      </c>
      <c r="K374" s="46" t="inlineStr">
        <is>
          <t xml:space="preserve">U513UJCB89HX6JEDX</t>
        </is>
      </c>
      <c r="L374" s="48" t="inlineStr">
        <is>
          <t xml:space="preserve">02 - Sports / GT</t>
        </is>
      </c>
      <c r="M374" s="50">
        <v>815000</v>
      </c>
      <c r="N374" s="48" t="inlineStr">
        <is>
          <t xml:space="preserve">Personal</t>
        </is>
      </c>
      <c r="O374" s="46" t="inlineStr">
        <is>
          <t xml:space="preserve">Personal - regular use</t>
        </is>
      </c>
      <c r="P374" s="46" t="inlineStr">
        <is>
          <t xml:space="preserve">Under 1,000</t>
        </is>
      </c>
      <c r="Q374" s="46" t="inlineStr">
        <is>
          <t xml:space="preserve">New York</t>
        </is>
      </c>
      <c r="R374" s="46" t="inlineStr">
        <is>
          <t xml:space="preserve">10022</t>
        </is>
      </c>
      <c r="S374" s="48" t="inlineStr">
        <is>
          <t xml:space="preserve">Tier 3 - Coastal wind (25-100 miles)</t>
        </is>
      </c>
      <c r="T374" s="36">
        <f>IF($A374="","",IF($S374="","",IFERROR(INDEX('[1]natural catastrophe'!$D$6:$D$17,MATCH($S374,'[1]natural catastrophe'!$B$6:$B$17,0)),"?")))</f>
      </c>
      <c r="U374" s="46" t="inlineStr">
        <is>
          <t xml:space="preserve">2% of agreed value, minimum $10,000</t>
        </is>
      </c>
      <c r="V374" s="48" t="inlineStr">
        <is>
          <t xml:space="preserve">Agreed Value</t>
        </is>
      </c>
      <c r="W374" s="46" t="inlineStr">
        <is>
          <t xml:space="preserve">$1,000</t>
        </is>
      </c>
      <c r="X374" s="48" t="inlineStr">
        <is>
          <t xml:space="preserve">$1,000,000 CSL</t>
        </is>
      </c>
      <c r="Y374" s="46"/>
      <c r="Z374" s="46"/>
      <c r="AA374" s="48" t="inlineStr">
        <is>
          <t xml:space="preserve">Surplus Lines</t>
        </is>
      </c>
      <c r="AB374" s="50">
        <v>11762.77</v>
      </c>
      <c r="AC374" s="51">
        <v>0</v>
      </c>
      <c r="AD374" s="38">
        <f>IF(ISNUMBER($AB374),$AB374*(1+N($AC374)),"")</f>
      </c>
      <c r="AE374" s="50">
        <v>350</v>
      </c>
      <c r="AF374" s="50">
        <v>0</v>
      </c>
      <c r="AG374" s="51"/>
      <c r="AH374" s="39">
        <f>IF(ISNUMBER($AD374),($AD374+$AE374+$AF374)*$AG374,"")</f>
      </c>
      <c r="AI374" s="50"/>
      <c r="AJ374" s="38">
        <f>IF(ISNUMBER($AD374),SUM($AD374:$AH374),"")</f>
      </c>
      <c r="AK374" s="40">
        <f>IF(AND(ISNUMBER($AB374),ISNUMBER($AD374)),IF($AB374&gt;0,$AD374/$AB374,""),"")</f>
      </c>
      <c r="AL374" s="48" t="inlineStr">
        <is>
          <t xml:space="preserve">At technical</t>
        </is>
      </c>
      <c r="AM374" s="41">
        <f>IF(ISNUMBER($AD374),Header!$I$3,"")</f>
      </c>
      <c r="AN374" s="39">
        <f>IF(ISNUMBER($AD374),$AO374+$AP374,"")</f>
      </c>
      <c r="AO374" s="39">
        <f>IF(ISNUMBER($AD374),ROUND($AD374*Header!$K$3,2),"")</f>
      </c>
      <c r="AP374" s="39">
        <f>IF(ISNUMBER($AD374),ROUND($AD374*Header!$M$3,2),"")</f>
      </c>
      <c r="AQ374" s="38">
        <f>IF(ISNUMBER($AD374),ROUND($AD374,2)-$AO374-$AP374,"")</f>
      </c>
      <c r="AR374" s="39">
        <f>IF(ISNUMBER($AD374),IF(Header!$D$34="","?",$AD374*Header!$D$34),"")</f>
      </c>
      <c r="AS374" s="39">
        <f>IF(ISNUMBER($AB374),IF(Header!$D$34="","?",$AB374*Header!$D$34),"")</f>
      </c>
      <c r="AT374" s="42">
        <f>IF(AND(ISNUMBER($AB374),$M374&gt;0),$AB374/$M374*100,"")</f>
      </c>
      <c r="AU374" s="42">
        <f>IF(AND(ISNUMBER($AD374),$M374&gt;0),$AD374/$M374*100,"")</f>
      </c>
      <c r="AV374" s="40">
        <f>IF(AND(ISNUMBER($AB374),ISNUMBER($AD374),ABS($AB374)&gt;0),$AD374/$AB374,"")</f>
      </c>
      <c r="AW374" s="39">
        <f>IF(ISNUMBER($AD374),MAX(0,(1-0.55-Header!$O$3)*Header!$Q$3*$AQ374),"")</f>
      </c>
      <c r="AX374" s="43">
        <f>IF($A374="","",IF(TRIM(IF($A374="","Missing certificate ref. ","") &amp; IF($C374="","Missing effective date. ","") &amp; IF($D374="","Missing binding status. ","") &amp; IF($E374="","Missing movement type. ","") &amp; IF($I374="","Missing make. ","") &amp; IF($L374="","Missing vehicle class. ","") &amp; IF($M374="","Missing agreed value. ","") &amp; IF($N374="","Missing policy type. ","") &amp; IF($Q374="","Missing garaging state. ","") &amp; IF($R374="","Missing garaging ZIP. ","") &amp; IF($S374="","Missing cat zone. ","") &amp; IF($V374="","Missing valuation basis. ","") &amp; IF($W374="","Missing PD deductible. ","") &amp; IF($X374="","Missing liability limit. ","") &amp; IF($AB374="","Missing technical premium. ","") &amp; IF($AF374="","Missing surplus lines tax %. ",""))="","PASS","FAIL: "&amp;TRIM(IF($A374="","Missing certificate ref. ","") &amp; IF($C374="","Missing effective date. ","") &amp; IF($D374="","Missing binding status. ","") &amp; IF($E374="","Missing movement type. ","") &amp; IF($I374="","Missing make. ","") &amp; IF($L374="","Missing vehicle class. ","") &amp; IF($M374="","Missing agreed value. ","") &amp; IF($N374="","Missing policy type. ","") &amp; IF($Q374="","Missing garaging state. ","") &amp; IF($R374="","Missing garaging ZIP. ","") &amp; IF($S374="","Missing cat zone. ","") &amp; IF($V374="","Missing valuation basis. ","") &amp; IF($W374="","Missing PD deductible. ","") &amp; IF($X374="","Missing liability limit. ","") &amp; IF($AB374="","Missing technical premium. ","") &amp; IF($AF374="","Missing surplus lines tax %. ",""))))</f>
      </c>
      <c r="AY374" s="44">
        <f>IF($M374="","",IF(ISNUMBER($M374),IF($M374&gt;=Header!$C$18,"YES — refer","No"),""))</f>
      </c>
      <c r="AZ374" s="44">
        <f>IF($AD374="","",IF(ISNUMBER($AD374),IF($AD374&lt;Header!$C$20,"BELOW MIN PREMIUM","OK"),""))</f>
      </c>
      <c r="BA374" s="48" t="inlineStr">
        <is>
          <t xml:space="preserve">Yes</t>
        </is>
      </c>
      <c r="BB374" s="48" t="inlineStr">
        <is>
          <t xml:space="preserve">Yes</t>
        </is>
      </c>
      <c r="BC374" s="46" t="inlineStr">
        <is>
          <t xml:space="preserve">Synthetic demo data</t>
        </is>
      </c>
      <c r="BE374" s="45">
        <f>IF(OR($A374="",$L374="",$H374=""),"",IF(AND(LEFT($L374,2)="06",$H374&gt;1945),"FAIL - pre-war class, year "&amp;$H374,IF(AND(LEFT($L374,2)="07",OR($H374&lt;1946,$H374&gt;1972)),"FAIL - 1946-72 class, year "&amp;$H374,IF(AND(LEFT($L374,2)="08",OR($H374&lt;1973,$H374&gt;1999)),"FAIL - 1973-99 class, year "&amp;$H374,IF(AND(LEFT($L374,2)="09",OR($H374&lt;2000,$H374&gt;2010)),"FAIL - 2000-10 class, year "&amp;$H374,"OK")))))</f>
      </c>
      <c r="BF374" s="45">
        <f>IF($AD374="","",IF(ROUND($AO374+$AP374+$AQ374-$AD374,2)=0,"OK","FAIL - out by "&amp;TEXT($AO374+$AP374+$AQ374-$AD374,"$0.00")))</f>
      </c>
    </row>
    <row r="375" spans="1:58" ht="18.75" customHeight="1" x14ac:dyDescent="0.25">
      <c r="A375" s="30" t="inlineStr">
        <is>
          <t xml:space="preserve">CANON-202511-002676</t>
        </is>
      </c>
      <c r="B375" s="30" t="inlineStr">
        <is>
          <t xml:space="preserve">Saoirse Nakashima</t>
        </is>
      </c>
      <c r="C375" s="31">
        <v>45988</v>
      </c>
      <c r="D375" s="32" t="inlineStr">
        <is>
          <t xml:space="preserve">Bound - within authority</t>
        </is>
      </c>
      <c r="E375" s="32" t="inlineStr">
        <is>
          <t xml:space="preserve">New business</t>
        </is>
      </c>
      <c r="F375" s="30" t="inlineStr">
        <is>
          <t xml:space="preserve">B1234EXOTIC26</t>
        </is>
      </c>
      <c r="G375" s="33">
        <f>IF($A375="","",IF($C375="","",YEAR($C375)))</f>
      </c>
      <c r="H375" s="34">
        <v>2005</v>
      </c>
      <c r="I375" s="30" t="inlineStr">
        <is>
          <t xml:space="preserve">BMW</t>
        </is>
      </c>
      <c r="J375" s="30" t="inlineStr">
        <is>
          <t xml:space="preserve">M8 Competition</t>
        </is>
      </c>
      <c r="K375" s="30" t="inlineStr">
        <is>
          <t xml:space="preserve">GYHGPY0206DFXSLZ2</t>
        </is>
      </c>
      <c r="L375" s="32" t="inlineStr">
        <is>
          <t xml:space="preserve">02 - Sports / GT</t>
        </is>
      </c>
      <c r="M375" s="35">
        <v>520000</v>
      </c>
      <c r="N375" s="32" t="inlineStr">
        <is>
          <t xml:space="preserve">Personal</t>
        </is>
      </c>
      <c r="O375" s="30" t="inlineStr">
        <is>
          <t xml:space="preserve">Personal - regular use</t>
        </is>
      </c>
      <c r="P375" s="30" t="inlineStr">
        <is>
          <t xml:space="preserve">2,500 - 5,000</t>
        </is>
      </c>
      <c r="Q375" s="30" t="inlineStr">
        <is>
          <t xml:space="preserve">Nebraska</t>
        </is>
      </c>
      <c r="R375" s="30" t="inlineStr">
        <is>
          <t xml:space="preserve">68102</t>
        </is>
      </c>
      <c r="S375" s="32" t="inlineStr">
        <is>
          <t xml:space="preserve">Severe convective - hail alley (high)</t>
        </is>
      </c>
      <c r="T375" s="36">
        <f>IF($A375="","",IF($S375="","",IFERROR(INDEX('[1]natural catastrophe'!$D$6:$D$17,MATCH($S375,'[1]natural catastrophe'!$B$6:$B$17,0)),"?")))</f>
      </c>
      <c r="U375" s="30" t="inlineStr">
        <is>
          <t xml:space="preserve">$5,000</t>
        </is>
      </c>
      <c r="V375" s="32" t="inlineStr">
        <is>
          <t xml:space="preserve">Agreed Value</t>
        </is>
      </c>
      <c r="W375" s="30" t="inlineStr">
        <is>
          <t xml:space="preserve">$1,000</t>
        </is>
      </c>
      <c r="X375" s="32" t="inlineStr">
        <is>
          <t xml:space="preserve">$1,000,000 CSL</t>
        </is>
      </c>
      <c r="Y375" s="30"/>
      <c r="Z375" s="30"/>
      <c r="AA375" s="32" t="inlineStr">
        <is>
          <t xml:space="preserve">Surplus Lines</t>
        </is>
      </c>
      <c r="AB375" s="35">
        <v>7622.35</v>
      </c>
      <c r="AC375" s="37">
        <v>0</v>
      </c>
      <c r="AD375" s="38">
        <f>IF(ISNUMBER($AB375),$AB375*(1+N($AC375)),"")</f>
      </c>
      <c r="AE375" s="35">
        <v>350</v>
      </c>
      <c r="AF375" s="35">
        <v>0</v>
      </c>
      <c r="AG375" s="37"/>
      <c r="AH375" s="39">
        <f>IF(ISNUMBER($AD375),($AD375+$AE375+$AF375)*$AG375,"")</f>
      </c>
      <c r="AI375" s="35"/>
      <c r="AJ375" s="38">
        <f>IF(ISNUMBER($AD375),SUM($AD375:$AH375),"")</f>
      </c>
      <c r="AK375" s="40">
        <f>IF(AND(ISNUMBER($AB375),ISNUMBER($AD375)),IF($AB375&gt;0,$AD375/$AB375,""),"")</f>
      </c>
      <c r="AL375" s="32" t="inlineStr">
        <is>
          <t xml:space="preserve">At technical</t>
        </is>
      </c>
      <c r="AM375" s="41">
        <f>IF(ISNUMBER($AD375),Header!$I$3,"")</f>
      </c>
      <c r="AN375" s="39">
        <f>IF(ISNUMBER($AD375),$AO375+$AP375,"")</f>
      </c>
      <c r="AO375" s="39">
        <f>IF(ISNUMBER($AD375),ROUND($AD375*Header!$K$3,2),"")</f>
      </c>
      <c r="AP375" s="39">
        <f>IF(ISNUMBER($AD375),ROUND($AD375*Header!$M$3,2),"")</f>
      </c>
      <c r="AQ375" s="38">
        <f>IF(ISNUMBER($AD375),ROUND($AD375,2)-$AO375-$AP375,"")</f>
      </c>
      <c r="AR375" s="39">
        <f>IF(ISNUMBER($AD375),IF(Header!$D$34="","?",$AD375*Header!$D$34),"")</f>
      </c>
      <c r="AS375" s="39">
        <f>IF(ISNUMBER($AB375),IF(Header!$D$34="","?",$AB375*Header!$D$34),"")</f>
      </c>
      <c r="AT375" s="42">
        <f>IF(AND(ISNUMBER($AB375),$M375&gt;0),$AB375/$M375*100,"")</f>
      </c>
      <c r="AU375" s="42">
        <f>IF(AND(ISNUMBER($AD375),$M375&gt;0),$AD375/$M375*100,"")</f>
      </c>
      <c r="AV375" s="40">
        <f>IF(AND(ISNUMBER($AB375),ISNUMBER($AD375),ABS($AB375)&gt;0),$AD375/$AB375,"")</f>
      </c>
      <c r="AW375" s="39">
        <f>IF(ISNUMBER($AD375),MAX(0,(1-0.55-Header!$O$3)*Header!$Q$3*$AQ375),"")</f>
      </c>
      <c r="AX375" s="43">
        <f>IF($A375="","",IF(TRIM(IF($A375="","Missing certificate ref. ","") &amp; IF($C375="","Missing effective date. ","") &amp; IF($D375="","Missing binding status. ","") &amp; IF($E375="","Missing movement type. ","") &amp; IF($I375="","Missing make. ","") &amp; IF($L375="","Missing vehicle class. ","") &amp; IF($M375="","Missing agreed value. ","") &amp; IF($N375="","Missing policy type. ","") &amp; IF($Q375="","Missing garaging state. ","") &amp; IF($R375="","Missing garaging ZIP. ","") &amp; IF($S375="","Missing cat zone. ","") &amp; IF($V375="","Missing valuation basis. ","") &amp; IF($W375="","Missing PD deductible. ","") &amp; IF($X375="","Missing liability limit. ","") &amp; IF($AB375="","Missing technical premium. ","") &amp; IF($AF375="","Missing surplus lines tax %. ",""))="","PASS","FAIL: "&amp;TRIM(IF($A375="","Missing certificate ref. ","") &amp; IF($C375="","Missing effective date. ","") &amp; IF($D375="","Missing binding status. ","") &amp; IF($E375="","Missing movement type. ","") &amp; IF($I375="","Missing make. ","") &amp; IF($L375="","Missing vehicle class. ","") &amp; IF($M375="","Missing agreed value. ","") &amp; IF($N375="","Missing policy type. ","") &amp; IF($Q375="","Missing garaging state. ","") &amp; IF($R375="","Missing garaging ZIP. ","") &amp; IF($S375="","Missing cat zone. ","") &amp; IF($V375="","Missing valuation basis. ","") &amp; IF($W375="","Missing PD deductible. ","") &amp; IF($X375="","Missing liability limit. ","") &amp; IF($AB375="","Missing technical premium. ","") &amp; IF($AF375="","Missing surplus lines tax %. ",""))))</f>
      </c>
      <c r="AY375" s="44">
        <f>IF($M375="","",IF(ISNUMBER($M375),IF($M375&gt;=Header!$C$18,"YES — refer","No"),""))</f>
      </c>
      <c r="AZ375" s="44">
        <f>IF($AD375="","",IF(ISNUMBER($AD375),IF($AD375&lt;Header!$C$20,"BELOW MIN PREMIUM","OK"),""))</f>
      </c>
      <c r="BA375" s="32" t="inlineStr">
        <is>
          <t xml:space="preserve">Yes</t>
        </is>
      </c>
      <c r="BB375" s="32" t="inlineStr">
        <is>
          <t xml:space="preserve">Yes</t>
        </is>
      </c>
      <c r="BC375" s="30" t="inlineStr">
        <is>
          <t xml:space="preserve">Synthetic demo data</t>
        </is>
      </c>
      <c r="BE375" s="45">
        <f>IF(OR($A375="",$L375="",$H375=""),"",IF(AND(LEFT($L375,2)="06",$H375&gt;1945),"FAIL - pre-war class, year "&amp;$H375,IF(AND(LEFT($L375,2)="07",OR($H375&lt;1946,$H375&gt;1972)),"FAIL - 1946-72 class, year "&amp;$H375,IF(AND(LEFT($L375,2)="08",OR($H375&lt;1973,$H375&gt;1999)),"FAIL - 1973-99 class, year "&amp;$H375,IF(AND(LEFT($L375,2)="09",OR($H375&lt;2000,$H375&gt;2010)),"FAIL - 2000-10 class, year "&amp;$H375,"OK")))))</f>
      </c>
      <c r="BF375" s="45">
        <f>IF($AD375="","",IF(ROUND($AO375+$AP375+$AQ375-$AD375,2)=0,"OK","FAIL - out by "&amp;TEXT($AO375+$AP375+$AQ375-$AD375,"$0.00")))</f>
      </c>
    </row>
    <row r="376" spans="1:58" ht="18.75" customHeight="1" x14ac:dyDescent="0.25">
      <c r="A376" s="46" t="inlineStr">
        <is>
          <t xml:space="preserve">CANON-202511-002677</t>
        </is>
      </c>
      <c r="B376" s="46" t="inlineStr">
        <is>
          <t xml:space="preserve">Cassius Merriweather</t>
        </is>
      </c>
      <c r="C376" s="47">
        <v>45967</v>
      </c>
      <c r="D376" s="48" t="inlineStr">
        <is>
          <t xml:space="preserve">Bound - within authority</t>
        </is>
      </c>
      <c r="E376" s="48" t="inlineStr">
        <is>
          <t xml:space="preserve">New business</t>
        </is>
      </c>
      <c r="F376" s="46" t="inlineStr">
        <is>
          <t xml:space="preserve">B1234EXOTIC26</t>
        </is>
      </c>
      <c r="G376" s="33">
        <f>IF($A376="","",IF($C376="","",YEAR($C376)))</f>
      </c>
      <c r="H376" s="49">
        <v>1991</v>
      </c>
      <c r="I376" s="46" t="inlineStr">
        <is>
          <t xml:space="preserve">Mercedes-Benz</t>
        </is>
      </c>
      <c r="J376" s="46" t="inlineStr">
        <is>
          <t xml:space="preserve">AMG GT</t>
        </is>
      </c>
      <c r="K376" s="46" t="inlineStr">
        <is>
          <t xml:space="preserve">RXTX1RSYZBBHZ9HAT</t>
        </is>
      </c>
      <c r="L376" s="48" t="inlineStr">
        <is>
          <t xml:space="preserve">02 - Sports / GT</t>
        </is>
      </c>
      <c r="M376" s="50">
        <v>1950000</v>
      </c>
      <c r="N376" s="48" t="inlineStr">
        <is>
          <t xml:space="preserve">Personal</t>
        </is>
      </c>
      <c r="O376" s="46" t="inlineStr">
        <is>
          <t xml:space="preserve">Personal - regular use</t>
        </is>
      </c>
      <c r="P376" s="46" t="inlineStr">
        <is>
          <t xml:space="preserve">2,500 - 5,000</t>
        </is>
      </c>
      <c r="Q376" s="46" t="inlineStr">
        <is>
          <t xml:space="preserve">Washington</t>
        </is>
      </c>
      <c r="R376" s="46" t="inlineStr">
        <is>
          <t xml:space="preserve">98101</t>
        </is>
      </c>
      <c r="S376" s="48" t="inlineStr">
        <is>
          <t xml:space="preserve">Earthquake - high (CA, Cascadia, New Madrid)</t>
        </is>
      </c>
      <c r="T376" s="36">
        <f>IF($A376="","",IF($S376="","",IFERROR(INDEX('[1]natural catastrophe'!$D$6:$D$17,MATCH($S376,'[1]natural catastrophe'!$B$6:$B$17,0)),"?")))</f>
      </c>
      <c r="U376" s="46" t="inlineStr">
        <is>
          <t xml:space="preserve">$5,000</t>
        </is>
      </c>
      <c r="V376" s="48" t="inlineStr">
        <is>
          <t xml:space="preserve">Agreed Value</t>
        </is>
      </c>
      <c r="W376" s="46" t="inlineStr">
        <is>
          <t xml:space="preserve">$1,000</t>
        </is>
      </c>
      <c r="X376" s="48" t="inlineStr">
        <is>
          <t xml:space="preserve">$1,000,000 CSL</t>
        </is>
      </c>
      <c r="Y376" s="46"/>
      <c r="Z376" s="46"/>
      <c r="AA376" s="48" t="inlineStr">
        <is>
          <t xml:space="preserve">Surplus Lines</t>
        </is>
      </c>
      <c r="AB376" s="50">
        <v>17860.65</v>
      </c>
      <c r="AC376" s="51">
        <v>0</v>
      </c>
      <c r="AD376" s="38">
        <f>IF(ISNUMBER($AB376),$AB376*(1+N($AC376)),"")</f>
      </c>
      <c r="AE376" s="50">
        <v>350</v>
      </c>
      <c r="AF376" s="50">
        <v>250</v>
      </c>
      <c r="AG376" s="51"/>
      <c r="AH376" s="39">
        <f>IF(ISNUMBER($AD376),($AD376+$AE376+$AF376)*$AG376,"")</f>
      </c>
      <c r="AI376" s="50"/>
      <c r="AJ376" s="38">
        <f>IF(ISNUMBER($AD376),SUM($AD376:$AH376),"")</f>
      </c>
      <c r="AK376" s="40">
        <f>IF(AND(ISNUMBER($AB376),ISNUMBER($AD376)),IF($AB376&gt;0,$AD376/$AB376,""),"")</f>
      </c>
      <c r="AL376" s="48" t="inlineStr">
        <is>
          <t xml:space="preserve">At technical</t>
        </is>
      </c>
      <c r="AM376" s="41">
        <f>IF(ISNUMBER($AD376),Header!$I$3,"")</f>
      </c>
      <c r="AN376" s="39">
        <f>IF(ISNUMBER($AD376),$AO376+$AP376,"")</f>
      </c>
      <c r="AO376" s="39">
        <f>IF(ISNUMBER($AD376),ROUND($AD376*Header!$K$3,2),"")</f>
      </c>
      <c r="AP376" s="39">
        <f>IF(ISNUMBER($AD376),ROUND($AD376*Header!$M$3,2),"")</f>
      </c>
      <c r="AQ376" s="38">
        <f>IF(ISNUMBER($AD376),ROUND($AD376,2)-$AO376-$AP376,"")</f>
      </c>
      <c r="AR376" s="39">
        <f>IF(ISNUMBER($AD376),IF(Header!$D$34="","?",$AD376*Header!$D$34),"")</f>
      </c>
      <c r="AS376" s="39">
        <f>IF(ISNUMBER($AB376),IF(Header!$D$34="","?",$AB376*Header!$D$34),"")</f>
      </c>
      <c r="AT376" s="42">
        <f>IF(AND(ISNUMBER($AB376),$M376&gt;0),$AB376/$M376*100,"")</f>
      </c>
      <c r="AU376" s="42">
        <f>IF(AND(ISNUMBER($AD376),$M376&gt;0),$AD376/$M376*100,"")</f>
      </c>
      <c r="AV376" s="40">
        <f>IF(AND(ISNUMBER($AB376),ISNUMBER($AD376),ABS($AB376)&gt;0),$AD376/$AB376,"")</f>
      </c>
      <c r="AW376" s="39">
        <f>IF(ISNUMBER($AD376),MAX(0,(1-0.55-Header!$O$3)*Header!$Q$3*$AQ376),"")</f>
      </c>
      <c r="AX376" s="43">
        <f>IF($A376="","",IF(TRIM(IF($A376="","Missing certificate ref. ","") &amp; IF($C376="","Missing effective date. ","") &amp; IF($D376="","Missing binding status. ","") &amp; IF($E376="","Missing movement type. ","") &amp; IF($I376="","Missing make. ","") &amp; IF($L376="","Missing vehicle class. ","") &amp; IF($M376="","Missing agreed value. ","") &amp; IF($N376="","Missing policy type. ","") &amp; IF($Q376="","Missing garaging state. ","") &amp; IF($R376="","Missing garaging ZIP. ","") &amp; IF($S376="","Missing cat zone. ","") &amp; IF($V376="","Missing valuation basis. ","") &amp; IF($W376="","Missing PD deductible. ","") &amp; IF($X376="","Missing liability limit. ","") &amp; IF($AB376="","Missing technical premium. ","") &amp; IF($AF376="","Missing surplus lines tax %. ",""))="","PASS","FAIL: "&amp;TRIM(IF($A376="","Missing certificate ref. ","") &amp; IF($C376="","Missing effective date. ","") &amp; IF($D376="","Missing binding status. ","") &amp; IF($E376="","Missing movement type. ","") &amp; IF($I376="","Missing make. ","") &amp; IF($L376="","Missing vehicle class. ","") &amp; IF($M376="","Missing agreed value. ","") &amp; IF($N376="","Missing policy type. ","") &amp; IF($Q376="","Missing garaging state. ","") &amp; IF($R376="","Missing garaging ZIP. ","") &amp; IF($S376="","Missing cat zone. ","") &amp; IF($V376="","Missing valuation basis. ","") &amp; IF($W376="","Missing PD deductible. ","") &amp; IF($X376="","Missing liability limit. ","") &amp; IF($AB376="","Missing technical premium. ","") &amp; IF($AF376="","Missing surplus lines tax %. ",""))))</f>
      </c>
      <c r="AY376" s="44">
        <f>IF($M376="","",IF(ISNUMBER($M376),IF($M376&gt;=Header!$C$18,"YES — refer","No"),""))</f>
      </c>
      <c r="AZ376" s="44">
        <f>IF($AD376="","",IF(ISNUMBER($AD376),IF($AD376&lt;Header!$C$20,"BELOW MIN PREMIUM","OK"),""))</f>
      </c>
      <c r="BA376" s="48" t="inlineStr">
        <is>
          <t xml:space="preserve">Yes</t>
        </is>
      </c>
      <c r="BB376" s="48" t="inlineStr">
        <is>
          <t xml:space="preserve">Yes</t>
        </is>
      </c>
      <c r="BC376" s="46" t="inlineStr">
        <is>
          <t xml:space="preserve">Synthetic demo data</t>
        </is>
      </c>
      <c r="BE376" s="45">
        <f>IF(OR($A376="",$L376="",$H376=""),"",IF(AND(LEFT($L376,2)="06",$H376&gt;1945),"FAIL - pre-war class, year "&amp;$H376,IF(AND(LEFT($L376,2)="07",OR($H376&lt;1946,$H376&gt;1972)),"FAIL - 1946-72 class, year "&amp;$H376,IF(AND(LEFT($L376,2)="08",OR($H376&lt;1973,$H376&gt;1999)),"FAIL - 1973-99 class, year "&amp;$H376,IF(AND(LEFT($L376,2)="09",OR($H376&lt;2000,$H376&gt;2010)),"FAIL - 2000-10 class, year "&amp;$H376,"OK")))))</f>
      </c>
      <c r="BF376" s="45">
        <f>IF($AD376="","",IF(ROUND($AO376+$AP376+$AQ376-$AD376,2)=0,"OK","FAIL - out by "&amp;TEXT($AO376+$AP376+$AQ376-$AD376,"$0.00")))</f>
      </c>
    </row>
    <row r="377" spans="1:58" ht="18.75" customHeight="1" x14ac:dyDescent="0.25">
      <c r="A377" s="30" t="inlineStr">
        <is>
          <t xml:space="preserve">CANON-202511-002678</t>
        </is>
      </c>
      <c r="B377" s="30" t="inlineStr">
        <is>
          <t xml:space="preserve">Emiliano Farkas</t>
        </is>
      </c>
      <c r="C377" s="31">
        <v>45969</v>
      </c>
      <c r="D377" s="32" t="inlineStr">
        <is>
          <t xml:space="preserve">Bound - within authority</t>
        </is>
      </c>
      <c r="E377" s="32" t="inlineStr">
        <is>
          <t xml:space="preserve">New business</t>
        </is>
      </c>
      <c r="F377" s="30" t="inlineStr">
        <is>
          <t xml:space="preserve">B1234EXOTIC26</t>
        </is>
      </c>
      <c r="G377" s="33">
        <f>IF($A377="","",IF($C377="","",YEAR($C377)))</f>
      </c>
      <c r="H377" s="34">
        <v>1963</v>
      </c>
      <c r="I377" s="30" t="inlineStr">
        <is>
          <t xml:space="preserve">Ferrari</t>
        </is>
      </c>
      <c r="J377" s="30" t="inlineStr">
        <is>
          <t xml:space="preserve">SF90 Stradale</t>
        </is>
      </c>
      <c r="K377" s="30" t="inlineStr">
        <is>
          <t xml:space="preserve">7X77RVRVY8TLECEJX</t>
        </is>
      </c>
      <c r="L377" s="32" t="inlineStr">
        <is>
          <t xml:space="preserve">03 - Supercar</t>
        </is>
      </c>
      <c r="M377" s="35">
        <v>395000</v>
      </c>
      <c r="N377" s="32" t="inlineStr">
        <is>
          <t xml:space="preserve">Personal</t>
        </is>
      </c>
      <c r="O377" s="30" t="inlineStr">
        <is>
          <t xml:space="preserve">Personal - regular use</t>
        </is>
      </c>
      <c r="P377" s="30" t="inlineStr">
        <is>
          <t xml:space="preserve">2,500 - 5,000</t>
        </is>
      </c>
      <c r="Q377" s="30" t="inlineStr">
        <is>
          <t xml:space="preserve">Hawaii</t>
        </is>
      </c>
      <c r="R377" s="30" t="inlineStr">
        <is>
          <t xml:space="preserve">96813</t>
        </is>
      </c>
      <c r="S377" s="32" t="inlineStr">
        <is>
          <t xml:space="preserve">Earthquake - high (CA, Cascadia, New Madrid)</t>
        </is>
      </c>
      <c r="T377" s="36">
        <f>IF($A377="","",IF($S377="","",IFERROR(INDEX('[1]natural catastrophe'!$D$6:$D$17,MATCH($S377,'[1]natural catastrophe'!$B$6:$B$17,0)),"?")))</f>
      </c>
      <c r="U377" s="30" t="inlineStr">
        <is>
          <t xml:space="preserve">$5,000</t>
        </is>
      </c>
      <c r="V377" s="32" t="inlineStr">
        <is>
          <t xml:space="preserve">Agreed Value</t>
        </is>
      </c>
      <c r="W377" s="30" t="inlineStr">
        <is>
          <t xml:space="preserve">$1,000</t>
        </is>
      </c>
      <c r="X377" s="32" t="inlineStr">
        <is>
          <t xml:space="preserve">$1,000,000 CSL</t>
        </is>
      </c>
      <c r="Y377" s="30"/>
      <c r="Z377" s="30"/>
      <c r="AA377" s="32" t="inlineStr">
        <is>
          <t xml:space="preserve">Surplus Lines</t>
        </is>
      </c>
      <c r="AB377" s="35">
        <v>10243.94</v>
      </c>
      <c r="AC377" s="37">
        <v>0</v>
      </c>
      <c r="AD377" s="38">
        <f>IF(ISNUMBER($AB377),$AB377*(1+N($AC377)),"")</f>
      </c>
      <c r="AE377" s="35">
        <v>350</v>
      </c>
      <c r="AF377" s="35">
        <v>0</v>
      </c>
      <c r="AG377" s="37"/>
      <c r="AH377" s="39">
        <f>IF(ISNUMBER($AD377),($AD377+$AE377+$AF377)*$AG377,"")</f>
      </c>
      <c r="AI377" s="35"/>
      <c r="AJ377" s="38">
        <f>IF(ISNUMBER($AD377),SUM($AD377:$AH377),"")</f>
      </c>
      <c r="AK377" s="40">
        <f>IF(AND(ISNUMBER($AB377),ISNUMBER($AD377)),IF($AB377&gt;0,$AD377/$AB377,""),"")</f>
      </c>
      <c r="AL377" s="32" t="inlineStr">
        <is>
          <t xml:space="preserve">At technical</t>
        </is>
      </c>
      <c r="AM377" s="41">
        <f>IF(ISNUMBER($AD377),Header!$I$3,"")</f>
      </c>
      <c r="AN377" s="39">
        <f>IF(ISNUMBER($AD377),$AO377+$AP377,"")</f>
      </c>
      <c r="AO377" s="39">
        <f>IF(ISNUMBER($AD377),ROUND($AD377*Header!$K$3,2),"")</f>
      </c>
      <c r="AP377" s="39">
        <f>IF(ISNUMBER($AD377),ROUND($AD377*Header!$M$3,2),"")</f>
      </c>
      <c r="AQ377" s="38">
        <f>IF(ISNUMBER($AD377),ROUND($AD377,2)-$AO377-$AP377,"")</f>
      </c>
      <c r="AR377" s="39">
        <f>IF(ISNUMBER($AD377),IF(Header!$D$34="","?",$AD377*Header!$D$34),"")</f>
      </c>
      <c r="AS377" s="39">
        <f>IF(ISNUMBER($AB377),IF(Header!$D$34="","?",$AB377*Header!$D$34),"")</f>
      </c>
      <c r="AT377" s="42">
        <f>IF(AND(ISNUMBER($AB377),$M377&gt;0),$AB377/$M377*100,"")</f>
      </c>
      <c r="AU377" s="42">
        <f>IF(AND(ISNUMBER($AD377),$M377&gt;0),$AD377/$M377*100,"")</f>
      </c>
      <c r="AV377" s="40">
        <f>IF(AND(ISNUMBER($AB377),ISNUMBER($AD377),ABS($AB377)&gt;0),$AD377/$AB377,"")</f>
      </c>
      <c r="AW377" s="39">
        <f>IF(ISNUMBER($AD377),MAX(0,(1-0.55-Header!$O$3)*Header!$Q$3*$AQ377),"")</f>
      </c>
      <c r="AX377" s="43">
        <f>IF($A377="","",IF(TRIM(IF($A377="","Missing certificate ref. ","") &amp; IF($C377="","Missing effective date. ","") &amp; IF($D377="","Missing binding status. ","") &amp; IF($E377="","Missing movement type. ","") &amp; IF($I377="","Missing make. ","") &amp; IF($L377="","Missing vehicle class. ","") &amp; IF($M377="","Missing agreed value. ","") &amp; IF($N377="","Missing policy type. ","") &amp; IF($Q377="","Missing garaging state. ","") &amp; IF($R377="","Missing garaging ZIP. ","") &amp; IF($S377="","Missing cat zone. ","") &amp; IF($V377="","Missing valuation basis. ","") &amp; IF($W377="","Missing PD deductible. ","") &amp; IF($X377="","Missing liability limit. ","") &amp; IF($AB377="","Missing technical premium. ","") &amp; IF($AF377="","Missing surplus lines tax %. ",""))="","PASS","FAIL: "&amp;TRIM(IF($A377="","Missing certificate ref. ","") &amp; IF($C377="","Missing effective date. ","") &amp; IF($D377="","Missing binding status. ","") &amp; IF($E377="","Missing movement type. ","") &amp; IF($I377="","Missing make. ","") &amp; IF($L377="","Missing vehicle class. ","") &amp; IF($M377="","Missing agreed value. ","") &amp; IF($N377="","Missing policy type. ","") &amp; IF($Q377="","Missing garaging state. ","") &amp; IF($R377="","Missing garaging ZIP. ","") &amp; IF($S377="","Missing cat zone. ","") &amp; IF($V377="","Missing valuation basis. ","") &amp; IF($W377="","Missing PD deductible. ","") &amp; IF($X377="","Missing liability limit. ","") &amp; IF($AB377="","Missing technical premium. ","") &amp; IF($AF377="","Missing surplus lines tax %. ",""))))</f>
      </c>
      <c r="AY377" s="44">
        <f>IF($M377="","",IF(ISNUMBER($M377),IF($M377&gt;=Header!$C$18,"YES — refer","No"),""))</f>
      </c>
      <c r="AZ377" s="44">
        <f>IF($AD377="","",IF(ISNUMBER($AD377),IF($AD377&lt;Header!$C$20,"BELOW MIN PREMIUM","OK"),""))</f>
      </c>
      <c r="BA377" s="32" t="inlineStr">
        <is>
          <t xml:space="preserve">Yes</t>
        </is>
      </c>
      <c r="BB377" s="32" t="inlineStr">
        <is>
          <t xml:space="preserve">Yes</t>
        </is>
      </c>
      <c r="BC377" s="30" t="inlineStr">
        <is>
          <t xml:space="preserve">Synthetic demo data</t>
        </is>
      </c>
      <c r="BE377" s="45">
        <f>IF(OR($A377="",$L377="",$H377=""),"",IF(AND(LEFT($L377,2)="06",$H377&gt;1945),"FAIL - pre-war class, year "&amp;$H377,IF(AND(LEFT($L377,2)="07",OR($H377&lt;1946,$H377&gt;1972)),"FAIL - 1946-72 class, year "&amp;$H377,IF(AND(LEFT($L377,2)="08",OR($H377&lt;1973,$H377&gt;1999)),"FAIL - 1973-99 class, year "&amp;$H377,IF(AND(LEFT($L377,2)="09",OR($H377&lt;2000,$H377&gt;2010)),"FAIL - 2000-10 class, year "&amp;$H377,"OK")))))</f>
      </c>
      <c r="BF377" s="45">
        <f>IF($AD377="","",IF(ROUND($AO377+$AP377+$AQ377-$AD377,2)=0,"OK","FAIL - out by "&amp;TEXT($AO377+$AP377+$AQ377-$AD377,"$0.00")))</f>
      </c>
    </row>
    <row r="378" spans="1:58" ht="18.75" customHeight="1" x14ac:dyDescent="0.25">
      <c r="A378" s="46" t="inlineStr">
        <is>
          <t xml:space="preserve">CANON-202511-002679</t>
        </is>
      </c>
      <c r="B378" s="46" t="inlineStr">
        <is>
          <t xml:space="preserve">Noor Bellandi</t>
        </is>
      </c>
      <c r="C378" s="47">
        <v>45980</v>
      </c>
      <c r="D378" s="48" t="inlineStr">
        <is>
          <t xml:space="preserve">Bound - within authority</t>
        </is>
      </c>
      <c r="E378" s="48" t="inlineStr">
        <is>
          <t xml:space="preserve">New business</t>
        </is>
      </c>
      <c r="F378" s="46" t="inlineStr">
        <is>
          <t xml:space="preserve">B1234EXOTIC26</t>
        </is>
      </c>
      <c r="G378" s="33">
        <f>IF($A378="","",IF($C378="","",YEAR($C378)))</f>
      </c>
      <c r="H378" s="49">
        <v>2007</v>
      </c>
      <c r="I378" s="46" t="inlineStr">
        <is>
          <t xml:space="preserve">Maserati</t>
        </is>
      </c>
      <c r="J378" s="46" t="inlineStr">
        <is>
          <t xml:space="preserve">GranTurismo</t>
        </is>
      </c>
      <c r="K378" s="46" t="inlineStr">
        <is>
          <t xml:space="preserve">3GNJZXBEJD47NA3CN</t>
        </is>
      </c>
      <c r="L378" s="48" t="inlineStr">
        <is>
          <t xml:space="preserve">02 - Sports / GT</t>
        </is>
      </c>
      <c r="M378" s="50">
        <v>385000</v>
      </c>
      <c r="N378" s="48" t="inlineStr">
        <is>
          <t xml:space="preserve">Personal</t>
        </is>
      </c>
      <c r="O378" s="46" t="inlineStr">
        <is>
          <t xml:space="preserve">Personal - regular use</t>
        </is>
      </c>
      <c r="P378" s="46" t="inlineStr">
        <is>
          <t xml:space="preserve">1,000 - 2,500</t>
        </is>
      </c>
      <c r="Q378" s="46" t="inlineStr">
        <is>
          <t xml:space="preserve">Idaho</t>
        </is>
      </c>
      <c r="R378" s="46" t="inlineStr">
        <is>
          <t xml:space="preserve">83702</t>
        </is>
      </c>
      <c r="S378" s="48" t="inlineStr">
        <is>
          <t xml:space="preserve">Wildfire - WUI high hazard</t>
        </is>
      </c>
      <c r="T378" s="36">
        <f>IF($A378="","",IF($S378="","",IFERROR(INDEX('[1]natural catastrophe'!$D$6:$D$17,MATCH($S378,'[1]natural catastrophe'!$B$6:$B$17,0)),"?")))</f>
      </c>
      <c r="U378" s="46" t="inlineStr">
        <is>
          <t xml:space="preserve">$5,000</t>
        </is>
      </c>
      <c r="V378" s="48" t="inlineStr">
        <is>
          <t xml:space="preserve">Agreed Value</t>
        </is>
      </c>
      <c r="W378" s="46" t="inlineStr">
        <is>
          <t xml:space="preserve">$1,000</t>
        </is>
      </c>
      <c r="X378" s="48" t="inlineStr">
        <is>
          <t xml:space="preserve">$1,000,000 CSL</t>
        </is>
      </c>
      <c r="Y378" s="46"/>
      <c r="Z378" s="46"/>
      <c r="AA378" s="48" t="inlineStr">
        <is>
          <t xml:space="preserve">Surplus Lines</t>
        </is>
      </c>
      <c r="AB378" s="50">
        <v>4958.9</v>
      </c>
      <c r="AC378" s="51">
        <v>0</v>
      </c>
      <c r="AD378" s="38">
        <f>IF(ISNUMBER($AB378),$AB378*(1+N($AC378)),"")</f>
      </c>
      <c r="AE378" s="50">
        <v>350</v>
      </c>
      <c r="AF378" s="50">
        <v>0</v>
      </c>
      <c r="AG378" s="51"/>
      <c r="AH378" s="39">
        <f>IF(ISNUMBER($AD378),($AD378+$AE378+$AF378)*$AG378,"")</f>
      </c>
      <c r="AI378" s="50"/>
      <c r="AJ378" s="38">
        <f>IF(ISNUMBER($AD378),SUM($AD378:$AH378),"")</f>
      </c>
      <c r="AK378" s="40">
        <f>IF(AND(ISNUMBER($AB378),ISNUMBER($AD378)),IF($AB378&gt;0,$AD378/$AB378,""),"")</f>
      </c>
      <c r="AL378" s="48" t="inlineStr">
        <is>
          <t xml:space="preserve">At technical</t>
        </is>
      </c>
      <c r="AM378" s="41">
        <f>IF(ISNUMBER($AD378),Header!$I$3,"")</f>
      </c>
      <c r="AN378" s="39">
        <f>IF(ISNUMBER($AD378),$AO378+$AP378,"")</f>
      </c>
      <c r="AO378" s="39">
        <f>IF(ISNUMBER($AD378),ROUND($AD378*Header!$K$3,2),"")</f>
      </c>
      <c r="AP378" s="39">
        <f>IF(ISNUMBER($AD378),ROUND($AD378*Header!$M$3,2),"")</f>
      </c>
      <c r="AQ378" s="38">
        <f>IF(ISNUMBER($AD378),ROUND($AD378,2)-$AO378-$AP378,"")</f>
      </c>
      <c r="AR378" s="39">
        <f>IF(ISNUMBER($AD378),IF(Header!$D$34="","?",$AD378*Header!$D$34),"")</f>
      </c>
      <c r="AS378" s="39">
        <f>IF(ISNUMBER($AB378),IF(Header!$D$34="","?",$AB378*Header!$D$34),"")</f>
      </c>
      <c r="AT378" s="42">
        <f>IF(AND(ISNUMBER($AB378),$M378&gt;0),$AB378/$M378*100,"")</f>
      </c>
      <c r="AU378" s="42">
        <f>IF(AND(ISNUMBER($AD378),$M378&gt;0),$AD378/$M378*100,"")</f>
      </c>
      <c r="AV378" s="40">
        <f>IF(AND(ISNUMBER($AB378),ISNUMBER($AD378),ABS($AB378)&gt;0),$AD378/$AB378,"")</f>
      </c>
      <c r="AW378" s="39">
        <f>IF(ISNUMBER($AD378),MAX(0,(1-0.55-Header!$O$3)*Header!$Q$3*$AQ378),"")</f>
      </c>
      <c r="AX378" s="43">
        <f>IF($A378="","",IF(TRIM(IF($A378="","Missing certificate ref. ","") &amp; IF($C378="","Missing effective date. ","") &amp; IF($D378="","Missing binding status. ","") &amp; IF($E378="","Missing movement type. ","") &amp; IF($I378="","Missing make. ","") &amp; IF($L378="","Missing vehicle class. ","") &amp; IF($M378="","Missing agreed value. ","") &amp; IF($N378="","Missing policy type. ","") &amp; IF($Q378="","Missing garaging state. ","") &amp; IF($R378="","Missing garaging ZIP. ","") &amp; IF($S378="","Missing cat zone. ","") &amp; IF($V378="","Missing valuation basis. ","") &amp; IF($W378="","Missing PD deductible. ","") &amp; IF($X378="","Missing liability limit. ","") &amp; IF($AB378="","Missing technical premium. ","") &amp; IF($AF378="","Missing surplus lines tax %. ",""))="","PASS","FAIL: "&amp;TRIM(IF($A378="","Missing certificate ref. ","") &amp; IF($C378="","Missing effective date. ","") &amp; IF($D378="","Missing binding status. ","") &amp; IF($E378="","Missing movement type. ","") &amp; IF($I378="","Missing make. ","") &amp; IF($L378="","Missing vehicle class. ","") &amp; IF($M378="","Missing agreed value. ","") &amp; IF($N378="","Missing policy type. ","") &amp; IF($Q378="","Missing garaging state. ","") &amp; IF($R378="","Missing garaging ZIP. ","") &amp; IF($S378="","Missing cat zone. ","") &amp; IF($V378="","Missing valuation basis. ","") &amp; IF($W378="","Missing PD deductible. ","") &amp; IF($X378="","Missing liability limit. ","") &amp; IF($AB378="","Missing technical premium. ","") &amp; IF($AF378="","Missing surplus lines tax %. ",""))))</f>
      </c>
      <c r="AY378" s="44">
        <f>IF($M378="","",IF(ISNUMBER($M378),IF($M378&gt;=Header!$C$18,"YES — refer","No"),""))</f>
      </c>
      <c r="AZ378" s="44">
        <f>IF($AD378="","",IF(ISNUMBER($AD378),IF($AD378&lt;Header!$C$20,"BELOW MIN PREMIUM","OK"),""))</f>
      </c>
      <c r="BA378" s="48" t="inlineStr">
        <is>
          <t xml:space="preserve">Yes</t>
        </is>
      </c>
      <c r="BB378" s="48" t="inlineStr">
        <is>
          <t xml:space="preserve">Yes</t>
        </is>
      </c>
      <c r="BC378" s="46" t="inlineStr">
        <is>
          <t xml:space="preserve">Synthetic demo data</t>
        </is>
      </c>
      <c r="BE378" s="45">
        <f>IF(OR($A378="",$L378="",$H378=""),"",IF(AND(LEFT($L378,2)="06",$H378&gt;1945),"FAIL - pre-war class, year "&amp;$H378,IF(AND(LEFT($L378,2)="07",OR($H378&lt;1946,$H378&gt;1972)),"FAIL - 1946-72 class, year "&amp;$H378,IF(AND(LEFT($L378,2)="08",OR($H378&lt;1973,$H378&gt;1999)),"FAIL - 1973-99 class, year "&amp;$H378,IF(AND(LEFT($L378,2)="09",OR($H378&lt;2000,$H378&gt;2010)),"FAIL - 2000-10 class, year "&amp;$H378,"OK")))))</f>
      </c>
      <c r="BF378" s="45">
        <f>IF($AD378="","",IF(ROUND($AO378+$AP378+$AQ378-$AD378,2)=0,"OK","FAIL - out by "&amp;TEXT($AO378+$AP378+$AQ378-$AD378,"$0.00")))</f>
      </c>
    </row>
    <row r="379" spans="1:58" ht="18.75" customHeight="1" x14ac:dyDescent="0.25">
      <c r="A379" s="30" t="inlineStr">
        <is>
          <t xml:space="preserve">CANON-202511-002683</t>
        </is>
      </c>
      <c r="B379" s="30" t="inlineStr">
        <is>
          <t xml:space="preserve">Cassius Whitlock</t>
        </is>
      </c>
      <c r="C379" s="31">
        <v>45968</v>
      </c>
      <c r="D379" s="32" t="inlineStr">
        <is>
          <t xml:space="preserve">Bound - within authority</t>
        </is>
      </c>
      <c r="E379" s="32" t="inlineStr">
        <is>
          <t xml:space="preserve">New business</t>
        </is>
      </c>
      <c r="F379" s="30" t="inlineStr">
        <is>
          <t xml:space="preserve">B1234EXOTIC26</t>
        </is>
      </c>
      <c r="G379" s="33">
        <f>IF($A379="","",IF($C379="","",YEAR($C379)))</f>
      </c>
      <c r="H379" s="34">
        <v>1973</v>
      </c>
      <c r="I379" s="30" t="inlineStr">
        <is>
          <t xml:space="preserve">Aston Martin</t>
        </is>
      </c>
      <c r="J379" s="30" t="inlineStr">
        <is>
          <t xml:space="preserve">DB5</t>
        </is>
      </c>
      <c r="K379" s="30" t="inlineStr">
        <is>
          <t xml:space="preserve">ZSYW17YXY1DKNMFLZ</t>
        </is>
      </c>
      <c r="L379" s="32" t="inlineStr">
        <is>
          <t xml:space="preserve">08 - Modern Classic (1973-1999)</t>
        </is>
      </c>
      <c r="M379" s="35">
        <v>380000</v>
      </c>
      <c r="N379" s="32" t="inlineStr">
        <is>
          <t xml:space="preserve">Personal</t>
        </is>
      </c>
      <c r="O379" s="30" t="inlineStr">
        <is>
          <t xml:space="preserve">Personal - regular use</t>
        </is>
      </c>
      <c r="P379" s="30" t="inlineStr">
        <is>
          <t xml:space="preserve">Under 1,000</t>
        </is>
      </c>
      <c r="Q379" s="30" t="inlineStr">
        <is>
          <t xml:space="preserve">Florida</t>
        </is>
      </c>
      <c r="R379" s="30" t="inlineStr">
        <is>
          <t xml:space="preserve">33139</t>
        </is>
      </c>
      <c r="S379" s="32" t="inlineStr">
        <is>
          <t xml:space="preserve">Tier 2 - Coastal wind (1-25 miles)</t>
        </is>
      </c>
      <c r="T379" s="36">
        <f>IF($A379="","",IF($S379="","",IFERROR(INDEX('[1]natural catastrophe'!$D$6:$D$17,MATCH($S379,'[1]natural catastrophe'!$B$6:$B$17,0)),"?")))</f>
      </c>
      <c r="U379" s="30" t="inlineStr">
        <is>
          <t xml:space="preserve">2% of agreed value, minimum $10,000</t>
        </is>
      </c>
      <c r="V379" s="32" t="inlineStr">
        <is>
          <t xml:space="preserve">Agreed Value</t>
        </is>
      </c>
      <c r="W379" s="30" t="inlineStr">
        <is>
          <t xml:space="preserve">$1,000</t>
        </is>
      </c>
      <c r="X379" s="32" t="inlineStr">
        <is>
          <t xml:space="preserve">$1,000,000 CSL</t>
        </is>
      </c>
      <c r="Y379" s="30"/>
      <c r="Z379" s="30"/>
      <c r="AA379" s="32" t="inlineStr">
        <is>
          <t xml:space="preserve">Surplus Lines</t>
        </is>
      </c>
      <c r="AB379" s="35">
        <v>4493.05</v>
      </c>
      <c r="AC379" s="37">
        <v>0</v>
      </c>
      <c r="AD379" s="38">
        <f>IF(ISNUMBER($AB379),$AB379*(1+N($AC379)),"")</f>
      </c>
      <c r="AE379" s="35">
        <v>350</v>
      </c>
      <c r="AF379" s="35">
        <v>0</v>
      </c>
      <c r="AG379" s="37"/>
      <c r="AH379" s="39">
        <f>IF(ISNUMBER($AD379),($AD379+$AE379+$AF379)*$AG379,"")</f>
      </c>
      <c r="AI379" s="35"/>
      <c r="AJ379" s="38">
        <f>IF(ISNUMBER($AD379),SUM($AD379:$AH379),"")</f>
      </c>
      <c r="AK379" s="40">
        <f>IF(AND(ISNUMBER($AB379),ISNUMBER($AD379)),IF($AB379&gt;0,$AD379/$AB379,""),"")</f>
      </c>
      <c r="AL379" s="32" t="inlineStr">
        <is>
          <t xml:space="preserve">At technical</t>
        </is>
      </c>
      <c r="AM379" s="41">
        <f>IF(ISNUMBER($AD379),Header!$I$3,"")</f>
      </c>
      <c r="AN379" s="39">
        <f>IF(ISNUMBER($AD379),$AO379+$AP379,"")</f>
      </c>
      <c r="AO379" s="39">
        <f>IF(ISNUMBER($AD379),ROUND($AD379*Header!$K$3,2),"")</f>
      </c>
      <c r="AP379" s="39">
        <f>IF(ISNUMBER($AD379),ROUND($AD379*Header!$M$3,2),"")</f>
      </c>
      <c r="AQ379" s="38">
        <f>IF(ISNUMBER($AD379),ROUND($AD379,2)-$AO379-$AP379,"")</f>
      </c>
      <c r="AR379" s="39">
        <f>IF(ISNUMBER($AD379),IF(Header!$D$34="","?",$AD379*Header!$D$34),"")</f>
      </c>
      <c r="AS379" s="39">
        <f>IF(ISNUMBER($AB379),IF(Header!$D$34="","?",$AB379*Header!$D$34),"")</f>
      </c>
      <c r="AT379" s="42">
        <f>IF(AND(ISNUMBER($AB379),$M379&gt;0),$AB379/$M379*100,"")</f>
      </c>
      <c r="AU379" s="42">
        <f>IF(AND(ISNUMBER($AD379),$M379&gt;0),$AD379/$M379*100,"")</f>
      </c>
      <c r="AV379" s="40">
        <f>IF(AND(ISNUMBER($AB379),ISNUMBER($AD379),ABS($AB379)&gt;0),$AD379/$AB379,"")</f>
      </c>
      <c r="AW379" s="39">
        <f>IF(ISNUMBER($AD379),MAX(0,(1-0.55-Header!$O$3)*Header!$Q$3*$AQ379),"")</f>
      </c>
      <c r="AX379" s="43">
        <f>IF($A379="","",IF(TRIM(IF($A379="","Missing certificate ref. ","") &amp; IF($C379="","Missing effective date. ","") &amp; IF($D379="","Missing binding status. ","") &amp; IF($E379="","Missing movement type. ","") &amp; IF($I379="","Missing make. ","") &amp; IF($L379="","Missing vehicle class. ","") &amp; IF($M379="","Missing agreed value. ","") &amp; IF($N379="","Missing policy type. ","") &amp; IF($Q379="","Missing garaging state. ","") &amp; IF($R379="","Missing garaging ZIP. ","") &amp; IF($S379="","Missing cat zone. ","") &amp; IF($V379="","Missing valuation basis. ","") &amp; IF($W379="","Missing PD deductible. ","") &amp; IF($X379="","Missing liability limit. ","") &amp; IF($AB379="","Missing technical premium. ","") &amp; IF($AF379="","Missing surplus lines tax %. ",""))="","PASS","FAIL: "&amp;TRIM(IF($A379="","Missing certificate ref. ","") &amp; IF($C379="","Missing effective date. ","") &amp; IF($D379="","Missing binding status. ","") &amp; IF($E379="","Missing movement type. ","") &amp; IF($I379="","Missing make. ","") &amp; IF($L379="","Missing vehicle class. ","") &amp; IF($M379="","Missing agreed value. ","") &amp; IF($N379="","Missing policy type. ","") &amp; IF($Q379="","Missing garaging state. ","") &amp; IF($R379="","Missing garaging ZIP. ","") &amp; IF($S379="","Missing cat zone. ","") &amp; IF($V379="","Missing valuation basis. ","") &amp; IF($W379="","Missing PD deductible. ","") &amp; IF($X379="","Missing liability limit. ","") &amp; IF($AB379="","Missing technical premium. ","") &amp; IF($AF379="","Missing surplus lines tax %. ",""))))</f>
      </c>
      <c r="AY379" s="44">
        <f>IF($M379="","",IF(ISNUMBER($M379),IF($M379&gt;=Header!$C$18,"YES — refer","No"),""))</f>
      </c>
      <c r="AZ379" s="44">
        <f>IF($AD379="","",IF(ISNUMBER($AD379),IF($AD379&lt;Header!$C$20,"BELOW MIN PREMIUM","OK"),""))</f>
      </c>
      <c r="BA379" s="32" t="inlineStr">
        <is>
          <t xml:space="preserve">Yes</t>
        </is>
      </c>
      <c r="BB379" s="32" t="inlineStr">
        <is>
          <t xml:space="preserve">Yes</t>
        </is>
      </c>
      <c r="BC379" s="30" t="inlineStr">
        <is>
          <t xml:space="preserve">Synthetic demo data</t>
        </is>
      </c>
      <c r="BE379" s="45">
        <f>IF(OR($A379="",$L379="",$H379=""),"",IF(AND(LEFT($L379,2)="06",$H379&gt;1945),"FAIL - pre-war class, year "&amp;$H379,IF(AND(LEFT($L379,2)="07",OR($H379&lt;1946,$H379&gt;1972)),"FAIL - 1946-72 class, year "&amp;$H379,IF(AND(LEFT($L379,2)="08",OR($H379&lt;1973,$H379&gt;1999)),"FAIL - 1973-99 class, year "&amp;$H379,IF(AND(LEFT($L379,2)="09",OR($H379&lt;2000,$H379&gt;2010)),"FAIL - 2000-10 class, year "&amp;$H379,"OK")))))</f>
      </c>
      <c r="BF379" s="45">
        <f>IF($AD379="","",IF(ROUND($AO379+$AP379+$AQ379-$AD379,2)=0,"OK","FAIL - out by "&amp;TEXT($AO379+$AP379+$AQ379-$AD379,"$0.00")))</f>
      </c>
    </row>
    <row r="380" spans="1:58" ht="18.75" customHeight="1" x14ac:dyDescent="0.25">
      <c r="A380" s="46" t="inlineStr">
        <is>
          <t xml:space="preserve">CANON-202511-002687</t>
        </is>
      </c>
      <c r="B380" s="46" t="inlineStr">
        <is>
          <t xml:space="preserve">Everett Kingsford</t>
        </is>
      </c>
      <c r="C380" s="47">
        <v>45974</v>
      </c>
      <c r="D380" s="48" t="inlineStr">
        <is>
          <t xml:space="preserve">Bound - within authority</t>
        </is>
      </c>
      <c r="E380" s="48" t="inlineStr">
        <is>
          <t xml:space="preserve">New business</t>
        </is>
      </c>
      <c r="F380" s="46" t="inlineStr">
        <is>
          <t xml:space="preserve">B1234EXOTIC26</t>
        </is>
      </c>
      <c r="G380" s="33">
        <f>IF($A380="","",IF($C380="","",YEAR($C380)))</f>
      </c>
      <c r="H380" s="49">
        <v>1998</v>
      </c>
      <c r="I380" s="46" t="inlineStr">
        <is>
          <t xml:space="preserve">Aston Martin</t>
        </is>
      </c>
      <c r="J380" s="46" t="inlineStr">
        <is>
          <t xml:space="preserve">DB12</t>
        </is>
      </c>
      <c r="K380" s="46" t="inlineStr">
        <is>
          <t xml:space="preserve">ATTVTVEVVMPH58W33</t>
        </is>
      </c>
      <c r="L380" s="48" t="inlineStr">
        <is>
          <t xml:space="preserve">02 - Sports / GT</t>
        </is>
      </c>
      <c r="M380" s="50">
        <v>775000</v>
      </c>
      <c r="N380" s="48" t="inlineStr">
        <is>
          <t xml:space="preserve">Personal</t>
        </is>
      </c>
      <c r="O380" s="46" t="inlineStr">
        <is>
          <t xml:space="preserve">Personal - regular use</t>
        </is>
      </c>
      <c r="P380" s="46" t="inlineStr">
        <is>
          <t xml:space="preserve">1,000 - 2,500</t>
        </is>
      </c>
      <c r="Q380" s="46" t="inlineStr">
        <is>
          <t xml:space="preserve">Alaska</t>
        </is>
      </c>
      <c r="R380" s="46" t="inlineStr">
        <is>
          <t xml:space="preserve">99501</t>
        </is>
      </c>
      <c r="S380" s="48" t="inlineStr">
        <is>
          <t xml:space="preserve">Earthquake - high (CA, Cascadia, New Madrid)</t>
        </is>
      </c>
      <c r="T380" s="36">
        <f>IF($A380="","",IF($S380="","",IFERROR(INDEX('[1]natural catastrophe'!$D$6:$D$17,MATCH($S380,'[1]natural catastrophe'!$B$6:$B$17,0)),"?")))</f>
      </c>
      <c r="U380" s="46" t="inlineStr">
        <is>
          <t xml:space="preserve">$5,000</t>
        </is>
      </c>
      <c r="V380" s="48" t="inlineStr">
        <is>
          <t xml:space="preserve">Agreed Value</t>
        </is>
      </c>
      <c r="W380" s="46" t="inlineStr">
        <is>
          <t xml:space="preserve">$1,000</t>
        </is>
      </c>
      <c r="X380" s="48" t="inlineStr">
        <is>
          <t xml:space="preserve">$1,000,000 CSL</t>
        </is>
      </c>
      <c r="Y380" s="46"/>
      <c r="Z380" s="46"/>
      <c r="AA380" s="48" t="inlineStr">
        <is>
          <t xml:space="preserve">Surplus Lines</t>
        </is>
      </c>
      <c r="AB380" s="50">
        <v>9962.05</v>
      </c>
      <c r="AC380" s="51">
        <v>0</v>
      </c>
      <c r="AD380" s="38">
        <f>IF(ISNUMBER($AB380),$AB380*(1+N($AC380)),"")</f>
      </c>
      <c r="AE380" s="50">
        <v>350</v>
      </c>
      <c r="AF380" s="50">
        <v>0</v>
      </c>
      <c r="AG380" s="51"/>
      <c r="AH380" s="39">
        <f>IF(ISNUMBER($AD380),($AD380+$AE380+$AF380)*$AG380,"")</f>
      </c>
      <c r="AI380" s="50"/>
      <c r="AJ380" s="38">
        <f>IF(ISNUMBER($AD380),SUM($AD380:$AH380),"")</f>
      </c>
      <c r="AK380" s="40">
        <f>IF(AND(ISNUMBER($AB380),ISNUMBER($AD380)),IF($AB380&gt;0,$AD380/$AB380,""),"")</f>
      </c>
      <c r="AL380" s="48" t="inlineStr">
        <is>
          <t xml:space="preserve">At technical</t>
        </is>
      </c>
      <c r="AM380" s="41">
        <f>IF(ISNUMBER($AD380),Header!$I$3,"")</f>
      </c>
      <c r="AN380" s="39">
        <f>IF(ISNUMBER($AD380),$AO380+$AP380,"")</f>
      </c>
      <c r="AO380" s="39">
        <f>IF(ISNUMBER($AD380),ROUND($AD380*Header!$K$3,2),"")</f>
      </c>
      <c r="AP380" s="39">
        <f>IF(ISNUMBER($AD380),ROUND($AD380*Header!$M$3,2),"")</f>
      </c>
      <c r="AQ380" s="38">
        <f>IF(ISNUMBER($AD380),ROUND($AD380,2)-$AO380-$AP380,"")</f>
      </c>
      <c r="AR380" s="39">
        <f>IF(ISNUMBER($AD380),IF(Header!$D$34="","?",$AD380*Header!$D$34),"")</f>
      </c>
      <c r="AS380" s="39">
        <f>IF(ISNUMBER($AB380),IF(Header!$D$34="","?",$AB380*Header!$D$34),"")</f>
      </c>
      <c r="AT380" s="42">
        <f>IF(AND(ISNUMBER($AB380),$M380&gt;0),$AB380/$M380*100,"")</f>
      </c>
      <c r="AU380" s="42">
        <f>IF(AND(ISNUMBER($AD380),$M380&gt;0),$AD380/$M380*100,"")</f>
      </c>
      <c r="AV380" s="40">
        <f>IF(AND(ISNUMBER($AB380),ISNUMBER($AD380),ABS($AB380)&gt;0),$AD380/$AB380,"")</f>
      </c>
      <c r="AW380" s="39">
        <f>IF(ISNUMBER($AD380),MAX(0,(1-0.55-Header!$O$3)*Header!$Q$3*$AQ380),"")</f>
      </c>
      <c r="AX380" s="43">
        <f>IF($A380="","",IF(TRIM(IF($A380="","Missing certificate ref. ","") &amp; IF($C380="","Missing effective date. ","") &amp; IF($D380="","Missing binding status. ","") &amp; IF($E380="","Missing movement type. ","") &amp; IF($I380="","Missing make. ","") &amp; IF($L380="","Missing vehicle class. ","") &amp; IF($M380="","Missing agreed value. ","") &amp; IF($N380="","Missing policy type. ","") &amp; IF($Q380="","Missing garaging state. ","") &amp; IF($R380="","Missing garaging ZIP. ","") &amp; IF($S380="","Missing cat zone. ","") &amp; IF($V380="","Missing valuation basis. ","") &amp; IF($W380="","Missing PD deductible. ","") &amp; IF($X380="","Missing liability limit. ","") &amp; IF($AB380="","Missing technical premium. ","") &amp; IF($AF380="","Missing surplus lines tax %. ",""))="","PASS","FAIL: "&amp;TRIM(IF($A380="","Missing certificate ref. ","") &amp; IF($C380="","Missing effective date. ","") &amp; IF($D380="","Missing binding status. ","") &amp; IF($E380="","Missing movement type. ","") &amp; IF($I380="","Missing make. ","") &amp; IF($L380="","Missing vehicle class. ","") &amp; IF($M380="","Missing agreed value. ","") &amp; IF($N380="","Missing policy type. ","") &amp; IF($Q380="","Missing garaging state. ","") &amp; IF($R380="","Missing garaging ZIP. ","") &amp; IF($S380="","Missing cat zone. ","") &amp; IF($V380="","Missing valuation basis. ","") &amp; IF($W380="","Missing PD deductible. ","") &amp; IF($X380="","Missing liability limit. ","") &amp; IF($AB380="","Missing technical premium. ","") &amp; IF($AF380="","Missing surplus lines tax %. ",""))))</f>
      </c>
      <c r="AY380" s="44">
        <f>IF($M380="","",IF(ISNUMBER($M380),IF($M380&gt;=Header!$C$18,"YES — refer","No"),""))</f>
      </c>
      <c r="AZ380" s="44">
        <f>IF($AD380="","",IF(ISNUMBER($AD380),IF($AD380&lt;Header!$C$20,"BELOW MIN PREMIUM","OK"),""))</f>
      </c>
      <c r="BA380" s="48" t="inlineStr">
        <is>
          <t xml:space="preserve">Yes</t>
        </is>
      </c>
      <c r="BB380" s="48" t="inlineStr">
        <is>
          <t xml:space="preserve">Yes</t>
        </is>
      </c>
      <c r="BC380" s="46" t="inlineStr">
        <is>
          <t xml:space="preserve">Synthetic demo data</t>
        </is>
      </c>
      <c r="BE380" s="45">
        <f>IF(OR($A380="",$L380="",$H380=""),"",IF(AND(LEFT($L380,2)="06",$H380&gt;1945),"FAIL - pre-war class, year "&amp;$H380,IF(AND(LEFT($L380,2)="07",OR($H380&lt;1946,$H380&gt;1972)),"FAIL - 1946-72 class, year "&amp;$H380,IF(AND(LEFT($L380,2)="08",OR($H380&lt;1973,$H380&gt;1999)),"FAIL - 1973-99 class, year "&amp;$H380,IF(AND(LEFT($L380,2)="09",OR($H380&lt;2000,$H380&gt;2010)),"FAIL - 2000-10 class, year "&amp;$H380,"OK")))))</f>
      </c>
      <c r="BF380" s="45">
        <f>IF($AD380="","",IF(ROUND($AO380+$AP380+$AQ380-$AD380,2)=0,"OK","FAIL - out by "&amp;TEXT($AO380+$AP380+$AQ380-$AD380,"$0.00")))</f>
      </c>
    </row>
    <row r="381" spans="1:58" ht="18.75" customHeight="1" x14ac:dyDescent="0.25">
      <c r="A381" s="30" t="inlineStr">
        <is>
          <t xml:space="preserve">CANON-202511-002688</t>
        </is>
      </c>
      <c r="B381" s="30" t="inlineStr">
        <is>
          <t xml:space="preserve">Wilhelmina Chattopadhyay</t>
        </is>
      </c>
      <c r="C381" s="31">
        <v>45969</v>
      </c>
      <c r="D381" s="32" t="inlineStr">
        <is>
          <t xml:space="preserve">Bound - within authority</t>
        </is>
      </c>
      <c r="E381" s="32" t="inlineStr">
        <is>
          <t xml:space="preserve">New business</t>
        </is>
      </c>
      <c r="F381" s="30" t="inlineStr">
        <is>
          <t xml:space="preserve">B1234EXOTIC26</t>
        </is>
      </c>
      <c r="G381" s="33">
        <f>IF($A381="","",IF($C381="","",YEAR($C381)))</f>
      </c>
      <c r="H381" s="34">
        <v>2020</v>
      </c>
      <c r="I381" s="30" t="inlineStr">
        <is>
          <t xml:space="preserve">Mercedes-Benz</t>
        </is>
      </c>
      <c r="J381" s="30" t="inlineStr">
        <is>
          <t xml:space="preserve">AMG GT</t>
        </is>
      </c>
      <c r="K381" s="30" t="inlineStr">
        <is>
          <t xml:space="preserve">VA9071G796GKKYW4L</t>
        </is>
      </c>
      <c r="L381" s="32" t="inlineStr">
        <is>
          <t xml:space="preserve">02 - Sports / GT</t>
        </is>
      </c>
      <c r="M381" s="35">
        <v>280000</v>
      </c>
      <c r="N381" s="32" t="inlineStr">
        <is>
          <t xml:space="preserve">Personal</t>
        </is>
      </c>
      <c r="O381" s="30" t="inlineStr">
        <is>
          <t xml:space="preserve">Personal - regular use</t>
        </is>
      </c>
      <c r="P381" s="30" t="inlineStr">
        <is>
          <t xml:space="preserve">Under 1,000</t>
        </is>
      </c>
      <c r="Q381" s="30" t="inlineStr">
        <is>
          <t xml:space="preserve">Iowa</t>
        </is>
      </c>
      <c r="R381" s="30" t="inlineStr">
        <is>
          <t xml:space="preserve">50309</t>
        </is>
      </c>
      <c r="S381" s="32" t="inlineStr">
        <is>
          <t xml:space="preserve">Severe convective - hail alley (high)</t>
        </is>
      </c>
      <c r="T381" s="36">
        <f>IF($A381="","",IF($S381="","",IFERROR(INDEX('[1]natural catastrophe'!$D$6:$D$17,MATCH($S381,'[1]natural catastrophe'!$B$6:$B$17,0)),"?")))</f>
      </c>
      <c r="U381" s="30" t="inlineStr">
        <is>
          <t xml:space="preserve">$5,000</t>
        </is>
      </c>
      <c r="V381" s="32" t="inlineStr">
        <is>
          <t xml:space="preserve">Agreed Value</t>
        </is>
      </c>
      <c r="W381" s="30" t="inlineStr">
        <is>
          <t xml:space="preserve">$1,000</t>
        </is>
      </c>
      <c r="X381" s="32" t="inlineStr">
        <is>
          <t xml:space="preserve">$1,000,000 CSL</t>
        </is>
      </c>
      <c r="Y381" s="30"/>
      <c r="Z381" s="30"/>
      <c r="AA381" s="32" t="inlineStr">
        <is>
          <t xml:space="preserve">Surplus Lines</t>
        </is>
      </c>
      <c r="AB381" s="35">
        <v>4007.2</v>
      </c>
      <c r="AC381" s="37">
        <v>0</v>
      </c>
      <c r="AD381" s="38">
        <f>IF(ISNUMBER($AB381),$AB381*(1+N($AC381)),"")</f>
      </c>
      <c r="AE381" s="35">
        <v>350</v>
      </c>
      <c r="AF381" s="35">
        <v>0</v>
      </c>
      <c r="AG381" s="37"/>
      <c r="AH381" s="39">
        <f>IF(ISNUMBER($AD381),($AD381+$AE381+$AF381)*$AG381,"")</f>
      </c>
      <c r="AI381" s="35"/>
      <c r="AJ381" s="38">
        <f>IF(ISNUMBER($AD381),SUM($AD381:$AH381),"")</f>
      </c>
      <c r="AK381" s="40">
        <f>IF(AND(ISNUMBER($AB381),ISNUMBER($AD381)),IF($AB381&gt;0,$AD381/$AB381,""),"")</f>
      </c>
      <c r="AL381" s="32" t="inlineStr">
        <is>
          <t xml:space="preserve">At technical</t>
        </is>
      </c>
      <c r="AM381" s="41">
        <f>IF(ISNUMBER($AD381),Header!$I$3,"")</f>
      </c>
      <c r="AN381" s="39">
        <f>IF(ISNUMBER($AD381),$AO381+$AP381,"")</f>
      </c>
      <c r="AO381" s="39">
        <f>IF(ISNUMBER($AD381),ROUND($AD381*Header!$K$3,2),"")</f>
      </c>
      <c r="AP381" s="39">
        <f>IF(ISNUMBER($AD381),ROUND($AD381*Header!$M$3,2),"")</f>
      </c>
      <c r="AQ381" s="38">
        <f>IF(ISNUMBER($AD381),ROUND($AD381,2)-$AO381-$AP381,"")</f>
      </c>
      <c r="AR381" s="39">
        <f>IF(ISNUMBER($AD381),IF(Header!$D$34="","?",$AD381*Header!$D$34),"")</f>
      </c>
      <c r="AS381" s="39">
        <f>IF(ISNUMBER($AB381),IF(Header!$D$34="","?",$AB381*Header!$D$34),"")</f>
      </c>
      <c r="AT381" s="42">
        <f>IF(AND(ISNUMBER($AB381),$M381&gt;0),$AB381/$M381*100,"")</f>
      </c>
      <c r="AU381" s="42">
        <f>IF(AND(ISNUMBER($AD381),$M381&gt;0),$AD381/$M381*100,"")</f>
      </c>
      <c r="AV381" s="40">
        <f>IF(AND(ISNUMBER($AB381),ISNUMBER($AD381),ABS($AB381)&gt;0),$AD381/$AB381,"")</f>
      </c>
      <c r="AW381" s="39">
        <f>IF(ISNUMBER($AD381),MAX(0,(1-0.55-Header!$O$3)*Header!$Q$3*$AQ381),"")</f>
      </c>
      <c r="AX381" s="43">
        <f>IF($A381="","",IF(TRIM(IF($A381="","Missing certificate ref. ","") &amp; IF($C381="","Missing effective date. ","") &amp; IF($D381="","Missing binding status. ","") &amp; IF($E381="","Missing movement type. ","") &amp; IF($I381="","Missing make. ","") &amp; IF($L381="","Missing vehicle class. ","") &amp; IF($M381="","Missing agreed value. ","") &amp; IF($N381="","Missing policy type. ","") &amp; IF($Q381="","Missing garaging state. ","") &amp; IF($R381="","Missing garaging ZIP. ","") &amp; IF($S381="","Missing cat zone. ","") &amp; IF($V381="","Missing valuation basis. ","") &amp; IF($W381="","Missing PD deductible. ","") &amp; IF($X381="","Missing liability limit. ","") &amp; IF($AB381="","Missing technical premium. ","") &amp; IF($AF381="","Missing surplus lines tax %. ",""))="","PASS","FAIL: "&amp;TRIM(IF($A381="","Missing certificate ref. ","") &amp; IF($C381="","Missing effective date. ","") &amp; IF($D381="","Missing binding status. ","") &amp; IF($E381="","Missing movement type. ","") &amp; IF($I381="","Missing make. ","") &amp; IF($L381="","Missing vehicle class. ","") &amp; IF($M381="","Missing agreed value. ","") &amp; IF($N381="","Missing policy type. ","") &amp; IF($Q381="","Missing garaging state. ","") &amp; IF($R381="","Missing garaging ZIP. ","") &amp; IF($S381="","Missing cat zone. ","") &amp; IF($V381="","Missing valuation basis. ","") &amp; IF($W381="","Missing PD deductible. ","") &amp; IF($X381="","Missing liability limit. ","") &amp; IF($AB381="","Missing technical premium. ","") &amp; IF($AF381="","Missing surplus lines tax %. ",""))))</f>
      </c>
      <c r="AY381" s="44">
        <f>IF($M381="","",IF(ISNUMBER($M381),IF($M381&gt;=Header!$C$18,"YES — refer","No"),""))</f>
      </c>
      <c r="AZ381" s="44">
        <f>IF($AD381="","",IF(ISNUMBER($AD381),IF($AD381&lt;Header!$C$20,"BELOW MIN PREMIUM","OK"),""))</f>
      </c>
      <c r="BA381" s="32" t="inlineStr">
        <is>
          <t xml:space="preserve">Yes</t>
        </is>
      </c>
      <c r="BB381" s="32" t="inlineStr">
        <is>
          <t xml:space="preserve">Yes</t>
        </is>
      </c>
      <c r="BC381" s="30" t="inlineStr">
        <is>
          <t xml:space="preserve">Synthetic demo data</t>
        </is>
      </c>
      <c r="BE381" s="45">
        <f>IF(OR($A381="",$L381="",$H381=""),"",IF(AND(LEFT($L381,2)="06",$H381&gt;1945),"FAIL - pre-war class, year "&amp;$H381,IF(AND(LEFT($L381,2)="07",OR($H381&lt;1946,$H381&gt;1972)),"FAIL - 1946-72 class, year "&amp;$H381,IF(AND(LEFT($L381,2)="08",OR($H381&lt;1973,$H381&gt;1999)),"FAIL - 1973-99 class, year "&amp;$H381,IF(AND(LEFT($L381,2)="09",OR($H381&lt;2000,$H381&gt;2010)),"FAIL - 2000-10 class, year "&amp;$H381,"OK")))))</f>
      </c>
      <c r="BF381" s="45">
        <f>IF($AD381="","",IF(ROUND($AO381+$AP381+$AQ381-$AD381,2)=0,"OK","FAIL - out by "&amp;TEXT($AO381+$AP381+$AQ381-$AD381,"$0.00")))</f>
      </c>
    </row>
    <row r="382" spans="1:58" ht="18.75" customHeight="1" x14ac:dyDescent="0.25">
      <c r="A382" s="46" t="inlineStr">
        <is>
          <t xml:space="preserve">CANON-202511-002689</t>
        </is>
      </c>
      <c r="B382" s="46" t="inlineStr">
        <is>
          <t xml:space="preserve">Leopold Nakashima</t>
        </is>
      </c>
      <c r="C382" s="47">
        <v>45964</v>
      </c>
      <c r="D382" s="48" t="inlineStr">
        <is>
          <t xml:space="preserve">Bound - within authority</t>
        </is>
      </c>
      <c r="E382" s="48" t="inlineStr">
        <is>
          <t xml:space="preserve">New business</t>
        </is>
      </c>
      <c r="F382" s="46" t="inlineStr">
        <is>
          <t xml:space="preserve">B1234EXOTIC26</t>
        </is>
      </c>
      <c r="G382" s="33">
        <f>IF($A382="","",IF($C382="","",YEAR($C382)))</f>
      </c>
      <c r="H382" s="49">
        <v>1955</v>
      </c>
      <c r="I382" s="46" t="inlineStr">
        <is>
          <t xml:space="preserve">Bentley</t>
        </is>
      </c>
      <c r="J382" s="46" t="inlineStr">
        <is>
          <t xml:space="preserve">4.5 Litre</t>
        </is>
      </c>
      <c r="K382" s="46" t="inlineStr">
        <is>
          <t xml:space="preserve">SD25J336471R0GWD9</t>
        </is>
      </c>
      <c r="L382" s="48" t="inlineStr">
        <is>
          <t xml:space="preserve">07 - Post-War Classic (1946-1972)</t>
        </is>
      </c>
      <c r="M382" s="50">
        <v>945000</v>
      </c>
      <c r="N382" s="48" t="inlineStr">
        <is>
          <t xml:space="preserve">Personal</t>
        </is>
      </c>
      <c r="O382" s="46" t="inlineStr">
        <is>
          <t xml:space="preserve">Personal - regular use</t>
        </is>
      </c>
      <c r="P382" s="46" t="inlineStr">
        <is>
          <t xml:space="preserve">Under 1,000</t>
        </is>
      </c>
      <c r="Q382" s="46" t="inlineStr">
        <is>
          <t xml:space="preserve">Mississippi</t>
        </is>
      </c>
      <c r="R382" s="46" t="inlineStr">
        <is>
          <t xml:space="preserve">39201</t>
        </is>
      </c>
      <c r="S382" s="48" t="inlineStr">
        <is>
          <t xml:space="preserve">Tier 2 - Coastal wind (1-25 miles)</t>
        </is>
      </c>
      <c r="T382" s="36">
        <f>IF($A382="","",IF($S382="","",IFERROR(INDEX('[1]natural catastrophe'!$D$6:$D$17,MATCH($S382,'[1]natural catastrophe'!$B$6:$B$17,0)),"?")))</f>
      </c>
      <c r="U382" s="46" t="inlineStr">
        <is>
          <t xml:space="preserve">2% of agreed value, minimum $10,000</t>
        </is>
      </c>
      <c r="V382" s="48" t="inlineStr">
        <is>
          <t xml:space="preserve">Agreed Value</t>
        </is>
      </c>
      <c r="W382" s="46" t="inlineStr">
        <is>
          <t xml:space="preserve">$1,000</t>
        </is>
      </c>
      <c r="X382" s="48" t="inlineStr">
        <is>
          <t xml:space="preserve">$1,000,000 CSL</t>
        </is>
      </c>
      <c r="Y382" s="46"/>
      <c r="Z382" s="46"/>
      <c r="AA382" s="48" t="inlineStr">
        <is>
          <t xml:space="preserve">Surplus Lines</t>
        </is>
      </c>
      <c r="AB382" s="50">
        <v>7412.95</v>
      </c>
      <c r="AC382" s="51">
        <v>0</v>
      </c>
      <c r="AD382" s="38">
        <f>IF(ISNUMBER($AB382),$AB382*(1+N($AC382)),"")</f>
      </c>
      <c r="AE382" s="50">
        <v>350</v>
      </c>
      <c r="AF382" s="50">
        <v>0</v>
      </c>
      <c r="AG382" s="51"/>
      <c r="AH382" s="39">
        <f>IF(ISNUMBER($AD382),($AD382+$AE382+$AF382)*$AG382,"")</f>
      </c>
      <c r="AI382" s="50"/>
      <c r="AJ382" s="38">
        <f>IF(ISNUMBER($AD382),SUM($AD382:$AH382),"")</f>
      </c>
      <c r="AK382" s="40">
        <f>IF(AND(ISNUMBER($AB382),ISNUMBER($AD382)),IF($AB382&gt;0,$AD382/$AB382,""),"")</f>
      </c>
      <c r="AL382" s="48" t="inlineStr">
        <is>
          <t xml:space="preserve">At technical</t>
        </is>
      </c>
      <c r="AM382" s="41">
        <f>IF(ISNUMBER($AD382),Header!$I$3,"")</f>
      </c>
      <c r="AN382" s="39">
        <f>IF(ISNUMBER($AD382),$AO382+$AP382,"")</f>
      </c>
      <c r="AO382" s="39">
        <f>IF(ISNUMBER($AD382),ROUND($AD382*Header!$K$3,2),"")</f>
      </c>
      <c r="AP382" s="39">
        <f>IF(ISNUMBER($AD382),ROUND($AD382*Header!$M$3,2),"")</f>
      </c>
      <c r="AQ382" s="38">
        <f>IF(ISNUMBER($AD382),ROUND($AD382,2)-$AO382-$AP382,"")</f>
      </c>
      <c r="AR382" s="39">
        <f>IF(ISNUMBER($AD382),IF(Header!$D$34="","?",$AD382*Header!$D$34),"")</f>
      </c>
      <c r="AS382" s="39">
        <f>IF(ISNUMBER($AB382),IF(Header!$D$34="","?",$AB382*Header!$D$34),"")</f>
      </c>
      <c r="AT382" s="42">
        <f>IF(AND(ISNUMBER($AB382),$M382&gt;0),$AB382/$M382*100,"")</f>
      </c>
      <c r="AU382" s="42">
        <f>IF(AND(ISNUMBER($AD382),$M382&gt;0),$AD382/$M382*100,"")</f>
      </c>
      <c r="AV382" s="40">
        <f>IF(AND(ISNUMBER($AB382),ISNUMBER($AD382),ABS($AB382)&gt;0),$AD382/$AB382,"")</f>
      </c>
      <c r="AW382" s="39">
        <f>IF(ISNUMBER($AD382),MAX(0,(1-0.55-Header!$O$3)*Header!$Q$3*$AQ382),"")</f>
      </c>
      <c r="AX382" s="43">
        <f>IF($A382="","",IF(TRIM(IF($A382="","Missing certificate ref. ","") &amp; IF($C382="","Missing effective date. ","") &amp; IF($D382="","Missing binding status. ","") &amp; IF($E382="","Missing movement type. ","") &amp; IF($I382="","Missing make. ","") &amp; IF($L382="","Missing vehicle class. ","") &amp; IF($M382="","Missing agreed value. ","") &amp; IF($N382="","Missing policy type. ","") &amp; IF($Q382="","Missing garaging state. ","") &amp; IF($R382="","Missing garaging ZIP. ","") &amp; IF($S382="","Missing cat zone. ","") &amp; IF($V382="","Missing valuation basis. ","") &amp; IF($W382="","Missing PD deductible. ","") &amp; IF($X382="","Missing liability limit. ","") &amp; IF($AB382="","Missing technical premium. ","") &amp; IF($AF382="","Missing surplus lines tax %. ",""))="","PASS","FAIL: "&amp;TRIM(IF($A382="","Missing certificate ref. ","") &amp; IF($C382="","Missing effective date. ","") &amp; IF($D382="","Missing binding status. ","") &amp; IF($E382="","Missing movement type. ","") &amp; IF($I382="","Missing make. ","") &amp; IF($L382="","Missing vehicle class. ","") &amp; IF($M382="","Missing agreed value. ","") &amp; IF($N382="","Missing policy type. ","") &amp; IF($Q382="","Missing garaging state. ","") &amp; IF($R382="","Missing garaging ZIP. ","") &amp; IF($S382="","Missing cat zone. ","") &amp; IF($V382="","Missing valuation basis. ","") &amp; IF($W382="","Missing PD deductible. ","") &amp; IF($X382="","Missing liability limit. ","") &amp; IF($AB382="","Missing technical premium. ","") &amp; IF($AF382="","Missing surplus lines tax %. ",""))))</f>
      </c>
      <c r="AY382" s="44">
        <f>IF($M382="","",IF(ISNUMBER($M382),IF($M382&gt;=Header!$C$18,"YES — refer","No"),""))</f>
      </c>
      <c r="AZ382" s="44">
        <f>IF($AD382="","",IF(ISNUMBER($AD382),IF($AD382&lt;Header!$C$20,"BELOW MIN PREMIUM","OK"),""))</f>
      </c>
      <c r="BA382" s="48" t="inlineStr">
        <is>
          <t xml:space="preserve">Yes</t>
        </is>
      </c>
      <c r="BB382" s="48" t="inlineStr">
        <is>
          <t xml:space="preserve">Yes</t>
        </is>
      </c>
      <c r="BC382" s="46" t="inlineStr">
        <is>
          <t xml:space="preserve">Synthetic demo data</t>
        </is>
      </c>
      <c r="BE382" s="45">
        <f>IF(OR($A382="",$L382="",$H382=""),"",IF(AND(LEFT($L382,2)="06",$H382&gt;1945),"FAIL - pre-war class, year "&amp;$H382,IF(AND(LEFT($L382,2)="07",OR($H382&lt;1946,$H382&gt;1972)),"FAIL - 1946-72 class, year "&amp;$H382,IF(AND(LEFT($L382,2)="08",OR($H382&lt;1973,$H382&gt;1999)),"FAIL - 1973-99 class, year "&amp;$H382,IF(AND(LEFT($L382,2)="09",OR($H382&lt;2000,$H382&gt;2010)),"FAIL - 2000-10 class, year "&amp;$H382,"OK")))))</f>
      </c>
      <c r="BF382" s="45">
        <f>IF($AD382="","",IF(ROUND($AO382+$AP382+$AQ382-$AD382,2)=0,"OK","FAIL - out by "&amp;TEXT($AO382+$AP382+$AQ382-$AD382,"$0.00")))</f>
      </c>
    </row>
    <row r="383" spans="1:58" ht="18.75" customHeight="1" x14ac:dyDescent="0.25">
      <c r="A383" s="30" t="inlineStr">
        <is>
          <t xml:space="preserve">CANON-202511-002691</t>
        </is>
      </c>
      <c r="B383" s="30" t="inlineStr">
        <is>
          <t xml:space="preserve">Everett Underwood</t>
        </is>
      </c>
      <c r="C383" s="31">
        <v>45974</v>
      </c>
      <c r="D383" s="32" t="inlineStr">
        <is>
          <t xml:space="preserve">Bound - within authority</t>
        </is>
      </c>
      <c r="E383" s="32" t="inlineStr">
        <is>
          <t xml:space="preserve">New business</t>
        </is>
      </c>
      <c r="F383" s="30" t="inlineStr">
        <is>
          <t xml:space="preserve">B1234EXOTIC26</t>
        </is>
      </c>
      <c r="G383" s="33">
        <f>IF($A383="","",IF($C383="","",YEAR($C383)))</f>
      </c>
      <c r="H383" s="34">
        <v>1997</v>
      </c>
      <c r="I383" s="30" t="inlineStr">
        <is>
          <t xml:space="preserve">Ferrari</t>
        </is>
      </c>
      <c r="J383" s="30" t="inlineStr">
        <is>
          <t xml:space="preserve">SF90 Stradale</t>
        </is>
      </c>
      <c r="K383" s="30" t="inlineStr">
        <is>
          <t xml:space="preserve">C2DZYWGSNK1PT87TK</t>
        </is>
      </c>
      <c r="L383" s="32" t="inlineStr">
        <is>
          <t xml:space="preserve">03 - Supercar</t>
        </is>
      </c>
      <c r="M383" s="35">
        <v>1110000</v>
      </c>
      <c r="N383" s="32" t="inlineStr">
        <is>
          <t xml:space="preserve">Personal</t>
        </is>
      </c>
      <c r="O383" s="30" t="inlineStr">
        <is>
          <t xml:space="preserve">Personal - regular use</t>
        </is>
      </c>
      <c r="P383" s="30" t="inlineStr">
        <is>
          <t xml:space="preserve">1,000 - 2,500</t>
        </is>
      </c>
      <c r="Q383" s="30" t="inlineStr">
        <is>
          <t xml:space="preserve">Delaware</t>
        </is>
      </c>
      <c r="R383" s="30" t="inlineStr">
        <is>
          <t xml:space="preserve">19801</t>
        </is>
      </c>
      <c r="S383" s="32" t="inlineStr">
        <is>
          <t xml:space="preserve">Tier 3 - Coastal wind (25-100 miles)</t>
        </is>
      </c>
      <c r="T383" s="36">
        <f>IF($A383="","",IF($S383="","",IFERROR(INDEX('[1]natural catastrophe'!$D$6:$D$17,MATCH($S383,'[1]natural catastrophe'!$B$6:$B$17,0)),"?")))</f>
      </c>
      <c r="U383" s="30" t="inlineStr">
        <is>
          <t xml:space="preserve">2% of agreed value, minimum $10,000</t>
        </is>
      </c>
      <c r="V383" s="32" t="inlineStr">
        <is>
          <t xml:space="preserve">Agreed Value</t>
        </is>
      </c>
      <c r="W383" s="30" t="inlineStr">
        <is>
          <t xml:space="preserve">$1,000</t>
        </is>
      </c>
      <c r="X383" s="32" t="inlineStr">
        <is>
          <t xml:space="preserve">$1,000,000 CSL</t>
        </is>
      </c>
      <c r="Y383" s="30"/>
      <c r="Z383" s="30"/>
      <c r="AA383" s="32" t="inlineStr">
        <is>
          <t xml:space="preserve">Surplus Lines</t>
        </is>
      </c>
      <c r="AB383" s="35">
        <v>19255.36</v>
      </c>
      <c r="AC383" s="37">
        <v>0</v>
      </c>
      <c r="AD383" s="38">
        <f>IF(ISNUMBER($AB383),$AB383*(1+N($AC383)),"")</f>
      </c>
      <c r="AE383" s="35">
        <v>350</v>
      </c>
      <c r="AF383" s="35">
        <v>250</v>
      </c>
      <c r="AG383" s="37"/>
      <c r="AH383" s="39">
        <f>IF(ISNUMBER($AD383),($AD383+$AE383+$AF383)*$AG383,"")</f>
      </c>
      <c r="AI383" s="35"/>
      <c r="AJ383" s="38">
        <f>IF(ISNUMBER($AD383),SUM($AD383:$AH383),"")</f>
      </c>
      <c r="AK383" s="40">
        <f>IF(AND(ISNUMBER($AB383),ISNUMBER($AD383)),IF($AB383&gt;0,$AD383/$AB383,""),"")</f>
      </c>
      <c r="AL383" s="32" t="inlineStr">
        <is>
          <t xml:space="preserve">At technical</t>
        </is>
      </c>
      <c r="AM383" s="41">
        <f>IF(ISNUMBER($AD383),Header!$I$3,"")</f>
      </c>
      <c r="AN383" s="39">
        <f>IF(ISNUMBER($AD383),$AO383+$AP383,"")</f>
      </c>
      <c r="AO383" s="39">
        <f>IF(ISNUMBER($AD383),ROUND($AD383*Header!$K$3,2),"")</f>
      </c>
      <c r="AP383" s="39">
        <f>IF(ISNUMBER($AD383),ROUND($AD383*Header!$M$3,2),"")</f>
      </c>
      <c r="AQ383" s="38">
        <f>IF(ISNUMBER($AD383),ROUND($AD383,2)-$AO383-$AP383,"")</f>
      </c>
      <c r="AR383" s="39">
        <f>IF(ISNUMBER($AD383),IF(Header!$D$34="","?",$AD383*Header!$D$34),"")</f>
      </c>
      <c r="AS383" s="39">
        <f>IF(ISNUMBER($AB383),IF(Header!$D$34="","?",$AB383*Header!$D$34),"")</f>
      </c>
      <c r="AT383" s="42">
        <f>IF(AND(ISNUMBER($AB383),$M383&gt;0),$AB383/$M383*100,"")</f>
      </c>
      <c r="AU383" s="42">
        <f>IF(AND(ISNUMBER($AD383),$M383&gt;0),$AD383/$M383*100,"")</f>
      </c>
      <c r="AV383" s="40">
        <f>IF(AND(ISNUMBER($AB383),ISNUMBER($AD383),ABS($AB383)&gt;0),$AD383/$AB383,"")</f>
      </c>
      <c r="AW383" s="39">
        <f>IF(ISNUMBER($AD383),MAX(0,(1-0.55-Header!$O$3)*Header!$Q$3*$AQ383),"")</f>
      </c>
      <c r="AX383" s="43">
        <f>IF($A383="","",IF(TRIM(IF($A383="","Missing certificate ref. ","") &amp; IF($C383="","Missing effective date. ","") &amp; IF($D383="","Missing binding status. ","") &amp; IF($E383="","Missing movement type. ","") &amp; IF($I383="","Missing make. ","") &amp; IF($L383="","Missing vehicle class. ","") &amp; IF($M383="","Missing agreed value. ","") &amp; IF($N383="","Missing policy type. ","") &amp; IF($Q383="","Missing garaging state. ","") &amp; IF($R383="","Missing garaging ZIP. ","") &amp; IF($S383="","Missing cat zone. ","") &amp; IF($V383="","Missing valuation basis. ","") &amp; IF($W383="","Missing PD deductible. ","") &amp; IF($X383="","Missing liability limit. ","") &amp; IF($AB383="","Missing technical premium. ","") &amp; IF($AF383="","Missing surplus lines tax %. ",""))="","PASS","FAIL: "&amp;TRIM(IF($A383="","Missing certificate ref. ","") &amp; IF($C383="","Missing effective date. ","") &amp; IF($D383="","Missing binding status. ","") &amp; IF($E383="","Missing movement type. ","") &amp; IF($I383="","Missing make. ","") &amp; IF($L383="","Missing vehicle class. ","") &amp; IF($M383="","Missing agreed value. ","") &amp; IF($N383="","Missing policy type. ","") &amp; IF($Q383="","Missing garaging state. ","") &amp; IF($R383="","Missing garaging ZIP. ","") &amp; IF($S383="","Missing cat zone. ","") &amp; IF($V383="","Missing valuation basis. ","") &amp; IF($W383="","Missing PD deductible. ","") &amp; IF($X383="","Missing liability limit. ","") &amp; IF($AB383="","Missing technical premium. ","") &amp; IF($AF383="","Missing surplus lines tax %. ",""))))</f>
      </c>
      <c r="AY383" s="44">
        <f>IF($M383="","",IF(ISNUMBER($M383),IF($M383&gt;=Header!$C$18,"YES — refer","No"),""))</f>
      </c>
      <c r="AZ383" s="44">
        <f>IF($AD383="","",IF(ISNUMBER($AD383),IF($AD383&lt;Header!$C$20,"BELOW MIN PREMIUM","OK"),""))</f>
      </c>
      <c r="BA383" s="32" t="inlineStr">
        <is>
          <t xml:space="preserve">Yes</t>
        </is>
      </c>
      <c r="BB383" s="32" t="inlineStr">
        <is>
          <t xml:space="preserve">Yes</t>
        </is>
      </c>
      <c r="BC383" s="30" t="inlineStr">
        <is>
          <t xml:space="preserve">Synthetic demo data</t>
        </is>
      </c>
      <c r="BE383" s="45">
        <f>IF(OR($A383="",$L383="",$H383=""),"",IF(AND(LEFT($L383,2)="06",$H383&gt;1945),"FAIL - pre-war class, year "&amp;$H383,IF(AND(LEFT($L383,2)="07",OR($H383&lt;1946,$H383&gt;1972)),"FAIL - 1946-72 class, year "&amp;$H383,IF(AND(LEFT($L383,2)="08",OR($H383&lt;1973,$H383&gt;1999)),"FAIL - 1973-99 class, year "&amp;$H383,IF(AND(LEFT($L383,2)="09",OR($H383&lt;2000,$H383&gt;2010)),"FAIL - 2000-10 class, year "&amp;$H383,"OK")))))</f>
      </c>
      <c r="BF383" s="45">
        <f>IF($AD383="","",IF(ROUND($AO383+$AP383+$AQ383-$AD383,2)=0,"OK","FAIL - out by "&amp;TEXT($AO383+$AP383+$AQ383-$AD383,"$0.00")))</f>
      </c>
    </row>
    <row r="384" spans="1:58" ht="18.75" customHeight="1" x14ac:dyDescent="0.25">
      <c r="A384" s="46" t="inlineStr">
        <is>
          <t xml:space="preserve">CANON-202511-002692</t>
        </is>
      </c>
      <c r="B384" s="46" t="inlineStr">
        <is>
          <t xml:space="preserve">Priya Fairweather</t>
        </is>
      </c>
      <c r="C384" s="47">
        <v>45971</v>
      </c>
      <c r="D384" s="48" t="inlineStr">
        <is>
          <t xml:space="preserve">Bound - within authority</t>
        </is>
      </c>
      <c r="E384" s="48" t="inlineStr">
        <is>
          <t xml:space="preserve">New business</t>
        </is>
      </c>
      <c r="F384" s="46" t="inlineStr">
        <is>
          <t xml:space="preserve">B1234EXOTIC26</t>
        </is>
      </c>
      <c r="G384" s="33">
        <f>IF($A384="","",IF($C384="","",YEAR($C384)))</f>
      </c>
      <c r="H384" s="49">
        <v>2010</v>
      </c>
      <c r="I384" s="46" t="inlineStr">
        <is>
          <t xml:space="preserve">Maserati</t>
        </is>
      </c>
      <c r="J384" s="46" t="inlineStr">
        <is>
          <t xml:space="preserve">GranTurismo</t>
        </is>
      </c>
      <c r="K384" s="46" t="inlineStr">
        <is>
          <t xml:space="preserve">VC74CTRZ1XGGL8M81</t>
        </is>
      </c>
      <c r="L384" s="48" t="inlineStr">
        <is>
          <t xml:space="preserve">02 - Sports / GT</t>
        </is>
      </c>
      <c r="M384" s="50">
        <v>710000</v>
      </c>
      <c r="N384" s="48" t="inlineStr">
        <is>
          <t xml:space="preserve">Personal</t>
        </is>
      </c>
      <c r="O384" s="46" t="inlineStr">
        <is>
          <t xml:space="preserve">Personal - regular use</t>
        </is>
      </c>
      <c r="P384" s="46" t="inlineStr">
        <is>
          <t xml:space="preserve">2,500 - 5,000</t>
        </is>
      </c>
      <c r="Q384" s="46" t="inlineStr">
        <is>
          <t xml:space="preserve">Pennsylvania</t>
        </is>
      </c>
      <c r="R384" s="46" t="inlineStr">
        <is>
          <t xml:space="preserve">19103</t>
        </is>
      </c>
      <c r="S384" s="48" t="inlineStr">
        <is>
          <t xml:space="preserve">Low hazard - inland benign</t>
        </is>
      </c>
      <c r="T384" s="36">
        <f>IF($A384="","",IF($S384="","",IFERROR(INDEX('[1]natural catastrophe'!$D$6:$D$17,MATCH($S384,'[1]natural catastrophe'!$B$6:$B$17,0)),"?")))</f>
      </c>
      <c r="U384" s="46" t="inlineStr">
        <is>
          <t xml:space="preserve">$5,000</t>
        </is>
      </c>
      <c r="V384" s="48" t="inlineStr">
        <is>
          <t xml:space="preserve">Agreed Value</t>
        </is>
      </c>
      <c r="W384" s="46" t="inlineStr">
        <is>
          <t xml:space="preserve">$1,000</t>
        </is>
      </c>
      <c r="X384" s="48" t="inlineStr">
        <is>
          <t xml:space="preserve">$1,000,000 CSL</t>
        </is>
      </c>
      <c r="Y384" s="46"/>
      <c r="Z384" s="46"/>
      <c r="AA384" s="48" t="inlineStr">
        <is>
          <t xml:space="preserve">Surplus Lines</t>
        </is>
      </c>
      <c r="AB384" s="50">
        <v>8005.72</v>
      </c>
      <c r="AC384" s="51">
        <v>0</v>
      </c>
      <c r="AD384" s="38">
        <f>IF(ISNUMBER($AB384),$AB384*(1+N($AC384)),"")</f>
      </c>
      <c r="AE384" s="50">
        <v>350</v>
      </c>
      <c r="AF384" s="50">
        <v>0</v>
      </c>
      <c r="AG384" s="51"/>
      <c r="AH384" s="39">
        <f>IF(ISNUMBER($AD384),($AD384+$AE384+$AF384)*$AG384,"")</f>
      </c>
      <c r="AI384" s="50"/>
      <c r="AJ384" s="38">
        <f>IF(ISNUMBER($AD384),SUM($AD384:$AH384),"")</f>
      </c>
      <c r="AK384" s="40">
        <f>IF(AND(ISNUMBER($AB384),ISNUMBER($AD384)),IF($AB384&gt;0,$AD384/$AB384,""),"")</f>
      </c>
      <c r="AL384" s="48" t="inlineStr">
        <is>
          <t xml:space="preserve">At technical</t>
        </is>
      </c>
      <c r="AM384" s="41">
        <f>IF(ISNUMBER($AD384),Header!$I$3,"")</f>
      </c>
      <c r="AN384" s="39">
        <f>IF(ISNUMBER($AD384),$AO384+$AP384,"")</f>
      </c>
      <c r="AO384" s="39">
        <f>IF(ISNUMBER($AD384),ROUND($AD384*Header!$K$3,2),"")</f>
      </c>
      <c r="AP384" s="39">
        <f>IF(ISNUMBER($AD384),ROUND($AD384*Header!$M$3,2),"")</f>
      </c>
      <c r="AQ384" s="38">
        <f>IF(ISNUMBER($AD384),ROUND($AD384,2)-$AO384-$AP384,"")</f>
      </c>
      <c r="AR384" s="39">
        <f>IF(ISNUMBER($AD384),IF(Header!$D$34="","?",$AD384*Header!$D$34),"")</f>
      </c>
      <c r="AS384" s="39">
        <f>IF(ISNUMBER($AB384),IF(Header!$D$34="","?",$AB384*Header!$D$34),"")</f>
      </c>
      <c r="AT384" s="42">
        <f>IF(AND(ISNUMBER($AB384),$M384&gt;0),$AB384/$M384*100,"")</f>
      </c>
      <c r="AU384" s="42">
        <f>IF(AND(ISNUMBER($AD384),$M384&gt;0),$AD384/$M384*100,"")</f>
      </c>
      <c r="AV384" s="40">
        <f>IF(AND(ISNUMBER($AB384),ISNUMBER($AD384),ABS($AB384)&gt;0),$AD384/$AB384,"")</f>
      </c>
      <c r="AW384" s="39">
        <f>IF(ISNUMBER($AD384),MAX(0,(1-0.55-Header!$O$3)*Header!$Q$3*$AQ384),"")</f>
      </c>
      <c r="AX384" s="43">
        <f>IF($A384="","",IF(TRIM(IF($A384="","Missing certificate ref. ","") &amp; IF($C384="","Missing effective date. ","") &amp; IF($D384="","Missing binding status. ","") &amp; IF($E384="","Missing movement type. ","") &amp; IF($I384="","Missing make. ","") &amp; IF($L384="","Missing vehicle class. ","") &amp; IF($M384="","Missing agreed value. ","") &amp; IF($N384="","Missing policy type. ","") &amp; IF($Q384="","Missing garaging state. ","") &amp; IF($R384="","Missing garaging ZIP. ","") &amp; IF($S384="","Missing cat zone. ","") &amp; IF($V384="","Missing valuation basis. ","") &amp; IF($W384="","Missing PD deductible. ","") &amp; IF($X384="","Missing liability limit. ","") &amp; IF($AB384="","Missing technical premium. ","") &amp; IF($AF384="","Missing surplus lines tax %. ",""))="","PASS","FAIL: "&amp;TRIM(IF($A384="","Missing certificate ref. ","") &amp; IF($C384="","Missing effective date. ","") &amp; IF($D384="","Missing binding status. ","") &amp; IF($E384="","Missing movement type. ","") &amp; IF($I384="","Missing make. ","") &amp; IF($L384="","Missing vehicle class. ","") &amp; IF($M384="","Missing agreed value. ","") &amp; IF($N384="","Missing policy type. ","") &amp; IF($Q384="","Missing garaging state. ","") &amp; IF($R384="","Missing garaging ZIP. ","") &amp; IF($S384="","Missing cat zone. ","") &amp; IF($V384="","Missing valuation basis. ","") &amp; IF($W384="","Missing PD deductible. ","") &amp; IF($X384="","Missing liability limit. ","") &amp; IF($AB384="","Missing technical premium. ","") &amp; IF($AF384="","Missing surplus lines tax %. ",""))))</f>
      </c>
      <c r="AY384" s="44">
        <f>IF($M384="","",IF(ISNUMBER($M384),IF($M384&gt;=Header!$C$18,"YES — refer","No"),""))</f>
      </c>
      <c r="AZ384" s="44">
        <f>IF($AD384="","",IF(ISNUMBER($AD384),IF($AD384&lt;Header!$C$20,"BELOW MIN PREMIUM","OK"),""))</f>
      </c>
      <c r="BA384" s="48" t="inlineStr">
        <is>
          <t xml:space="preserve">Yes</t>
        </is>
      </c>
      <c r="BB384" s="48" t="inlineStr">
        <is>
          <t xml:space="preserve">Yes</t>
        </is>
      </c>
      <c r="BC384" s="46" t="inlineStr">
        <is>
          <t xml:space="preserve">Synthetic demo data</t>
        </is>
      </c>
      <c r="BE384" s="45">
        <f>IF(OR($A384="",$L384="",$H384=""),"",IF(AND(LEFT($L384,2)="06",$H384&gt;1945),"FAIL - pre-war class, year "&amp;$H384,IF(AND(LEFT($L384,2)="07",OR($H384&lt;1946,$H384&gt;1972)),"FAIL - 1946-72 class, year "&amp;$H384,IF(AND(LEFT($L384,2)="08",OR($H384&lt;1973,$H384&gt;1999)),"FAIL - 1973-99 class, year "&amp;$H384,IF(AND(LEFT($L384,2)="09",OR($H384&lt;2000,$H384&gt;2010)),"FAIL - 2000-10 class, year "&amp;$H384,"OK")))))</f>
      </c>
      <c r="BF384" s="45">
        <f>IF($AD384="","",IF(ROUND($AO384+$AP384+$AQ384-$AD384,2)=0,"OK","FAIL - out by "&amp;TEXT($AO384+$AP384+$AQ384-$AD384,"$0.00")))</f>
      </c>
    </row>
    <row r="385" spans="1:58" ht="18.75" customHeight="1" x14ac:dyDescent="0.25">
      <c r="A385" s="30" t="inlineStr">
        <is>
          <t xml:space="preserve">CANON-202511-002693</t>
        </is>
      </c>
      <c r="B385" s="30" t="inlineStr">
        <is>
          <t xml:space="preserve">Aurelio Delacroix</t>
        </is>
      </c>
      <c r="C385" s="31">
        <v>45987</v>
      </c>
      <c r="D385" s="32" t="inlineStr">
        <is>
          <t xml:space="preserve">Bound - within authority</t>
        </is>
      </c>
      <c r="E385" s="32" t="inlineStr">
        <is>
          <t xml:space="preserve">New business</t>
        </is>
      </c>
      <c r="F385" s="30" t="inlineStr">
        <is>
          <t xml:space="preserve">B1234EXOTIC26</t>
        </is>
      </c>
      <c r="G385" s="33">
        <f>IF($A385="","",IF($C385="","",YEAR($C385)))</f>
      </c>
      <c r="H385" s="34">
        <v>1975</v>
      </c>
      <c r="I385" s="30" t="inlineStr">
        <is>
          <t xml:space="preserve">McLaren</t>
        </is>
      </c>
      <c r="J385" s="30" t="inlineStr">
        <is>
          <t xml:space="preserve">750S</t>
        </is>
      </c>
      <c r="K385" s="30" t="inlineStr">
        <is>
          <t xml:space="preserve">TPRXZ7FJSB6RSPPE0</t>
        </is>
      </c>
      <c r="L385" s="32" t="inlineStr">
        <is>
          <t xml:space="preserve">03 - Supercar</t>
        </is>
      </c>
      <c r="M385" s="35">
        <v>650000</v>
      </c>
      <c r="N385" s="32" t="inlineStr">
        <is>
          <t xml:space="preserve">Personal</t>
        </is>
      </c>
      <c r="O385" s="30" t="inlineStr">
        <is>
          <t xml:space="preserve">Personal - regular use</t>
        </is>
      </c>
      <c r="P385" s="30" t="inlineStr">
        <is>
          <t xml:space="preserve">1,000 - 2,500</t>
        </is>
      </c>
      <c r="Q385" s="30" t="inlineStr">
        <is>
          <t xml:space="preserve">Wisconsin</t>
        </is>
      </c>
      <c r="R385" s="30" t="inlineStr">
        <is>
          <t xml:space="preserve">53202</t>
        </is>
      </c>
      <c r="S385" s="32" t="inlineStr">
        <is>
          <t xml:space="preserve">Severe convective - hail / tornado (moderate)</t>
        </is>
      </c>
      <c r="T385" s="36">
        <f>IF($A385="","",IF($S385="","",IFERROR(INDEX('[1]natural catastrophe'!$D$6:$D$17,MATCH($S385,'[1]natural catastrophe'!$B$6:$B$17,0)),"?")))</f>
      </c>
      <c r="U385" s="30" t="inlineStr">
        <is>
          <t xml:space="preserve">$5,000</t>
        </is>
      </c>
      <c r="V385" s="32" t="inlineStr">
        <is>
          <t xml:space="preserve">Agreed Value</t>
        </is>
      </c>
      <c r="W385" s="30" t="inlineStr">
        <is>
          <t xml:space="preserve">$1,000</t>
        </is>
      </c>
      <c r="X385" s="32" t="inlineStr">
        <is>
          <t xml:space="preserve">$1,000,000 CSL</t>
        </is>
      </c>
      <c r="Y385" s="30"/>
      <c r="Z385" s="30"/>
      <c r="AA385" s="32" t="inlineStr">
        <is>
          <t xml:space="preserve">Surplus Lines</t>
        </is>
      </c>
      <c r="AB385" s="35">
        <v>12854.25</v>
      </c>
      <c r="AC385" s="37">
        <v>0</v>
      </c>
      <c r="AD385" s="38">
        <f>IF(ISNUMBER($AB385),$AB385*(1+N($AC385)),"")</f>
      </c>
      <c r="AE385" s="35">
        <v>350</v>
      </c>
      <c r="AF385" s="35">
        <v>0</v>
      </c>
      <c r="AG385" s="37"/>
      <c r="AH385" s="39">
        <f>IF(ISNUMBER($AD385),($AD385+$AE385+$AF385)*$AG385,"")</f>
      </c>
      <c r="AI385" s="35"/>
      <c r="AJ385" s="38">
        <f>IF(ISNUMBER($AD385),SUM($AD385:$AH385),"")</f>
      </c>
      <c r="AK385" s="40">
        <f>IF(AND(ISNUMBER($AB385),ISNUMBER($AD385)),IF($AB385&gt;0,$AD385/$AB385,""),"")</f>
      </c>
      <c r="AL385" s="32" t="inlineStr">
        <is>
          <t xml:space="preserve">At technical</t>
        </is>
      </c>
      <c r="AM385" s="41">
        <f>IF(ISNUMBER($AD385),Header!$I$3,"")</f>
      </c>
      <c r="AN385" s="39">
        <f>IF(ISNUMBER($AD385),$AO385+$AP385,"")</f>
      </c>
      <c r="AO385" s="39">
        <f>IF(ISNUMBER($AD385),ROUND($AD385*Header!$K$3,2),"")</f>
      </c>
      <c r="AP385" s="39">
        <f>IF(ISNUMBER($AD385),ROUND($AD385*Header!$M$3,2),"")</f>
      </c>
      <c r="AQ385" s="38">
        <f>IF(ISNUMBER($AD385),ROUND($AD385,2)-$AO385-$AP385,"")</f>
      </c>
      <c r="AR385" s="39">
        <f>IF(ISNUMBER($AD385),IF(Header!$D$34="","?",$AD385*Header!$D$34),"")</f>
      </c>
      <c r="AS385" s="39">
        <f>IF(ISNUMBER($AB385),IF(Header!$D$34="","?",$AB385*Header!$D$34),"")</f>
      </c>
      <c r="AT385" s="42">
        <f>IF(AND(ISNUMBER($AB385),$M385&gt;0),$AB385/$M385*100,"")</f>
      </c>
      <c r="AU385" s="42">
        <f>IF(AND(ISNUMBER($AD385),$M385&gt;0),$AD385/$M385*100,"")</f>
      </c>
      <c r="AV385" s="40">
        <f>IF(AND(ISNUMBER($AB385),ISNUMBER($AD385),ABS($AB385)&gt;0),$AD385/$AB385,"")</f>
      </c>
      <c r="AW385" s="39">
        <f>IF(ISNUMBER($AD385),MAX(0,(1-0.55-Header!$O$3)*Header!$Q$3*$AQ385),"")</f>
      </c>
      <c r="AX385" s="43">
        <f>IF($A385="","",IF(TRIM(IF($A385="","Missing certificate ref. ","") &amp; IF($C385="","Missing effective date. ","") &amp; IF($D385="","Missing binding status. ","") &amp; IF($E385="","Missing movement type. ","") &amp; IF($I385="","Missing make. ","") &amp; IF($L385="","Missing vehicle class. ","") &amp; IF($M385="","Missing agreed value. ","") &amp; IF($N385="","Missing policy type. ","") &amp; IF($Q385="","Missing garaging state. ","") &amp; IF($R385="","Missing garaging ZIP. ","") &amp; IF($S385="","Missing cat zone. ","") &amp; IF($V385="","Missing valuation basis. ","") &amp; IF($W385="","Missing PD deductible. ","") &amp; IF($X385="","Missing liability limit. ","") &amp; IF($AB385="","Missing technical premium. ","") &amp; IF($AF385="","Missing surplus lines tax %. ",""))="","PASS","FAIL: "&amp;TRIM(IF($A385="","Missing certificate ref. ","") &amp; IF($C385="","Missing effective date. ","") &amp; IF($D385="","Missing binding status. ","") &amp; IF($E385="","Missing movement type. ","") &amp; IF($I385="","Missing make. ","") &amp; IF($L385="","Missing vehicle class. ","") &amp; IF($M385="","Missing agreed value. ","") &amp; IF($N385="","Missing policy type. ","") &amp; IF($Q385="","Missing garaging state. ","") &amp; IF($R385="","Missing garaging ZIP. ","") &amp; IF($S385="","Missing cat zone. ","") &amp; IF($V385="","Missing valuation basis. ","") &amp; IF($W385="","Missing PD deductible. ","") &amp; IF($X385="","Missing liability limit. ","") &amp; IF($AB385="","Missing technical premium. ","") &amp; IF($AF385="","Missing surplus lines tax %. ",""))))</f>
      </c>
      <c r="AY385" s="44">
        <f>IF($M385="","",IF(ISNUMBER($M385),IF($M385&gt;=Header!$C$18,"YES — refer","No"),""))</f>
      </c>
      <c r="AZ385" s="44">
        <f>IF($AD385="","",IF(ISNUMBER($AD385),IF($AD385&lt;Header!$C$20,"BELOW MIN PREMIUM","OK"),""))</f>
      </c>
      <c r="BA385" s="32" t="inlineStr">
        <is>
          <t xml:space="preserve">Yes</t>
        </is>
      </c>
      <c r="BB385" s="32" t="inlineStr">
        <is>
          <t xml:space="preserve">Yes</t>
        </is>
      </c>
      <c r="BC385" s="30" t="inlineStr">
        <is>
          <t xml:space="preserve">Synthetic demo data</t>
        </is>
      </c>
      <c r="BE385" s="45">
        <f>IF(OR($A385="",$L385="",$H385=""),"",IF(AND(LEFT($L385,2)="06",$H385&gt;1945),"FAIL - pre-war class, year "&amp;$H385,IF(AND(LEFT($L385,2)="07",OR($H385&lt;1946,$H385&gt;1972)),"FAIL - 1946-72 class, year "&amp;$H385,IF(AND(LEFT($L385,2)="08",OR($H385&lt;1973,$H385&gt;1999)),"FAIL - 1973-99 class, year "&amp;$H385,IF(AND(LEFT($L385,2)="09",OR($H385&lt;2000,$H385&gt;2010)),"FAIL - 2000-10 class, year "&amp;$H385,"OK")))))</f>
      </c>
      <c r="BF385" s="45">
        <f>IF($AD385="","",IF(ROUND($AO385+$AP385+$AQ385-$AD385,2)=0,"OK","FAIL - out by "&amp;TEXT($AO385+$AP385+$AQ385-$AD385,"$0.00")))</f>
      </c>
    </row>
    <row r="386" spans="1:58" ht="18.75" customHeight="1" x14ac:dyDescent="0.25">
      <c r="A386" s="46" t="inlineStr">
        <is>
          <t xml:space="preserve">CANON-202511-002695</t>
        </is>
      </c>
      <c r="B386" s="46" t="inlineStr">
        <is>
          <t xml:space="preserve">Emiliano Blackwood</t>
        </is>
      </c>
      <c r="C386" s="47">
        <v>45989</v>
      </c>
      <c r="D386" s="48" t="inlineStr">
        <is>
          <t xml:space="preserve">Bound - within authority</t>
        </is>
      </c>
      <c r="E386" s="48" t="inlineStr">
        <is>
          <t xml:space="preserve">New business</t>
        </is>
      </c>
      <c r="F386" s="46" t="inlineStr">
        <is>
          <t xml:space="preserve">B1234EXOTIC26</t>
        </is>
      </c>
      <c r="G386" s="33">
        <f>IF($A386="","",IF($C386="","",YEAR($C386)))</f>
      </c>
      <c r="H386" s="49">
        <v>1982</v>
      </c>
      <c r="I386" s="46" t="inlineStr">
        <is>
          <t xml:space="preserve">Aston Martin</t>
        </is>
      </c>
      <c r="J386" s="46" t="inlineStr">
        <is>
          <t xml:space="preserve">DB5</t>
        </is>
      </c>
      <c r="K386" s="46" t="inlineStr">
        <is>
          <t xml:space="preserve">UJ5D9J1HPGZUAAKGK</t>
        </is>
      </c>
      <c r="L386" s="48" t="inlineStr">
        <is>
          <t xml:space="preserve">08 - Modern Classic (1973-1999)</t>
        </is>
      </c>
      <c r="M386" s="50">
        <v>855000</v>
      </c>
      <c r="N386" s="48" t="inlineStr">
        <is>
          <t xml:space="preserve">Personal</t>
        </is>
      </c>
      <c r="O386" s="46" t="inlineStr">
        <is>
          <t xml:space="preserve">Personal - regular use</t>
        </is>
      </c>
      <c r="P386" s="46" t="inlineStr">
        <is>
          <t xml:space="preserve">1,000 - 2,500</t>
        </is>
      </c>
      <c r="Q386" s="46" t="inlineStr">
        <is>
          <t xml:space="preserve">Kentucky</t>
        </is>
      </c>
      <c r="R386" s="46" t="inlineStr">
        <is>
          <t xml:space="preserve">40202</t>
        </is>
      </c>
      <c r="S386" s="48" t="inlineStr">
        <is>
          <t xml:space="preserve">Severe convective - hail / tornado (moderate)</t>
        </is>
      </c>
      <c r="T386" s="36">
        <f>IF($A386="","",IF($S386="","",IFERROR(INDEX('[1]natural catastrophe'!$D$6:$D$17,MATCH($S386,'[1]natural catastrophe'!$B$6:$B$17,0)),"?")))</f>
      </c>
      <c r="U386" s="46" t="inlineStr">
        <is>
          <t xml:space="preserve">$5,000</t>
        </is>
      </c>
      <c r="V386" s="48" t="inlineStr">
        <is>
          <t xml:space="preserve">Agreed Value</t>
        </is>
      </c>
      <c r="W386" s="46" t="inlineStr">
        <is>
          <t xml:space="preserve">$1,000</t>
        </is>
      </c>
      <c r="X386" s="48" t="inlineStr">
        <is>
          <t xml:space="preserve">$1,000,000 CSL</t>
        </is>
      </c>
      <c r="Y386" s="46"/>
      <c r="Z386" s="46"/>
      <c r="AA386" s="48" t="inlineStr">
        <is>
          <t xml:space="preserve">Surplus Lines</t>
        </is>
      </c>
      <c r="AB386" s="50">
        <v>8546.1</v>
      </c>
      <c r="AC386" s="51">
        <v>0</v>
      </c>
      <c r="AD386" s="38">
        <f>IF(ISNUMBER($AB386),$AB386*(1+N($AC386)),"")</f>
      </c>
      <c r="AE386" s="50">
        <v>350</v>
      </c>
      <c r="AF386" s="50">
        <v>0</v>
      </c>
      <c r="AG386" s="51"/>
      <c r="AH386" s="39">
        <f>IF(ISNUMBER($AD386),($AD386+$AE386+$AF386)*$AG386,"")</f>
      </c>
      <c r="AI386" s="50"/>
      <c r="AJ386" s="38">
        <f>IF(ISNUMBER($AD386),SUM($AD386:$AH386),"")</f>
      </c>
      <c r="AK386" s="40">
        <f>IF(AND(ISNUMBER($AB386),ISNUMBER($AD386)),IF($AB386&gt;0,$AD386/$AB386,""),"")</f>
      </c>
      <c r="AL386" s="48" t="inlineStr">
        <is>
          <t xml:space="preserve">At technical</t>
        </is>
      </c>
      <c r="AM386" s="41">
        <f>IF(ISNUMBER($AD386),Header!$I$3,"")</f>
      </c>
      <c r="AN386" s="39">
        <f>IF(ISNUMBER($AD386),$AO386+$AP386,"")</f>
      </c>
      <c r="AO386" s="39">
        <f>IF(ISNUMBER($AD386),ROUND($AD386*Header!$K$3,2),"")</f>
      </c>
      <c r="AP386" s="39">
        <f>IF(ISNUMBER($AD386),ROUND($AD386*Header!$M$3,2),"")</f>
      </c>
      <c r="AQ386" s="38">
        <f>IF(ISNUMBER($AD386),ROUND($AD386,2)-$AO386-$AP386,"")</f>
      </c>
      <c r="AR386" s="39">
        <f>IF(ISNUMBER($AD386),IF(Header!$D$34="","?",$AD386*Header!$D$34),"")</f>
      </c>
      <c r="AS386" s="39">
        <f>IF(ISNUMBER($AB386),IF(Header!$D$34="","?",$AB386*Header!$D$34),"")</f>
      </c>
      <c r="AT386" s="42">
        <f>IF(AND(ISNUMBER($AB386),$M386&gt;0),$AB386/$M386*100,"")</f>
      </c>
      <c r="AU386" s="42">
        <f>IF(AND(ISNUMBER($AD386),$M386&gt;0),$AD386/$M386*100,"")</f>
      </c>
      <c r="AV386" s="40">
        <f>IF(AND(ISNUMBER($AB386),ISNUMBER($AD386),ABS($AB386)&gt;0),$AD386/$AB386,"")</f>
      </c>
      <c r="AW386" s="39">
        <f>IF(ISNUMBER($AD386),MAX(0,(1-0.55-Header!$O$3)*Header!$Q$3*$AQ386),"")</f>
      </c>
      <c r="AX386" s="43">
        <f>IF($A386="","",IF(TRIM(IF($A386="","Missing certificate ref. ","") &amp; IF($C386="","Missing effective date. ","") &amp; IF($D386="","Missing binding status. ","") &amp; IF($E386="","Missing movement type. ","") &amp; IF($I386="","Missing make. ","") &amp; IF($L386="","Missing vehicle class. ","") &amp; IF($M386="","Missing agreed value. ","") &amp; IF($N386="","Missing policy type. ","") &amp; IF($Q386="","Missing garaging state. ","") &amp; IF($R386="","Missing garaging ZIP. ","") &amp; IF($S386="","Missing cat zone. ","") &amp; IF($V386="","Missing valuation basis. ","") &amp; IF($W386="","Missing PD deductible. ","") &amp; IF($X386="","Missing liability limit. ","") &amp; IF($AB386="","Missing technical premium. ","") &amp; IF($AF386="","Missing surplus lines tax %. ",""))="","PASS","FAIL: "&amp;TRIM(IF($A386="","Missing certificate ref. ","") &amp; IF($C386="","Missing effective date. ","") &amp; IF($D386="","Missing binding status. ","") &amp; IF($E386="","Missing movement type. ","") &amp; IF($I386="","Missing make. ","") &amp; IF($L386="","Missing vehicle class. ","") &amp; IF($M386="","Missing agreed value. ","") &amp; IF($N386="","Missing policy type. ","") &amp; IF($Q386="","Missing garaging state. ","") &amp; IF($R386="","Missing garaging ZIP. ","") &amp; IF($S386="","Missing cat zone. ","") &amp; IF($V386="","Missing valuation basis. ","") &amp; IF($W386="","Missing PD deductible. ","") &amp; IF($X386="","Missing liability limit. ","") &amp; IF($AB386="","Missing technical premium. ","") &amp; IF($AF386="","Missing surplus lines tax %. ",""))))</f>
      </c>
      <c r="AY386" s="44">
        <f>IF($M386="","",IF(ISNUMBER($M386),IF($M386&gt;=Header!$C$18,"YES — refer","No"),""))</f>
      </c>
      <c r="AZ386" s="44">
        <f>IF($AD386="","",IF(ISNUMBER($AD386),IF($AD386&lt;Header!$C$20,"BELOW MIN PREMIUM","OK"),""))</f>
      </c>
      <c r="BA386" s="48" t="inlineStr">
        <is>
          <t xml:space="preserve">Yes</t>
        </is>
      </c>
      <c r="BB386" s="48" t="inlineStr">
        <is>
          <t xml:space="preserve">Yes</t>
        </is>
      </c>
      <c r="BC386" s="46" t="inlineStr">
        <is>
          <t xml:space="preserve">Synthetic demo data</t>
        </is>
      </c>
      <c r="BE386" s="45">
        <f>IF(OR($A386="",$L386="",$H386=""),"",IF(AND(LEFT($L386,2)="06",$H386&gt;1945),"FAIL - pre-war class, year "&amp;$H386,IF(AND(LEFT($L386,2)="07",OR($H386&lt;1946,$H386&gt;1972)),"FAIL - 1946-72 class, year "&amp;$H386,IF(AND(LEFT($L386,2)="08",OR($H386&lt;1973,$H386&gt;1999)),"FAIL - 1973-99 class, year "&amp;$H386,IF(AND(LEFT($L386,2)="09",OR($H386&lt;2000,$H386&gt;2010)),"FAIL - 2000-10 class, year "&amp;$H386,"OK")))))</f>
      </c>
      <c r="BF386" s="45">
        <f>IF($AD386="","",IF(ROUND($AO386+$AP386+$AQ386-$AD386,2)=0,"OK","FAIL - out by "&amp;TEXT($AO386+$AP386+$AQ386-$AD386,"$0.00")))</f>
      </c>
    </row>
    <row r="387" spans="1:58" ht="18.75" customHeight="1" x14ac:dyDescent="0.25">
      <c r="A387" s="30" t="inlineStr">
        <is>
          <t xml:space="preserve">CANON-202511-002696</t>
        </is>
      </c>
      <c r="B387" s="30" t="inlineStr">
        <is>
          <t xml:space="preserve">Marisol Vandermeer</t>
        </is>
      </c>
      <c r="C387" s="31">
        <v>45964</v>
      </c>
      <c r="D387" s="32" t="inlineStr">
        <is>
          <t xml:space="preserve">Bound - within authority</t>
        </is>
      </c>
      <c r="E387" s="32" t="inlineStr">
        <is>
          <t xml:space="preserve">New business</t>
        </is>
      </c>
      <c r="F387" s="30" t="inlineStr">
        <is>
          <t xml:space="preserve">B1234EXOTIC26</t>
        </is>
      </c>
      <c r="G387" s="33">
        <f>IF($A387="","",IF($C387="","",YEAR($C387)))</f>
      </c>
      <c r="H387" s="34">
        <v>1975</v>
      </c>
      <c r="I387" s="30" t="inlineStr">
        <is>
          <t xml:space="preserve">Porsche</t>
        </is>
      </c>
      <c r="J387" s="30" t="inlineStr">
        <is>
          <t xml:space="preserve">911 Turbo S</t>
        </is>
      </c>
      <c r="K387" s="30" t="inlineStr">
        <is>
          <t xml:space="preserve">B9KVCTH8T4TDDJ85K</t>
        </is>
      </c>
      <c r="L387" s="32" t="inlineStr">
        <is>
          <t xml:space="preserve">02 - Sports / GT</t>
        </is>
      </c>
      <c r="M387" s="35">
        <v>465000</v>
      </c>
      <c r="N387" s="32" t="inlineStr">
        <is>
          <t xml:space="preserve">Personal</t>
        </is>
      </c>
      <c r="O387" s="30" t="inlineStr">
        <is>
          <t xml:space="preserve">Personal - regular use</t>
        </is>
      </c>
      <c r="P387" s="30" t="inlineStr">
        <is>
          <t xml:space="preserve">1,000 - 2,500</t>
        </is>
      </c>
      <c r="Q387" s="30" t="inlineStr">
        <is>
          <t xml:space="preserve">New Mexico</t>
        </is>
      </c>
      <c r="R387" s="30" t="inlineStr">
        <is>
          <t xml:space="preserve">87501</t>
        </is>
      </c>
      <c r="S387" s="32" t="inlineStr">
        <is>
          <t xml:space="preserve">Wildfire - WUI high hazard</t>
        </is>
      </c>
      <c r="T387" s="36">
        <f>IF($A387="","",IF($S387="","",IFERROR(INDEX('[1]natural catastrophe'!$D$6:$D$17,MATCH($S387,'[1]natural catastrophe'!$B$6:$B$17,0)),"?")))</f>
      </c>
      <c r="U387" s="30" t="inlineStr">
        <is>
          <t xml:space="preserve">$5,000</t>
        </is>
      </c>
      <c r="V387" s="32" t="inlineStr">
        <is>
          <t xml:space="preserve">Agreed Value</t>
        </is>
      </c>
      <c r="W387" s="30" t="inlineStr">
        <is>
          <t xml:space="preserve">$1,000</t>
        </is>
      </c>
      <c r="X387" s="32" t="inlineStr">
        <is>
          <t xml:space="preserve">$1,000,000 CSL</t>
        </is>
      </c>
      <c r="Y387" s="30"/>
      <c r="Z387" s="30"/>
      <c r="AA387" s="32" t="inlineStr">
        <is>
          <t xml:space="preserve">Surplus Lines</t>
        </is>
      </c>
      <c r="AB387" s="35">
        <v>7743.78</v>
      </c>
      <c r="AC387" s="37">
        <v>0</v>
      </c>
      <c r="AD387" s="38">
        <f>IF(ISNUMBER($AB387),$AB387*(1+N($AC387)),"")</f>
      </c>
      <c r="AE387" s="35">
        <v>350</v>
      </c>
      <c r="AF387" s="35">
        <v>0</v>
      </c>
      <c r="AG387" s="37"/>
      <c r="AH387" s="39">
        <f>IF(ISNUMBER($AD387),($AD387+$AE387+$AF387)*$AG387,"")</f>
      </c>
      <c r="AI387" s="35"/>
      <c r="AJ387" s="38">
        <f>IF(ISNUMBER($AD387),SUM($AD387:$AH387),"")</f>
      </c>
      <c r="AK387" s="40">
        <f>IF(AND(ISNUMBER($AB387),ISNUMBER($AD387)),IF($AB387&gt;0,$AD387/$AB387,""),"")</f>
      </c>
      <c r="AL387" s="32" t="inlineStr">
        <is>
          <t xml:space="preserve">At technical</t>
        </is>
      </c>
      <c r="AM387" s="41">
        <f>IF(ISNUMBER($AD387),Header!$I$3,"")</f>
      </c>
      <c r="AN387" s="39">
        <f>IF(ISNUMBER($AD387),$AO387+$AP387,"")</f>
      </c>
      <c r="AO387" s="39">
        <f>IF(ISNUMBER($AD387),ROUND($AD387*Header!$K$3,2),"")</f>
      </c>
      <c r="AP387" s="39">
        <f>IF(ISNUMBER($AD387),ROUND($AD387*Header!$M$3,2),"")</f>
      </c>
      <c r="AQ387" s="38">
        <f>IF(ISNUMBER($AD387),ROUND($AD387,2)-$AO387-$AP387,"")</f>
      </c>
      <c r="AR387" s="39">
        <f>IF(ISNUMBER($AD387),IF(Header!$D$34="","?",$AD387*Header!$D$34),"")</f>
      </c>
      <c r="AS387" s="39">
        <f>IF(ISNUMBER($AB387),IF(Header!$D$34="","?",$AB387*Header!$D$34),"")</f>
      </c>
      <c r="AT387" s="42">
        <f>IF(AND(ISNUMBER($AB387),$M387&gt;0),$AB387/$M387*100,"")</f>
      </c>
      <c r="AU387" s="42">
        <f>IF(AND(ISNUMBER($AD387),$M387&gt;0),$AD387/$M387*100,"")</f>
      </c>
      <c r="AV387" s="40">
        <f>IF(AND(ISNUMBER($AB387),ISNUMBER($AD387),ABS($AB387)&gt;0),$AD387/$AB387,"")</f>
      </c>
      <c r="AW387" s="39">
        <f>IF(ISNUMBER($AD387),MAX(0,(1-0.55-Header!$O$3)*Header!$Q$3*$AQ387),"")</f>
      </c>
      <c r="AX387" s="43">
        <f>IF($A387="","",IF(TRIM(IF($A387="","Missing certificate ref. ","") &amp; IF($C387="","Missing effective date. ","") &amp; IF($D387="","Missing binding status. ","") &amp; IF($E387="","Missing movement type. ","") &amp; IF($I387="","Missing make. ","") &amp; IF($L387="","Missing vehicle class. ","") &amp; IF($M387="","Missing agreed value. ","") &amp; IF($N387="","Missing policy type. ","") &amp; IF($Q387="","Missing garaging state. ","") &amp; IF($R387="","Missing garaging ZIP. ","") &amp; IF($S387="","Missing cat zone. ","") &amp; IF($V387="","Missing valuation basis. ","") &amp; IF($W387="","Missing PD deductible. ","") &amp; IF($X387="","Missing liability limit. ","") &amp; IF($AB387="","Missing technical premium. ","") &amp; IF($AF387="","Missing surplus lines tax %. ",""))="","PASS","FAIL: "&amp;TRIM(IF($A387="","Missing certificate ref. ","") &amp; IF($C387="","Missing effective date. ","") &amp; IF($D387="","Missing binding status. ","") &amp; IF($E387="","Missing movement type. ","") &amp; IF($I387="","Missing make. ","") &amp; IF($L387="","Missing vehicle class. ","") &amp; IF($M387="","Missing agreed value. ","") &amp; IF($N387="","Missing policy type. ","") &amp; IF($Q387="","Missing garaging state. ","") &amp; IF($R387="","Missing garaging ZIP. ","") &amp; IF($S387="","Missing cat zone. ","") &amp; IF($V387="","Missing valuation basis. ","") &amp; IF($W387="","Missing PD deductible. ","") &amp; IF($X387="","Missing liability limit. ","") &amp; IF($AB387="","Missing technical premium. ","") &amp; IF($AF387="","Missing surplus lines tax %. ",""))))</f>
      </c>
      <c r="AY387" s="44">
        <f>IF($M387="","",IF(ISNUMBER($M387),IF($M387&gt;=Header!$C$18,"YES — refer","No"),""))</f>
      </c>
      <c r="AZ387" s="44">
        <f>IF($AD387="","",IF(ISNUMBER($AD387),IF($AD387&lt;Header!$C$20,"BELOW MIN PREMIUM","OK"),""))</f>
      </c>
      <c r="BA387" s="32" t="inlineStr">
        <is>
          <t xml:space="preserve">Yes</t>
        </is>
      </c>
      <c r="BB387" s="32" t="inlineStr">
        <is>
          <t xml:space="preserve">Yes</t>
        </is>
      </c>
      <c r="BC387" s="30" t="inlineStr">
        <is>
          <t xml:space="preserve">Synthetic demo data</t>
        </is>
      </c>
      <c r="BE387" s="45">
        <f>IF(OR($A387="",$L387="",$H387=""),"",IF(AND(LEFT($L387,2)="06",$H387&gt;1945),"FAIL - pre-war class, year "&amp;$H387,IF(AND(LEFT($L387,2)="07",OR($H387&lt;1946,$H387&gt;1972)),"FAIL - 1946-72 class, year "&amp;$H387,IF(AND(LEFT($L387,2)="08",OR($H387&lt;1973,$H387&gt;1999)),"FAIL - 1973-99 class, year "&amp;$H387,IF(AND(LEFT($L387,2)="09",OR($H387&lt;2000,$H387&gt;2010)),"FAIL - 2000-10 class, year "&amp;$H387,"OK")))))</f>
      </c>
      <c r="BF387" s="45">
        <f>IF($AD387="","",IF(ROUND($AO387+$AP387+$AQ387-$AD387,2)=0,"OK","FAIL - out by "&amp;TEXT($AO387+$AP387+$AQ387-$AD387,"$0.00")))</f>
      </c>
    </row>
    <row r="388" spans="1:58" ht="18.75" customHeight="1" x14ac:dyDescent="0.25">
      <c r="A388" s="46" t="inlineStr">
        <is>
          <t xml:space="preserve">CANON-202511-002697</t>
        </is>
      </c>
      <c r="B388" s="46" t="inlineStr">
        <is>
          <t xml:space="preserve">Noor Pennington</t>
        </is>
      </c>
      <c r="C388" s="47">
        <v>45987</v>
      </c>
      <c r="D388" s="48" t="inlineStr">
        <is>
          <t xml:space="preserve">Bound - within authority</t>
        </is>
      </c>
      <c r="E388" s="48" t="inlineStr">
        <is>
          <t xml:space="preserve">New business</t>
        </is>
      </c>
      <c r="F388" s="46" t="inlineStr">
        <is>
          <t xml:space="preserve">B1234EXOTIC26</t>
        </is>
      </c>
      <c r="G388" s="33">
        <f>IF($A388="","",IF($C388="","",YEAR($C388)))</f>
      </c>
      <c r="H388" s="49">
        <v>1961</v>
      </c>
      <c r="I388" s="46" t="inlineStr">
        <is>
          <t xml:space="preserve">Ferrari</t>
        </is>
      </c>
      <c r="J388" s="46" t="inlineStr">
        <is>
          <t xml:space="preserve">296 GTB</t>
        </is>
      </c>
      <c r="K388" s="46" t="inlineStr">
        <is>
          <t xml:space="preserve">SF672R8RL0NVFKA9R</t>
        </is>
      </c>
      <c r="L388" s="48" t="inlineStr">
        <is>
          <t xml:space="preserve">03 - Supercar</t>
        </is>
      </c>
      <c r="M388" s="50">
        <v>195000</v>
      </c>
      <c r="N388" s="48" t="inlineStr">
        <is>
          <t xml:space="preserve">Personal</t>
        </is>
      </c>
      <c r="O388" s="46" t="inlineStr">
        <is>
          <t xml:space="preserve">Personal - regular use</t>
        </is>
      </c>
      <c r="P388" s="46" t="inlineStr">
        <is>
          <t xml:space="preserve">2,500 - 5,000</t>
        </is>
      </c>
      <c r="Q388" s="46" t="inlineStr">
        <is>
          <t xml:space="preserve">Arizona</t>
        </is>
      </c>
      <c r="R388" s="46" t="inlineStr">
        <is>
          <t xml:space="preserve">85001</t>
        </is>
      </c>
      <c r="S388" s="48" t="inlineStr">
        <is>
          <t xml:space="preserve">Wildfire - WUI high hazard</t>
        </is>
      </c>
      <c r="T388" s="36">
        <f>IF($A388="","",IF($S388="","",IFERROR(INDEX('[1]natural catastrophe'!$D$6:$D$17,MATCH($S388,'[1]natural catastrophe'!$B$6:$B$17,0)),"?")))</f>
      </c>
      <c r="U388" s="46" t="inlineStr">
        <is>
          <t xml:space="preserve">$5,000</t>
        </is>
      </c>
      <c r="V388" s="48" t="inlineStr">
        <is>
          <t xml:space="preserve">Agreed Value</t>
        </is>
      </c>
      <c r="W388" s="46" t="inlineStr">
        <is>
          <t xml:space="preserve">$1,000</t>
        </is>
      </c>
      <c r="X388" s="48" t="inlineStr">
        <is>
          <t xml:space="preserve">$1,000,000 CSL</t>
        </is>
      </c>
      <c r="Y388" s="46"/>
      <c r="Z388" s="46"/>
      <c r="AA388" s="48" t="inlineStr">
        <is>
          <t xml:space="preserve">Surplus Lines</t>
        </is>
      </c>
      <c r="AB388" s="50">
        <v>4851.46</v>
      </c>
      <c r="AC388" s="51">
        <v>0</v>
      </c>
      <c r="AD388" s="38">
        <f>IF(ISNUMBER($AB388),$AB388*(1+N($AC388)),"")</f>
      </c>
      <c r="AE388" s="50">
        <v>350</v>
      </c>
      <c r="AF388" s="50">
        <v>0</v>
      </c>
      <c r="AG388" s="51"/>
      <c r="AH388" s="39">
        <f>IF(ISNUMBER($AD388),($AD388+$AE388+$AF388)*$AG388,"")</f>
      </c>
      <c r="AI388" s="50"/>
      <c r="AJ388" s="38">
        <f>IF(ISNUMBER($AD388),SUM($AD388:$AH388),"")</f>
      </c>
      <c r="AK388" s="40">
        <f>IF(AND(ISNUMBER($AB388),ISNUMBER($AD388)),IF($AB388&gt;0,$AD388/$AB388,""),"")</f>
      </c>
      <c r="AL388" s="48" t="inlineStr">
        <is>
          <t xml:space="preserve">At technical</t>
        </is>
      </c>
      <c r="AM388" s="41">
        <f>IF(ISNUMBER($AD388),Header!$I$3,"")</f>
      </c>
      <c r="AN388" s="39">
        <f>IF(ISNUMBER($AD388),$AO388+$AP388,"")</f>
      </c>
      <c r="AO388" s="39">
        <f>IF(ISNUMBER($AD388),ROUND($AD388*Header!$K$3,2),"")</f>
      </c>
      <c r="AP388" s="39">
        <f>IF(ISNUMBER($AD388),ROUND($AD388*Header!$M$3,2),"")</f>
      </c>
      <c r="AQ388" s="38">
        <f>IF(ISNUMBER($AD388),ROUND($AD388,2)-$AO388-$AP388,"")</f>
      </c>
      <c r="AR388" s="39">
        <f>IF(ISNUMBER($AD388),IF(Header!$D$34="","?",$AD388*Header!$D$34),"")</f>
      </c>
      <c r="AS388" s="39">
        <f>IF(ISNUMBER($AB388),IF(Header!$D$34="","?",$AB388*Header!$D$34),"")</f>
      </c>
      <c r="AT388" s="42">
        <f>IF(AND(ISNUMBER($AB388),$M388&gt;0),$AB388/$M388*100,"")</f>
      </c>
      <c r="AU388" s="42">
        <f>IF(AND(ISNUMBER($AD388),$M388&gt;0),$AD388/$M388*100,"")</f>
      </c>
      <c r="AV388" s="40">
        <f>IF(AND(ISNUMBER($AB388),ISNUMBER($AD388),ABS($AB388)&gt;0),$AD388/$AB388,"")</f>
      </c>
      <c r="AW388" s="39">
        <f>IF(ISNUMBER($AD388),MAX(0,(1-0.55-Header!$O$3)*Header!$Q$3*$AQ388),"")</f>
      </c>
      <c r="AX388" s="43">
        <f>IF($A388="","",IF(TRIM(IF($A388="","Missing certificate ref. ","") &amp; IF($C388="","Missing effective date. ","") &amp; IF($D388="","Missing binding status. ","") &amp; IF($E388="","Missing movement type. ","") &amp; IF($I388="","Missing make. ","") &amp; IF($L388="","Missing vehicle class. ","") &amp; IF($M388="","Missing agreed value. ","") &amp; IF($N388="","Missing policy type. ","") &amp; IF($Q388="","Missing garaging state. ","") &amp; IF($R388="","Missing garaging ZIP. ","") &amp; IF($S388="","Missing cat zone. ","") &amp; IF($V388="","Missing valuation basis. ","") &amp; IF($W388="","Missing PD deductible. ","") &amp; IF($X388="","Missing liability limit. ","") &amp; IF($AB388="","Missing technical premium. ","") &amp; IF($AF388="","Missing surplus lines tax %. ",""))="","PASS","FAIL: "&amp;TRIM(IF($A388="","Missing certificate ref. ","") &amp; IF($C388="","Missing effective date. ","") &amp; IF($D388="","Missing binding status. ","") &amp; IF($E388="","Missing movement type. ","") &amp; IF($I388="","Missing make. ","") &amp; IF($L388="","Missing vehicle class. ","") &amp; IF($M388="","Missing agreed value. ","") &amp; IF($N388="","Missing policy type. ","") &amp; IF($Q388="","Missing garaging state. ","") &amp; IF($R388="","Missing garaging ZIP. ","") &amp; IF($S388="","Missing cat zone. ","") &amp; IF($V388="","Missing valuation basis. ","") &amp; IF($W388="","Missing PD deductible. ","") &amp; IF($X388="","Missing liability limit. ","") &amp; IF($AB388="","Missing technical premium. ","") &amp; IF($AF388="","Missing surplus lines tax %. ",""))))</f>
      </c>
      <c r="AY388" s="44">
        <f>IF($M388="","",IF(ISNUMBER($M388),IF($M388&gt;=Header!$C$18,"YES — refer","No"),""))</f>
      </c>
      <c r="AZ388" s="44">
        <f>IF($AD388="","",IF(ISNUMBER($AD388),IF($AD388&lt;Header!$C$20,"BELOW MIN PREMIUM","OK"),""))</f>
      </c>
      <c r="BA388" s="48" t="inlineStr">
        <is>
          <t xml:space="preserve">Yes</t>
        </is>
      </c>
      <c r="BB388" s="48" t="inlineStr">
        <is>
          <t xml:space="preserve">Yes</t>
        </is>
      </c>
      <c r="BC388" s="46" t="inlineStr">
        <is>
          <t xml:space="preserve">Synthetic demo data</t>
        </is>
      </c>
      <c r="BE388" s="45">
        <f>IF(OR($A388="",$L388="",$H388=""),"",IF(AND(LEFT($L388,2)="06",$H388&gt;1945),"FAIL - pre-war class, year "&amp;$H388,IF(AND(LEFT($L388,2)="07",OR($H388&lt;1946,$H388&gt;1972)),"FAIL - 1946-72 class, year "&amp;$H388,IF(AND(LEFT($L388,2)="08",OR($H388&lt;1973,$H388&gt;1999)),"FAIL - 1973-99 class, year "&amp;$H388,IF(AND(LEFT($L388,2)="09",OR($H388&lt;2000,$H388&gt;2010)),"FAIL - 2000-10 class, year "&amp;$H388,"OK")))))</f>
      </c>
      <c r="BF388" s="45">
        <f>IF($AD388="","",IF(ROUND($AO388+$AP388+$AQ388-$AD388,2)=0,"OK","FAIL - out by "&amp;TEXT($AO388+$AP388+$AQ388-$AD388,"$0.00")))</f>
      </c>
    </row>
    <row r="389" spans="1:58" ht="18.75" customHeight="1" x14ac:dyDescent="0.25">
      <c r="A389" s="30" t="inlineStr">
        <is>
          <t xml:space="preserve">CANON-202511-002700</t>
        </is>
      </c>
      <c r="B389" s="30" t="inlineStr">
        <is>
          <t xml:space="preserve">Cassius Nakashima</t>
        </is>
      </c>
      <c r="C389" s="31">
        <v>45989</v>
      </c>
      <c r="D389" s="32" t="inlineStr">
        <is>
          <t xml:space="preserve">Bound - within authority</t>
        </is>
      </c>
      <c r="E389" s="32" t="inlineStr">
        <is>
          <t xml:space="preserve">New business</t>
        </is>
      </c>
      <c r="F389" s="30" t="inlineStr">
        <is>
          <t xml:space="preserve">B1234EXOTIC26</t>
        </is>
      </c>
      <c r="G389" s="33">
        <f>IF($A389="","",IF($C389="","",YEAR($C389)))</f>
      </c>
      <c r="H389" s="34">
        <v>2005</v>
      </c>
      <c r="I389" s="30" t="inlineStr">
        <is>
          <t xml:space="preserve">Aston Martin</t>
        </is>
      </c>
      <c r="J389" s="30" t="inlineStr">
        <is>
          <t xml:space="preserve">DB12</t>
        </is>
      </c>
      <c r="K389" s="30" t="inlineStr">
        <is>
          <t xml:space="preserve">GN7S9PJED93E7E874</t>
        </is>
      </c>
      <c r="L389" s="32" t="inlineStr">
        <is>
          <t xml:space="preserve">02 - Sports / GT</t>
        </is>
      </c>
      <c r="M389" s="35">
        <v>275000</v>
      </c>
      <c r="N389" s="32" t="inlineStr">
        <is>
          <t xml:space="preserve">Personal</t>
        </is>
      </c>
      <c r="O389" s="30" t="inlineStr">
        <is>
          <t xml:space="preserve">Personal - regular use</t>
        </is>
      </c>
      <c r="P389" s="30" t="inlineStr">
        <is>
          <t xml:space="preserve">1,000 - 2,500</t>
        </is>
      </c>
      <c r="Q389" s="30" t="inlineStr">
        <is>
          <t xml:space="preserve">Utah</t>
        </is>
      </c>
      <c r="R389" s="30" t="inlineStr">
        <is>
          <t xml:space="preserve">84101</t>
        </is>
      </c>
      <c r="S389" s="32" t="inlineStr">
        <is>
          <t xml:space="preserve">Wildfire - WUI high hazard</t>
        </is>
      </c>
      <c r="T389" s="36">
        <f>IF($A389="","",IF($S389="","",IFERROR(INDEX('[1]natural catastrophe'!$D$6:$D$17,MATCH($S389,'[1]natural catastrophe'!$B$6:$B$17,0)),"?")))</f>
      </c>
      <c r="U389" s="30" t="inlineStr">
        <is>
          <t xml:space="preserve">$5,000</t>
        </is>
      </c>
      <c r="V389" s="32" t="inlineStr">
        <is>
          <t xml:space="preserve">Agreed Value</t>
        </is>
      </c>
      <c r="W389" s="30" t="inlineStr">
        <is>
          <t xml:space="preserve">$1,000</t>
        </is>
      </c>
      <c r="X389" s="32" t="inlineStr">
        <is>
          <t xml:space="preserve">$1,000,000 CSL</t>
        </is>
      </c>
      <c r="Y389" s="30"/>
      <c r="Z389" s="30"/>
      <c r="AA389" s="32" t="inlineStr">
        <is>
          <t xml:space="preserve">Surplus Lines</t>
        </is>
      </c>
      <c r="AB389" s="35">
        <v>4830.1</v>
      </c>
      <c r="AC389" s="37">
        <v>0</v>
      </c>
      <c r="AD389" s="38">
        <f>IF(ISNUMBER($AB389),$AB389*(1+N($AC389)),"")</f>
      </c>
      <c r="AE389" s="35">
        <v>350</v>
      </c>
      <c r="AF389" s="35">
        <v>0</v>
      </c>
      <c r="AG389" s="37"/>
      <c r="AH389" s="39">
        <f>IF(ISNUMBER($AD389),($AD389+$AE389+$AF389)*$AG389,"")</f>
      </c>
      <c r="AI389" s="35"/>
      <c r="AJ389" s="38">
        <f>IF(ISNUMBER($AD389),SUM($AD389:$AH389),"")</f>
      </c>
      <c r="AK389" s="40">
        <f>IF(AND(ISNUMBER($AB389),ISNUMBER($AD389)),IF($AB389&gt;0,$AD389/$AB389,""),"")</f>
      </c>
      <c r="AL389" s="32" t="inlineStr">
        <is>
          <t xml:space="preserve">At technical</t>
        </is>
      </c>
      <c r="AM389" s="41">
        <f>IF(ISNUMBER($AD389),Header!$I$3,"")</f>
      </c>
      <c r="AN389" s="39">
        <f>IF(ISNUMBER($AD389),$AO389+$AP389,"")</f>
      </c>
      <c r="AO389" s="39">
        <f>IF(ISNUMBER($AD389),ROUND($AD389*Header!$K$3,2),"")</f>
      </c>
      <c r="AP389" s="39">
        <f>IF(ISNUMBER($AD389),ROUND($AD389*Header!$M$3,2),"")</f>
      </c>
      <c r="AQ389" s="38">
        <f>IF(ISNUMBER($AD389),ROUND($AD389,2)-$AO389-$AP389,"")</f>
      </c>
      <c r="AR389" s="39">
        <f>IF(ISNUMBER($AD389),IF(Header!$D$34="","?",$AD389*Header!$D$34),"")</f>
      </c>
      <c r="AS389" s="39">
        <f>IF(ISNUMBER($AB389),IF(Header!$D$34="","?",$AB389*Header!$D$34),"")</f>
      </c>
      <c r="AT389" s="42">
        <f>IF(AND(ISNUMBER($AB389),$M389&gt;0),$AB389/$M389*100,"")</f>
      </c>
      <c r="AU389" s="42">
        <f>IF(AND(ISNUMBER($AD389),$M389&gt;0),$AD389/$M389*100,"")</f>
      </c>
      <c r="AV389" s="40">
        <f>IF(AND(ISNUMBER($AB389),ISNUMBER($AD389),ABS($AB389)&gt;0),$AD389/$AB389,"")</f>
      </c>
      <c r="AW389" s="39">
        <f>IF(ISNUMBER($AD389),MAX(0,(1-0.55-Header!$O$3)*Header!$Q$3*$AQ389),"")</f>
      </c>
      <c r="AX389" s="43">
        <f>IF($A389="","",IF(TRIM(IF($A389="","Missing certificate ref. ","") &amp; IF($C389="","Missing effective date. ","") &amp; IF($D389="","Missing binding status. ","") &amp; IF($E389="","Missing movement type. ","") &amp; IF($I389="","Missing make. ","") &amp; IF($L389="","Missing vehicle class. ","") &amp; IF($M389="","Missing agreed value. ","") &amp; IF($N389="","Missing policy type. ","") &amp; IF($Q389="","Missing garaging state. ","") &amp; IF($R389="","Missing garaging ZIP. ","") &amp; IF($S389="","Missing cat zone. ","") &amp; IF($V389="","Missing valuation basis. ","") &amp; IF($W389="","Missing PD deductible. ","") &amp; IF($X389="","Missing liability limit. ","") &amp; IF($AB389="","Missing technical premium. ","") &amp; IF($AF389="","Missing surplus lines tax %. ",""))="","PASS","FAIL: "&amp;TRIM(IF($A389="","Missing certificate ref. ","") &amp; IF($C389="","Missing effective date. ","") &amp; IF($D389="","Missing binding status. ","") &amp; IF($E389="","Missing movement type. ","") &amp; IF($I389="","Missing make. ","") &amp; IF($L389="","Missing vehicle class. ","") &amp; IF($M389="","Missing agreed value. ","") &amp; IF($N389="","Missing policy type. ","") &amp; IF($Q389="","Missing garaging state. ","") &amp; IF($R389="","Missing garaging ZIP. ","") &amp; IF($S389="","Missing cat zone. ","") &amp; IF($V389="","Missing valuation basis. ","") &amp; IF($W389="","Missing PD deductible. ","") &amp; IF($X389="","Missing liability limit. ","") &amp; IF($AB389="","Missing technical premium. ","") &amp; IF($AF389="","Missing surplus lines tax %. ",""))))</f>
      </c>
      <c r="AY389" s="44">
        <f>IF($M389="","",IF(ISNUMBER($M389),IF($M389&gt;=Header!$C$18,"YES — refer","No"),""))</f>
      </c>
      <c r="AZ389" s="44">
        <f>IF($AD389="","",IF(ISNUMBER($AD389),IF($AD389&lt;Header!$C$20,"BELOW MIN PREMIUM","OK"),""))</f>
      </c>
      <c r="BA389" s="32" t="inlineStr">
        <is>
          <t xml:space="preserve">Yes</t>
        </is>
      </c>
      <c r="BB389" s="32" t="inlineStr">
        <is>
          <t xml:space="preserve">Yes</t>
        </is>
      </c>
      <c r="BC389" s="30" t="inlineStr">
        <is>
          <t xml:space="preserve">Synthetic demo data</t>
        </is>
      </c>
      <c r="BE389" s="45">
        <f>IF(OR($A389="",$L389="",$H389=""),"",IF(AND(LEFT($L389,2)="06",$H389&gt;1945),"FAIL - pre-war class, year "&amp;$H389,IF(AND(LEFT($L389,2)="07",OR($H389&lt;1946,$H389&gt;1972)),"FAIL - 1946-72 class, year "&amp;$H389,IF(AND(LEFT($L389,2)="08",OR($H389&lt;1973,$H389&gt;1999)),"FAIL - 1973-99 class, year "&amp;$H389,IF(AND(LEFT($L389,2)="09",OR($H389&lt;2000,$H389&gt;2010)),"FAIL - 2000-10 class, year "&amp;$H389,"OK")))))</f>
      </c>
      <c r="BF389" s="45">
        <f>IF($AD389="","",IF(ROUND($AO389+$AP389+$AQ389-$AD389,2)=0,"OK","FAIL - out by "&amp;TEXT($AO389+$AP389+$AQ389-$AD389,"$0.00")))</f>
      </c>
    </row>
    <row r="390" spans="1:58" ht="18.75" customHeight="1" x14ac:dyDescent="0.25">
      <c r="A390" s="46" t="inlineStr">
        <is>
          <t xml:space="preserve">CANON-202511-002701</t>
        </is>
      </c>
      <c r="B390" s="46" t="inlineStr">
        <is>
          <t xml:space="preserve">Ottilie Fairweather</t>
        </is>
      </c>
      <c r="C390" s="47">
        <v>45978</v>
      </c>
      <c r="D390" s="48" t="inlineStr">
        <is>
          <t xml:space="preserve">Bound - within authority</t>
        </is>
      </c>
      <c r="E390" s="48" t="inlineStr">
        <is>
          <t xml:space="preserve">New business</t>
        </is>
      </c>
      <c r="F390" s="46" t="inlineStr">
        <is>
          <t xml:space="preserve">B1234EXOTIC26</t>
        </is>
      </c>
      <c r="G390" s="33">
        <f>IF($A390="","",IF($C390="","",YEAR($C390)))</f>
      </c>
      <c r="H390" s="49">
        <v>1962</v>
      </c>
      <c r="I390" s="46" t="inlineStr">
        <is>
          <t xml:space="preserve">BMW</t>
        </is>
      </c>
      <c r="J390" s="46" t="inlineStr">
        <is>
          <t xml:space="preserve">M8 Competition</t>
        </is>
      </c>
      <c r="K390" s="46" t="inlineStr">
        <is>
          <t xml:space="preserve">9MW4GBBP5UGFWT28Z</t>
        </is>
      </c>
      <c r="L390" s="48" t="inlineStr">
        <is>
          <t xml:space="preserve">02 - Sports / GT</t>
        </is>
      </c>
      <c r="M390" s="50">
        <v>440000</v>
      </c>
      <c r="N390" s="48" t="inlineStr">
        <is>
          <t xml:space="preserve">Personal</t>
        </is>
      </c>
      <c r="O390" s="46" t="inlineStr">
        <is>
          <t xml:space="preserve">Personal - regular use</t>
        </is>
      </c>
      <c r="P390" s="46" t="inlineStr">
        <is>
          <t xml:space="preserve">1,000 - 2,500</t>
        </is>
      </c>
      <c r="Q390" s="46" t="inlineStr">
        <is>
          <t xml:space="preserve">Colorado</t>
        </is>
      </c>
      <c r="R390" s="46" t="inlineStr">
        <is>
          <t xml:space="preserve">80202</t>
        </is>
      </c>
      <c r="S390" s="48" t="inlineStr">
        <is>
          <t xml:space="preserve">Severe convective - hail alley (high)</t>
        </is>
      </c>
      <c r="T390" s="36">
        <f>IF($A390="","",IF($S390="","",IFERROR(INDEX('[1]natural catastrophe'!$D$6:$D$17,MATCH($S390,'[1]natural catastrophe'!$B$6:$B$17,0)),"?")))</f>
      </c>
      <c r="U390" s="46" t="inlineStr">
        <is>
          <t xml:space="preserve">$5,000</t>
        </is>
      </c>
      <c r="V390" s="48" t="inlineStr">
        <is>
          <t xml:space="preserve">Agreed Value</t>
        </is>
      </c>
      <c r="W390" s="46" t="inlineStr">
        <is>
          <t xml:space="preserve">$1,000</t>
        </is>
      </c>
      <c r="X390" s="48" t="inlineStr">
        <is>
          <t xml:space="preserve">$1,000,000 CSL</t>
        </is>
      </c>
      <c r="Y390" s="46"/>
      <c r="Z390" s="46"/>
      <c r="AA390" s="48" t="inlineStr">
        <is>
          <t xml:space="preserve">Surplus Lines</t>
        </is>
      </c>
      <c r="AB390" s="50">
        <v>6297.03</v>
      </c>
      <c r="AC390" s="51">
        <v>0</v>
      </c>
      <c r="AD390" s="38">
        <f>IF(ISNUMBER($AB390),$AB390*(1+N($AC390)),"")</f>
      </c>
      <c r="AE390" s="50">
        <v>350</v>
      </c>
      <c r="AF390" s="50">
        <v>0</v>
      </c>
      <c r="AG390" s="51"/>
      <c r="AH390" s="39">
        <f>IF(ISNUMBER($AD390),($AD390+$AE390+$AF390)*$AG390,"")</f>
      </c>
      <c r="AI390" s="50"/>
      <c r="AJ390" s="38">
        <f>IF(ISNUMBER($AD390),SUM($AD390:$AH390),"")</f>
      </c>
      <c r="AK390" s="40">
        <f>IF(AND(ISNUMBER($AB390),ISNUMBER($AD390)),IF($AB390&gt;0,$AD390/$AB390,""),"")</f>
      </c>
      <c r="AL390" s="48" t="inlineStr">
        <is>
          <t xml:space="preserve">At technical</t>
        </is>
      </c>
      <c r="AM390" s="41">
        <f>IF(ISNUMBER($AD390),Header!$I$3,"")</f>
      </c>
      <c r="AN390" s="39">
        <f>IF(ISNUMBER($AD390),$AO390+$AP390,"")</f>
      </c>
      <c r="AO390" s="39">
        <f>IF(ISNUMBER($AD390),ROUND($AD390*Header!$K$3,2),"")</f>
      </c>
      <c r="AP390" s="39">
        <f>IF(ISNUMBER($AD390),ROUND($AD390*Header!$M$3,2),"")</f>
      </c>
      <c r="AQ390" s="38">
        <f>IF(ISNUMBER($AD390),ROUND($AD390,2)-$AO390-$AP390,"")</f>
      </c>
      <c r="AR390" s="39">
        <f>IF(ISNUMBER($AD390),IF(Header!$D$34="","?",$AD390*Header!$D$34),"")</f>
      </c>
      <c r="AS390" s="39">
        <f>IF(ISNUMBER($AB390),IF(Header!$D$34="","?",$AB390*Header!$D$34),"")</f>
      </c>
      <c r="AT390" s="42">
        <f>IF(AND(ISNUMBER($AB390),$M390&gt;0),$AB390/$M390*100,"")</f>
      </c>
      <c r="AU390" s="42">
        <f>IF(AND(ISNUMBER($AD390),$M390&gt;0),$AD390/$M390*100,"")</f>
      </c>
      <c r="AV390" s="40">
        <f>IF(AND(ISNUMBER($AB390),ISNUMBER($AD390),ABS($AB390)&gt;0),$AD390/$AB390,"")</f>
      </c>
      <c r="AW390" s="39">
        <f>IF(ISNUMBER($AD390),MAX(0,(1-0.55-Header!$O$3)*Header!$Q$3*$AQ390),"")</f>
      </c>
      <c r="AX390" s="43">
        <f>IF($A390="","",IF(TRIM(IF($A390="","Missing certificate ref. ","") &amp; IF($C390="","Missing effective date. ","") &amp; IF($D390="","Missing binding status. ","") &amp; IF($E390="","Missing movement type. ","") &amp; IF($I390="","Missing make. ","") &amp; IF($L390="","Missing vehicle class. ","") &amp; IF($M390="","Missing agreed value. ","") &amp; IF($N390="","Missing policy type. ","") &amp; IF($Q390="","Missing garaging state. ","") &amp; IF($R390="","Missing garaging ZIP. ","") &amp; IF($S390="","Missing cat zone. ","") &amp; IF($V390="","Missing valuation basis. ","") &amp; IF($W390="","Missing PD deductible. ","") &amp; IF($X390="","Missing liability limit. ","") &amp; IF($AB390="","Missing technical premium. ","") &amp; IF($AF390="","Missing surplus lines tax %. ",""))="","PASS","FAIL: "&amp;TRIM(IF($A390="","Missing certificate ref. ","") &amp; IF($C390="","Missing effective date. ","") &amp; IF($D390="","Missing binding status. ","") &amp; IF($E390="","Missing movement type. ","") &amp; IF($I390="","Missing make. ","") &amp; IF($L390="","Missing vehicle class. ","") &amp; IF($M390="","Missing agreed value. ","") &amp; IF($N390="","Missing policy type. ","") &amp; IF($Q390="","Missing garaging state. ","") &amp; IF($R390="","Missing garaging ZIP. ","") &amp; IF($S390="","Missing cat zone. ","") &amp; IF($V390="","Missing valuation basis. ","") &amp; IF($W390="","Missing PD deductible. ","") &amp; IF($X390="","Missing liability limit. ","") &amp; IF($AB390="","Missing technical premium. ","") &amp; IF($AF390="","Missing surplus lines tax %. ",""))))</f>
      </c>
      <c r="AY390" s="44">
        <f>IF($M390="","",IF(ISNUMBER($M390),IF($M390&gt;=Header!$C$18,"YES — refer","No"),""))</f>
      </c>
      <c r="AZ390" s="44">
        <f>IF($AD390="","",IF(ISNUMBER($AD390),IF($AD390&lt;Header!$C$20,"BELOW MIN PREMIUM","OK"),""))</f>
      </c>
      <c r="BA390" s="48" t="inlineStr">
        <is>
          <t xml:space="preserve">Yes</t>
        </is>
      </c>
      <c r="BB390" s="48" t="inlineStr">
        <is>
          <t xml:space="preserve">Yes</t>
        </is>
      </c>
      <c r="BC390" s="46" t="inlineStr">
        <is>
          <t xml:space="preserve">Synthetic demo data</t>
        </is>
      </c>
      <c r="BE390" s="45">
        <f>IF(OR($A390="",$L390="",$H390=""),"",IF(AND(LEFT($L390,2)="06",$H390&gt;1945),"FAIL - pre-war class, year "&amp;$H390,IF(AND(LEFT($L390,2)="07",OR($H390&lt;1946,$H390&gt;1972)),"FAIL - 1946-72 class, year "&amp;$H390,IF(AND(LEFT($L390,2)="08",OR($H390&lt;1973,$H390&gt;1999)),"FAIL - 1973-99 class, year "&amp;$H390,IF(AND(LEFT($L390,2)="09",OR($H390&lt;2000,$H390&gt;2010)),"FAIL - 2000-10 class, year "&amp;$H390,"OK")))))</f>
      </c>
      <c r="BF390" s="45">
        <f>IF($AD390="","",IF(ROUND($AO390+$AP390+$AQ390-$AD390,2)=0,"OK","FAIL - out by "&amp;TEXT($AO390+$AP390+$AQ390-$AD390,"$0.00")))</f>
      </c>
    </row>
    <row r="391" spans="1:58" ht="18.75" customHeight="1" x14ac:dyDescent="0.25">
      <c r="A391" s="30" t="inlineStr">
        <is>
          <t xml:space="preserve">CANON-202511-002702</t>
        </is>
      </c>
      <c r="B391" s="30" t="inlineStr">
        <is>
          <t xml:space="preserve">Fitzgerald Fairweather</t>
        </is>
      </c>
      <c r="C391" s="31">
        <v>45985</v>
      </c>
      <c r="D391" s="32" t="inlineStr">
        <is>
          <t xml:space="preserve">Bound - within authority</t>
        </is>
      </c>
      <c r="E391" s="32" t="inlineStr">
        <is>
          <t xml:space="preserve">New business</t>
        </is>
      </c>
      <c r="F391" s="30" t="inlineStr">
        <is>
          <t xml:space="preserve">B1234EXOTIC26</t>
        </is>
      </c>
      <c r="G391" s="33">
        <f>IF($A391="","",IF($C391="","",YEAR($C391)))</f>
      </c>
      <c r="H391" s="34">
        <v>1995</v>
      </c>
      <c r="I391" s="30" t="inlineStr">
        <is>
          <t xml:space="preserve">Mercedes-Benz</t>
        </is>
      </c>
      <c r="J391" s="30" t="inlineStr">
        <is>
          <t xml:space="preserve">AMG GT</t>
        </is>
      </c>
      <c r="K391" s="30" t="inlineStr">
        <is>
          <t xml:space="preserve">4GJH77XG9ZLVVJD3T</t>
        </is>
      </c>
      <c r="L391" s="32" t="inlineStr">
        <is>
          <t xml:space="preserve">02 - Sports / GT</t>
        </is>
      </c>
      <c r="M391" s="35">
        <v>1950000</v>
      </c>
      <c r="N391" s="32" t="inlineStr">
        <is>
          <t xml:space="preserve">Personal</t>
        </is>
      </c>
      <c r="O391" s="30" t="inlineStr">
        <is>
          <t xml:space="preserve">Personal - regular use</t>
        </is>
      </c>
      <c r="P391" s="30" t="inlineStr">
        <is>
          <t xml:space="preserve">Under 1,000</t>
        </is>
      </c>
      <c r="Q391" s="30" t="inlineStr">
        <is>
          <t xml:space="preserve">Missouri</t>
        </is>
      </c>
      <c r="R391" s="30" t="inlineStr">
        <is>
          <t xml:space="preserve">63101</t>
        </is>
      </c>
      <c r="S391" s="32" t="inlineStr">
        <is>
          <t xml:space="preserve">Severe convective - hail / tornado (moderate)</t>
        </is>
      </c>
      <c r="T391" s="36">
        <f>IF($A391="","",IF($S391="","",IFERROR(INDEX('[1]natural catastrophe'!$D$6:$D$17,MATCH($S391,'[1]natural catastrophe'!$B$6:$B$17,0)),"?")))</f>
      </c>
      <c r="U391" s="30" t="inlineStr">
        <is>
          <t xml:space="preserve">$5,000</t>
        </is>
      </c>
      <c r="V391" s="32" t="inlineStr">
        <is>
          <t xml:space="preserve">Agreed Value</t>
        </is>
      </c>
      <c r="W391" s="30" t="inlineStr">
        <is>
          <t xml:space="preserve">$1,000</t>
        </is>
      </c>
      <c r="X391" s="32" t="inlineStr">
        <is>
          <t xml:space="preserve">$1,000,000 CSL</t>
        </is>
      </c>
      <c r="Y391" s="30"/>
      <c r="Z391" s="30"/>
      <c r="AA391" s="32" t="inlineStr">
        <is>
          <t xml:space="preserve">Surplus Lines</t>
        </is>
      </c>
      <c r="AB391" s="35">
        <v>19721.13</v>
      </c>
      <c r="AC391" s="37">
        <v>0</v>
      </c>
      <c r="AD391" s="38">
        <f>IF(ISNUMBER($AB391),$AB391*(1+N($AC391)),"")</f>
      </c>
      <c r="AE391" s="35">
        <v>350</v>
      </c>
      <c r="AF391" s="35">
        <v>250</v>
      </c>
      <c r="AG391" s="37"/>
      <c r="AH391" s="39">
        <f>IF(ISNUMBER($AD391),($AD391+$AE391+$AF391)*$AG391,"")</f>
      </c>
      <c r="AI391" s="35"/>
      <c r="AJ391" s="38">
        <f>IF(ISNUMBER($AD391),SUM($AD391:$AH391),"")</f>
      </c>
      <c r="AK391" s="40">
        <f>IF(AND(ISNUMBER($AB391),ISNUMBER($AD391)),IF($AB391&gt;0,$AD391/$AB391,""),"")</f>
      </c>
      <c r="AL391" s="32" t="inlineStr">
        <is>
          <t xml:space="preserve">At technical</t>
        </is>
      </c>
      <c r="AM391" s="41">
        <f>IF(ISNUMBER($AD391),Header!$I$3,"")</f>
      </c>
      <c r="AN391" s="39">
        <f>IF(ISNUMBER($AD391),$AO391+$AP391,"")</f>
      </c>
      <c r="AO391" s="39">
        <f>IF(ISNUMBER($AD391),ROUND($AD391*Header!$K$3,2),"")</f>
      </c>
      <c r="AP391" s="39">
        <f>IF(ISNUMBER($AD391),ROUND($AD391*Header!$M$3,2),"")</f>
      </c>
      <c r="AQ391" s="38">
        <f>IF(ISNUMBER($AD391),ROUND($AD391,2)-$AO391-$AP391,"")</f>
      </c>
      <c r="AR391" s="39">
        <f>IF(ISNUMBER($AD391),IF(Header!$D$34="","?",$AD391*Header!$D$34),"")</f>
      </c>
      <c r="AS391" s="39">
        <f>IF(ISNUMBER($AB391),IF(Header!$D$34="","?",$AB391*Header!$D$34),"")</f>
      </c>
      <c r="AT391" s="42">
        <f>IF(AND(ISNUMBER($AB391),$M391&gt;0),$AB391/$M391*100,"")</f>
      </c>
      <c r="AU391" s="42">
        <f>IF(AND(ISNUMBER($AD391),$M391&gt;0),$AD391/$M391*100,"")</f>
      </c>
      <c r="AV391" s="40">
        <f>IF(AND(ISNUMBER($AB391),ISNUMBER($AD391),ABS($AB391)&gt;0),$AD391/$AB391,"")</f>
      </c>
      <c r="AW391" s="39">
        <f>IF(ISNUMBER($AD391),MAX(0,(1-0.55-Header!$O$3)*Header!$Q$3*$AQ391),"")</f>
      </c>
      <c r="AX391" s="43">
        <f>IF($A391="","",IF(TRIM(IF($A391="","Missing certificate ref. ","") &amp; IF($C391="","Missing effective date. ","") &amp; IF($D391="","Missing binding status. ","") &amp; IF($E391="","Missing movement type. ","") &amp; IF($I391="","Missing make. ","") &amp; IF($L391="","Missing vehicle class. ","") &amp; IF($M391="","Missing agreed value. ","") &amp; IF($N391="","Missing policy type. ","") &amp; IF($Q391="","Missing garaging state. ","") &amp; IF($R391="","Missing garaging ZIP. ","") &amp; IF($S391="","Missing cat zone. ","") &amp; IF($V391="","Missing valuation basis. ","") &amp; IF($W391="","Missing PD deductible. ","") &amp; IF($X391="","Missing liability limit. ","") &amp; IF($AB391="","Missing technical premium. ","") &amp; IF($AF391="","Missing surplus lines tax %. ",""))="","PASS","FAIL: "&amp;TRIM(IF($A391="","Missing certificate ref. ","") &amp; IF($C391="","Missing effective date. ","") &amp; IF($D391="","Missing binding status. ","") &amp; IF($E391="","Missing movement type. ","") &amp; IF($I391="","Missing make. ","") &amp; IF($L391="","Missing vehicle class. ","") &amp; IF($M391="","Missing agreed value. ","") &amp; IF($N391="","Missing policy type. ","") &amp; IF($Q391="","Missing garaging state. ","") &amp; IF($R391="","Missing garaging ZIP. ","") &amp; IF($S391="","Missing cat zone. ","") &amp; IF($V391="","Missing valuation basis. ","") &amp; IF($W391="","Missing PD deductible. ","") &amp; IF($X391="","Missing liability limit. ","") &amp; IF($AB391="","Missing technical premium. ","") &amp; IF($AF391="","Missing surplus lines tax %. ",""))))</f>
      </c>
      <c r="AY391" s="44">
        <f>IF($M391="","",IF(ISNUMBER($M391),IF($M391&gt;=Header!$C$18,"YES — refer","No"),""))</f>
      </c>
      <c r="AZ391" s="44">
        <f>IF($AD391="","",IF(ISNUMBER($AD391),IF($AD391&lt;Header!$C$20,"BELOW MIN PREMIUM","OK"),""))</f>
      </c>
      <c r="BA391" s="32" t="inlineStr">
        <is>
          <t xml:space="preserve">Yes</t>
        </is>
      </c>
      <c r="BB391" s="32" t="inlineStr">
        <is>
          <t xml:space="preserve">Yes</t>
        </is>
      </c>
      <c r="BC391" s="30" t="inlineStr">
        <is>
          <t xml:space="preserve">Synthetic demo data</t>
        </is>
      </c>
      <c r="BE391" s="45">
        <f>IF(OR($A391="",$L391="",$H391=""),"",IF(AND(LEFT($L391,2)="06",$H391&gt;1945),"FAIL - pre-war class, year "&amp;$H391,IF(AND(LEFT($L391,2)="07",OR($H391&lt;1946,$H391&gt;1972)),"FAIL - 1946-72 class, year "&amp;$H391,IF(AND(LEFT($L391,2)="08",OR($H391&lt;1973,$H391&gt;1999)),"FAIL - 1973-99 class, year "&amp;$H391,IF(AND(LEFT($L391,2)="09",OR($H391&lt;2000,$H391&gt;2010)),"FAIL - 2000-10 class, year "&amp;$H391,"OK")))))</f>
      </c>
      <c r="BF391" s="45">
        <f>IF($AD391="","",IF(ROUND($AO391+$AP391+$AQ391-$AD391,2)=0,"OK","FAIL - out by "&amp;TEXT($AO391+$AP391+$AQ391-$AD391,"$0.00")))</f>
      </c>
    </row>
    <row r="392" spans="1:58" ht="18.75" customHeight="1" x14ac:dyDescent="0.25">
      <c r="A392" s="46" t="inlineStr">
        <is>
          <t xml:space="preserve">CANON-202511-002703</t>
        </is>
      </c>
      <c r="B392" s="46" t="inlineStr">
        <is>
          <t xml:space="preserve">Cassius Vandermeer</t>
        </is>
      </c>
      <c r="C392" s="47">
        <v>45979</v>
      </c>
      <c r="D392" s="48" t="inlineStr">
        <is>
          <t xml:space="preserve">Bound - within authority</t>
        </is>
      </c>
      <c r="E392" s="48" t="inlineStr">
        <is>
          <t xml:space="preserve">New business</t>
        </is>
      </c>
      <c r="F392" s="46" t="inlineStr">
        <is>
          <t xml:space="preserve">B1234EXOTIC26</t>
        </is>
      </c>
      <c r="G392" s="33">
        <f>IF($A392="","",IF($C392="","",YEAR($C392)))</f>
      </c>
      <c r="H392" s="49">
        <v>1959</v>
      </c>
      <c r="I392" s="46" t="inlineStr">
        <is>
          <t xml:space="preserve">Mercedes-Benz</t>
        </is>
      </c>
      <c r="J392" s="46" t="inlineStr">
        <is>
          <t xml:space="preserve">280SL Pagoda</t>
        </is>
      </c>
      <c r="K392" s="46" t="inlineStr">
        <is>
          <t xml:space="preserve">80U0BLB5L7N01E9Z3</t>
        </is>
      </c>
      <c r="L392" s="48" t="inlineStr">
        <is>
          <t xml:space="preserve">07 - Post-War Classic (1946-1972)</t>
        </is>
      </c>
      <c r="M392" s="50">
        <v>515000</v>
      </c>
      <c r="N392" s="48" t="inlineStr">
        <is>
          <t xml:space="preserve">Personal</t>
        </is>
      </c>
      <c r="O392" s="46" t="inlineStr">
        <is>
          <t xml:space="preserve">Personal - regular use</t>
        </is>
      </c>
      <c r="P392" s="46" t="inlineStr">
        <is>
          <t xml:space="preserve">2,500 - 5,000</t>
        </is>
      </c>
      <c r="Q392" s="46" t="inlineStr">
        <is>
          <t xml:space="preserve">Wyoming</t>
        </is>
      </c>
      <c r="R392" s="46" t="inlineStr">
        <is>
          <t xml:space="preserve">82001</t>
        </is>
      </c>
      <c r="S392" s="48" t="inlineStr">
        <is>
          <t xml:space="preserve">Severe convective - hail alley (high)</t>
        </is>
      </c>
      <c r="T392" s="36">
        <f>IF($A392="","",IF($S392="","",IFERROR(INDEX('[1]natural catastrophe'!$D$6:$D$17,MATCH($S392,'[1]natural catastrophe'!$B$6:$B$17,0)),"?")))</f>
      </c>
      <c r="U392" s="46" t="inlineStr">
        <is>
          <t xml:space="preserve">$5,000</t>
        </is>
      </c>
      <c r="V392" s="48" t="inlineStr">
        <is>
          <t xml:space="preserve">Agreed Value</t>
        </is>
      </c>
      <c r="W392" s="46" t="inlineStr">
        <is>
          <t xml:space="preserve">$1,000</t>
        </is>
      </c>
      <c r="X392" s="48" t="inlineStr">
        <is>
          <t xml:space="preserve">$1,000,000 CSL</t>
        </is>
      </c>
      <c r="Y392" s="46"/>
      <c r="Z392" s="46"/>
      <c r="AA392" s="48" t="inlineStr">
        <is>
          <t xml:space="preserve">Surplus Lines</t>
        </is>
      </c>
      <c r="AB392" s="50">
        <v>4110.44</v>
      </c>
      <c r="AC392" s="51">
        <v>0</v>
      </c>
      <c r="AD392" s="38">
        <f>IF(ISNUMBER($AB392),$AB392*(1+N($AC392)),"")</f>
      </c>
      <c r="AE392" s="50">
        <v>350</v>
      </c>
      <c r="AF392" s="50">
        <v>0</v>
      </c>
      <c r="AG392" s="51"/>
      <c r="AH392" s="39">
        <f>IF(ISNUMBER($AD392),($AD392+$AE392+$AF392)*$AG392,"")</f>
      </c>
      <c r="AI392" s="50"/>
      <c r="AJ392" s="38">
        <f>IF(ISNUMBER($AD392),SUM($AD392:$AH392),"")</f>
      </c>
      <c r="AK392" s="40">
        <f>IF(AND(ISNUMBER($AB392),ISNUMBER($AD392)),IF($AB392&gt;0,$AD392/$AB392,""),"")</f>
      </c>
      <c r="AL392" s="48" t="inlineStr">
        <is>
          <t xml:space="preserve">At technical</t>
        </is>
      </c>
      <c r="AM392" s="41">
        <f>IF(ISNUMBER($AD392),Header!$I$3,"")</f>
      </c>
      <c r="AN392" s="39">
        <f>IF(ISNUMBER($AD392),$AO392+$AP392,"")</f>
      </c>
      <c r="AO392" s="39">
        <f>IF(ISNUMBER($AD392),ROUND($AD392*Header!$K$3,2),"")</f>
      </c>
      <c r="AP392" s="39">
        <f>IF(ISNUMBER($AD392),ROUND($AD392*Header!$M$3,2),"")</f>
      </c>
      <c r="AQ392" s="38">
        <f>IF(ISNUMBER($AD392),ROUND($AD392,2)-$AO392-$AP392,"")</f>
      </c>
      <c r="AR392" s="39">
        <f>IF(ISNUMBER($AD392),IF(Header!$D$34="","?",$AD392*Header!$D$34),"")</f>
      </c>
      <c r="AS392" s="39">
        <f>IF(ISNUMBER($AB392),IF(Header!$D$34="","?",$AB392*Header!$D$34),"")</f>
      </c>
      <c r="AT392" s="42">
        <f>IF(AND(ISNUMBER($AB392),$M392&gt;0),$AB392/$M392*100,"")</f>
      </c>
      <c r="AU392" s="42">
        <f>IF(AND(ISNUMBER($AD392),$M392&gt;0),$AD392/$M392*100,"")</f>
      </c>
      <c r="AV392" s="40">
        <f>IF(AND(ISNUMBER($AB392),ISNUMBER($AD392),ABS($AB392)&gt;0),$AD392/$AB392,"")</f>
      </c>
      <c r="AW392" s="39">
        <f>IF(ISNUMBER($AD392),MAX(0,(1-0.55-Header!$O$3)*Header!$Q$3*$AQ392),"")</f>
      </c>
      <c r="AX392" s="43">
        <f>IF($A392="","",IF(TRIM(IF($A392="","Missing certificate ref. ","") &amp; IF($C392="","Missing effective date. ","") &amp; IF($D392="","Missing binding status. ","") &amp; IF($E392="","Missing movement type. ","") &amp; IF($I392="","Missing make. ","") &amp; IF($L392="","Missing vehicle class. ","") &amp; IF($M392="","Missing agreed value. ","") &amp; IF($N392="","Missing policy type. ","") &amp; IF($Q392="","Missing garaging state. ","") &amp; IF($R392="","Missing garaging ZIP. ","") &amp; IF($S392="","Missing cat zone. ","") &amp; IF($V392="","Missing valuation basis. ","") &amp; IF($W392="","Missing PD deductible. ","") &amp; IF($X392="","Missing liability limit. ","") &amp; IF($AB392="","Missing technical premium. ","") &amp; IF($AF392="","Missing surplus lines tax %. ",""))="","PASS","FAIL: "&amp;TRIM(IF($A392="","Missing certificate ref. ","") &amp; IF($C392="","Missing effective date. ","") &amp; IF($D392="","Missing binding status. ","") &amp; IF($E392="","Missing movement type. ","") &amp; IF($I392="","Missing make. ","") &amp; IF($L392="","Missing vehicle class. ","") &amp; IF($M392="","Missing agreed value. ","") &amp; IF($N392="","Missing policy type. ","") &amp; IF($Q392="","Missing garaging state. ","") &amp; IF($R392="","Missing garaging ZIP. ","") &amp; IF($S392="","Missing cat zone. ","") &amp; IF($V392="","Missing valuation basis. ","") &amp; IF($W392="","Missing PD deductible. ","") &amp; IF($X392="","Missing liability limit. ","") &amp; IF($AB392="","Missing technical premium. ","") &amp; IF($AF392="","Missing surplus lines tax %. ",""))))</f>
      </c>
      <c r="AY392" s="44">
        <f>IF($M392="","",IF(ISNUMBER($M392),IF($M392&gt;=Header!$C$18,"YES — refer","No"),""))</f>
      </c>
      <c r="AZ392" s="44">
        <f>IF($AD392="","",IF(ISNUMBER($AD392),IF($AD392&lt;Header!$C$20,"BELOW MIN PREMIUM","OK"),""))</f>
      </c>
      <c r="BA392" s="48" t="inlineStr">
        <is>
          <t xml:space="preserve">Yes</t>
        </is>
      </c>
      <c r="BB392" s="48" t="inlineStr">
        <is>
          <t xml:space="preserve">Yes</t>
        </is>
      </c>
      <c r="BC392" s="46" t="inlineStr">
        <is>
          <t xml:space="preserve">Synthetic demo data</t>
        </is>
      </c>
      <c r="BE392" s="45">
        <f>IF(OR($A392="",$L392="",$H392=""),"",IF(AND(LEFT($L392,2)="06",$H392&gt;1945),"FAIL - pre-war class, year "&amp;$H392,IF(AND(LEFT($L392,2)="07",OR($H392&lt;1946,$H392&gt;1972)),"FAIL - 1946-72 class, year "&amp;$H392,IF(AND(LEFT($L392,2)="08",OR($H392&lt;1973,$H392&gt;1999)),"FAIL - 1973-99 class, year "&amp;$H392,IF(AND(LEFT($L392,2)="09",OR($H392&lt;2000,$H392&gt;2010)),"FAIL - 2000-10 class, year "&amp;$H392,"OK")))))</f>
      </c>
      <c r="BF392" s="45">
        <f>IF($AD392="","",IF(ROUND($AO392+$AP392+$AQ392-$AD392,2)=0,"OK","FAIL - out by "&amp;TEXT($AO392+$AP392+$AQ392-$AD392,"$0.00")))</f>
      </c>
    </row>
    <row r="393" spans="1:58" ht="18.75" customHeight="1" x14ac:dyDescent="0.25">
      <c r="A393" s="30" t="inlineStr">
        <is>
          <t xml:space="preserve">CANON-202511-002704</t>
        </is>
      </c>
      <c r="B393" s="30" t="inlineStr">
        <is>
          <t xml:space="preserve">Ottilie Ashcombe</t>
        </is>
      </c>
      <c r="C393" s="31">
        <v>45969</v>
      </c>
      <c r="D393" s="32" t="inlineStr">
        <is>
          <t xml:space="preserve">Bound - within authority</t>
        </is>
      </c>
      <c r="E393" s="32" t="inlineStr">
        <is>
          <t xml:space="preserve">New business</t>
        </is>
      </c>
      <c r="F393" s="30" t="inlineStr">
        <is>
          <t xml:space="preserve">B1234EXOTIC26</t>
        </is>
      </c>
      <c r="G393" s="33">
        <f>IF($A393="","",IF($C393="","",YEAR($C393)))</f>
      </c>
      <c r="H393" s="34">
        <v>1964</v>
      </c>
      <c r="I393" s="30" t="inlineStr">
        <is>
          <t xml:space="preserve">Lamborghini</t>
        </is>
      </c>
      <c r="J393" s="30" t="inlineStr">
        <is>
          <t xml:space="preserve">Huracan EVO</t>
        </is>
      </c>
      <c r="K393" s="30" t="inlineStr">
        <is>
          <t xml:space="preserve">MBHTWM81MAP0UPGXZ</t>
        </is>
      </c>
      <c r="L393" s="32" t="inlineStr">
        <is>
          <t xml:space="preserve">03 - Supercar</t>
        </is>
      </c>
      <c r="M393" s="35">
        <v>1525000</v>
      </c>
      <c r="N393" s="32" t="inlineStr">
        <is>
          <t xml:space="preserve">Personal</t>
        </is>
      </c>
      <c r="O393" s="30" t="inlineStr">
        <is>
          <t xml:space="preserve">Personal - regular use</t>
        </is>
      </c>
      <c r="P393" s="30" t="inlineStr">
        <is>
          <t xml:space="preserve">1,000 - 2,500</t>
        </is>
      </c>
      <c r="Q393" s="30" t="inlineStr">
        <is>
          <t xml:space="preserve">Colorado</t>
        </is>
      </c>
      <c r="R393" s="30" t="inlineStr">
        <is>
          <t xml:space="preserve">80202</t>
        </is>
      </c>
      <c r="S393" s="32" t="inlineStr">
        <is>
          <t xml:space="preserve">Severe convective - hail alley (high)</t>
        </is>
      </c>
      <c r="T393" s="36">
        <f>IF($A393="","",IF($S393="","",IFERROR(INDEX('[1]natural catastrophe'!$D$6:$D$17,MATCH($S393,'[1]natural catastrophe'!$B$6:$B$17,0)),"?")))</f>
      </c>
      <c r="U393" s="30" t="inlineStr">
        <is>
          <t xml:space="preserve">$5,000</t>
        </is>
      </c>
      <c r="V393" s="32" t="inlineStr">
        <is>
          <t xml:space="preserve">Agreed Value</t>
        </is>
      </c>
      <c r="W393" s="30" t="inlineStr">
        <is>
          <t xml:space="preserve">$1,000</t>
        </is>
      </c>
      <c r="X393" s="32" t="inlineStr">
        <is>
          <t xml:space="preserve">$1,000,000 CSL</t>
        </is>
      </c>
      <c r="Y393" s="30"/>
      <c r="Z393" s="30"/>
      <c r="AA393" s="32" t="inlineStr">
        <is>
          <t xml:space="preserve">Surplus Lines</t>
        </is>
      </c>
      <c r="AB393" s="35">
        <v>23279.9</v>
      </c>
      <c r="AC393" s="37">
        <v>0</v>
      </c>
      <c r="AD393" s="38">
        <f>IF(ISNUMBER($AB393),$AB393*(1+N($AC393)),"")</f>
      </c>
      <c r="AE393" s="35">
        <v>350</v>
      </c>
      <c r="AF393" s="35">
        <v>250</v>
      </c>
      <c r="AG393" s="37"/>
      <c r="AH393" s="39">
        <f>IF(ISNUMBER($AD393),($AD393+$AE393+$AF393)*$AG393,"")</f>
      </c>
      <c r="AI393" s="35"/>
      <c r="AJ393" s="38">
        <f>IF(ISNUMBER($AD393),SUM($AD393:$AH393),"")</f>
      </c>
      <c r="AK393" s="40">
        <f>IF(AND(ISNUMBER($AB393),ISNUMBER($AD393)),IF($AB393&gt;0,$AD393/$AB393,""),"")</f>
      </c>
      <c r="AL393" s="32" t="inlineStr">
        <is>
          <t xml:space="preserve">At technical</t>
        </is>
      </c>
      <c r="AM393" s="41">
        <f>IF(ISNUMBER($AD393),Header!$I$3,"")</f>
      </c>
      <c r="AN393" s="39">
        <f>IF(ISNUMBER($AD393),$AO393+$AP393,"")</f>
      </c>
      <c r="AO393" s="39">
        <f>IF(ISNUMBER($AD393),ROUND($AD393*Header!$K$3,2),"")</f>
      </c>
      <c r="AP393" s="39">
        <f>IF(ISNUMBER($AD393),ROUND($AD393*Header!$M$3,2),"")</f>
      </c>
      <c r="AQ393" s="38">
        <f>IF(ISNUMBER($AD393),ROUND($AD393,2)-$AO393-$AP393,"")</f>
      </c>
      <c r="AR393" s="39">
        <f>IF(ISNUMBER($AD393),IF(Header!$D$34="","?",$AD393*Header!$D$34),"")</f>
      </c>
      <c r="AS393" s="39">
        <f>IF(ISNUMBER($AB393),IF(Header!$D$34="","?",$AB393*Header!$D$34),"")</f>
      </c>
      <c r="AT393" s="42">
        <f>IF(AND(ISNUMBER($AB393),$M393&gt;0),$AB393/$M393*100,"")</f>
      </c>
      <c r="AU393" s="42">
        <f>IF(AND(ISNUMBER($AD393),$M393&gt;0),$AD393/$M393*100,"")</f>
      </c>
      <c r="AV393" s="40">
        <f>IF(AND(ISNUMBER($AB393),ISNUMBER($AD393),ABS($AB393)&gt;0),$AD393/$AB393,"")</f>
      </c>
      <c r="AW393" s="39">
        <f>IF(ISNUMBER($AD393),MAX(0,(1-0.55-Header!$O$3)*Header!$Q$3*$AQ393),"")</f>
      </c>
      <c r="AX393" s="43">
        <f>IF($A393="","",IF(TRIM(IF($A393="","Missing certificate ref. ","") &amp; IF($C393="","Missing effective date. ","") &amp; IF($D393="","Missing binding status. ","") &amp; IF($E393="","Missing movement type. ","") &amp; IF($I393="","Missing make. ","") &amp; IF($L393="","Missing vehicle class. ","") &amp; IF($M393="","Missing agreed value. ","") &amp; IF($N393="","Missing policy type. ","") &amp; IF($Q393="","Missing garaging state. ","") &amp; IF($R393="","Missing garaging ZIP. ","") &amp; IF($S393="","Missing cat zone. ","") &amp; IF($V393="","Missing valuation basis. ","") &amp; IF($W393="","Missing PD deductible. ","") &amp; IF($X393="","Missing liability limit. ","") &amp; IF($AB393="","Missing technical premium. ","") &amp; IF($AF393="","Missing surplus lines tax %. ",""))="","PASS","FAIL: "&amp;TRIM(IF($A393="","Missing certificate ref. ","") &amp; IF($C393="","Missing effective date. ","") &amp; IF($D393="","Missing binding status. ","") &amp; IF($E393="","Missing movement type. ","") &amp; IF($I393="","Missing make. ","") &amp; IF($L393="","Missing vehicle class. ","") &amp; IF($M393="","Missing agreed value. ","") &amp; IF($N393="","Missing policy type. ","") &amp; IF($Q393="","Missing garaging state. ","") &amp; IF($R393="","Missing garaging ZIP. ","") &amp; IF($S393="","Missing cat zone. ","") &amp; IF($V393="","Missing valuation basis. ","") &amp; IF($W393="","Missing PD deductible. ","") &amp; IF($X393="","Missing liability limit. ","") &amp; IF($AB393="","Missing technical premium. ","") &amp; IF($AF393="","Missing surplus lines tax %. ",""))))</f>
      </c>
      <c r="AY393" s="44">
        <f>IF($M393="","",IF(ISNUMBER($M393),IF($M393&gt;=Header!$C$18,"YES — refer","No"),""))</f>
      </c>
      <c r="AZ393" s="44">
        <f>IF($AD393="","",IF(ISNUMBER($AD393),IF($AD393&lt;Header!$C$20,"BELOW MIN PREMIUM","OK"),""))</f>
      </c>
      <c r="BA393" s="32" t="inlineStr">
        <is>
          <t xml:space="preserve">Yes</t>
        </is>
      </c>
      <c r="BB393" s="32" t="inlineStr">
        <is>
          <t xml:space="preserve">Yes</t>
        </is>
      </c>
      <c r="BC393" s="30" t="inlineStr">
        <is>
          <t xml:space="preserve">Synthetic demo data</t>
        </is>
      </c>
      <c r="BE393" s="45">
        <f>IF(OR($A393="",$L393="",$H393=""),"",IF(AND(LEFT($L393,2)="06",$H393&gt;1945),"FAIL - pre-war class, year "&amp;$H393,IF(AND(LEFT($L393,2)="07",OR($H393&lt;1946,$H393&gt;1972)),"FAIL - 1946-72 class, year "&amp;$H393,IF(AND(LEFT($L393,2)="08",OR($H393&lt;1973,$H393&gt;1999)),"FAIL - 1973-99 class, year "&amp;$H393,IF(AND(LEFT($L393,2)="09",OR($H393&lt;2000,$H393&gt;2010)),"FAIL - 2000-10 class, year "&amp;$H393,"OK")))))</f>
      </c>
      <c r="BF393" s="45">
        <f>IF($AD393="","",IF(ROUND($AO393+$AP393+$AQ393-$AD393,2)=0,"OK","FAIL - out by "&amp;TEXT($AO393+$AP393+$AQ393-$AD393,"$0.00")))</f>
      </c>
    </row>
    <row r="394" spans="1:58" ht="18.75" customHeight="1" x14ac:dyDescent="0.25">
      <c r="A394" s="46" t="inlineStr">
        <is>
          <t xml:space="preserve">CANON-202511-002705</t>
        </is>
      </c>
      <c r="B394" s="46" t="inlineStr">
        <is>
          <t xml:space="preserve">Priya Castellanos</t>
        </is>
      </c>
      <c r="C394" s="47">
        <v>45991</v>
      </c>
      <c r="D394" s="48" t="inlineStr">
        <is>
          <t xml:space="preserve">Bound - within authority</t>
        </is>
      </c>
      <c r="E394" s="48" t="inlineStr">
        <is>
          <t xml:space="preserve">New business</t>
        </is>
      </c>
      <c r="F394" s="46" t="inlineStr">
        <is>
          <t xml:space="preserve">B1234EXOTIC26</t>
        </is>
      </c>
      <c r="G394" s="33">
        <f>IF($A394="","",IF($C394="","",YEAR($C394)))</f>
      </c>
      <c r="H394" s="49">
        <v>2019</v>
      </c>
      <c r="I394" s="46" t="inlineStr">
        <is>
          <t xml:space="preserve">Porsche</t>
        </is>
      </c>
      <c r="J394" s="46" t="inlineStr">
        <is>
          <t xml:space="preserve">911 Turbo S</t>
        </is>
      </c>
      <c r="K394" s="46" t="inlineStr">
        <is>
          <t xml:space="preserve">XS0L1ZP4XGZDRBHM2</t>
        </is>
      </c>
      <c r="L394" s="48" t="inlineStr">
        <is>
          <t xml:space="preserve">02 - Sports / GT</t>
        </is>
      </c>
      <c r="M394" s="50">
        <v>375000</v>
      </c>
      <c r="N394" s="48" t="inlineStr">
        <is>
          <t xml:space="preserve">Personal</t>
        </is>
      </c>
      <c r="O394" s="46" t="inlineStr">
        <is>
          <t xml:space="preserve">Personal - regular use</t>
        </is>
      </c>
      <c r="P394" s="46" t="inlineStr">
        <is>
          <t xml:space="preserve">1,000 - 2,500</t>
        </is>
      </c>
      <c r="Q394" s="46" t="inlineStr">
        <is>
          <t xml:space="preserve">Hawaii</t>
        </is>
      </c>
      <c r="R394" s="46" t="inlineStr">
        <is>
          <t xml:space="preserve">96813</t>
        </is>
      </c>
      <c r="S394" s="48" t="inlineStr">
        <is>
          <t xml:space="preserve">Earthquake - high (CA, Cascadia, New Madrid)</t>
        </is>
      </c>
      <c r="T394" s="36">
        <f>IF($A394="","",IF($S394="","",IFERROR(INDEX('[1]natural catastrophe'!$D$6:$D$17,MATCH($S394,'[1]natural catastrophe'!$B$6:$B$17,0)),"?")))</f>
      </c>
      <c r="U394" s="46" t="inlineStr">
        <is>
          <t xml:space="preserve">$5,000</t>
        </is>
      </c>
      <c r="V394" s="48" t="inlineStr">
        <is>
          <t xml:space="preserve">Agreed Value</t>
        </is>
      </c>
      <c r="W394" s="46" t="inlineStr">
        <is>
          <t xml:space="preserve">$1,000</t>
        </is>
      </c>
      <c r="X394" s="48" t="inlineStr">
        <is>
          <t xml:space="preserve">$1,000,000 CSL</t>
        </is>
      </c>
      <c r="Y394" s="46"/>
      <c r="Z394" s="46"/>
      <c r="AA394" s="48" t="inlineStr">
        <is>
          <t xml:space="preserve">Surplus Lines</t>
        </is>
      </c>
      <c r="AB394" s="50">
        <v>6342.55</v>
      </c>
      <c r="AC394" s="51">
        <v>0</v>
      </c>
      <c r="AD394" s="38">
        <f>IF(ISNUMBER($AB394),$AB394*(1+N($AC394)),"")</f>
      </c>
      <c r="AE394" s="50">
        <v>350</v>
      </c>
      <c r="AF394" s="50">
        <v>0</v>
      </c>
      <c r="AG394" s="51"/>
      <c r="AH394" s="39">
        <f>IF(ISNUMBER($AD394),($AD394+$AE394+$AF394)*$AG394,"")</f>
      </c>
      <c r="AI394" s="50"/>
      <c r="AJ394" s="38">
        <f>IF(ISNUMBER($AD394),SUM($AD394:$AH394),"")</f>
      </c>
      <c r="AK394" s="40">
        <f>IF(AND(ISNUMBER($AB394),ISNUMBER($AD394)),IF($AB394&gt;0,$AD394/$AB394,""),"")</f>
      </c>
      <c r="AL394" s="48" t="inlineStr">
        <is>
          <t xml:space="preserve">At technical</t>
        </is>
      </c>
      <c r="AM394" s="41">
        <f>IF(ISNUMBER($AD394),Header!$I$3,"")</f>
      </c>
      <c r="AN394" s="39">
        <f>IF(ISNUMBER($AD394),$AO394+$AP394,"")</f>
      </c>
      <c r="AO394" s="39">
        <f>IF(ISNUMBER($AD394),ROUND($AD394*Header!$K$3,2),"")</f>
      </c>
      <c r="AP394" s="39">
        <f>IF(ISNUMBER($AD394),ROUND($AD394*Header!$M$3,2),"")</f>
      </c>
      <c r="AQ394" s="38">
        <f>IF(ISNUMBER($AD394),ROUND($AD394,2)-$AO394-$AP394,"")</f>
      </c>
      <c r="AR394" s="39">
        <f>IF(ISNUMBER($AD394),IF(Header!$D$34="","?",$AD394*Header!$D$34),"")</f>
      </c>
      <c r="AS394" s="39">
        <f>IF(ISNUMBER($AB394),IF(Header!$D$34="","?",$AB394*Header!$D$34),"")</f>
      </c>
      <c r="AT394" s="42">
        <f>IF(AND(ISNUMBER($AB394),$M394&gt;0),$AB394/$M394*100,"")</f>
      </c>
      <c r="AU394" s="42">
        <f>IF(AND(ISNUMBER($AD394),$M394&gt;0),$AD394/$M394*100,"")</f>
      </c>
      <c r="AV394" s="40">
        <f>IF(AND(ISNUMBER($AB394),ISNUMBER($AD394),ABS($AB394)&gt;0),$AD394/$AB394,"")</f>
      </c>
      <c r="AW394" s="39">
        <f>IF(ISNUMBER($AD394),MAX(0,(1-0.55-Header!$O$3)*Header!$Q$3*$AQ394),"")</f>
      </c>
      <c r="AX394" s="43">
        <f>IF($A394="","",IF(TRIM(IF($A394="","Missing certificate ref. ","") &amp; IF($C394="","Missing effective date. ","") &amp; IF($D394="","Missing binding status. ","") &amp; IF($E394="","Missing movement type. ","") &amp; IF($I394="","Missing make. ","") &amp; IF($L394="","Missing vehicle class. ","") &amp; IF($M394="","Missing agreed value. ","") &amp; IF($N394="","Missing policy type. ","") &amp; IF($Q394="","Missing garaging state. ","") &amp; IF($R394="","Missing garaging ZIP. ","") &amp; IF($S394="","Missing cat zone. ","") &amp; IF($V394="","Missing valuation basis. ","") &amp; IF($W394="","Missing PD deductible. ","") &amp; IF($X394="","Missing liability limit. ","") &amp; IF($AB394="","Missing technical premium. ","") &amp; IF($AF394="","Missing surplus lines tax %. ",""))="","PASS","FAIL: "&amp;TRIM(IF($A394="","Missing certificate ref. ","") &amp; IF($C394="","Missing effective date. ","") &amp; IF($D394="","Missing binding status. ","") &amp; IF($E394="","Missing movement type. ","") &amp; IF($I394="","Missing make. ","") &amp; IF($L394="","Missing vehicle class. ","") &amp; IF($M394="","Missing agreed value. ","") &amp; IF($N394="","Missing policy type. ","") &amp; IF($Q394="","Missing garaging state. ","") &amp; IF($R394="","Missing garaging ZIP. ","") &amp; IF($S394="","Missing cat zone. ","") &amp; IF($V394="","Missing valuation basis. ","") &amp; IF($W394="","Missing PD deductible. ","") &amp; IF($X394="","Missing liability limit. ","") &amp; IF($AB394="","Missing technical premium. ","") &amp; IF($AF394="","Missing surplus lines tax %. ",""))))</f>
      </c>
      <c r="AY394" s="44">
        <f>IF($M394="","",IF(ISNUMBER($M394),IF($M394&gt;=Header!$C$18,"YES — refer","No"),""))</f>
      </c>
      <c r="AZ394" s="44">
        <f>IF($AD394="","",IF(ISNUMBER($AD394),IF($AD394&lt;Header!$C$20,"BELOW MIN PREMIUM","OK"),""))</f>
      </c>
      <c r="BA394" s="48" t="inlineStr">
        <is>
          <t xml:space="preserve">Yes</t>
        </is>
      </c>
      <c r="BB394" s="48" t="inlineStr">
        <is>
          <t xml:space="preserve">Yes</t>
        </is>
      </c>
      <c r="BC394" s="46" t="inlineStr">
        <is>
          <t xml:space="preserve">Synthetic demo data</t>
        </is>
      </c>
      <c r="BE394" s="45">
        <f>IF(OR($A394="",$L394="",$H394=""),"",IF(AND(LEFT($L394,2)="06",$H394&gt;1945),"FAIL - pre-war class, year "&amp;$H394,IF(AND(LEFT($L394,2)="07",OR($H394&lt;1946,$H394&gt;1972)),"FAIL - 1946-72 class, year "&amp;$H394,IF(AND(LEFT($L394,2)="08",OR($H394&lt;1973,$H394&gt;1999)),"FAIL - 1973-99 class, year "&amp;$H394,IF(AND(LEFT($L394,2)="09",OR($H394&lt;2000,$H394&gt;2010)),"FAIL - 2000-10 class, year "&amp;$H394,"OK")))))</f>
      </c>
      <c r="BF394" s="45">
        <f>IF($AD394="","",IF(ROUND($AO394+$AP394+$AQ394-$AD394,2)=0,"OK","FAIL - out by "&amp;TEXT($AO394+$AP394+$AQ394-$AD394,"$0.00")))</f>
      </c>
    </row>
    <row r="395" spans="1:58" ht="18.75" customHeight="1" x14ac:dyDescent="0.25">
      <c r="A395" s="30" t="inlineStr">
        <is>
          <t xml:space="preserve">CANON-202511-002706</t>
        </is>
      </c>
      <c r="B395" s="30" t="inlineStr">
        <is>
          <t xml:space="preserve">Aurelio Okonkwo</t>
        </is>
      </c>
      <c r="C395" s="31">
        <v>45982</v>
      </c>
      <c r="D395" s="32" t="inlineStr">
        <is>
          <t xml:space="preserve">Bound - within authority</t>
        </is>
      </c>
      <c r="E395" s="32" t="inlineStr">
        <is>
          <t xml:space="preserve">New business</t>
        </is>
      </c>
      <c r="F395" s="30" t="inlineStr">
        <is>
          <t xml:space="preserve">B1234EXOTIC26</t>
        </is>
      </c>
      <c r="G395" s="33">
        <f>IF($A395="","",IF($C395="","",YEAR($C395)))</f>
      </c>
      <c r="H395" s="34">
        <v>1970</v>
      </c>
      <c r="I395" s="30" t="inlineStr">
        <is>
          <t xml:space="preserve">Mercedes-Benz</t>
        </is>
      </c>
      <c r="J395" s="30" t="inlineStr">
        <is>
          <t xml:space="preserve">AMG GT</t>
        </is>
      </c>
      <c r="K395" s="30" t="inlineStr">
        <is>
          <t xml:space="preserve">ZUGVG9USALUBDWVJ9</t>
        </is>
      </c>
      <c r="L395" s="32" t="inlineStr">
        <is>
          <t xml:space="preserve">02 - Sports / GT</t>
        </is>
      </c>
      <c r="M395" s="35">
        <v>1285000</v>
      </c>
      <c r="N395" s="32" t="inlineStr">
        <is>
          <t xml:space="preserve">Personal</t>
        </is>
      </c>
      <c r="O395" s="30" t="inlineStr">
        <is>
          <t xml:space="preserve">Personal - regular use</t>
        </is>
      </c>
      <c r="P395" s="30" t="inlineStr">
        <is>
          <t xml:space="preserve">2,500 - 5,000</t>
        </is>
      </c>
      <c r="Q395" s="30" t="inlineStr">
        <is>
          <t xml:space="preserve">South Carolina</t>
        </is>
      </c>
      <c r="R395" s="30" t="inlineStr">
        <is>
          <t xml:space="preserve">29401</t>
        </is>
      </c>
      <c r="S395" s="32" t="inlineStr">
        <is>
          <t xml:space="preserve">Tier 2 - Coastal wind (1-25 miles)</t>
        </is>
      </c>
      <c r="T395" s="36">
        <f>IF($A395="","",IF($S395="","",IFERROR(INDEX('[1]natural catastrophe'!$D$6:$D$17,MATCH($S395,'[1]natural catastrophe'!$B$6:$B$17,0)),"?")))</f>
      </c>
      <c r="U395" s="30" t="inlineStr">
        <is>
          <t xml:space="preserve">2% of agreed value, minimum $10,000</t>
        </is>
      </c>
      <c r="V395" s="32" t="inlineStr">
        <is>
          <t xml:space="preserve">Agreed Value</t>
        </is>
      </c>
      <c r="W395" s="30" t="inlineStr">
        <is>
          <t xml:space="preserve">$1,000</t>
        </is>
      </c>
      <c r="X395" s="32" t="inlineStr">
        <is>
          <t xml:space="preserve">$1,000,000 CSL</t>
        </is>
      </c>
      <c r="Y395" s="30"/>
      <c r="Z395" s="30"/>
      <c r="AA395" s="32" t="inlineStr">
        <is>
          <t xml:space="preserve">Surplus Lines</t>
        </is>
      </c>
      <c r="AB395" s="35">
        <v>15202.54</v>
      </c>
      <c r="AC395" s="37">
        <v>0</v>
      </c>
      <c r="AD395" s="38">
        <f>IF(ISNUMBER($AB395),$AB395*(1+N($AC395)),"")</f>
      </c>
      <c r="AE395" s="35">
        <v>350</v>
      </c>
      <c r="AF395" s="35">
        <v>250</v>
      </c>
      <c r="AG395" s="37"/>
      <c r="AH395" s="39">
        <f>IF(ISNUMBER($AD395),($AD395+$AE395+$AF395)*$AG395,"")</f>
      </c>
      <c r="AI395" s="35"/>
      <c r="AJ395" s="38">
        <f>IF(ISNUMBER($AD395),SUM($AD395:$AH395),"")</f>
      </c>
      <c r="AK395" s="40">
        <f>IF(AND(ISNUMBER($AB395),ISNUMBER($AD395)),IF($AB395&gt;0,$AD395/$AB395,""),"")</f>
      </c>
      <c r="AL395" s="32" t="inlineStr">
        <is>
          <t xml:space="preserve">At technical</t>
        </is>
      </c>
      <c r="AM395" s="41">
        <f>IF(ISNUMBER($AD395),Header!$I$3,"")</f>
      </c>
      <c r="AN395" s="39">
        <f>IF(ISNUMBER($AD395),$AO395+$AP395,"")</f>
      </c>
      <c r="AO395" s="39">
        <f>IF(ISNUMBER($AD395),ROUND($AD395*Header!$K$3,2),"")</f>
      </c>
      <c r="AP395" s="39">
        <f>IF(ISNUMBER($AD395),ROUND($AD395*Header!$M$3,2),"")</f>
      </c>
      <c r="AQ395" s="38">
        <f>IF(ISNUMBER($AD395),ROUND($AD395,2)-$AO395-$AP395,"")</f>
      </c>
      <c r="AR395" s="39">
        <f>IF(ISNUMBER($AD395),IF(Header!$D$34="","?",$AD395*Header!$D$34),"")</f>
      </c>
      <c r="AS395" s="39">
        <f>IF(ISNUMBER($AB395),IF(Header!$D$34="","?",$AB395*Header!$D$34),"")</f>
      </c>
      <c r="AT395" s="42">
        <f>IF(AND(ISNUMBER($AB395),$M395&gt;0),$AB395/$M395*100,"")</f>
      </c>
      <c r="AU395" s="42">
        <f>IF(AND(ISNUMBER($AD395),$M395&gt;0),$AD395/$M395*100,"")</f>
      </c>
      <c r="AV395" s="40">
        <f>IF(AND(ISNUMBER($AB395),ISNUMBER($AD395),ABS($AB395)&gt;0),$AD395/$AB395,"")</f>
      </c>
      <c r="AW395" s="39">
        <f>IF(ISNUMBER($AD395),MAX(0,(1-0.55-Header!$O$3)*Header!$Q$3*$AQ395),"")</f>
      </c>
      <c r="AX395" s="43">
        <f>IF($A395="","",IF(TRIM(IF($A395="","Missing certificate ref. ","") &amp; IF($C395="","Missing effective date. ","") &amp; IF($D395="","Missing binding status. ","") &amp; IF($E395="","Missing movement type. ","") &amp; IF($I395="","Missing make. ","") &amp; IF($L395="","Missing vehicle class. ","") &amp; IF($M395="","Missing agreed value. ","") &amp; IF($N395="","Missing policy type. ","") &amp; IF($Q395="","Missing garaging state. ","") &amp; IF($R395="","Missing garaging ZIP. ","") &amp; IF($S395="","Missing cat zone. ","") &amp; IF($V395="","Missing valuation basis. ","") &amp; IF($W395="","Missing PD deductible. ","") &amp; IF($X395="","Missing liability limit. ","") &amp; IF($AB395="","Missing technical premium. ","") &amp; IF($AF395="","Missing surplus lines tax %. ",""))="","PASS","FAIL: "&amp;TRIM(IF($A395="","Missing certificate ref. ","") &amp; IF($C395="","Missing effective date. ","") &amp; IF($D395="","Missing binding status. ","") &amp; IF($E395="","Missing movement type. ","") &amp; IF($I395="","Missing make. ","") &amp; IF($L395="","Missing vehicle class. ","") &amp; IF($M395="","Missing agreed value. ","") &amp; IF($N395="","Missing policy type. ","") &amp; IF($Q395="","Missing garaging state. ","") &amp; IF($R395="","Missing garaging ZIP. ","") &amp; IF($S395="","Missing cat zone. ","") &amp; IF($V395="","Missing valuation basis. ","") &amp; IF($W395="","Missing PD deductible. ","") &amp; IF($X395="","Missing liability limit. ","") &amp; IF($AB395="","Missing technical premium. ","") &amp; IF($AF395="","Missing surplus lines tax %. ",""))))</f>
      </c>
      <c r="AY395" s="44">
        <f>IF($M395="","",IF(ISNUMBER($M395),IF($M395&gt;=Header!$C$18,"YES — refer","No"),""))</f>
      </c>
      <c r="AZ395" s="44">
        <f>IF($AD395="","",IF(ISNUMBER($AD395),IF($AD395&lt;Header!$C$20,"BELOW MIN PREMIUM","OK"),""))</f>
      </c>
      <c r="BA395" s="32" t="inlineStr">
        <is>
          <t xml:space="preserve">Yes</t>
        </is>
      </c>
      <c r="BB395" s="32" t="inlineStr">
        <is>
          <t xml:space="preserve">Yes</t>
        </is>
      </c>
      <c r="BC395" s="30" t="inlineStr">
        <is>
          <t xml:space="preserve">Synthetic demo data</t>
        </is>
      </c>
      <c r="BE395" s="45">
        <f>IF(OR($A395="",$L395="",$H395=""),"",IF(AND(LEFT($L395,2)="06",$H395&gt;1945),"FAIL - pre-war class, year "&amp;$H395,IF(AND(LEFT($L395,2)="07",OR($H395&lt;1946,$H395&gt;1972)),"FAIL - 1946-72 class, year "&amp;$H395,IF(AND(LEFT($L395,2)="08",OR($H395&lt;1973,$H395&gt;1999)),"FAIL - 1973-99 class, year "&amp;$H395,IF(AND(LEFT($L395,2)="09",OR($H395&lt;2000,$H395&gt;2010)),"FAIL - 2000-10 class, year "&amp;$H395,"OK")))))</f>
      </c>
      <c r="BF395" s="45">
        <f>IF($AD395="","",IF(ROUND($AO395+$AP395+$AQ395-$AD395,2)=0,"OK","FAIL - out by "&amp;TEXT($AO395+$AP395+$AQ395-$AD395,"$0.00")))</f>
      </c>
    </row>
    <row r="396" spans="1:58" ht="18.75" customHeight="1" x14ac:dyDescent="0.25">
      <c r="A396" s="46" t="inlineStr">
        <is>
          <t xml:space="preserve">CANON-202511-002708</t>
        </is>
      </c>
      <c r="B396" s="46" t="inlineStr">
        <is>
          <t xml:space="preserve">Everett Delacroix</t>
        </is>
      </c>
      <c r="C396" s="47">
        <v>45987</v>
      </c>
      <c r="D396" s="48" t="inlineStr">
        <is>
          <t xml:space="preserve">Bound - within authority</t>
        </is>
      </c>
      <c r="E396" s="48" t="inlineStr">
        <is>
          <t xml:space="preserve">New business</t>
        </is>
      </c>
      <c r="F396" s="46" t="inlineStr">
        <is>
          <t xml:space="preserve">B1234EXOTIC26</t>
        </is>
      </c>
      <c r="G396" s="33">
        <f>IF($A396="","",IF($C396="","",YEAR($C396)))</f>
      </c>
      <c r="H396" s="49">
        <v>2022</v>
      </c>
      <c r="I396" s="46" t="inlineStr">
        <is>
          <t xml:space="preserve">BMW</t>
        </is>
      </c>
      <c r="J396" s="46" t="inlineStr">
        <is>
          <t xml:space="preserve">M8 Competition</t>
        </is>
      </c>
      <c r="K396" s="46" t="inlineStr">
        <is>
          <t xml:space="preserve">8U50ZUYMK9KKXGSN5</t>
        </is>
      </c>
      <c r="L396" s="48" t="inlineStr">
        <is>
          <t xml:space="preserve">02 - Sports / GT</t>
        </is>
      </c>
      <c r="M396" s="50">
        <v>1115000</v>
      </c>
      <c r="N396" s="48" t="inlineStr">
        <is>
          <t xml:space="preserve">Personal</t>
        </is>
      </c>
      <c r="O396" s="46" t="inlineStr">
        <is>
          <t xml:space="preserve">Personal - regular use</t>
        </is>
      </c>
      <c r="P396" s="46" t="inlineStr">
        <is>
          <t xml:space="preserve">2,500 - 5,000</t>
        </is>
      </c>
      <c r="Q396" s="46" t="inlineStr">
        <is>
          <t xml:space="preserve">Arkansas</t>
        </is>
      </c>
      <c r="R396" s="46" t="inlineStr">
        <is>
          <t xml:space="preserve">72201</t>
        </is>
      </c>
      <c r="S396" s="48" t="inlineStr">
        <is>
          <t xml:space="preserve">Severe convective - hail / tornado (moderate)</t>
        </is>
      </c>
      <c r="T396" s="36">
        <f>IF($A396="","",IF($S396="","",IFERROR(INDEX('[1]natural catastrophe'!$D$6:$D$17,MATCH($S396,'[1]natural catastrophe'!$B$6:$B$17,0)),"?")))</f>
      </c>
      <c r="U396" s="46" t="inlineStr">
        <is>
          <t xml:space="preserve">$5,000</t>
        </is>
      </c>
      <c r="V396" s="48" t="inlineStr">
        <is>
          <t xml:space="preserve">Agreed Value</t>
        </is>
      </c>
      <c r="W396" s="46" t="inlineStr">
        <is>
          <t xml:space="preserve">$1,000</t>
        </is>
      </c>
      <c r="X396" s="48" t="inlineStr">
        <is>
          <t xml:space="preserve">$1,000,000 CSL</t>
        </is>
      </c>
      <c r="Y396" s="46"/>
      <c r="Z396" s="46"/>
      <c r="AA396" s="48" t="inlineStr">
        <is>
          <t xml:space="preserve">Surplus Lines</t>
        </is>
      </c>
      <c r="AB396" s="50">
        <v>14680.65</v>
      </c>
      <c r="AC396" s="51">
        <v>0</v>
      </c>
      <c r="AD396" s="38">
        <f>IF(ISNUMBER($AB396),$AB396*(1+N($AC396)),"")</f>
      </c>
      <c r="AE396" s="50">
        <v>350</v>
      </c>
      <c r="AF396" s="50">
        <v>250</v>
      </c>
      <c r="AG396" s="51"/>
      <c r="AH396" s="39">
        <f>IF(ISNUMBER($AD396),($AD396+$AE396+$AF396)*$AG396,"")</f>
      </c>
      <c r="AI396" s="50"/>
      <c r="AJ396" s="38">
        <f>IF(ISNUMBER($AD396),SUM($AD396:$AH396),"")</f>
      </c>
      <c r="AK396" s="40">
        <f>IF(AND(ISNUMBER($AB396),ISNUMBER($AD396)),IF($AB396&gt;0,$AD396/$AB396,""),"")</f>
      </c>
      <c r="AL396" s="48" t="inlineStr">
        <is>
          <t xml:space="preserve">At technical</t>
        </is>
      </c>
      <c r="AM396" s="41">
        <f>IF(ISNUMBER($AD396),Header!$I$3,"")</f>
      </c>
      <c r="AN396" s="39">
        <f>IF(ISNUMBER($AD396),$AO396+$AP396,"")</f>
      </c>
      <c r="AO396" s="39">
        <f>IF(ISNUMBER($AD396),ROUND($AD396*Header!$K$3,2),"")</f>
      </c>
      <c r="AP396" s="39">
        <f>IF(ISNUMBER($AD396),ROUND($AD396*Header!$M$3,2),"")</f>
      </c>
      <c r="AQ396" s="38">
        <f>IF(ISNUMBER($AD396),ROUND($AD396,2)-$AO396-$AP396,"")</f>
      </c>
      <c r="AR396" s="39">
        <f>IF(ISNUMBER($AD396),IF(Header!$D$34="","?",$AD396*Header!$D$34),"")</f>
      </c>
      <c r="AS396" s="39">
        <f>IF(ISNUMBER($AB396),IF(Header!$D$34="","?",$AB396*Header!$D$34),"")</f>
      </c>
      <c r="AT396" s="42">
        <f>IF(AND(ISNUMBER($AB396),$M396&gt;0),$AB396/$M396*100,"")</f>
      </c>
      <c r="AU396" s="42">
        <f>IF(AND(ISNUMBER($AD396),$M396&gt;0),$AD396/$M396*100,"")</f>
      </c>
      <c r="AV396" s="40">
        <f>IF(AND(ISNUMBER($AB396),ISNUMBER($AD396),ABS($AB396)&gt;0),$AD396/$AB396,"")</f>
      </c>
      <c r="AW396" s="39">
        <f>IF(ISNUMBER($AD396),MAX(0,(1-0.55-Header!$O$3)*Header!$Q$3*$AQ396),"")</f>
      </c>
      <c r="AX396" s="43">
        <f>IF($A396="","",IF(TRIM(IF($A396="","Missing certificate ref. ","") &amp; IF($C396="","Missing effective date. ","") &amp; IF($D396="","Missing binding status. ","") &amp; IF($E396="","Missing movement type. ","") &amp; IF($I396="","Missing make. ","") &amp; IF($L396="","Missing vehicle class. ","") &amp; IF($M396="","Missing agreed value. ","") &amp; IF($N396="","Missing policy type. ","") &amp; IF($Q396="","Missing garaging state. ","") &amp; IF($R396="","Missing garaging ZIP. ","") &amp; IF($S396="","Missing cat zone. ","") &amp; IF($V396="","Missing valuation basis. ","") &amp; IF($W396="","Missing PD deductible. ","") &amp; IF($X396="","Missing liability limit. ","") &amp; IF($AB396="","Missing technical premium. ","") &amp; IF($AF396="","Missing surplus lines tax %. ",""))="","PASS","FAIL: "&amp;TRIM(IF($A396="","Missing certificate ref. ","") &amp; IF($C396="","Missing effective date. ","") &amp; IF($D396="","Missing binding status. ","") &amp; IF($E396="","Missing movement type. ","") &amp; IF($I396="","Missing make. ","") &amp; IF($L396="","Missing vehicle class. ","") &amp; IF($M396="","Missing agreed value. ","") &amp; IF($N396="","Missing policy type. ","") &amp; IF($Q396="","Missing garaging state. ","") &amp; IF($R396="","Missing garaging ZIP. ","") &amp; IF($S396="","Missing cat zone. ","") &amp; IF($V396="","Missing valuation basis. ","") &amp; IF($W396="","Missing PD deductible. ","") &amp; IF($X396="","Missing liability limit. ","") &amp; IF($AB396="","Missing technical premium. ","") &amp; IF($AF396="","Missing surplus lines tax %. ",""))))</f>
      </c>
      <c r="AY396" s="44">
        <f>IF($M396="","",IF(ISNUMBER($M396),IF($M396&gt;=Header!$C$18,"YES — refer","No"),""))</f>
      </c>
      <c r="AZ396" s="44">
        <f>IF($AD396="","",IF(ISNUMBER($AD396),IF($AD396&lt;Header!$C$20,"BELOW MIN PREMIUM","OK"),""))</f>
      </c>
      <c r="BA396" s="48" t="inlineStr">
        <is>
          <t xml:space="preserve">Yes</t>
        </is>
      </c>
      <c r="BB396" s="48" t="inlineStr">
        <is>
          <t xml:space="preserve">Yes</t>
        </is>
      </c>
      <c r="BC396" s="46" t="inlineStr">
        <is>
          <t xml:space="preserve">Synthetic demo data</t>
        </is>
      </c>
      <c r="BE396" s="45">
        <f>IF(OR($A396="",$L396="",$H396=""),"",IF(AND(LEFT($L396,2)="06",$H396&gt;1945),"FAIL - pre-war class, year "&amp;$H396,IF(AND(LEFT($L396,2)="07",OR($H396&lt;1946,$H396&gt;1972)),"FAIL - 1946-72 class, year "&amp;$H396,IF(AND(LEFT($L396,2)="08",OR($H396&lt;1973,$H396&gt;1999)),"FAIL - 1973-99 class, year "&amp;$H396,IF(AND(LEFT($L396,2)="09",OR($H396&lt;2000,$H396&gt;2010)),"FAIL - 2000-10 class, year "&amp;$H396,"OK")))))</f>
      </c>
      <c r="BF396" s="45">
        <f>IF($AD396="","",IF(ROUND($AO396+$AP396+$AQ396-$AD396,2)=0,"OK","FAIL - out by "&amp;TEXT($AO396+$AP396+$AQ396-$AD396,"$0.00")))</f>
      </c>
    </row>
    <row r="397" spans="1:58" ht="18.75" customHeight="1" x14ac:dyDescent="0.25">
      <c r="A397" s="30" t="inlineStr">
        <is>
          <t xml:space="preserve">CANON-202511-002709</t>
        </is>
      </c>
      <c r="B397" s="30" t="inlineStr">
        <is>
          <t xml:space="preserve">Fenwick Castellanos</t>
        </is>
      </c>
      <c r="C397" s="31">
        <v>45972</v>
      </c>
      <c r="D397" s="32" t="inlineStr">
        <is>
          <t xml:space="preserve">Bound - within authority</t>
        </is>
      </c>
      <c r="E397" s="32" t="inlineStr">
        <is>
          <t xml:space="preserve">New business</t>
        </is>
      </c>
      <c r="F397" s="30" t="inlineStr">
        <is>
          <t xml:space="preserve">B1234EXOTIC26</t>
        </is>
      </c>
      <c r="G397" s="33">
        <f>IF($A397="","",IF($C397="","",YEAR($C397)))</f>
      </c>
      <c r="H397" s="34">
        <v>1999</v>
      </c>
      <c r="I397" s="30" t="inlineStr">
        <is>
          <t xml:space="preserve">Ferrari</t>
        </is>
      </c>
      <c r="J397" s="30" t="inlineStr">
        <is>
          <t xml:space="preserve">SF90 Stradale</t>
        </is>
      </c>
      <c r="K397" s="30" t="inlineStr">
        <is>
          <t xml:space="preserve">6U9P6WYLVYW68UN5N</t>
        </is>
      </c>
      <c r="L397" s="32" t="inlineStr">
        <is>
          <t xml:space="preserve">03 - Supercar</t>
        </is>
      </c>
      <c r="M397" s="35">
        <v>835000</v>
      </c>
      <c r="N397" s="32" t="inlineStr">
        <is>
          <t xml:space="preserve">Personal</t>
        </is>
      </c>
      <c r="O397" s="30" t="inlineStr">
        <is>
          <t xml:space="preserve">Personal - regular use</t>
        </is>
      </c>
      <c r="P397" s="30" t="inlineStr">
        <is>
          <t xml:space="preserve">2,500 - 5,000</t>
        </is>
      </c>
      <c r="Q397" s="30" t="inlineStr">
        <is>
          <t xml:space="preserve">Louisiana</t>
        </is>
      </c>
      <c r="R397" s="30" t="inlineStr">
        <is>
          <t xml:space="preserve">70112</t>
        </is>
      </c>
      <c r="S397" s="32" t="inlineStr">
        <is>
          <t xml:space="preserve">Tier 2 - Coastal wind (1-25 miles)</t>
        </is>
      </c>
      <c r="T397" s="36">
        <f>IF($A397="","",IF($S397="","",IFERROR(INDEX('[1]natural catastrophe'!$D$6:$D$17,MATCH($S397,'[1]natural catastrophe'!$B$6:$B$17,0)),"?")))</f>
      </c>
      <c r="U397" s="30" t="inlineStr">
        <is>
          <t xml:space="preserve">2% of agreed value, minimum $10,000</t>
        </is>
      </c>
      <c r="V397" s="32" t="inlineStr">
        <is>
          <t xml:space="preserve">Agreed Value</t>
        </is>
      </c>
      <c r="W397" s="30" t="inlineStr">
        <is>
          <t xml:space="preserve">$1,000</t>
        </is>
      </c>
      <c r="X397" s="32" t="inlineStr">
        <is>
          <t xml:space="preserve">$1,000,000 CSL</t>
        </is>
      </c>
      <c r="Y397" s="30"/>
      <c r="Z397" s="30"/>
      <c r="AA397" s="32" t="inlineStr">
        <is>
          <t xml:space="preserve">Surplus Lines</t>
        </is>
      </c>
      <c r="AB397" s="35">
        <v>16650.38</v>
      </c>
      <c r="AC397" s="37">
        <v>0</v>
      </c>
      <c r="AD397" s="38">
        <f>IF(ISNUMBER($AB397),$AB397*(1+N($AC397)),"")</f>
      </c>
      <c r="AE397" s="35">
        <v>350</v>
      </c>
      <c r="AF397" s="35">
        <v>0</v>
      </c>
      <c r="AG397" s="37"/>
      <c r="AH397" s="39">
        <f>IF(ISNUMBER($AD397),($AD397+$AE397+$AF397)*$AG397,"")</f>
      </c>
      <c r="AI397" s="35"/>
      <c r="AJ397" s="38">
        <f>IF(ISNUMBER($AD397),SUM($AD397:$AH397),"")</f>
      </c>
      <c r="AK397" s="40">
        <f>IF(AND(ISNUMBER($AB397),ISNUMBER($AD397)),IF($AB397&gt;0,$AD397/$AB397,""),"")</f>
      </c>
      <c r="AL397" s="32" t="inlineStr">
        <is>
          <t xml:space="preserve">At technical</t>
        </is>
      </c>
      <c r="AM397" s="41">
        <f>IF(ISNUMBER($AD397),Header!$I$3,"")</f>
      </c>
      <c r="AN397" s="39">
        <f>IF(ISNUMBER($AD397),$AO397+$AP397,"")</f>
      </c>
      <c r="AO397" s="39">
        <f>IF(ISNUMBER($AD397),ROUND($AD397*Header!$K$3,2),"")</f>
      </c>
      <c r="AP397" s="39">
        <f>IF(ISNUMBER($AD397),ROUND($AD397*Header!$M$3,2),"")</f>
      </c>
      <c r="AQ397" s="38">
        <f>IF(ISNUMBER($AD397),ROUND($AD397,2)-$AO397-$AP397,"")</f>
      </c>
      <c r="AR397" s="39">
        <f>IF(ISNUMBER($AD397),IF(Header!$D$34="","?",$AD397*Header!$D$34),"")</f>
      </c>
      <c r="AS397" s="39">
        <f>IF(ISNUMBER($AB397),IF(Header!$D$34="","?",$AB397*Header!$D$34),"")</f>
      </c>
      <c r="AT397" s="42">
        <f>IF(AND(ISNUMBER($AB397),$M397&gt;0),$AB397/$M397*100,"")</f>
      </c>
      <c r="AU397" s="42">
        <f>IF(AND(ISNUMBER($AD397),$M397&gt;0),$AD397/$M397*100,"")</f>
      </c>
      <c r="AV397" s="40">
        <f>IF(AND(ISNUMBER($AB397),ISNUMBER($AD397),ABS($AB397)&gt;0),$AD397/$AB397,"")</f>
      </c>
      <c r="AW397" s="39">
        <f>IF(ISNUMBER($AD397),MAX(0,(1-0.55-Header!$O$3)*Header!$Q$3*$AQ397),"")</f>
      </c>
      <c r="AX397" s="43">
        <f>IF($A397="","",IF(TRIM(IF($A397="","Missing certificate ref. ","") &amp; IF($C397="","Missing effective date. ","") &amp; IF($D397="","Missing binding status. ","") &amp; IF($E397="","Missing movement type. ","") &amp; IF($I397="","Missing make. ","") &amp; IF($L397="","Missing vehicle class. ","") &amp; IF($M397="","Missing agreed value. ","") &amp; IF($N397="","Missing policy type. ","") &amp; IF($Q397="","Missing garaging state. ","") &amp; IF($R397="","Missing garaging ZIP. ","") &amp; IF($S397="","Missing cat zone. ","") &amp; IF($V397="","Missing valuation basis. ","") &amp; IF($W397="","Missing PD deductible. ","") &amp; IF($X397="","Missing liability limit. ","") &amp; IF($AB397="","Missing technical premium. ","") &amp; IF($AF397="","Missing surplus lines tax %. ",""))="","PASS","FAIL: "&amp;TRIM(IF($A397="","Missing certificate ref. ","") &amp; IF($C397="","Missing effective date. ","") &amp; IF($D397="","Missing binding status. ","") &amp; IF($E397="","Missing movement type. ","") &amp; IF($I397="","Missing make. ","") &amp; IF($L397="","Missing vehicle class. ","") &amp; IF($M397="","Missing agreed value. ","") &amp; IF($N397="","Missing policy type. ","") &amp; IF($Q397="","Missing garaging state. ","") &amp; IF($R397="","Missing garaging ZIP. ","") &amp; IF($S397="","Missing cat zone. ","") &amp; IF($V397="","Missing valuation basis. ","") &amp; IF($W397="","Missing PD deductible. ","") &amp; IF($X397="","Missing liability limit. ","") &amp; IF($AB397="","Missing technical premium. ","") &amp; IF($AF397="","Missing surplus lines tax %. ",""))))</f>
      </c>
      <c r="AY397" s="44">
        <f>IF($M397="","",IF(ISNUMBER($M397),IF($M397&gt;=Header!$C$18,"YES — refer","No"),""))</f>
      </c>
      <c r="AZ397" s="44">
        <f>IF($AD397="","",IF(ISNUMBER($AD397),IF($AD397&lt;Header!$C$20,"BELOW MIN PREMIUM","OK"),""))</f>
      </c>
      <c r="BA397" s="32" t="inlineStr">
        <is>
          <t xml:space="preserve">Yes</t>
        </is>
      </c>
      <c r="BB397" s="32" t="inlineStr">
        <is>
          <t xml:space="preserve">Yes</t>
        </is>
      </c>
      <c r="BC397" s="30" t="inlineStr">
        <is>
          <t xml:space="preserve">Synthetic demo data</t>
        </is>
      </c>
      <c r="BE397" s="45">
        <f>IF(OR($A397="",$L397="",$H397=""),"",IF(AND(LEFT($L397,2)="06",$H397&gt;1945),"FAIL - pre-war class, year "&amp;$H397,IF(AND(LEFT($L397,2)="07",OR($H397&lt;1946,$H397&gt;1972)),"FAIL - 1946-72 class, year "&amp;$H397,IF(AND(LEFT($L397,2)="08",OR($H397&lt;1973,$H397&gt;1999)),"FAIL - 1973-99 class, year "&amp;$H397,IF(AND(LEFT($L397,2)="09",OR($H397&lt;2000,$H397&gt;2010)),"FAIL - 2000-10 class, year "&amp;$H397,"OK")))))</f>
      </c>
      <c r="BF397" s="45">
        <f>IF($AD397="","",IF(ROUND($AO397+$AP397+$AQ397-$AD397,2)=0,"OK","FAIL - out by "&amp;TEXT($AO397+$AP397+$AQ397-$AD397,"$0.00")))</f>
      </c>
    </row>
    <row r="398" spans="1:58" ht="18.75" customHeight="1" x14ac:dyDescent="0.25">
      <c r="A398" s="46" t="inlineStr">
        <is>
          <t xml:space="preserve">CANON-202511-002710</t>
        </is>
      </c>
      <c r="B398" s="46" t="inlineStr">
        <is>
          <t xml:space="preserve">Leopold Vandermeer</t>
        </is>
      </c>
      <c r="C398" s="47">
        <v>45978</v>
      </c>
      <c r="D398" s="48" t="inlineStr">
        <is>
          <t xml:space="preserve">Bound - within authority</t>
        </is>
      </c>
      <c r="E398" s="48" t="inlineStr">
        <is>
          <t xml:space="preserve">New business</t>
        </is>
      </c>
      <c r="F398" s="46" t="inlineStr">
        <is>
          <t xml:space="preserve">B1234EXOTIC26</t>
        </is>
      </c>
      <c r="G398" s="33">
        <f>IF($A398="","",IF($C398="","",YEAR($C398)))</f>
      </c>
      <c r="H398" s="49">
        <v>2020</v>
      </c>
      <c r="I398" s="46" t="inlineStr">
        <is>
          <t xml:space="preserve">Porsche</t>
        </is>
      </c>
      <c r="J398" s="46" t="inlineStr">
        <is>
          <t xml:space="preserve">911 Turbo S</t>
        </is>
      </c>
      <c r="K398" s="46" t="inlineStr">
        <is>
          <t xml:space="preserve">TSUW043W4B42MX3C6</t>
        </is>
      </c>
      <c r="L398" s="48" t="inlineStr">
        <is>
          <t xml:space="preserve">02 - Sports / GT</t>
        </is>
      </c>
      <c r="M398" s="50">
        <v>300000</v>
      </c>
      <c r="N398" s="48" t="inlineStr">
        <is>
          <t xml:space="preserve">Personal</t>
        </is>
      </c>
      <c r="O398" s="46" t="inlineStr">
        <is>
          <t xml:space="preserve">Personal - regular use</t>
        </is>
      </c>
      <c r="P398" s="46" t="inlineStr">
        <is>
          <t xml:space="preserve">2,500 - 5,000</t>
        </is>
      </c>
      <c r="Q398" s="46" t="inlineStr">
        <is>
          <t xml:space="preserve">New York</t>
        </is>
      </c>
      <c r="R398" s="46" t="inlineStr">
        <is>
          <t xml:space="preserve">10022</t>
        </is>
      </c>
      <c r="S398" s="48" t="inlineStr">
        <is>
          <t xml:space="preserve">Tier 3 - Coastal wind (25-100 miles)</t>
        </is>
      </c>
      <c r="T398" s="36">
        <f>IF($A398="","",IF($S398="","",IFERROR(INDEX('[1]natural catastrophe'!$D$6:$D$17,MATCH($S398,'[1]natural catastrophe'!$B$6:$B$17,0)),"?")))</f>
      </c>
      <c r="U398" s="46" t="inlineStr">
        <is>
          <t xml:space="preserve">2% of agreed value, minimum $10,000</t>
        </is>
      </c>
      <c r="V398" s="48" t="inlineStr">
        <is>
          <t xml:space="preserve">Agreed Value</t>
        </is>
      </c>
      <c r="W398" s="46" t="inlineStr">
        <is>
          <t xml:space="preserve">$1,000</t>
        </is>
      </c>
      <c r="X398" s="48" t="inlineStr">
        <is>
          <t xml:space="preserve">$1,000,000 CSL</t>
        </is>
      </c>
      <c r="Y398" s="46"/>
      <c r="Z398" s="46"/>
      <c r="AA398" s="48" t="inlineStr">
        <is>
          <t xml:space="preserve">Surplus Lines</t>
        </is>
      </c>
      <c r="AB398" s="50">
        <v>4995.98</v>
      </c>
      <c r="AC398" s="51">
        <v>0</v>
      </c>
      <c r="AD398" s="38">
        <f>IF(ISNUMBER($AB398),$AB398*(1+N($AC398)),"")</f>
      </c>
      <c r="AE398" s="50">
        <v>350</v>
      </c>
      <c r="AF398" s="50">
        <v>0</v>
      </c>
      <c r="AG398" s="51"/>
      <c r="AH398" s="39">
        <f>IF(ISNUMBER($AD398),($AD398+$AE398+$AF398)*$AG398,"")</f>
      </c>
      <c r="AI398" s="50"/>
      <c r="AJ398" s="38">
        <f>IF(ISNUMBER($AD398),SUM($AD398:$AH398),"")</f>
      </c>
      <c r="AK398" s="40">
        <f>IF(AND(ISNUMBER($AB398),ISNUMBER($AD398)),IF($AB398&gt;0,$AD398/$AB398,""),"")</f>
      </c>
      <c r="AL398" s="48" t="inlineStr">
        <is>
          <t xml:space="preserve">At technical</t>
        </is>
      </c>
      <c r="AM398" s="41">
        <f>IF(ISNUMBER($AD398),Header!$I$3,"")</f>
      </c>
      <c r="AN398" s="39">
        <f>IF(ISNUMBER($AD398),$AO398+$AP398,"")</f>
      </c>
      <c r="AO398" s="39">
        <f>IF(ISNUMBER($AD398),ROUND($AD398*Header!$K$3,2),"")</f>
      </c>
      <c r="AP398" s="39">
        <f>IF(ISNUMBER($AD398),ROUND($AD398*Header!$M$3,2),"")</f>
      </c>
      <c r="AQ398" s="38">
        <f>IF(ISNUMBER($AD398),ROUND($AD398,2)-$AO398-$AP398,"")</f>
      </c>
      <c r="AR398" s="39">
        <f>IF(ISNUMBER($AD398),IF(Header!$D$34="","?",$AD398*Header!$D$34),"")</f>
      </c>
      <c r="AS398" s="39">
        <f>IF(ISNUMBER($AB398),IF(Header!$D$34="","?",$AB398*Header!$D$34),"")</f>
      </c>
      <c r="AT398" s="42">
        <f>IF(AND(ISNUMBER($AB398),$M398&gt;0),$AB398/$M398*100,"")</f>
      </c>
      <c r="AU398" s="42">
        <f>IF(AND(ISNUMBER($AD398),$M398&gt;0),$AD398/$M398*100,"")</f>
      </c>
      <c r="AV398" s="40">
        <f>IF(AND(ISNUMBER($AB398),ISNUMBER($AD398),ABS($AB398)&gt;0),$AD398/$AB398,"")</f>
      </c>
      <c r="AW398" s="39">
        <f>IF(ISNUMBER($AD398),MAX(0,(1-0.55-Header!$O$3)*Header!$Q$3*$AQ398),"")</f>
      </c>
      <c r="AX398" s="43">
        <f>IF($A398="","",IF(TRIM(IF($A398="","Missing certificate ref. ","") &amp; IF($C398="","Missing effective date. ","") &amp; IF($D398="","Missing binding status. ","") &amp; IF($E398="","Missing movement type. ","") &amp; IF($I398="","Missing make. ","") &amp; IF($L398="","Missing vehicle class. ","") &amp; IF($M398="","Missing agreed value. ","") &amp; IF($N398="","Missing policy type. ","") &amp; IF($Q398="","Missing garaging state. ","") &amp; IF($R398="","Missing garaging ZIP. ","") &amp; IF($S398="","Missing cat zone. ","") &amp; IF($V398="","Missing valuation basis. ","") &amp; IF($W398="","Missing PD deductible. ","") &amp; IF($X398="","Missing liability limit. ","") &amp; IF($AB398="","Missing technical premium. ","") &amp; IF($AF398="","Missing surplus lines tax %. ",""))="","PASS","FAIL: "&amp;TRIM(IF($A398="","Missing certificate ref. ","") &amp; IF($C398="","Missing effective date. ","") &amp; IF($D398="","Missing binding status. ","") &amp; IF($E398="","Missing movement type. ","") &amp; IF($I398="","Missing make. ","") &amp; IF($L398="","Missing vehicle class. ","") &amp; IF($M398="","Missing agreed value. ","") &amp; IF($N398="","Missing policy type. ","") &amp; IF($Q398="","Missing garaging state. ","") &amp; IF($R398="","Missing garaging ZIP. ","") &amp; IF($S398="","Missing cat zone. ","") &amp; IF($V398="","Missing valuation basis. ","") &amp; IF($W398="","Missing PD deductible. ","") &amp; IF($X398="","Missing liability limit. ","") &amp; IF($AB398="","Missing technical premium. ","") &amp; IF($AF398="","Missing surplus lines tax %. ",""))))</f>
      </c>
      <c r="AY398" s="44">
        <f>IF($M398="","",IF(ISNUMBER($M398),IF($M398&gt;=Header!$C$18,"YES — refer","No"),""))</f>
      </c>
      <c r="AZ398" s="44">
        <f>IF($AD398="","",IF(ISNUMBER($AD398),IF($AD398&lt;Header!$C$20,"BELOW MIN PREMIUM","OK"),""))</f>
      </c>
      <c r="BA398" s="48" t="inlineStr">
        <is>
          <t xml:space="preserve">Yes</t>
        </is>
      </c>
      <c r="BB398" s="48" t="inlineStr">
        <is>
          <t xml:space="preserve">Yes</t>
        </is>
      </c>
      <c r="BC398" s="46" t="inlineStr">
        <is>
          <t xml:space="preserve">Synthetic demo data</t>
        </is>
      </c>
      <c r="BE398" s="45">
        <f>IF(OR($A398="",$L398="",$H398=""),"",IF(AND(LEFT($L398,2)="06",$H398&gt;1945),"FAIL - pre-war class, year "&amp;$H398,IF(AND(LEFT($L398,2)="07",OR($H398&lt;1946,$H398&gt;1972)),"FAIL - 1946-72 class, year "&amp;$H398,IF(AND(LEFT($L398,2)="08",OR($H398&lt;1973,$H398&gt;1999)),"FAIL - 1973-99 class, year "&amp;$H398,IF(AND(LEFT($L398,2)="09",OR($H398&lt;2000,$H398&gt;2010)),"FAIL - 2000-10 class, year "&amp;$H398,"OK")))))</f>
      </c>
      <c r="BF398" s="45">
        <f>IF($AD398="","",IF(ROUND($AO398+$AP398+$AQ398-$AD398,2)=0,"OK","FAIL - out by "&amp;TEXT($AO398+$AP398+$AQ398-$AD398,"$0.00")))</f>
      </c>
    </row>
    <row r="399" spans="1:58" ht="18.75" customHeight="1" x14ac:dyDescent="0.25">
      <c r="A399" s="30" t="inlineStr">
        <is>
          <t xml:space="preserve">CANON-202511-002713</t>
        </is>
      </c>
      <c r="B399" s="30" t="inlineStr">
        <is>
          <t xml:space="preserve">Ramona Whitlock</t>
        </is>
      </c>
      <c r="C399" s="31">
        <v>45968</v>
      </c>
      <c r="D399" s="32" t="inlineStr">
        <is>
          <t xml:space="preserve">Bound - within authority</t>
        </is>
      </c>
      <c r="E399" s="32" t="inlineStr">
        <is>
          <t xml:space="preserve">New business</t>
        </is>
      </c>
      <c r="F399" s="30" t="inlineStr">
        <is>
          <t xml:space="preserve">B1234EXOTIC26</t>
        </is>
      </c>
      <c r="G399" s="33">
        <f>IF($A399="","",IF($C399="","",YEAR($C399)))</f>
      </c>
      <c r="H399" s="34">
        <v>1984</v>
      </c>
      <c r="I399" s="30" t="inlineStr">
        <is>
          <t xml:space="preserve">Bentley</t>
        </is>
      </c>
      <c r="J399" s="30" t="inlineStr">
        <is>
          <t xml:space="preserve">Continental GT</t>
        </is>
      </c>
      <c r="K399" s="30" t="inlineStr">
        <is>
          <t xml:space="preserve">80SMZAJCEAGBEKB5C</t>
        </is>
      </c>
      <c r="L399" s="32" t="inlineStr">
        <is>
          <t xml:space="preserve">02 - Sports / GT</t>
        </is>
      </c>
      <c r="M399" s="35">
        <v>800000</v>
      </c>
      <c r="N399" s="32" t="inlineStr">
        <is>
          <t xml:space="preserve">Personal</t>
        </is>
      </c>
      <c r="O399" s="30" t="inlineStr">
        <is>
          <t xml:space="preserve">Personal - regular use</t>
        </is>
      </c>
      <c r="P399" s="30" t="inlineStr">
        <is>
          <t xml:space="preserve">Under 1,000</t>
        </is>
      </c>
      <c r="Q399" s="30" t="inlineStr">
        <is>
          <t xml:space="preserve">Nebraska</t>
        </is>
      </c>
      <c r="R399" s="30" t="inlineStr">
        <is>
          <t xml:space="preserve">68102</t>
        </is>
      </c>
      <c r="S399" s="32" t="inlineStr">
        <is>
          <t xml:space="preserve">Severe convective - hail alley (high)</t>
        </is>
      </c>
      <c r="T399" s="36">
        <f>IF($A399="","",IF($S399="","",IFERROR(INDEX('[1]natural catastrophe'!$D$6:$D$17,MATCH($S399,'[1]natural catastrophe'!$B$6:$B$17,0)),"?")))</f>
      </c>
      <c r="U399" s="30" t="inlineStr">
        <is>
          <t xml:space="preserve">$5,000</t>
        </is>
      </c>
      <c r="V399" s="32" t="inlineStr">
        <is>
          <t xml:space="preserve">Agreed Value</t>
        </is>
      </c>
      <c r="W399" s="30" t="inlineStr">
        <is>
          <t xml:space="preserve">$1,000</t>
        </is>
      </c>
      <c r="X399" s="32" t="inlineStr">
        <is>
          <t xml:space="preserve">$1,000,000 CSL</t>
        </is>
      </c>
      <c r="Y399" s="30"/>
      <c r="Z399" s="30"/>
      <c r="AA399" s="32" t="inlineStr">
        <is>
          <t xml:space="preserve">Surplus Lines</t>
        </is>
      </c>
      <c r="AB399" s="35">
        <v>11726.69</v>
      </c>
      <c r="AC399" s="37">
        <v>0</v>
      </c>
      <c r="AD399" s="38">
        <f>IF(ISNUMBER($AB399),$AB399*(1+N($AC399)),"")</f>
      </c>
      <c r="AE399" s="35">
        <v>350</v>
      </c>
      <c r="AF399" s="35">
        <v>0</v>
      </c>
      <c r="AG399" s="37"/>
      <c r="AH399" s="39">
        <f>IF(ISNUMBER($AD399),($AD399+$AE399+$AF399)*$AG399,"")</f>
      </c>
      <c r="AI399" s="35"/>
      <c r="AJ399" s="38">
        <f>IF(ISNUMBER($AD399),SUM($AD399:$AH399),"")</f>
      </c>
      <c r="AK399" s="40">
        <f>IF(AND(ISNUMBER($AB399),ISNUMBER($AD399)),IF($AB399&gt;0,$AD399/$AB399,""),"")</f>
      </c>
      <c r="AL399" s="32" t="inlineStr">
        <is>
          <t xml:space="preserve">At technical</t>
        </is>
      </c>
      <c r="AM399" s="41">
        <f>IF(ISNUMBER($AD399),Header!$I$3,"")</f>
      </c>
      <c r="AN399" s="39">
        <f>IF(ISNUMBER($AD399),$AO399+$AP399,"")</f>
      </c>
      <c r="AO399" s="39">
        <f>IF(ISNUMBER($AD399),ROUND($AD399*Header!$K$3,2),"")</f>
      </c>
      <c r="AP399" s="39">
        <f>IF(ISNUMBER($AD399),ROUND($AD399*Header!$M$3,2),"")</f>
      </c>
      <c r="AQ399" s="38">
        <f>IF(ISNUMBER($AD399),ROUND($AD399,2)-$AO399-$AP399,"")</f>
      </c>
      <c r="AR399" s="39">
        <f>IF(ISNUMBER($AD399),IF(Header!$D$34="","?",$AD399*Header!$D$34),"")</f>
      </c>
      <c r="AS399" s="39">
        <f>IF(ISNUMBER($AB399),IF(Header!$D$34="","?",$AB399*Header!$D$34),"")</f>
      </c>
      <c r="AT399" s="42">
        <f>IF(AND(ISNUMBER($AB399),$M399&gt;0),$AB399/$M399*100,"")</f>
      </c>
      <c r="AU399" s="42">
        <f>IF(AND(ISNUMBER($AD399),$M399&gt;0),$AD399/$M399*100,"")</f>
      </c>
      <c r="AV399" s="40">
        <f>IF(AND(ISNUMBER($AB399),ISNUMBER($AD399),ABS($AB399)&gt;0),$AD399/$AB399,"")</f>
      </c>
      <c r="AW399" s="39">
        <f>IF(ISNUMBER($AD399),MAX(0,(1-0.55-Header!$O$3)*Header!$Q$3*$AQ399),"")</f>
      </c>
      <c r="AX399" s="43">
        <f>IF($A399="","",IF(TRIM(IF($A399="","Missing certificate ref. ","") &amp; IF($C399="","Missing effective date. ","") &amp; IF($D399="","Missing binding status. ","") &amp; IF($E399="","Missing movement type. ","") &amp; IF($I399="","Missing make. ","") &amp; IF($L399="","Missing vehicle class. ","") &amp; IF($M399="","Missing agreed value. ","") &amp; IF($N399="","Missing policy type. ","") &amp; IF($Q399="","Missing garaging state. ","") &amp; IF($R399="","Missing garaging ZIP. ","") &amp; IF($S399="","Missing cat zone. ","") &amp; IF($V399="","Missing valuation basis. ","") &amp; IF($W399="","Missing PD deductible. ","") &amp; IF($X399="","Missing liability limit. ","") &amp; IF($AB399="","Missing technical premium. ","") &amp; IF($AF399="","Missing surplus lines tax %. ",""))="","PASS","FAIL: "&amp;TRIM(IF($A399="","Missing certificate ref. ","") &amp; IF($C399="","Missing effective date. ","") &amp; IF($D399="","Missing binding status. ","") &amp; IF($E399="","Missing movement type. ","") &amp; IF($I399="","Missing make. ","") &amp; IF($L399="","Missing vehicle class. ","") &amp; IF($M399="","Missing agreed value. ","") &amp; IF($N399="","Missing policy type. ","") &amp; IF($Q399="","Missing garaging state. ","") &amp; IF($R399="","Missing garaging ZIP. ","") &amp; IF($S399="","Missing cat zone. ","") &amp; IF($V399="","Missing valuation basis. ","") &amp; IF($W399="","Missing PD deductible. ","") &amp; IF($X399="","Missing liability limit. ","") &amp; IF($AB399="","Missing technical premium. ","") &amp; IF($AF399="","Missing surplus lines tax %. ",""))))</f>
      </c>
      <c r="AY399" s="44">
        <f>IF($M399="","",IF(ISNUMBER($M399),IF($M399&gt;=Header!$C$18,"YES — refer","No"),""))</f>
      </c>
      <c r="AZ399" s="44">
        <f>IF($AD399="","",IF(ISNUMBER($AD399),IF($AD399&lt;Header!$C$20,"BELOW MIN PREMIUM","OK"),""))</f>
      </c>
      <c r="BA399" s="32" t="inlineStr">
        <is>
          <t xml:space="preserve">Yes</t>
        </is>
      </c>
      <c r="BB399" s="32" t="inlineStr">
        <is>
          <t xml:space="preserve">Yes</t>
        </is>
      </c>
      <c r="BC399" s="30" t="inlineStr">
        <is>
          <t xml:space="preserve">Synthetic demo data</t>
        </is>
      </c>
      <c r="BE399" s="45">
        <f>IF(OR($A399="",$L399="",$H399=""),"",IF(AND(LEFT($L399,2)="06",$H399&gt;1945),"FAIL - pre-war class, year "&amp;$H399,IF(AND(LEFT($L399,2)="07",OR($H399&lt;1946,$H399&gt;1972)),"FAIL - 1946-72 class, year "&amp;$H399,IF(AND(LEFT($L399,2)="08",OR($H399&lt;1973,$H399&gt;1999)),"FAIL - 1973-99 class, year "&amp;$H399,IF(AND(LEFT($L399,2)="09",OR($H399&lt;2000,$H399&gt;2010)),"FAIL - 2000-10 class, year "&amp;$H399,"OK")))))</f>
      </c>
      <c r="BF399" s="45">
        <f>IF($AD399="","",IF(ROUND($AO399+$AP399+$AQ399-$AD399,2)=0,"OK","FAIL - out by "&amp;TEXT($AO399+$AP399+$AQ399-$AD399,"$0.00")))</f>
      </c>
    </row>
    <row r="400" spans="1:58" ht="18.75" customHeight="1" x14ac:dyDescent="0.25">
      <c r="A400" s="46" t="inlineStr">
        <is>
          <t xml:space="preserve">CANON-202511-002714</t>
        </is>
      </c>
      <c r="B400" s="46" t="inlineStr">
        <is>
          <t xml:space="preserve">Priya Merriweather</t>
        </is>
      </c>
      <c r="C400" s="47">
        <v>45989</v>
      </c>
      <c r="D400" s="48" t="inlineStr">
        <is>
          <t xml:space="preserve">Bound - within authority</t>
        </is>
      </c>
      <c r="E400" s="48" t="inlineStr">
        <is>
          <t xml:space="preserve">New business</t>
        </is>
      </c>
      <c r="F400" s="46" t="inlineStr">
        <is>
          <t xml:space="preserve">B1234EXOTIC26</t>
        </is>
      </c>
      <c r="G400" s="33">
        <f>IF($A400="","",IF($C400="","",YEAR($C400)))</f>
      </c>
      <c r="H400" s="49">
        <v>1966</v>
      </c>
      <c r="I400" s="46" t="inlineStr">
        <is>
          <t xml:space="preserve">BMW</t>
        </is>
      </c>
      <c r="J400" s="46" t="inlineStr">
        <is>
          <t xml:space="preserve">M8 Competition</t>
        </is>
      </c>
      <c r="K400" s="46" t="inlineStr">
        <is>
          <t xml:space="preserve">9JSDB4UZWNJPACZ93</t>
        </is>
      </c>
      <c r="L400" s="48" t="inlineStr">
        <is>
          <t xml:space="preserve">02 - Sports / GT</t>
        </is>
      </c>
      <c r="M400" s="50">
        <v>515000</v>
      </c>
      <c r="N400" s="48" t="inlineStr">
        <is>
          <t xml:space="preserve">Personal</t>
        </is>
      </c>
      <c r="O400" s="46" t="inlineStr">
        <is>
          <t xml:space="preserve">Personal - regular use</t>
        </is>
      </c>
      <c r="P400" s="46" t="inlineStr">
        <is>
          <t xml:space="preserve">2,500 - 5,000</t>
        </is>
      </c>
      <c r="Q400" s="46" t="inlineStr">
        <is>
          <t xml:space="preserve">Texas</t>
        </is>
      </c>
      <c r="R400" s="46" t="inlineStr">
        <is>
          <t xml:space="preserve">75201</t>
        </is>
      </c>
      <c r="S400" s="48" t="inlineStr">
        <is>
          <t xml:space="preserve">Tier 2 - Coastal wind (1-25 miles)</t>
        </is>
      </c>
      <c r="T400" s="36">
        <f>IF($A400="","",IF($S400="","",IFERROR(INDEX('[1]natural catastrophe'!$D$6:$D$17,MATCH($S400,'[1]natural catastrophe'!$B$6:$B$17,0)),"?")))</f>
      </c>
      <c r="U400" s="46" t="inlineStr">
        <is>
          <t xml:space="preserve">2% of agreed value, minimum $10,000</t>
        </is>
      </c>
      <c r="V400" s="48" t="inlineStr">
        <is>
          <t xml:space="preserve">Agreed Value</t>
        </is>
      </c>
      <c r="W400" s="46" t="inlineStr">
        <is>
          <t xml:space="preserve">$1,000</t>
        </is>
      </c>
      <c r="X400" s="48" t="inlineStr">
        <is>
          <t xml:space="preserve">$1,000,000 CSL</t>
        </is>
      </c>
      <c r="Y400" s="46"/>
      <c r="Z400" s="46"/>
      <c r="AA400" s="48" t="inlineStr">
        <is>
          <t xml:space="preserve">Surplus Lines</t>
        </is>
      </c>
      <c r="AB400" s="50">
        <v>6678.01</v>
      </c>
      <c r="AC400" s="51">
        <v>0</v>
      </c>
      <c r="AD400" s="38">
        <f>IF(ISNUMBER($AB400),$AB400*(1+N($AC400)),"")</f>
      </c>
      <c r="AE400" s="50">
        <v>350</v>
      </c>
      <c r="AF400" s="50">
        <v>0</v>
      </c>
      <c r="AG400" s="51"/>
      <c r="AH400" s="39">
        <f>IF(ISNUMBER($AD400),($AD400+$AE400+$AF400)*$AG400,"")</f>
      </c>
      <c r="AI400" s="50"/>
      <c r="AJ400" s="38">
        <f>IF(ISNUMBER($AD400),SUM($AD400:$AH400),"")</f>
      </c>
      <c r="AK400" s="40">
        <f>IF(AND(ISNUMBER($AB400),ISNUMBER($AD400)),IF($AB400&gt;0,$AD400/$AB400,""),"")</f>
      </c>
      <c r="AL400" s="48" t="inlineStr">
        <is>
          <t xml:space="preserve">At technical</t>
        </is>
      </c>
      <c r="AM400" s="41">
        <f>IF(ISNUMBER($AD400),Header!$I$3,"")</f>
      </c>
      <c r="AN400" s="39">
        <f>IF(ISNUMBER($AD400),$AO400+$AP400,"")</f>
      </c>
      <c r="AO400" s="39">
        <f>IF(ISNUMBER($AD400),ROUND($AD400*Header!$K$3,2),"")</f>
      </c>
      <c r="AP400" s="39">
        <f>IF(ISNUMBER($AD400),ROUND($AD400*Header!$M$3,2),"")</f>
      </c>
      <c r="AQ400" s="38">
        <f>IF(ISNUMBER($AD400),ROUND($AD400,2)-$AO400-$AP400,"")</f>
      </c>
      <c r="AR400" s="39">
        <f>IF(ISNUMBER($AD400),IF(Header!$D$34="","?",$AD400*Header!$D$34),"")</f>
      </c>
      <c r="AS400" s="39">
        <f>IF(ISNUMBER($AB400),IF(Header!$D$34="","?",$AB400*Header!$D$34),"")</f>
      </c>
      <c r="AT400" s="42">
        <f>IF(AND(ISNUMBER($AB400),$M400&gt;0),$AB400/$M400*100,"")</f>
      </c>
      <c r="AU400" s="42">
        <f>IF(AND(ISNUMBER($AD400),$M400&gt;0),$AD400/$M400*100,"")</f>
      </c>
      <c r="AV400" s="40">
        <f>IF(AND(ISNUMBER($AB400),ISNUMBER($AD400),ABS($AB400)&gt;0),$AD400/$AB400,"")</f>
      </c>
      <c r="AW400" s="39">
        <f>IF(ISNUMBER($AD400),MAX(0,(1-0.55-Header!$O$3)*Header!$Q$3*$AQ400),"")</f>
      </c>
      <c r="AX400" s="43">
        <f>IF($A400="","",IF(TRIM(IF($A400="","Missing certificate ref. ","") &amp; IF($C400="","Missing effective date. ","") &amp; IF($D400="","Missing binding status. ","") &amp; IF($E400="","Missing movement type. ","") &amp; IF($I400="","Missing make. ","") &amp; IF($L400="","Missing vehicle class. ","") &amp; IF($M400="","Missing agreed value. ","") &amp; IF($N400="","Missing policy type. ","") &amp; IF($Q400="","Missing garaging state. ","") &amp; IF($R400="","Missing garaging ZIP. ","") &amp; IF($S400="","Missing cat zone. ","") &amp; IF($V400="","Missing valuation basis. ","") &amp; IF($W400="","Missing PD deductible. ","") &amp; IF($X400="","Missing liability limit. ","") &amp; IF($AB400="","Missing technical premium. ","") &amp; IF($AF400="","Missing surplus lines tax %. ",""))="","PASS","FAIL: "&amp;TRIM(IF($A400="","Missing certificate ref. ","") &amp; IF($C400="","Missing effective date. ","") &amp; IF($D400="","Missing binding status. ","") &amp; IF($E400="","Missing movement type. ","") &amp; IF($I400="","Missing make. ","") &amp; IF($L400="","Missing vehicle class. ","") &amp; IF($M400="","Missing agreed value. ","") &amp; IF($N400="","Missing policy type. ","") &amp; IF($Q400="","Missing garaging state. ","") &amp; IF($R400="","Missing garaging ZIP. ","") &amp; IF($S400="","Missing cat zone. ","") &amp; IF($V400="","Missing valuation basis. ","") &amp; IF($W400="","Missing PD deductible. ","") &amp; IF($X400="","Missing liability limit. ","") &amp; IF($AB400="","Missing technical premium. ","") &amp; IF($AF400="","Missing surplus lines tax %. ",""))))</f>
      </c>
      <c r="AY400" s="44">
        <f>IF($M400="","",IF(ISNUMBER($M400),IF($M400&gt;=Header!$C$18,"YES — refer","No"),""))</f>
      </c>
      <c r="AZ400" s="44">
        <f>IF($AD400="","",IF(ISNUMBER($AD400),IF($AD400&lt;Header!$C$20,"BELOW MIN PREMIUM","OK"),""))</f>
      </c>
      <c r="BA400" s="48" t="inlineStr">
        <is>
          <t xml:space="preserve">Yes</t>
        </is>
      </c>
      <c r="BB400" s="48" t="inlineStr">
        <is>
          <t xml:space="preserve">Yes</t>
        </is>
      </c>
      <c r="BC400" s="46" t="inlineStr">
        <is>
          <t xml:space="preserve">Synthetic demo data</t>
        </is>
      </c>
      <c r="BE400" s="45">
        <f>IF(OR($A400="",$L400="",$H400=""),"",IF(AND(LEFT($L400,2)="06",$H400&gt;1945),"FAIL - pre-war class, year "&amp;$H400,IF(AND(LEFT($L400,2)="07",OR($H400&lt;1946,$H400&gt;1972)),"FAIL - 1946-72 class, year "&amp;$H400,IF(AND(LEFT($L400,2)="08",OR($H400&lt;1973,$H400&gt;1999)),"FAIL - 1973-99 class, year "&amp;$H400,IF(AND(LEFT($L400,2)="09",OR($H400&lt;2000,$H400&gt;2010)),"FAIL - 2000-10 class, year "&amp;$H400,"OK")))))</f>
      </c>
      <c r="BF400" s="45">
        <f>IF($AD400="","",IF(ROUND($AO400+$AP400+$AQ400-$AD400,2)=0,"OK","FAIL - out by "&amp;TEXT($AO400+$AP400+$AQ400-$AD400,"$0.00")))</f>
      </c>
    </row>
    <row r="401" spans="1:58" ht="18.75" customHeight="1" x14ac:dyDescent="0.25">
      <c r="A401" s="30" t="inlineStr">
        <is>
          <t xml:space="preserve">CANON-202511-002715</t>
        </is>
      </c>
      <c r="B401" s="30" t="inlineStr">
        <is>
          <t xml:space="preserve">Mireille Montoya</t>
        </is>
      </c>
      <c r="C401" s="31">
        <v>45963</v>
      </c>
      <c r="D401" s="32" t="inlineStr">
        <is>
          <t xml:space="preserve">Bound - within authority</t>
        </is>
      </c>
      <c r="E401" s="32" t="inlineStr">
        <is>
          <t xml:space="preserve">New business</t>
        </is>
      </c>
      <c r="F401" s="30" t="inlineStr">
        <is>
          <t xml:space="preserve">B1234EXOTIC26</t>
        </is>
      </c>
      <c r="G401" s="33">
        <f>IF($A401="","",IF($C401="","",YEAR($C401)))</f>
      </c>
      <c r="H401" s="34">
        <v>1969</v>
      </c>
      <c r="I401" s="30" t="inlineStr">
        <is>
          <t xml:space="preserve">Alfa Romeo</t>
        </is>
      </c>
      <c r="J401" s="30" t="inlineStr">
        <is>
          <t xml:space="preserve">8C 2900</t>
        </is>
      </c>
      <c r="K401" s="30" t="inlineStr">
        <is>
          <t xml:space="preserve">SH9PGC5W1PYB56WDM</t>
        </is>
      </c>
      <c r="L401" s="32" t="inlineStr">
        <is>
          <t xml:space="preserve">07 - Post-War Classic (1946-1972)</t>
        </is>
      </c>
      <c r="M401" s="35">
        <v>920000</v>
      </c>
      <c r="N401" s="32" t="inlineStr">
        <is>
          <t xml:space="preserve">Personal</t>
        </is>
      </c>
      <c r="O401" s="30" t="inlineStr">
        <is>
          <t xml:space="preserve">Personal - regular use</t>
        </is>
      </c>
      <c r="P401" s="30" t="inlineStr">
        <is>
          <t xml:space="preserve">2,500 - 5,000</t>
        </is>
      </c>
      <c r="Q401" s="30" t="inlineStr">
        <is>
          <t xml:space="preserve">Massachusetts</t>
        </is>
      </c>
      <c r="R401" s="30" t="inlineStr">
        <is>
          <t xml:space="preserve">02108</t>
        </is>
      </c>
      <c r="S401" s="32" t="inlineStr">
        <is>
          <t xml:space="preserve">Tier 3 - Coastal wind (25-100 miles)</t>
        </is>
      </c>
      <c r="T401" s="36">
        <f>IF($A401="","",IF($S401="","",IFERROR(INDEX('[1]natural catastrophe'!$D$6:$D$17,MATCH($S401,'[1]natural catastrophe'!$B$6:$B$17,0)),"?")))</f>
      </c>
      <c r="U401" s="30" t="inlineStr">
        <is>
          <t xml:space="preserve">2% of agreed value, minimum $10,000</t>
        </is>
      </c>
      <c r="V401" s="32" t="inlineStr">
        <is>
          <t xml:space="preserve">Agreed Value</t>
        </is>
      </c>
      <c r="W401" s="30" t="inlineStr">
        <is>
          <t xml:space="preserve">$1,000</t>
        </is>
      </c>
      <c r="X401" s="32" t="inlineStr">
        <is>
          <t xml:space="preserve">$1,000,000 CSL</t>
        </is>
      </c>
      <c r="Y401" s="30"/>
      <c r="Z401" s="30"/>
      <c r="AA401" s="32" t="inlineStr">
        <is>
          <t xml:space="preserve">Surplus Lines</t>
        </is>
      </c>
      <c r="AB401" s="35">
        <v>7580.71</v>
      </c>
      <c r="AC401" s="37">
        <v>0</v>
      </c>
      <c r="AD401" s="38">
        <f>IF(ISNUMBER($AB401),$AB401*(1+N($AC401)),"")</f>
      </c>
      <c r="AE401" s="35">
        <v>350</v>
      </c>
      <c r="AF401" s="35">
        <v>0</v>
      </c>
      <c r="AG401" s="37"/>
      <c r="AH401" s="39">
        <f>IF(ISNUMBER($AD401),($AD401+$AE401+$AF401)*$AG401,"")</f>
      </c>
      <c r="AI401" s="35"/>
      <c r="AJ401" s="38">
        <f>IF(ISNUMBER($AD401),SUM($AD401:$AH401),"")</f>
      </c>
      <c r="AK401" s="40">
        <f>IF(AND(ISNUMBER($AB401),ISNUMBER($AD401)),IF($AB401&gt;0,$AD401/$AB401,""),"")</f>
      </c>
      <c r="AL401" s="32" t="inlineStr">
        <is>
          <t xml:space="preserve">At technical</t>
        </is>
      </c>
      <c r="AM401" s="41">
        <f>IF(ISNUMBER($AD401),Header!$I$3,"")</f>
      </c>
      <c r="AN401" s="39">
        <f>IF(ISNUMBER($AD401),$AO401+$AP401,"")</f>
      </c>
      <c r="AO401" s="39">
        <f>IF(ISNUMBER($AD401),ROUND($AD401*Header!$K$3,2),"")</f>
      </c>
      <c r="AP401" s="39">
        <f>IF(ISNUMBER($AD401),ROUND($AD401*Header!$M$3,2),"")</f>
      </c>
      <c r="AQ401" s="38">
        <f>IF(ISNUMBER($AD401),ROUND($AD401,2)-$AO401-$AP401,"")</f>
      </c>
      <c r="AR401" s="39">
        <f>IF(ISNUMBER($AD401),IF(Header!$D$34="","?",$AD401*Header!$D$34),"")</f>
      </c>
      <c r="AS401" s="39">
        <f>IF(ISNUMBER($AB401),IF(Header!$D$34="","?",$AB401*Header!$D$34),"")</f>
      </c>
      <c r="AT401" s="42">
        <f>IF(AND(ISNUMBER($AB401),$M401&gt;0),$AB401/$M401*100,"")</f>
      </c>
      <c r="AU401" s="42">
        <f>IF(AND(ISNUMBER($AD401),$M401&gt;0),$AD401/$M401*100,"")</f>
      </c>
      <c r="AV401" s="40">
        <f>IF(AND(ISNUMBER($AB401),ISNUMBER($AD401),ABS($AB401)&gt;0),$AD401/$AB401,"")</f>
      </c>
      <c r="AW401" s="39">
        <f>IF(ISNUMBER($AD401),MAX(0,(1-0.55-Header!$O$3)*Header!$Q$3*$AQ401),"")</f>
      </c>
      <c r="AX401" s="43">
        <f>IF($A401="","",IF(TRIM(IF($A401="","Missing certificate ref. ","") &amp; IF($C401="","Missing effective date. ","") &amp; IF($D401="","Missing binding status. ","") &amp; IF($E401="","Missing movement type. ","") &amp; IF($I401="","Missing make. ","") &amp; IF($L401="","Missing vehicle class. ","") &amp; IF($M401="","Missing agreed value. ","") &amp; IF($N401="","Missing policy type. ","") &amp; IF($Q401="","Missing garaging state. ","") &amp; IF($R401="","Missing garaging ZIP. ","") &amp; IF($S401="","Missing cat zone. ","") &amp; IF($V401="","Missing valuation basis. ","") &amp; IF($W401="","Missing PD deductible. ","") &amp; IF($X401="","Missing liability limit. ","") &amp; IF($AB401="","Missing technical premium. ","") &amp; IF($AF401="","Missing surplus lines tax %. ",""))="","PASS","FAIL: "&amp;TRIM(IF($A401="","Missing certificate ref. ","") &amp; IF($C401="","Missing effective date. ","") &amp; IF($D401="","Missing binding status. ","") &amp; IF($E401="","Missing movement type. ","") &amp; IF($I401="","Missing make. ","") &amp; IF($L401="","Missing vehicle class. ","") &amp; IF($M401="","Missing agreed value. ","") &amp; IF($N401="","Missing policy type. ","") &amp; IF($Q401="","Missing garaging state. ","") &amp; IF($R401="","Missing garaging ZIP. ","") &amp; IF($S401="","Missing cat zone. ","") &amp; IF($V401="","Missing valuation basis. ","") &amp; IF($W401="","Missing PD deductible. ","") &amp; IF($X401="","Missing liability limit. ","") &amp; IF($AB401="","Missing technical premium. ","") &amp; IF($AF401="","Missing surplus lines tax %. ",""))))</f>
      </c>
      <c r="AY401" s="44">
        <f>IF($M401="","",IF(ISNUMBER($M401),IF($M401&gt;=Header!$C$18,"YES — refer","No"),""))</f>
      </c>
      <c r="AZ401" s="44">
        <f>IF($AD401="","",IF(ISNUMBER($AD401),IF($AD401&lt;Header!$C$20,"BELOW MIN PREMIUM","OK"),""))</f>
      </c>
      <c r="BA401" s="32" t="inlineStr">
        <is>
          <t xml:space="preserve">Yes</t>
        </is>
      </c>
      <c r="BB401" s="32" t="inlineStr">
        <is>
          <t xml:space="preserve">Yes</t>
        </is>
      </c>
      <c r="BC401" s="30" t="inlineStr">
        <is>
          <t xml:space="preserve">Synthetic demo data</t>
        </is>
      </c>
      <c r="BE401" s="45">
        <f>IF(OR($A401="",$L401="",$H401=""),"",IF(AND(LEFT($L401,2)="06",$H401&gt;1945),"FAIL - pre-war class, year "&amp;$H401,IF(AND(LEFT($L401,2)="07",OR($H401&lt;1946,$H401&gt;1972)),"FAIL - 1946-72 class, year "&amp;$H401,IF(AND(LEFT($L401,2)="08",OR($H401&lt;1973,$H401&gt;1999)),"FAIL - 1973-99 class, year "&amp;$H401,IF(AND(LEFT($L401,2)="09",OR($H401&lt;2000,$H401&gt;2010)),"FAIL - 2000-10 class, year "&amp;$H401,"OK")))))</f>
      </c>
      <c r="BF401" s="45">
        <f>IF($AD401="","",IF(ROUND($AO401+$AP401+$AQ401-$AD401,2)=0,"OK","FAIL - out by "&amp;TEXT($AO401+$AP401+$AQ401-$AD401,"$0.00")))</f>
      </c>
    </row>
    <row r="402" spans="1:58" ht="18.75" customHeight="1" x14ac:dyDescent="0.25">
      <c r="A402" s="46" t="inlineStr">
        <is>
          <t xml:space="preserve">CANON-202511-002716</t>
        </is>
      </c>
      <c r="B402" s="46" t="inlineStr">
        <is>
          <t xml:space="preserve">Aurelio Nakashima</t>
        </is>
      </c>
      <c r="C402" s="47">
        <v>45984</v>
      </c>
      <c r="D402" s="48" t="inlineStr">
        <is>
          <t xml:space="preserve">Bound - within authority</t>
        </is>
      </c>
      <c r="E402" s="48" t="inlineStr">
        <is>
          <t xml:space="preserve">New business</t>
        </is>
      </c>
      <c r="F402" s="46" t="inlineStr">
        <is>
          <t xml:space="preserve">B1234EXOTIC26</t>
        </is>
      </c>
      <c r="G402" s="33">
        <f>IF($A402="","",IF($C402="","",YEAR($C402)))</f>
      </c>
      <c r="H402" s="49">
        <v>2018</v>
      </c>
      <c r="I402" s="46" t="inlineStr">
        <is>
          <t xml:space="preserve">Porsche</t>
        </is>
      </c>
      <c r="J402" s="46" t="inlineStr">
        <is>
          <t xml:space="preserve">911 Turbo S</t>
        </is>
      </c>
      <c r="K402" s="46" t="inlineStr">
        <is>
          <t xml:space="preserve">ABMBW6B4ADH0WKYFW</t>
        </is>
      </c>
      <c r="L402" s="48" t="inlineStr">
        <is>
          <t xml:space="preserve">02 - Sports / GT</t>
        </is>
      </c>
      <c r="M402" s="50">
        <v>220000</v>
      </c>
      <c r="N402" s="48" t="inlineStr">
        <is>
          <t xml:space="preserve">Personal</t>
        </is>
      </c>
      <c r="O402" s="46" t="inlineStr">
        <is>
          <t xml:space="preserve">Personal - regular use</t>
        </is>
      </c>
      <c r="P402" s="46" t="inlineStr">
        <is>
          <t xml:space="preserve">2,500 - 5,000</t>
        </is>
      </c>
      <c r="Q402" s="46" t="inlineStr">
        <is>
          <t xml:space="preserve">Maine</t>
        </is>
      </c>
      <c r="R402" s="46" t="inlineStr">
        <is>
          <t xml:space="preserve">04101</t>
        </is>
      </c>
      <c r="S402" s="48" t="inlineStr">
        <is>
          <t xml:space="preserve">Tier 3 - Coastal wind (25-100 miles)</t>
        </is>
      </c>
      <c r="T402" s="36">
        <f>IF($A402="","",IF($S402="","",IFERROR(INDEX('[1]natural catastrophe'!$D$6:$D$17,MATCH($S402,'[1]natural catastrophe'!$B$6:$B$17,0)),"?")))</f>
      </c>
      <c r="U402" s="46" t="inlineStr">
        <is>
          <t xml:space="preserve">2% of agreed value, minimum $10,000</t>
        </is>
      </c>
      <c r="V402" s="48" t="inlineStr">
        <is>
          <t xml:space="preserve">Agreed Value</t>
        </is>
      </c>
      <c r="W402" s="46" t="inlineStr">
        <is>
          <t xml:space="preserve">$1,000</t>
        </is>
      </c>
      <c r="X402" s="48" t="inlineStr">
        <is>
          <t xml:space="preserve">$1,000,000 CSL</t>
        </is>
      </c>
      <c r="Y402" s="46"/>
      <c r="Z402" s="46"/>
      <c r="AA402" s="48" t="inlineStr">
        <is>
          <t xml:space="preserve">Surplus Lines</t>
        </is>
      </c>
      <c r="AB402" s="50">
        <v>3791.95</v>
      </c>
      <c r="AC402" s="51">
        <v>0</v>
      </c>
      <c r="AD402" s="38">
        <f>IF(ISNUMBER($AB402),$AB402*(1+N($AC402)),"")</f>
      </c>
      <c r="AE402" s="50">
        <v>350</v>
      </c>
      <c r="AF402" s="50">
        <v>0</v>
      </c>
      <c r="AG402" s="51"/>
      <c r="AH402" s="39">
        <f>IF(ISNUMBER($AD402),($AD402+$AE402+$AF402)*$AG402,"")</f>
      </c>
      <c r="AI402" s="50"/>
      <c r="AJ402" s="38">
        <f>IF(ISNUMBER($AD402),SUM($AD402:$AH402),"")</f>
      </c>
      <c r="AK402" s="40">
        <f>IF(AND(ISNUMBER($AB402),ISNUMBER($AD402)),IF($AB402&gt;0,$AD402/$AB402,""),"")</f>
      </c>
      <c r="AL402" s="48" t="inlineStr">
        <is>
          <t xml:space="preserve">At technical</t>
        </is>
      </c>
      <c r="AM402" s="41">
        <f>IF(ISNUMBER($AD402),Header!$I$3,"")</f>
      </c>
      <c r="AN402" s="39">
        <f>IF(ISNUMBER($AD402),$AO402+$AP402,"")</f>
      </c>
      <c r="AO402" s="39">
        <f>IF(ISNUMBER($AD402),ROUND($AD402*Header!$K$3,2),"")</f>
      </c>
      <c r="AP402" s="39">
        <f>IF(ISNUMBER($AD402),ROUND($AD402*Header!$M$3,2),"")</f>
      </c>
      <c r="AQ402" s="38">
        <f>IF(ISNUMBER($AD402),ROUND($AD402,2)-$AO402-$AP402,"")</f>
      </c>
      <c r="AR402" s="39">
        <f>IF(ISNUMBER($AD402),IF(Header!$D$34="","?",$AD402*Header!$D$34),"")</f>
      </c>
      <c r="AS402" s="39">
        <f>IF(ISNUMBER($AB402),IF(Header!$D$34="","?",$AB402*Header!$D$34),"")</f>
      </c>
      <c r="AT402" s="42">
        <f>IF(AND(ISNUMBER($AB402),$M402&gt;0),$AB402/$M402*100,"")</f>
      </c>
      <c r="AU402" s="42">
        <f>IF(AND(ISNUMBER($AD402),$M402&gt;0),$AD402/$M402*100,"")</f>
      </c>
      <c r="AV402" s="40">
        <f>IF(AND(ISNUMBER($AB402),ISNUMBER($AD402),ABS($AB402)&gt;0),$AD402/$AB402,"")</f>
      </c>
      <c r="AW402" s="39">
        <f>IF(ISNUMBER($AD402),MAX(0,(1-0.55-Header!$O$3)*Header!$Q$3*$AQ402),"")</f>
      </c>
      <c r="AX402" s="43">
        <f>IF($A402="","",IF(TRIM(IF($A402="","Missing certificate ref. ","") &amp; IF($C402="","Missing effective date. ","") &amp; IF($D402="","Missing binding status. ","") &amp; IF($E402="","Missing movement type. ","") &amp; IF($I402="","Missing make. ","") &amp; IF($L402="","Missing vehicle class. ","") &amp; IF($M402="","Missing agreed value. ","") &amp; IF($N402="","Missing policy type. ","") &amp; IF($Q402="","Missing garaging state. ","") &amp; IF($R402="","Missing garaging ZIP. ","") &amp; IF($S402="","Missing cat zone. ","") &amp; IF($V402="","Missing valuation basis. ","") &amp; IF($W402="","Missing PD deductible. ","") &amp; IF($X402="","Missing liability limit. ","") &amp; IF($AB402="","Missing technical premium. ","") &amp; IF($AF402="","Missing surplus lines tax %. ",""))="","PASS","FAIL: "&amp;TRIM(IF($A402="","Missing certificate ref. ","") &amp; IF($C402="","Missing effective date. ","") &amp; IF($D402="","Missing binding status. ","") &amp; IF($E402="","Missing movement type. ","") &amp; IF($I402="","Missing make. ","") &amp; IF($L402="","Missing vehicle class. ","") &amp; IF($M402="","Missing agreed value. ","") &amp; IF($N402="","Missing policy type. ","") &amp; IF($Q402="","Missing garaging state. ","") &amp; IF($R402="","Missing garaging ZIP. ","") &amp; IF($S402="","Missing cat zone. ","") &amp; IF($V402="","Missing valuation basis. ","") &amp; IF($W402="","Missing PD deductible. ","") &amp; IF($X402="","Missing liability limit. ","") &amp; IF($AB402="","Missing technical premium. ","") &amp; IF($AF402="","Missing surplus lines tax %. ",""))))</f>
      </c>
      <c r="AY402" s="44">
        <f>IF($M402="","",IF(ISNUMBER($M402),IF($M402&gt;=Header!$C$18,"YES — refer","No"),""))</f>
      </c>
      <c r="AZ402" s="44">
        <f>IF($AD402="","",IF(ISNUMBER($AD402),IF($AD402&lt;Header!$C$20,"BELOW MIN PREMIUM","OK"),""))</f>
      </c>
      <c r="BA402" s="48" t="inlineStr">
        <is>
          <t xml:space="preserve">Yes</t>
        </is>
      </c>
      <c r="BB402" s="48" t="inlineStr">
        <is>
          <t xml:space="preserve">Yes</t>
        </is>
      </c>
      <c r="BC402" s="46" t="inlineStr">
        <is>
          <t xml:space="preserve">Synthetic demo data</t>
        </is>
      </c>
      <c r="BE402" s="45">
        <f>IF(OR($A402="",$L402="",$H402=""),"",IF(AND(LEFT($L402,2)="06",$H402&gt;1945),"FAIL - pre-war class, year "&amp;$H402,IF(AND(LEFT($L402,2)="07",OR($H402&lt;1946,$H402&gt;1972)),"FAIL - 1946-72 class, year "&amp;$H402,IF(AND(LEFT($L402,2)="08",OR($H402&lt;1973,$H402&gt;1999)),"FAIL - 1973-99 class, year "&amp;$H402,IF(AND(LEFT($L402,2)="09",OR($H402&lt;2000,$H402&gt;2010)),"FAIL - 2000-10 class, year "&amp;$H402,"OK")))))</f>
      </c>
      <c r="BF402" s="45">
        <f>IF($AD402="","",IF(ROUND($AO402+$AP402+$AQ402-$AD402,2)=0,"OK","FAIL - out by "&amp;TEXT($AO402+$AP402+$AQ402-$AD402,"$0.00")))</f>
      </c>
    </row>
    <row r="403" spans="1:58" ht="18.75" customHeight="1" x14ac:dyDescent="0.25">
      <c r="A403" s="30" t="inlineStr">
        <is>
          <t xml:space="preserve">CANON-202511-002717</t>
        </is>
      </c>
      <c r="B403" s="30" t="inlineStr">
        <is>
          <t xml:space="preserve">Everett Rourke</t>
        </is>
      </c>
      <c r="C403" s="31">
        <v>45969</v>
      </c>
      <c r="D403" s="32" t="inlineStr">
        <is>
          <t xml:space="preserve">Bound - within authority</t>
        </is>
      </c>
      <c r="E403" s="32" t="inlineStr">
        <is>
          <t xml:space="preserve">New business</t>
        </is>
      </c>
      <c r="F403" s="30" t="inlineStr">
        <is>
          <t xml:space="preserve">B1234EXOTIC26</t>
        </is>
      </c>
      <c r="G403" s="33">
        <f>IF($A403="","",IF($C403="","",YEAR($C403)))</f>
      </c>
      <c r="H403" s="34">
        <v>1961</v>
      </c>
      <c r="I403" s="30" t="inlineStr">
        <is>
          <t xml:space="preserve">BMW</t>
        </is>
      </c>
      <c r="J403" s="30" t="inlineStr">
        <is>
          <t xml:space="preserve">M8 Competition</t>
        </is>
      </c>
      <c r="K403" s="30" t="inlineStr">
        <is>
          <t xml:space="preserve">6W5VZ7B77R868K6BV</t>
        </is>
      </c>
      <c r="L403" s="32" t="inlineStr">
        <is>
          <t xml:space="preserve">02 - Sports / GT</t>
        </is>
      </c>
      <c r="M403" s="35">
        <v>900000</v>
      </c>
      <c r="N403" s="32" t="inlineStr">
        <is>
          <t xml:space="preserve">Personal</t>
        </is>
      </c>
      <c r="O403" s="30" t="inlineStr">
        <is>
          <t xml:space="preserve">Personal - regular use</t>
        </is>
      </c>
      <c r="P403" s="30" t="inlineStr">
        <is>
          <t xml:space="preserve">2,500 - 5,000</t>
        </is>
      </c>
      <c r="Q403" s="30" t="inlineStr">
        <is>
          <t xml:space="preserve">West Virginia</t>
        </is>
      </c>
      <c r="R403" s="30" t="inlineStr">
        <is>
          <t xml:space="preserve">25301</t>
        </is>
      </c>
      <c r="S403" s="32" t="inlineStr">
        <is>
          <t xml:space="preserve">Low hazard - inland benign</t>
        </is>
      </c>
      <c r="T403" s="36">
        <f>IF($A403="","",IF($S403="","",IFERROR(INDEX('[1]natural catastrophe'!$D$6:$D$17,MATCH($S403,'[1]natural catastrophe'!$B$6:$B$17,0)),"?")))</f>
      </c>
      <c r="U403" s="30" t="inlineStr">
        <is>
          <t xml:space="preserve">$5,000</t>
        </is>
      </c>
      <c r="V403" s="32" t="inlineStr">
        <is>
          <t xml:space="preserve">Agreed Value</t>
        </is>
      </c>
      <c r="W403" s="30" t="inlineStr">
        <is>
          <t xml:space="preserve">$1,000</t>
        </is>
      </c>
      <c r="X403" s="32" t="inlineStr">
        <is>
          <t xml:space="preserve">$1,000,000 CSL</t>
        </is>
      </c>
      <c r="Y403" s="30"/>
      <c r="Z403" s="30"/>
      <c r="AA403" s="32" t="inlineStr">
        <is>
          <t xml:space="preserve">Surplus Lines</t>
        </is>
      </c>
      <c r="AB403" s="35">
        <v>13496.97</v>
      </c>
      <c r="AC403" s="37">
        <v>0</v>
      </c>
      <c r="AD403" s="38">
        <f>IF(ISNUMBER($AB403),$AB403*(1+N($AC403)),"")</f>
      </c>
      <c r="AE403" s="35">
        <v>350</v>
      </c>
      <c r="AF403" s="35">
        <v>0</v>
      </c>
      <c r="AG403" s="37"/>
      <c r="AH403" s="39">
        <f>IF(ISNUMBER($AD403),($AD403+$AE403+$AF403)*$AG403,"")</f>
      </c>
      <c r="AI403" s="35"/>
      <c r="AJ403" s="38">
        <f>IF(ISNUMBER($AD403),SUM($AD403:$AH403),"")</f>
      </c>
      <c r="AK403" s="40">
        <f>IF(AND(ISNUMBER($AB403),ISNUMBER($AD403)),IF($AB403&gt;0,$AD403/$AB403,""),"")</f>
      </c>
      <c r="AL403" s="32" t="inlineStr">
        <is>
          <t xml:space="preserve">At technical</t>
        </is>
      </c>
      <c r="AM403" s="41">
        <f>IF(ISNUMBER($AD403),Header!$I$3,"")</f>
      </c>
      <c r="AN403" s="39">
        <f>IF(ISNUMBER($AD403),$AO403+$AP403,"")</f>
      </c>
      <c r="AO403" s="39">
        <f>IF(ISNUMBER($AD403),ROUND($AD403*Header!$K$3,2),"")</f>
      </c>
      <c r="AP403" s="39">
        <f>IF(ISNUMBER($AD403),ROUND($AD403*Header!$M$3,2),"")</f>
      </c>
      <c r="AQ403" s="38">
        <f>IF(ISNUMBER($AD403),ROUND($AD403,2)-$AO403-$AP403,"")</f>
      </c>
      <c r="AR403" s="39">
        <f>IF(ISNUMBER($AD403),IF(Header!$D$34="","?",$AD403*Header!$D$34),"")</f>
      </c>
      <c r="AS403" s="39">
        <f>IF(ISNUMBER($AB403),IF(Header!$D$34="","?",$AB403*Header!$D$34),"")</f>
      </c>
      <c r="AT403" s="42">
        <f>IF(AND(ISNUMBER($AB403),$M403&gt;0),$AB403/$M403*100,"")</f>
      </c>
      <c r="AU403" s="42">
        <f>IF(AND(ISNUMBER($AD403),$M403&gt;0),$AD403/$M403*100,"")</f>
      </c>
      <c r="AV403" s="40">
        <f>IF(AND(ISNUMBER($AB403),ISNUMBER($AD403),ABS($AB403)&gt;0),$AD403/$AB403,"")</f>
      </c>
      <c r="AW403" s="39">
        <f>IF(ISNUMBER($AD403),MAX(0,(1-0.55-Header!$O$3)*Header!$Q$3*$AQ403),"")</f>
      </c>
      <c r="AX403" s="43">
        <f>IF($A403="","",IF(TRIM(IF($A403="","Missing certificate ref. ","") &amp; IF($C403="","Missing effective date. ","") &amp; IF($D403="","Missing binding status. ","") &amp; IF($E403="","Missing movement type. ","") &amp; IF($I403="","Missing make. ","") &amp; IF($L403="","Missing vehicle class. ","") &amp; IF($M403="","Missing agreed value. ","") &amp; IF($N403="","Missing policy type. ","") &amp; IF($Q403="","Missing garaging state. ","") &amp; IF($R403="","Missing garaging ZIP. ","") &amp; IF($S403="","Missing cat zone. ","") &amp; IF($V403="","Missing valuation basis. ","") &amp; IF($W403="","Missing PD deductible. ","") &amp; IF($X403="","Missing liability limit. ","") &amp; IF($AB403="","Missing technical premium. ","") &amp; IF($AF403="","Missing surplus lines tax %. ",""))="","PASS","FAIL: "&amp;TRIM(IF($A403="","Missing certificate ref. ","") &amp; IF($C403="","Missing effective date. ","") &amp; IF($D403="","Missing binding status. ","") &amp; IF($E403="","Missing movement type. ","") &amp; IF($I403="","Missing make. ","") &amp; IF($L403="","Missing vehicle class. ","") &amp; IF($M403="","Missing agreed value. ","") &amp; IF($N403="","Missing policy type. ","") &amp; IF($Q403="","Missing garaging state. ","") &amp; IF($R403="","Missing garaging ZIP. ","") &amp; IF($S403="","Missing cat zone. ","") &amp; IF($V403="","Missing valuation basis. ","") &amp; IF($W403="","Missing PD deductible. ","") &amp; IF($X403="","Missing liability limit. ","") &amp; IF($AB403="","Missing technical premium. ","") &amp; IF($AF403="","Missing surplus lines tax %. ",""))))</f>
      </c>
      <c r="AY403" s="44">
        <f>IF($M403="","",IF(ISNUMBER($M403),IF($M403&gt;=Header!$C$18,"YES — refer","No"),""))</f>
      </c>
      <c r="AZ403" s="44">
        <f>IF($AD403="","",IF(ISNUMBER($AD403),IF($AD403&lt;Header!$C$20,"BELOW MIN PREMIUM","OK"),""))</f>
      </c>
      <c r="BA403" s="32" t="inlineStr">
        <is>
          <t xml:space="preserve">Yes</t>
        </is>
      </c>
      <c r="BB403" s="32" t="inlineStr">
        <is>
          <t xml:space="preserve">Yes</t>
        </is>
      </c>
      <c r="BC403" s="30" t="inlineStr">
        <is>
          <t xml:space="preserve">Synthetic demo data</t>
        </is>
      </c>
      <c r="BE403" s="45">
        <f>IF(OR($A403="",$L403="",$H403=""),"",IF(AND(LEFT($L403,2)="06",$H403&gt;1945),"FAIL - pre-war class, year "&amp;$H403,IF(AND(LEFT($L403,2)="07",OR($H403&lt;1946,$H403&gt;1972)),"FAIL - 1946-72 class, year "&amp;$H403,IF(AND(LEFT($L403,2)="08",OR($H403&lt;1973,$H403&gt;1999)),"FAIL - 1973-99 class, year "&amp;$H403,IF(AND(LEFT($L403,2)="09",OR($H403&lt;2000,$H403&gt;2010)),"FAIL - 2000-10 class, year "&amp;$H403,"OK")))))</f>
      </c>
      <c r="BF403" s="45">
        <f>IF($AD403="","",IF(ROUND($AO403+$AP403+$AQ403-$AD403,2)=0,"OK","FAIL - out by "&amp;TEXT($AO403+$AP403+$AQ403-$AD403,"$0.00")))</f>
      </c>
    </row>
    <row r="404" spans="1:58" ht="18.75" customHeight="1" x14ac:dyDescent="0.25">
      <c r="A404" s="46" t="inlineStr">
        <is>
          <t xml:space="preserve">CANON-202511-002720</t>
        </is>
      </c>
      <c r="B404" s="46" t="inlineStr">
        <is>
          <t xml:space="preserve">Saoirse Chattopadhyay</t>
        </is>
      </c>
      <c r="C404" s="47">
        <v>45984</v>
      </c>
      <c r="D404" s="48" t="inlineStr">
        <is>
          <t xml:space="preserve">Bound - within authority</t>
        </is>
      </c>
      <c r="E404" s="48" t="inlineStr">
        <is>
          <t xml:space="preserve">New business</t>
        </is>
      </c>
      <c r="F404" s="46" t="inlineStr">
        <is>
          <t xml:space="preserve">B1234EXOTIC26</t>
        </is>
      </c>
      <c r="G404" s="33">
        <f>IF($A404="","",IF($C404="","",YEAR($C404)))</f>
      </c>
      <c r="H404" s="49">
        <v>1976</v>
      </c>
      <c r="I404" s="46" t="inlineStr">
        <is>
          <t xml:space="preserve">Porsche</t>
        </is>
      </c>
      <c r="J404" s="46" t="inlineStr">
        <is>
          <t xml:space="preserve">911 Turbo S</t>
        </is>
      </c>
      <c r="K404" s="46" t="inlineStr">
        <is>
          <t xml:space="preserve">H6P1FB1TBZ7098AYG</t>
        </is>
      </c>
      <c r="L404" s="48" t="inlineStr">
        <is>
          <t xml:space="preserve">02 - Sports / GT</t>
        </is>
      </c>
      <c r="M404" s="50">
        <v>890000</v>
      </c>
      <c r="N404" s="48" t="inlineStr">
        <is>
          <t xml:space="preserve">Personal</t>
        </is>
      </c>
      <c r="O404" s="46" t="inlineStr">
        <is>
          <t xml:space="preserve">Personal - regular use</t>
        </is>
      </c>
      <c r="P404" s="46" t="inlineStr">
        <is>
          <t xml:space="preserve">2,500 - 5,000</t>
        </is>
      </c>
      <c r="Q404" s="46" t="inlineStr">
        <is>
          <t xml:space="preserve">Nevada</t>
        </is>
      </c>
      <c r="R404" s="46" t="inlineStr">
        <is>
          <t xml:space="preserve">89101</t>
        </is>
      </c>
      <c r="S404" s="48" t="inlineStr">
        <is>
          <t xml:space="preserve">Wildfire - WUI high hazard</t>
        </is>
      </c>
      <c r="T404" s="36">
        <f>IF($A404="","",IF($S404="","",IFERROR(INDEX('[1]natural catastrophe'!$D$6:$D$17,MATCH($S404,'[1]natural catastrophe'!$B$6:$B$17,0)),"?")))</f>
      </c>
      <c r="U404" s="46" t="inlineStr">
        <is>
          <t xml:space="preserve">$5,000</t>
        </is>
      </c>
      <c r="V404" s="48" t="inlineStr">
        <is>
          <t xml:space="preserve">Agreed Value</t>
        </is>
      </c>
      <c r="W404" s="46" t="inlineStr">
        <is>
          <t xml:space="preserve">$1,000</t>
        </is>
      </c>
      <c r="X404" s="48" t="inlineStr">
        <is>
          <t xml:space="preserve">$1,000,000 CSL</t>
        </is>
      </c>
      <c r="Y404" s="46"/>
      <c r="Z404" s="46"/>
      <c r="AA404" s="48" t="inlineStr">
        <is>
          <t xml:space="preserve">Surplus Lines</t>
        </is>
      </c>
      <c r="AB404" s="50">
        <v>11741.34</v>
      </c>
      <c r="AC404" s="51">
        <v>0</v>
      </c>
      <c r="AD404" s="38">
        <f>IF(ISNUMBER($AB404),$AB404*(1+N($AC404)),"")</f>
      </c>
      <c r="AE404" s="50">
        <v>350</v>
      </c>
      <c r="AF404" s="50">
        <v>0</v>
      </c>
      <c r="AG404" s="51"/>
      <c r="AH404" s="39">
        <f>IF(ISNUMBER($AD404),($AD404+$AE404+$AF404)*$AG404,"")</f>
      </c>
      <c r="AI404" s="50"/>
      <c r="AJ404" s="38">
        <f>IF(ISNUMBER($AD404),SUM($AD404:$AH404),"")</f>
      </c>
      <c r="AK404" s="40">
        <f>IF(AND(ISNUMBER($AB404),ISNUMBER($AD404)),IF($AB404&gt;0,$AD404/$AB404,""),"")</f>
      </c>
      <c r="AL404" s="48" t="inlineStr">
        <is>
          <t xml:space="preserve">At technical</t>
        </is>
      </c>
      <c r="AM404" s="41">
        <f>IF(ISNUMBER($AD404),Header!$I$3,"")</f>
      </c>
      <c r="AN404" s="39">
        <f>IF(ISNUMBER($AD404),$AO404+$AP404,"")</f>
      </c>
      <c r="AO404" s="39">
        <f>IF(ISNUMBER($AD404),ROUND($AD404*Header!$K$3,2),"")</f>
      </c>
      <c r="AP404" s="39">
        <f>IF(ISNUMBER($AD404),ROUND($AD404*Header!$M$3,2),"")</f>
      </c>
      <c r="AQ404" s="38">
        <f>IF(ISNUMBER($AD404),ROUND($AD404,2)-$AO404-$AP404,"")</f>
      </c>
      <c r="AR404" s="39">
        <f>IF(ISNUMBER($AD404),IF(Header!$D$34="","?",$AD404*Header!$D$34),"")</f>
      </c>
      <c r="AS404" s="39">
        <f>IF(ISNUMBER($AB404),IF(Header!$D$34="","?",$AB404*Header!$D$34),"")</f>
      </c>
      <c r="AT404" s="42">
        <f>IF(AND(ISNUMBER($AB404),$M404&gt;0),$AB404/$M404*100,"")</f>
      </c>
      <c r="AU404" s="42">
        <f>IF(AND(ISNUMBER($AD404),$M404&gt;0),$AD404/$M404*100,"")</f>
      </c>
      <c r="AV404" s="40">
        <f>IF(AND(ISNUMBER($AB404),ISNUMBER($AD404),ABS($AB404)&gt;0),$AD404/$AB404,"")</f>
      </c>
      <c r="AW404" s="39">
        <f>IF(ISNUMBER($AD404),MAX(0,(1-0.55-Header!$O$3)*Header!$Q$3*$AQ404),"")</f>
      </c>
      <c r="AX404" s="43">
        <f>IF($A404="","",IF(TRIM(IF($A404="","Missing certificate ref. ","") &amp; IF($C404="","Missing effective date. ","") &amp; IF($D404="","Missing binding status. ","") &amp; IF($E404="","Missing movement type. ","") &amp; IF($I404="","Missing make. ","") &amp; IF($L404="","Missing vehicle class. ","") &amp; IF($M404="","Missing agreed value. ","") &amp; IF($N404="","Missing policy type. ","") &amp; IF($Q404="","Missing garaging state. ","") &amp; IF($R404="","Missing garaging ZIP. ","") &amp; IF($S404="","Missing cat zone. ","") &amp; IF($V404="","Missing valuation basis. ","") &amp; IF($W404="","Missing PD deductible. ","") &amp; IF($X404="","Missing liability limit. ","") &amp; IF($AB404="","Missing technical premium. ","") &amp; IF($AF404="","Missing surplus lines tax %. ",""))="","PASS","FAIL: "&amp;TRIM(IF($A404="","Missing certificate ref. ","") &amp; IF($C404="","Missing effective date. ","") &amp; IF($D404="","Missing binding status. ","") &amp; IF($E404="","Missing movement type. ","") &amp; IF($I404="","Missing make. ","") &amp; IF($L404="","Missing vehicle class. ","") &amp; IF($M404="","Missing agreed value. ","") &amp; IF($N404="","Missing policy type. ","") &amp; IF($Q404="","Missing garaging state. ","") &amp; IF($R404="","Missing garaging ZIP. ","") &amp; IF($S404="","Missing cat zone. ","") &amp; IF($V404="","Missing valuation basis. ","") &amp; IF($W404="","Missing PD deductible. ","") &amp; IF($X404="","Missing liability limit. ","") &amp; IF($AB404="","Missing technical premium. ","") &amp; IF($AF404="","Missing surplus lines tax %. ",""))))</f>
      </c>
      <c r="AY404" s="44">
        <f>IF($M404="","",IF(ISNUMBER($M404),IF($M404&gt;=Header!$C$18,"YES — refer","No"),""))</f>
      </c>
      <c r="AZ404" s="44">
        <f>IF($AD404="","",IF(ISNUMBER($AD404),IF($AD404&lt;Header!$C$20,"BELOW MIN PREMIUM","OK"),""))</f>
      </c>
      <c r="BA404" s="48" t="inlineStr">
        <is>
          <t xml:space="preserve">Yes</t>
        </is>
      </c>
      <c r="BB404" s="48" t="inlineStr">
        <is>
          <t xml:space="preserve">Yes</t>
        </is>
      </c>
      <c r="BC404" s="46" t="inlineStr">
        <is>
          <t xml:space="preserve">Synthetic demo data</t>
        </is>
      </c>
      <c r="BE404" s="45">
        <f>IF(OR($A404="",$L404="",$H404=""),"",IF(AND(LEFT($L404,2)="06",$H404&gt;1945),"FAIL - pre-war class, year "&amp;$H404,IF(AND(LEFT($L404,2)="07",OR($H404&lt;1946,$H404&gt;1972)),"FAIL - 1946-72 class, year "&amp;$H404,IF(AND(LEFT($L404,2)="08",OR($H404&lt;1973,$H404&gt;1999)),"FAIL - 1973-99 class, year "&amp;$H404,IF(AND(LEFT($L404,2)="09",OR($H404&lt;2000,$H404&gt;2010)),"FAIL - 2000-10 class, year "&amp;$H404,"OK")))))</f>
      </c>
      <c r="BF404" s="45">
        <f>IF($AD404="","",IF(ROUND($AO404+$AP404+$AQ404-$AD404,2)=0,"OK","FAIL - out by "&amp;TEXT($AO404+$AP404+$AQ404-$AD404,"$0.00")))</f>
      </c>
    </row>
    <row r="405" spans="1:58" ht="18.75" customHeight="1" x14ac:dyDescent="0.25">
      <c r="A405" s="30" t="inlineStr">
        <is>
          <t xml:space="preserve">CANON-202511-002722</t>
        </is>
      </c>
      <c r="B405" s="30" t="inlineStr">
        <is>
          <t xml:space="preserve">Ramona Merriweather</t>
        </is>
      </c>
      <c r="C405" s="31">
        <v>45991</v>
      </c>
      <c r="D405" s="32" t="inlineStr">
        <is>
          <t xml:space="preserve">Bound - within authority</t>
        </is>
      </c>
      <c r="E405" s="32" t="inlineStr">
        <is>
          <t xml:space="preserve">New business</t>
        </is>
      </c>
      <c r="F405" s="30" t="inlineStr">
        <is>
          <t xml:space="preserve">B1234EXOTIC26</t>
        </is>
      </c>
      <c r="G405" s="33">
        <f>IF($A405="","",IF($C405="","",YEAR($C405)))</f>
      </c>
      <c r="H405" s="34">
        <v>2024</v>
      </c>
      <c r="I405" s="30" t="inlineStr">
        <is>
          <t xml:space="preserve">Lamborghini</t>
        </is>
      </c>
      <c r="J405" s="30" t="inlineStr">
        <is>
          <t xml:space="preserve">Huracan EVO</t>
        </is>
      </c>
      <c r="K405" s="30" t="inlineStr">
        <is>
          <t xml:space="preserve">YM76F6Y7DJFSM5FL2</t>
        </is>
      </c>
      <c r="L405" s="32" t="inlineStr">
        <is>
          <t xml:space="preserve">03 - Supercar</t>
        </is>
      </c>
      <c r="M405" s="35">
        <v>990000</v>
      </c>
      <c r="N405" s="32" t="inlineStr">
        <is>
          <t xml:space="preserve">Personal</t>
        </is>
      </c>
      <c r="O405" s="30" t="inlineStr">
        <is>
          <t xml:space="preserve">Personal - regular use</t>
        </is>
      </c>
      <c r="P405" s="30" t="inlineStr">
        <is>
          <t xml:space="preserve">1,000 - 2,500</t>
        </is>
      </c>
      <c r="Q405" s="30" t="inlineStr">
        <is>
          <t xml:space="preserve">Virginia</t>
        </is>
      </c>
      <c r="R405" s="30" t="inlineStr">
        <is>
          <t xml:space="preserve">23219</t>
        </is>
      </c>
      <c r="S405" s="32" t="inlineStr">
        <is>
          <t xml:space="preserve">Tier 3 - Coastal wind (25-100 miles)</t>
        </is>
      </c>
      <c r="T405" s="36">
        <f>IF($A405="","",IF($S405="","",IFERROR(INDEX('[1]natural catastrophe'!$D$6:$D$17,MATCH($S405,'[1]natural catastrophe'!$B$6:$B$17,0)),"?")))</f>
      </c>
      <c r="U405" s="30" t="inlineStr">
        <is>
          <t xml:space="preserve">2% of agreed value, minimum $10,000</t>
        </is>
      </c>
      <c r="V405" s="32" t="inlineStr">
        <is>
          <t xml:space="preserve">Agreed Value</t>
        </is>
      </c>
      <c r="W405" s="30" t="inlineStr">
        <is>
          <t xml:space="preserve">$1,000</t>
        </is>
      </c>
      <c r="X405" s="32" t="inlineStr">
        <is>
          <t xml:space="preserve">$1,000,000 CSL</t>
        </is>
      </c>
      <c r="Y405" s="30"/>
      <c r="Z405" s="30"/>
      <c r="AA405" s="32" t="inlineStr">
        <is>
          <t xml:space="preserve">Surplus Lines</t>
        </is>
      </c>
      <c r="AB405" s="35">
        <v>17783.37</v>
      </c>
      <c r="AC405" s="37">
        <v>0</v>
      </c>
      <c r="AD405" s="38">
        <f>IF(ISNUMBER($AB405),$AB405*(1+N($AC405)),"")</f>
      </c>
      <c r="AE405" s="35">
        <v>350</v>
      </c>
      <c r="AF405" s="35">
        <v>0</v>
      </c>
      <c r="AG405" s="37"/>
      <c r="AH405" s="39">
        <f>IF(ISNUMBER($AD405),($AD405+$AE405+$AF405)*$AG405,"")</f>
      </c>
      <c r="AI405" s="35"/>
      <c r="AJ405" s="38">
        <f>IF(ISNUMBER($AD405),SUM($AD405:$AH405),"")</f>
      </c>
      <c r="AK405" s="40">
        <f>IF(AND(ISNUMBER($AB405),ISNUMBER($AD405)),IF($AB405&gt;0,$AD405/$AB405,""),"")</f>
      </c>
      <c r="AL405" s="32" t="inlineStr">
        <is>
          <t xml:space="preserve">At technical</t>
        </is>
      </c>
      <c r="AM405" s="41">
        <f>IF(ISNUMBER($AD405),Header!$I$3,"")</f>
      </c>
      <c r="AN405" s="39">
        <f>IF(ISNUMBER($AD405),$AO405+$AP405,"")</f>
      </c>
      <c r="AO405" s="39">
        <f>IF(ISNUMBER($AD405),ROUND($AD405*Header!$K$3,2),"")</f>
      </c>
      <c r="AP405" s="39">
        <f>IF(ISNUMBER($AD405),ROUND($AD405*Header!$M$3,2),"")</f>
      </c>
      <c r="AQ405" s="38">
        <f>IF(ISNUMBER($AD405),ROUND($AD405,2)-$AO405-$AP405,"")</f>
      </c>
      <c r="AR405" s="39">
        <f>IF(ISNUMBER($AD405),IF(Header!$D$34="","?",$AD405*Header!$D$34),"")</f>
      </c>
      <c r="AS405" s="39">
        <f>IF(ISNUMBER($AB405),IF(Header!$D$34="","?",$AB405*Header!$D$34),"")</f>
      </c>
      <c r="AT405" s="42">
        <f>IF(AND(ISNUMBER($AB405),$M405&gt;0),$AB405/$M405*100,"")</f>
      </c>
      <c r="AU405" s="42">
        <f>IF(AND(ISNUMBER($AD405),$M405&gt;0),$AD405/$M405*100,"")</f>
      </c>
      <c r="AV405" s="40">
        <f>IF(AND(ISNUMBER($AB405),ISNUMBER($AD405),ABS($AB405)&gt;0),$AD405/$AB405,"")</f>
      </c>
      <c r="AW405" s="39">
        <f>IF(ISNUMBER($AD405),MAX(0,(1-0.55-Header!$O$3)*Header!$Q$3*$AQ405),"")</f>
      </c>
      <c r="AX405" s="43">
        <f>IF($A405="","",IF(TRIM(IF($A405="","Missing certificate ref. ","") &amp; IF($C405="","Missing effective date. ","") &amp; IF($D405="","Missing binding status. ","") &amp; IF($E405="","Missing movement type. ","") &amp; IF($I405="","Missing make. ","") &amp; IF($L405="","Missing vehicle class. ","") &amp; IF($M405="","Missing agreed value. ","") &amp; IF($N405="","Missing policy type. ","") &amp; IF($Q405="","Missing garaging state. ","") &amp; IF($R405="","Missing garaging ZIP. ","") &amp; IF($S405="","Missing cat zone. ","") &amp; IF($V405="","Missing valuation basis. ","") &amp; IF($W405="","Missing PD deductible. ","") &amp; IF($X405="","Missing liability limit. ","") &amp; IF($AB405="","Missing technical premium. ","") &amp; IF($AF405="","Missing surplus lines tax %. ",""))="","PASS","FAIL: "&amp;TRIM(IF($A405="","Missing certificate ref. ","") &amp; IF($C405="","Missing effective date. ","") &amp; IF($D405="","Missing binding status. ","") &amp; IF($E405="","Missing movement type. ","") &amp; IF($I405="","Missing make. ","") &amp; IF($L405="","Missing vehicle class. ","") &amp; IF($M405="","Missing agreed value. ","") &amp; IF($N405="","Missing policy type. ","") &amp; IF($Q405="","Missing garaging state. ","") &amp; IF($R405="","Missing garaging ZIP. ","") &amp; IF($S405="","Missing cat zone. ","") &amp; IF($V405="","Missing valuation basis. ","") &amp; IF($W405="","Missing PD deductible. ","") &amp; IF($X405="","Missing liability limit. ","") &amp; IF($AB405="","Missing technical premium. ","") &amp; IF($AF405="","Missing surplus lines tax %. ",""))))</f>
      </c>
      <c r="AY405" s="44">
        <f>IF($M405="","",IF(ISNUMBER($M405),IF($M405&gt;=Header!$C$18,"YES — refer","No"),""))</f>
      </c>
      <c r="AZ405" s="44">
        <f>IF($AD405="","",IF(ISNUMBER($AD405),IF($AD405&lt;Header!$C$20,"BELOW MIN PREMIUM","OK"),""))</f>
      </c>
      <c r="BA405" s="32" t="inlineStr">
        <is>
          <t xml:space="preserve">Yes</t>
        </is>
      </c>
      <c r="BB405" s="32" t="inlineStr">
        <is>
          <t xml:space="preserve">Yes</t>
        </is>
      </c>
      <c r="BC405" s="30" t="inlineStr">
        <is>
          <t xml:space="preserve">Synthetic demo data</t>
        </is>
      </c>
      <c r="BE405" s="45">
        <f>IF(OR($A405="",$L405="",$H405=""),"",IF(AND(LEFT($L405,2)="06",$H405&gt;1945),"FAIL - pre-war class, year "&amp;$H405,IF(AND(LEFT($L405,2)="07",OR($H405&lt;1946,$H405&gt;1972)),"FAIL - 1946-72 class, year "&amp;$H405,IF(AND(LEFT($L405,2)="08",OR($H405&lt;1973,$H405&gt;1999)),"FAIL - 1973-99 class, year "&amp;$H405,IF(AND(LEFT($L405,2)="09",OR($H405&lt;2000,$H405&gt;2010)),"FAIL - 2000-10 class, year "&amp;$H405,"OK")))))</f>
      </c>
      <c r="BF405" s="45">
        <f>IF($AD405="","",IF(ROUND($AO405+$AP405+$AQ405-$AD405,2)=0,"OK","FAIL - out by "&amp;TEXT($AO405+$AP405+$AQ405-$AD405,"$0.00")))</f>
      </c>
    </row>
    <row r="406" spans="1:58" ht="18.75" customHeight="1" x14ac:dyDescent="0.25">
      <c r="A406" s="46" t="inlineStr">
        <is>
          <t xml:space="preserve">CANON-202511-002723</t>
        </is>
      </c>
      <c r="B406" s="46" t="inlineStr">
        <is>
          <t xml:space="preserve">Thaddeus Underwood</t>
        </is>
      </c>
      <c r="C406" s="47">
        <v>45966</v>
      </c>
      <c r="D406" s="48" t="inlineStr">
        <is>
          <t xml:space="preserve">Bound - within authority</t>
        </is>
      </c>
      <c r="E406" s="48" t="inlineStr">
        <is>
          <t xml:space="preserve">New business</t>
        </is>
      </c>
      <c r="F406" s="46" t="inlineStr">
        <is>
          <t xml:space="preserve">B1234EXOTIC26</t>
        </is>
      </c>
      <c r="G406" s="33">
        <f>IF($A406="","",IF($C406="","",YEAR($C406)))</f>
      </c>
      <c r="H406" s="49">
        <v>1975</v>
      </c>
      <c r="I406" s="46" t="inlineStr">
        <is>
          <t xml:space="preserve">Mercedes-Benz</t>
        </is>
      </c>
      <c r="J406" s="46" t="inlineStr">
        <is>
          <t xml:space="preserve">280SL Pagoda</t>
        </is>
      </c>
      <c r="K406" s="46" t="inlineStr">
        <is>
          <t xml:space="preserve">SZDG9SBPD38EK7KWA</t>
        </is>
      </c>
      <c r="L406" s="48" t="inlineStr">
        <is>
          <t xml:space="preserve">08 - Modern Classic (1973-1999)</t>
        </is>
      </c>
      <c r="M406" s="50">
        <v>145000</v>
      </c>
      <c r="N406" s="48" t="inlineStr">
        <is>
          <t xml:space="preserve">Personal</t>
        </is>
      </c>
      <c r="O406" s="46" t="inlineStr">
        <is>
          <t xml:space="preserve">Personal - regular use</t>
        </is>
      </c>
      <c r="P406" s="46" t="inlineStr">
        <is>
          <t xml:space="preserve">1,000 - 2,500</t>
        </is>
      </c>
      <c r="Q406" s="46" t="inlineStr">
        <is>
          <t xml:space="preserve">Ohio</t>
        </is>
      </c>
      <c r="R406" s="46" t="inlineStr">
        <is>
          <t xml:space="preserve">43215</t>
        </is>
      </c>
      <c r="S406" s="48" t="inlineStr">
        <is>
          <t xml:space="preserve">Severe convective - hail / tornado (moderate)</t>
        </is>
      </c>
      <c r="T406" s="36">
        <f>IF($A406="","",IF($S406="","",IFERROR(INDEX('[1]natural catastrophe'!$D$6:$D$17,MATCH($S406,'[1]natural catastrophe'!$B$6:$B$17,0)),"?")))</f>
      </c>
      <c r="U406" s="46" t="inlineStr">
        <is>
          <t xml:space="preserve">$5,000</t>
        </is>
      </c>
      <c r="V406" s="48" t="inlineStr">
        <is>
          <t xml:space="preserve">Agreed Value</t>
        </is>
      </c>
      <c r="W406" s="46" t="inlineStr">
        <is>
          <t xml:space="preserve">$1,000</t>
        </is>
      </c>
      <c r="X406" s="48" t="inlineStr">
        <is>
          <t xml:space="preserve">$1,000,000 CSL</t>
        </is>
      </c>
      <c r="Y406" s="46"/>
      <c r="Z406" s="46"/>
      <c r="AA406" s="48" t="inlineStr">
        <is>
          <t xml:space="preserve">Surplus Lines</t>
        </is>
      </c>
      <c r="AB406" s="50">
        <v>1992.9</v>
      </c>
      <c r="AC406" s="51">
        <v>0</v>
      </c>
      <c r="AD406" s="38">
        <f>IF(ISNUMBER($AB406),$AB406*(1+N($AC406)),"")</f>
      </c>
      <c r="AE406" s="50">
        <v>350</v>
      </c>
      <c r="AF406" s="50">
        <v>0</v>
      </c>
      <c r="AG406" s="51"/>
      <c r="AH406" s="39">
        <f>IF(ISNUMBER($AD406),($AD406+$AE406+$AF406)*$AG406,"")</f>
      </c>
      <c r="AI406" s="50"/>
      <c r="AJ406" s="38">
        <f>IF(ISNUMBER($AD406),SUM($AD406:$AH406),"")</f>
      </c>
      <c r="AK406" s="40">
        <f>IF(AND(ISNUMBER($AB406),ISNUMBER($AD406)),IF($AB406&gt;0,$AD406/$AB406,""),"")</f>
      </c>
      <c r="AL406" s="48" t="inlineStr">
        <is>
          <t xml:space="preserve">At technical</t>
        </is>
      </c>
      <c r="AM406" s="41">
        <f>IF(ISNUMBER($AD406),Header!$I$3,"")</f>
      </c>
      <c r="AN406" s="39">
        <f>IF(ISNUMBER($AD406),$AO406+$AP406,"")</f>
      </c>
      <c r="AO406" s="39">
        <f>IF(ISNUMBER($AD406),ROUND($AD406*Header!$K$3,2),"")</f>
      </c>
      <c r="AP406" s="39">
        <f>IF(ISNUMBER($AD406),ROUND($AD406*Header!$M$3,2),"")</f>
      </c>
      <c r="AQ406" s="38">
        <f>IF(ISNUMBER($AD406),ROUND($AD406,2)-$AO406-$AP406,"")</f>
      </c>
      <c r="AR406" s="39">
        <f>IF(ISNUMBER($AD406),IF(Header!$D$34="","?",$AD406*Header!$D$34),"")</f>
      </c>
      <c r="AS406" s="39">
        <f>IF(ISNUMBER($AB406),IF(Header!$D$34="","?",$AB406*Header!$D$34),"")</f>
      </c>
      <c r="AT406" s="42">
        <f>IF(AND(ISNUMBER($AB406),$M406&gt;0),$AB406/$M406*100,"")</f>
      </c>
      <c r="AU406" s="42">
        <f>IF(AND(ISNUMBER($AD406),$M406&gt;0),$AD406/$M406*100,"")</f>
      </c>
      <c r="AV406" s="40">
        <f>IF(AND(ISNUMBER($AB406),ISNUMBER($AD406),ABS($AB406)&gt;0),$AD406/$AB406,"")</f>
      </c>
      <c r="AW406" s="39">
        <f>IF(ISNUMBER($AD406),MAX(0,(1-0.55-Header!$O$3)*Header!$Q$3*$AQ406),"")</f>
      </c>
      <c r="AX406" s="43">
        <f>IF($A406="","",IF(TRIM(IF($A406="","Missing certificate ref. ","") &amp; IF($C406="","Missing effective date. ","") &amp; IF($D406="","Missing binding status. ","") &amp; IF($E406="","Missing movement type. ","") &amp; IF($I406="","Missing make. ","") &amp; IF($L406="","Missing vehicle class. ","") &amp; IF($M406="","Missing agreed value. ","") &amp; IF($N406="","Missing policy type. ","") &amp; IF($Q406="","Missing garaging state. ","") &amp; IF($R406="","Missing garaging ZIP. ","") &amp; IF($S406="","Missing cat zone. ","") &amp; IF($V406="","Missing valuation basis. ","") &amp; IF($W406="","Missing PD deductible. ","") &amp; IF($X406="","Missing liability limit. ","") &amp; IF($AB406="","Missing technical premium. ","") &amp; IF($AF406="","Missing surplus lines tax %. ",""))="","PASS","FAIL: "&amp;TRIM(IF($A406="","Missing certificate ref. ","") &amp; IF($C406="","Missing effective date. ","") &amp; IF($D406="","Missing binding status. ","") &amp; IF($E406="","Missing movement type. ","") &amp; IF($I406="","Missing make. ","") &amp; IF($L406="","Missing vehicle class. ","") &amp; IF($M406="","Missing agreed value. ","") &amp; IF($N406="","Missing policy type. ","") &amp; IF($Q406="","Missing garaging state. ","") &amp; IF($R406="","Missing garaging ZIP. ","") &amp; IF($S406="","Missing cat zone. ","") &amp; IF($V406="","Missing valuation basis. ","") &amp; IF($W406="","Missing PD deductible. ","") &amp; IF($X406="","Missing liability limit. ","") &amp; IF($AB406="","Missing technical premium. ","") &amp; IF($AF406="","Missing surplus lines tax %. ",""))))</f>
      </c>
      <c r="AY406" s="44">
        <f>IF($M406="","",IF(ISNUMBER($M406),IF($M406&gt;=Header!$C$18,"YES — refer","No"),""))</f>
      </c>
      <c r="AZ406" s="44">
        <f>IF($AD406="","",IF(ISNUMBER($AD406),IF($AD406&lt;Header!$C$20,"BELOW MIN PREMIUM","OK"),""))</f>
      </c>
      <c r="BA406" s="48" t="inlineStr">
        <is>
          <t xml:space="preserve">Yes</t>
        </is>
      </c>
      <c r="BB406" s="48" t="inlineStr">
        <is>
          <t xml:space="preserve">Yes</t>
        </is>
      </c>
      <c r="BC406" s="46" t="inlineStr">
        <is>
          <t xml:space="preserve">Synthetic demo data</t>
        </is>
      </c>
      <c r="BE406" s="45">
        <f>IF(OR($A406="",$L406="",$H406=""),"",IF(AND(LEFT($L406,2)="06",$H406&gt;1945),"FAIL - pre-war class, year "&amp;$H406,IF(AND(LEFT($L406,2)="07",OR($H406&lt;1946,$H406&gt;1972)),"FAIL - 1946-72 class, year "&amp;$H406,IF(AND(LEFT($L406,2)="08",OR($H406&lt;1973,$H406&gt;1999)),"FAIL - 1973-99 class, year "&amp;$H406,IF(AND(LEFT($L406,2)="09",OR($H406&lt;2000,$H406&gt;2010)),"FAIL - 2000-10 class, year "&amp;$H406,"OK")))))</f>
      </c>
      <c r="BF406" s="45">
        <f>IF($AD406="","",IF(ROUND($AO406+$AP406+$AQ406-$AD406,2)=0,"OK","FAIL - out by "&amp;TEXT($AO406+$AP406+$AQ406-$AD406,"$0.00")))</f>
      </c>
    </row>
    <row r="407" spans="1:58" ht="18.75" customHeight="1" x14ac:dyDescent="0.25">
      <c r="A407" s="30" t="inlineStr">
        <is>
          <t xml:space="preserve">CANON-202511-002724</t>
        </is>
      </c>
      <c r="B407" s="30" t="inlineStr">
        <is>
          <t xml:space="preserve">Callum Blackwood</t>
        </is>
      </c>
      <c r="C407" s="31">
        <v>45991</v>
      </c>
      <c r="D407" s="32" t="inlineStr">
        <is>
          <t xml:space="preserve">Bound - within authority</t>
        </is>
      </c>
      <c r="E407" s="32" t="inlineStr">
        <is>
          <t xml:space="preserve">New business</t>
        </is>
      </c>
      <c r="F407" s="30" t="inlineStr">
        <is>
          <t xml:space="preserve">B1234EXOTIC26</t>
        </is>
      </c>
      <c r="G407" s="33">
        <f>IF($A407="","",IF($C407="","",YEAR($C407)))</f>
      </c>
      <c r="H407" s="34">
        <v>2000</v>
      </c>
      <c r="I407" s="30" t="inlineStr">
        <is>
          <t xml:space="preserve">Bentley</t>
        </is>
      </c>
      <c r="J407" s="30" t="inlineStr">
        <is>
          <t xml:space="preserve">Continental GT</t>
        </is>
      </c>
      <c r="K407" s="30" t="inlineStr">
        <is>
          <t xml:space="preserve">PX03D5S11CMCJF51J</t>
        </is>
      </c>
      <c r="L407" s="32" t="inlineStr">
        <is>
          <t xml:space="preserve">02 - Sports / GT</t>
        </is>
      </c>
      <c r="M407" s="35">
        <v>765000</v>
      </c>
      <c r="N407" s="32" t="inlineStr">
        <is>
          <t xml:space="preserve">Personal</t>
        </is>
      </c>
      <c r="O407" s="30" t="inlineStr">
        <is>
          <t xml:space="preserve">Personal - regular use</t>
        </is>
      </c>
      <c r="P407" s="30" t="inlineStr">
        <is>
          <t xml:space="preserve">Under 1,000</t>
        </is>
      </c>
      <c r="Q407" s="30" t="inlineStr">
        <is>
          <t xml:space="preserve">Texas</t>
        </is>
      </c>
      <c r="R407" s="30" t="inlineStr">
        <is>
          <t xml:space="preserve">75201</t>
        </is>
      </c>
      <c r="S407" s="32" t="inlineStr">
        <is>
          <t xml:space="preserve">Tier 2 - Coastal wind (1-25 miles)</t>
        </is>
      </c>
      <c r="T407" s="36">
        <f>IF($A407="","",IF($S407="","",IFERROR(INDEX('[1]natural catastrophe'!$D$6:$D$17,MATCH($S407,'[1]natural catastrophe'!$B$6:$B$17,0)),"?")))</f>
      </c>
      <c r="U407" s="30" t="inlineStr">
        <is>
          <t xml:space="preserve">2% of agreed value, minimum $10,000</t>
        </is>
      </c>
      <c r="V407" s="32" t="inlineStr">
        <is>
          <t xml:space="preserve">Agreed Value</t>
        </is>
      </c>
      <c r="W407" s="30" t="inlineStr">
        <is>
          <t xml:space="preserve">$1,000</t>
        </is>
      </c>
      <c r="X407" s="32" t="inlineStr">
        <is>
          <t xml:space="preserve">$1,000,000 CSL</t>
        </is>
      </c>
      <c r="Y407" s="30"/>
      <c r="Z407" s="30"/>
      <c r="AA407" s="32" t="inlineStr">
        <is>
          <t xml:space="preserve">Surplus Lines</t>
        </is>
      </c>
      <c r="AB407" s="35">
        <v>9919.77</v>
      </c>
      <c r="AC407" s="37">
        <v>0</v>
      </c>
      <c r="AD407" s="38">
        <f>IF(ISNUMBER($AB407),$AB407*(1+N($AC407)),"")</f>
      </c>
      <c r="AE407" s="35">
        <v>350</v>
      </c>
      <c r="AF407" s="35">
        <v>0</v>
      </c>
      <c r="AG407" s="37"/>
      <c r="AH407" s="39">
        <f>IF(ISNUMBER($AD407),($AD407+$AE407+$AF407)*$AG407,"")</f>
      </c>
      <c r="AI407" s="35"/>
      <c r="AJ407" s="38">
        <f>IF(ISNUMBER($AD407),SUM($AD407:$AH407),"")</f>
      </c>
      <c r="AK407" s="40">
        <f>IF(AND(ISNUMBER($AB407),ISNUMBER($AD407)),IF($AB407&gt;0,$AD407/$AB407,""),"")</f>
      </c>
      <c r="AL407" s="32" t="inlineStr">
        <is>
          <t xml:space="preserve">At technical</t>
        </is>
      </c>
      <c r="AM407" s="41">
        <f>IF(ISNUMBER($AD407),Header!$I$3,"")</f>
      </c>
      <c r="AN407" s="39">
        <f>IF(ISNUMBER($AD407),$AO407+$AP407,"")</f>
      </c>
      <c r="AO407" s="39">
        <f>IF(ISNUMBER($AD407),ROUND($AD407*Header!$K$3,2),"")</f>
      </c>
      <c r="AP407" s="39">
        <f>IF(ISNUMBER($AD407),ROUND($AD407*Header!$M$3,2),"")</f>
      </c>
      <c r="AQ407" s="38">
        <f>IF(ISNUMBER($AD407),ROUND($AD407,2)-$AO407-$AP407,"")</f>
      </c>
      <c r="AR407" s="39">
        <f>IF(ISNUMBER($AD407),IF(Header!$D$34="","?",$AD407*Header!$D$34),"")</f>
      </c>
      <c r="AS407" s="39">
        <f>IF(ISNUMBER($AB407),IF(Header!$D$34="","?",$AB407*Header!$D$34),"")</f>
      </c>
      <c r="AT407" s="42">
        <f>IF(AND(ISNUMBER($AB407),$M407&gt;0),$AB407/$M407*100,"")</f>
      </c>
      <c r="AU407" s="42">
        <f>IF(AND(ISNUMBER($AD407),$M407&gt;0),$AD407/$M407*100,"")</f>
      </c>
      <c r="AV407" s="40">
        <f>IF(AND(ISNUMBER($AB407),ISNUMBER($AD407),ABS($AB407)&gt;0),$AD407/$AB407,"")</f>
      </c>
      <c r="AW407" s="39">
        <f>IF(ISNUMBER($AD407),MAX(0,(1-0.55-Header!$O$3)*Header!$Q$3*$AQ407),"")</f>
      </c>
      <c r="AX407" s="43">
        <f>IF($A407="","",IF(TRIM(IF($A407="","Missing certificate ref. ","") &amp; IF($C407="","Missing effective date. ","") &amp; IF($D407="","Missing binding status. ","") &amp; IF($E407="","Missing movement type. ","") &amp; IF($I407="","Missing make. ","") &amp; IF($L407="","Missing vehicle class. ","") &amp; IF($M407="","Missing agreed value. ","") &amp; IF($N407="","Missing policy type. ","") &amp; IF($Q407="","Missing garaging state. ","") &amp; IF($R407="","Missing garaging ZIP. ","") &amp; IF($S407="","Missing cat zone. ","") &amp; IF($V407="","Missing valuation basis. ","") &amp; IF($W407="","Missing PD deductible. ","") &amp; IF($X407="","Missing liability limit. ","") &amp; IF($AB407="","Missing technical premium. ","") &amp; IF($AF407="","Missing surplus lines tax %. ",""))="","PASS","FAIL: "&amp;TRIM(IF($A407="","Missing certificate ref. ","") &amp; IF($C407="","Missing effective date. ","") &amp; IF($D407="","Missing binding status. ","") &amp; IF($E407="","Missing movement type. ","") &amp; IF($I407="","Missing make. ","") &amp; IF($L407="","Missing vehicle class. ","") &amp; IF($M407="","Missing agreed value. ","") &amp; IF($N407="","Missing policy type. ","") &amp; IF($Q407="","Missing garaging state. ","") &amp; IF($R407="","Missing garaging ZIP. ","") &amp; IF($S407="","Missing cat zone. ","") &amp; IF($V407="","Missing valuation basis. ","") &amp; IF($W407="","Missing PD deductible. ","") &amp; IF($X407="","Missing liability limit. ","") &amp; IF($AB407="","Missing technical premium. ","") &amp; IF($AF407="","Missing surplus lines tax %. ",""))))</f>
      </c>
      <c r="AY407" s="44">
        <f>IF($M407="","",IF(ISNUMBER($M407),IF($M407&gt;=Header!$C$18,"YES — refer","No"),""))</f>
      </c>
      <c r="AZ407" s="44">
        <f>IF($AD407="","",IF(ISNUMBER($AD407),IF($AD407&lt;Header!$C$20,"BELOW MIN PREMIUM","OK"),""))</f>
      </c>
      <c r="BA407" s="32" t="inlineStr">
        <is>
          <t xml:space="preserve">Yes</t>
        </is>
      </c>
      <c r="BB407" s="32" t="inlineStr">
        <is>
          <t xml:space="preserve">Yes</t>
        </is>
      </c>
      <c r="BC407" s="30" t="inlineStr">
        <is>
          <t xml:space="preserve">Synthetic demo data</t>
        </is>
      </c>
      <c r="BE407" s="45">
        <f>IF(OR($A407="",$L407="",$H407=""),"",IF(AND(LEFT($L407,2)="06",$H407&gt;1945),"FAIL - pre-war class, year "&amp;$H407,IF(AND(LEFT($L407,2)="07",OR($H407&lt;1946,$H407&gt;1972)),"FAIL - 1946-72 class, year "&amp;$H407,IF(AND(LEFT($L407,2)="08",OR($H407&lt;1973,$H407&gt;1999)),"FAIL - 1973-99 class, year "&amp;$H407,IF(AND(LEFT($L407,2)="09",OR($H407&lt;2000,$H407&gt;2010)),"FAIL - 2000-10 class, year "&amp;$H407,"OK")))))</f>
      </c>
      <c r="BF407" s="45">
        <f>IF($AD407="","",IF(ROUND($AO407+$AP407+$AQ407-$AD407,2)=0,"OK","FAIL - out by "&amp;TEXT($AO407+$AP407+$AQ407-$AD407,"$0.00")))</f>
      </c>
    </row>
    <row r="408" spans="1:58" ht="18.75" customHeight="1" x14ac:dyDescent="0.25">
      <c r="A408" s="46" t="inlineStr">
        <is>
          <t xml:space="preserve">CANON-202511-002725</t>
        </is>
      </c>
      <c r="B408" s="46" t="inlineStr">
        <is>
          <t xml:space="preserve">Anouk Ashcombe</t>
        </is>
      </c>
      <c r="C408" s="47">
        <v>45964</v>
      </c>
      <c r="D408" s="48" t="inlineStr">
        <is>
          <t xml:space="preserve">Bound - within authority</t>
        </is>
      </c>
      <c r="E408" s="48" t="inlineStr">
        <is>
          <t xml:space="preserve">New business</t>
        </is>
      </c>
      <c r="F408" s="46" t="inlineStr">
        <is>
          <t xml:space="preserve">B1234EXOTIC26</t>
        </is>
      </c>
      <c r="G408" s="33">
        <f>IF($A408="","",IF($C408="","",YEAR($C408)))</f>
      </c>
      <c r="H408" s="49">
        <v>1973</v>
      </c>
      <c r="I408" s="46" t="inlineStr">
        <is>
          <t xml:space="preserve">Bugatti</t>
        </is>
      </c>
      <c r="J408" s="46" t="inlineStr">
        <is>
          <t xml:space="preserve">Type 57</t>
        </is>
      </c>
      <c r="K408" s="46" t="inlineStr">
        <is>
          <t xml:space="preserve">AX2TJ9PA0H4H08TPX</t>
        </is>
      </c>
      <c r="L408" s="48" t="inlineStr">
        <is>
          <t xml:space="preserve">08 - Modern Classic (1973-1999)</t>
        </is>
      </c>
      <c r="M408" s="50">
        <v>1245000</v>
      </c>
      <c r="N408" s="48" t="inlineStr">
        <is>
          <t xml:space="preserve">Personal</t>
        </is>
      </c>
      <c r="O408" s="46" t="inlineStr">
        <is>
          <t xml:space="preserve">Personal - regular use</t>
        </is>
      </c>
      <c r="P408" s="46" t="inlineStr">
        <is>
          <t xml:space="preserve">1,000 - 2,500</t>
        </is>
      </c>
      <c r="Q408" s="46" t="inlineStr">
        <is>
          <t xml:space="preserve">Maryland</t>
        </is>
      </c>
      <c r="R408" s="46" t="inlineStr">
        <is>
          <t xml:space="preserve">21201</t>
        </is>
      </c>
      <c r="S408" s="48" t="inlineStr">
        <is>
          <t xml:space="preserve">Tier 3 - Coastal wind (25-100 miles)</t>
        </is>
      </c>
      <c r="T408" s="36">
        <f>IF($A408="","",IF($S408="","",IFERROR(INDEX('[1]natural catastrophe'!$D$6:$D$17,MATCH($S408,'[1]natural catastrophe'!$B$6:$B$17,0)),"?")))</f>
      </c>
      <c r="U408" s="46" t="inlineStr">
        <is>
          <t xml:space="preserve">2% of agreed value, minimum $10,000</t>
        </is>
      </c>
      <c r="V408" s="48" t="inlineStr">
        <is>
          <t xml:space="preserve">Agreed Value</t>
        </is>
      </c>
      <c r="W408" s="46" t="inlineStr">
        <is>
          <t xml:space="preserve">$1,000</t>
        </is>
      </c>
      <c r="X408" s="48" t="inlineStr">
        <is>
          <t xml:space="preserve">$1,000,000 CSL</t>
        </is>
      </c>
      <c r="Y408" s="46"/>
      <c r="Z408" s="46"/>
      <c r="AA408" s="48" t="inlineStr">
        <is>
          <t xml:space="preserve">Surplus Lines</t>
        </is>
      </c>
      <c r="AB408" s="50">
        <v>6975.9</v>
      </c>
      <c r="AC408" s="51">
        <v>0</v>
      </c>
      <c r="AD408" s="38">
        <f>IF(ISNUMBER($AB408),$AB408*(1+N($AC408)),"")</f>
      </c>
      <c r="AE408" s="50">
        <v>350</v>
      </c>
      <c r="AF408" s="50">
        <v>250</v>
      </c>
      <c r="AG408" s="51"/>
      <c r="AH408" s="39">
        <f>IF(ISNUMBER($AD408),($AD408+$AE408+$AF408)*$AG408,"")</f>
      </c>
      <c r="AI408" s="50"/>
      <c r="AJ408" s="38">
        <f>IF(ISNUMBER($AD408),SUM($AD408:$AH408),"")</f>
      </c>
      <c r="AK408" s="40">
        <f>IF(AND(ISNUMBER($AB408),ISNUMBER($AD408)),IF($AB408&gt;0,$AD408/$AB408,""),"")</f>
      </c>
      <c r="AL408" s="48" t="inlineStr">
        <is>
          <t xml:space="preserve">At technical</t>
        </is>
      </c>
      <c r="AM408" s="41">
        <f>IF(ISNUMBER($AD408),Header!$I$3,"")</f>
      </c>
      <c r="AN408" s="39">
        <f>IF(ISNUMBER($AD408),$AO408+$AP408,"")</f>
      </c>
      <c r="AO408" s="39">
        <f>IF(ISNUMBER($AD408),ROUND($AD408*Header!$K$3,2),"")</f>
      </c>
      <c r="AP408" s="39">
        <f>IF(ISNUMBER($AD408),ROUND($AD408*Header!$M$3,2),"")</f>
      </c>
      <c r="AQ408" s="38">
        <f>IF(ISNUMBER($AD408),ROUND($AD408,2)-$AO408-$AP408,"")</f>
      </c>
      <c r="AR408" s="39">
        <f>IF(ISNUMBER($AD408),IF(Header!$D$34="","?",$AD408*Header!$D$34),"")</f>
      </c>
      <c r="AS408" s="39">
        <f>IF(ISNUMBER($AB408),IF(Header!$D$34="","?",$AB408*Header!$D$34),"")</f>
      </c>
      <c r="AT408" s="42">
        <f>IF(AND(ISNUMBER($AB408),$M408&gt;0),$AB408/$M408*100,"")</f>
      </c>
      <c r="AU408" s="42">
        <f>IF(AND(ISNUMBER($AD408),$M408&gt;0),$AD408/$M408*100,"")</f>
      </c>
      <c r="AV408" s="40">
        <f>IF(AND(ISNUMBER($AB408),ISNUMBER($AD408),ABS($AB408)&gt;0),$AD408/$AB408,"")</f>
      </c>
      <c r="AW408" s="39">
        <f>IF(ISNUMBER($AD408),MAX(0,(1-0.55-Header!$O$3)*Header!$Q$3*$AQ408),"")</f>
      </c>
      <c r="AX408" s="43">
        <f>IF($A408="","",IF(TRIM(IF($A408="","Missing certificate ref. ","") &amp; IF($C408="","Missing effective date. ","") &amp; IF($D408="","Missing binding status. ","") &amp; IF($E408="","Missing movement type. ","") &amp; IF($I408="","Missing make. ","") &amp; IF($L408="","Missing vehicle class. ","") &amp; IF($M408="","Missing agreed value. ","") &amp; IF($N408="","Missing policy type. ","") &amp; IF($Q408="","Missing garaging state. ","") &amp; IF($R408="","Missing garaging ZIP. ","") &amp; IF($S408="","Missing cat zone. ","") &amp; IF($V408="","Missing valuation basis. ","") &amp; IF($W408="","Missing PD deductible. ","") &amp; IF($X408="","Missing liability limit. ","") &amp; IF($AB408="","Missing technical premium. ","") &amp; IF($AF408="","Missing surplus lines tax %. ",""))="","PASS","FAIL: "&amp;TRIM(IF($A408="","Missing certificate ref. ","") &amp; IF($C408="","Missing effective date. ","") &amp; IF($D408="","Missing binding status. ","") &amp; IF($E408="","Missing movement type. ","") &amp; IF($I408="","Missing make. ","") &amp; IF($L408="","Missing vehicle class. ","") &amp; IF($M408="","Missing agreed value. ","") &amp; IF($N408="","Missing policy type. ","") &amp; IF($Q408="","Missing garaging state. ","") &amp; IF($R408="","Missing garaging ZIP. ","") &amp; IF($S408="","Missing cat zone. ","") &amp; IF($V408="","Missing valuation basis. ","") &amp; IF($W408="","Missing PD deductible. ","") &amp; IF($X408="","Missing liability limit. ","") &amp; IF($AB408="","Missing technical premium. ","") &amp; IF($AF408="","Missing surplus lines tax %. ",""))))</f>
      </c>
      <c r="AY408" s="44">
        <f>IF($M408="","",IF(ISNUMBER($M408),IF($M408&gt;=Header!$C$18,"YES — refer","No"),""))</f>
      </c>
      <c r="AZ408" s="44">
        <f>IF($AD408="","",IF(ISNUMBER($AD408),IF($AD408&lt;Header!$C$20,"BELOW MIN PREMIUM","OK"),""))</f>
      </c>
      <c r="BA408" s="48" t="inlineStr">
        <is>
          <t xml:space="preserve">Yes</t>
        </is>
      </c>
      <c r="BB408" s="48" t="inlineStr">
        <is>
          <t xml:space="preserve">Yes</t>
        </is>
      </c>
      <c r="BC408" s="46" t="inlineStr">
        <is>
          <t xml:space="preserve">Synthetic demo data</t>
        </is>
      </c>
      <c r="BE408" s="45">
        <f>IF(OR($A408="",$L408="",$H408=""),"",IF(AND(LEFT($L408,2)="06",$H408&gt;1945),"FAIL - pre-war class, year "&amp;$H408,IF(AND(LEFT($L408,2)="07",OR($H408&lt;1946,$H408&gt;1972)),"FAIL - 1946-72 class, year "&amp;$H408,IF(AND(LEFT($L408,2)="08",OR($H408&lt;1973,$H408&gt;1999)),"FAIL - 1973-99 class, year "&amp;$H408,IF(AND(LEFT($L408,2)="09",OR($H408&lt;2000,$H408&gt;2010)),"FAIL - 2000-10 class, year "&amp;$H408,"OK")))))</f>
      </c>
      <c r="BF408" s="45">
        <f>IF($AD408="","",IF(ROUND($AO408+$AP408+$AQ408-$AD408,2)=0,"OK","FAIL - out by "&amp;TEXT($AO408+$AP408+$AQ408-$AD408,"$0.00")))</f>
      </c>
    </row>
    <row r="409" spans="1:58" ht="18.75" customHeight="1" x14ac:dyDescent="0.25">
      <c r="A409" s="30" t="inlineStr">
        <is>
          <t xml:space="preserve">CANON-202511-002726</t>
        </is>
      </c>
      <c r="B409" s="30" t="inlineStr">
        <is>
          <t xml:space="preserve">Everett Okonkwo</t>
        </is>
      </c>
      <c r="C409" s="31">
        <v>45979</v>
      </c>
      <c r="D409" s="32" t="inlineStr">
        <is>
          <t xml:space="preserve">Bound - within authority</t>
        </is>
      </c>
      <c r="E409" s="32" t="inlineStr">
        <is>
          <t xml:space="preserve">New business</t>
        </is>
      </c>
      <c r="F409" s="30" t="inlineStr">
        <is>
          <t xml:space="preserve">B1234EXOTIC26</t>
        </is>
      </c>
      <c r="G409" s="33">
        <f>IF($A409="","",IF($C409="","",YEAR($C409)))</f>
      </c>
      <c r="H409" s="34">
        <v>2004</v>
      </c>
      <c r="I409" s="30" t="inlineStr">
        <is>
          <t xml:space="preserve">BMW</t>
        </is>
      </c>
      <c r="J409" s="30" t="inlineStr">
        <is>
          <t xml:space="preserve">M8 Competition</t>
        </is>
      </c>
      <c r="K409" s="30" t="inlineStr">
        <is>
          <t xml:space="preserve">HBGBU0A3XRS7H594H</t>
        </is>
      </c>
      <c r="L409" s="32" t="inlineStr">
        <is>
          <t xml:space="preserve">02 - Sports / GT</t>
        </is>
      </c>
      <c r="M409" s="35">
        <v>305000</v>
      </c>
      <c r="N409" s="32" t="inlineStr">
        <is>
          <t xml:space="preserve">Personal</t>
        </is>
      </c>
      <c r="O409" s="30" t="inlineStr">
        <is>
          <t xml:space="preserve">Personal - regular use</t>
        </is>
      </c>
      <c r="P409" s="30" t="inlineStr">
        <is>
          <t xml:space="preserve">1,000 - 2,500</t>
        </is>
      </c>
      <c r="Q409" s="30" t="inlineStr">
        <is>
          <t xml:space="preserve">Colorado</t>
        </is>
      </c>
      <c r="R409" s="30" t="inlineStr">
        <is>
          <t xml:space="preserve">80202</t>
        </is>
      </c>
      <c r="S409" s="32" t="inlineStr">
        <is>
          <t xml:space="preserve">Severe convective - hail alley (high)</t>
        </is>
      </c>
      <c r="T409" s="36">
        <f>IF($A409="","",IF($S409="","",IFERROR(INDEX('[1]natural catastrophe'!$D$6:$D$17,MATCH($S409,'[1]natural catastrophe'!$B$6:$B$17,0)),"?")))</f>
      </c>
      <c r="U409" s="30" t="inlineStr">
        <is>
          <t xml:space="preserve">$5,000</t>
        </is>
      </c>
      <c r="V409" s="32" t="inlineStr">
        <is>
          <t xml:space="preserve">Agreed Value</t>
        </is>
      </c>
      <c r="W409" s="30" t="inlineStr">
        <is>
          <t xml:space="preserve">$1,000</t>
        </is>
      </c>
      <c r="X409" s="32" t="inlineStr">
        <is>
          <t xml:space="preserve">$1,000,000 CSL</t>
        </is>
      </c>
      <c r="Y409" s="30"/>
      <c r="Z409" s="30"/>
      <c r="AA409" s="32" t="inlineStr">
        <is>
          <t xml:space="preserve">Surplus Lines</t>
        </is>
      </c>
      <c r="AB409" s="35">
        <v>4364.98</v>
      </c>
      <c r="AC409" s="37">
        <v>0</v>
      </c>
      <c r="AD409" s="38">
        <f>IF(ISNUMBER($AB409),$AB409*(1+N($AC409)),"")</f>
      </c>
      <c r="AE409" s="35">
        <v>350</v>
      </c>
      <c r="AF409" s="35">
        <v>0</v>
      </c>
      <c r="AG409" s="37"/>
      <c r="AH409" s="39">
        <f>IF(ISNUMBER($AD409),($AD409+$AE409+$AF409)*$AG409,"")</f>
      </c>
      <c r="AI409" s="35"/>
      <c r="AJ409" s="38">
        <f>IF(ISNUMBER($AD409),SUM($AD409:$AH409),"")</f>
      </c>
      <c r="AK409" s="40">
        <f>IF(AND(ISNUMBER($AB409),ISNUMBER($AD409)),IF($AB409&gt;0,$AD409/$AB409,""),"")</f>
      </c>
      <c r="AL409" s="32" t="inlineStr">
        <is>
          <t xml:space="preserve">At technical</t>
        </is>
      </c>
      <c r="AM409" s="41">
        <f>IF(ISNUMBER($AD409),Header!$I$3,"")</f>
      </c>
      <c r="AN409" s="39">
        <f>IF(ISNUMBER($AD409),$AO409+$AP409,"")</f>
      </c>
      <c r="AO409" s="39">
        <f>IF(ISNUMBER($AD409),ROUND($AD409*Header!$K$3,2),"")</f>
      </c>
      <c r="AP409" s="39">
        <f>IF(ISNUMBER($AD409),ROUND($AD409*Header!$M$3,2),"")</f>
      </c>
      <c r="AQ409" s="38">
        <f>IF(ISNUMBER($AD409),ROUND($AD409,2)-$AO409-$AP409,"")</f>
      </c>
      <c r="AR409" s="39">
        <f>IF(ISNUMBER($AD409),IF(Header!$D$34="","?",$AD409*Header!$D$34),"")</f>
      </c>
      <c r="AS409" s="39">
        <f>IF(ISNUMBER($AB409),IF(Header!$D$34="","?",$AB409*Header!$D$34),"")</f>
      </c>
      <c r="AT409" s="42">
        <f>IF(AND(ISNUMBER($AB409),$M409&gt;0),$AB409/$M409*100,"")</f>
      </c>
      <c r="AU409" s="42">
        <f>IF(AND(ISNUMBER($AD409),$M409&gt;0),$AD409/$M409*100,"")</f>
      </c>
      <c r="AV409" s="40">
        <f>IF(AND(ISNUMBER($AB409),ISNUMBER($AD409),ABS($AB409)&gt;0),$AD409/$AB409,"")</f>
      </c>
      <c r="AW409" s="39">
        <f>IF(ISNUMBER($AD409),MAX(0,(1-0.55-Header!$O$3)*Header!$Q$3*$AQ409),"")</f>
      </c>
      <c r="AX409" s="43">
        <f>IF($A409="","",IF(TRIM(IF($A409="","Missing certificate ref. ","") &amp; IF($C409="","Missing effective date. ","") &amp; IF($D409="","Missing binding status. ","") &amp; IF($E409="","Missing movement type. ","") &amp; IF($I409="","Missing make. ","") &amp; IF($L409="","Missing vehicle class. ","") &amp; IF($M409="","Missing agreed value. ","") &amp; IF($N409="","Missing policy type. ","") &amp; IF($Q409="","Missing garaging state. ","") &amp; IF($R409="","Missing garaging ZIP. ","") &amp; IF($S409="","Missing cat zone. ","") &amp; IF($V409="","Missing valuation basis. ","") &amp; IF($W409="","Missing PD deductible. ","") &amp; IF($X409="","Missing liability limit. ","") &amp; IF($AB409="","Missing technical premium. ","") &amp; IF($AF409="","Missing surplus lines tax %. ",""))="","PASS","FAIL: "&amp;TRIM(IF($A409="","Missing certificate ref. ","") &amp; IF($C409="","Missing effective date. ","") &amp; IF($D409="","Missing binding status. ","") &amp; IF($E409="","Missing movement type. ","") &amp; IF($I409="","Missing make. ","") &amp; IF($L409="","Missing vehicle class. ","") &amp; IF($M409="","Missing agreed value. ","") &amp; IF($N409="","Missing policy type. ","") &amp; IF($Q409="","Missing garaging state. ","") &amp; IF($R409="","Missing garaging ZIP. ","") &amp; IF($S409="","Missing cat zone. ","") &amp; IF($V409="","Missing valuation basis. ","") &amp; IF($W409="","Missing PD deductible. ","") &amp; IF($X409="","Missing liability limit. ","") &amp; IF($AB409="","Missing technical premium. ","") &amp; IF($AF409="","Missing surplus lines tax %. ",""))))</f>
      </c>
      <c r="AY409" s="44">
        <f>IF($M409="","",IF(ISNUMBER($M409),IF($M409&gt;=Header!$C$18,"YES — refer","No"),""))</f>
      </c>
      <c r="AZ409" s="44">
        <f>IF($AD409="","",IF(ISNUMBER($AD409),IF($AD409&lt;Header!$C$20,"BELOW MIN PREMIUM","OK"),""))</f>
      </c>
      <c r="BA409" s="32" t="inlineStr">
        <is>
          <t xml:space="preserve">Yes</t>
        </is>
      </c>
      <c r="BB409" s="32" t="inlineStr">
        <is>
          <t xml:space="preserve">Yes</t>
        </is>
      </c>
      <c r="BC409" s="30" t="inlineStr">
        <is>
          <t xml:space="preserve">Synthetic demo data</t>
        </is>
      </c>
      <c r="BE409" s="45">
        <f>IF(OR($A409="",$L409="",$H409=""),"",IF(AND(LEFT($L409,2)="06",$H409&gt;1945),"FAIL - pre-war class, year "&amp;$H409,IF(AND(LEFT($L409,2)="07",OR($H409&lt;1946,$H409&gt;1972)),"FAIL - 1946-72 class, year "&amp;$H409,IF(AND(LEFT($L409,2)="08",OR($H409&lt;1973,$H409&gt;1999)),"FAIL - 1973-99 class, year "&amp;$H409,IF(AND(LEFT($L409,2)="09",OR($H409&lt;2000,$H409&gt;2010)),"FAIL - 2000-10 class, year "&amp;$H409,"OK")))))</f>
      </c>
      <c r="BF409" s="45">
        <f>IF($AD409="","",IF(ROUND($AO409+$AP409+$AQ409-$AD409,2)=0,"OK","FAIL - out by "&amp;TEXT($AO409+$AP409+$AQ409-$AD409,"$0.00")))</f>
      </c>
    </row>
    <row r="410" spans="1:58" ht="18.75" customHeight="1" x14ac:dyDescent="0.25">
      <c r="A410" s="46" t="inlineStr">
        <is>
          <t xml:space="preserve">CANON-202511-002728</t>
        </is>
      </c>
      <c r="B410" s="46" t="inlineStr">
        <is>
          <t xml:space="preserve">Delphine Nakashima</t>
        </is>
      </c>
      <c r="C410" s="47">
        <v>45964</v>
      </c>
      <c r="D410" s="48" t="inlineStr">
        <is>
          <t xml:space="preserve">Bound - within authority</t>
        </is>
      </c>
      <c r="E410" s="48" t="inlineStr">
        <is>
          <t xml:space="preserve">New business</t>
        </is>
      </c>
      <c r="F410" s="46" t="inlineStr">
        <is>
          <t xml:space="preserve">B1234EXOTIC26</t>
        </is>
      </c>
      <c r="G410" s="33">
        <f>IF($A410="","",IF($C410="","",YEAR($C410)))</f>
      </c>
      <c r="H410" s="49">
        <v>1985</v>
      </c>
      <c r="I410" s="46" t="inlineStr">
        <is>
          <t xml:space="preserve">BMW</t>
        </is>
      </c>
      <c r="J410" s="46" t="inlineStr">
        <is>
          <t xml:space="preserve">M8 Competition</t>
        </is>
      </c>
      <c r="K410" s="46" t="inlineStr">
        <is>
          <t xml:space="preserve">RJ2MA3LS0CWZ5KK64</t>
        </is>
      </c>
      <c r="L410" s="48" t="inlineStr">
        <is>
          <t xml:space="preserve">02 - Sports / GT</t>
        </is>
      </c>
      <c r="M410" s="50">
        <v>760000</v>
      </c>
      <c r="N410" s="48" t="inlineStr">
        <is>
          <t xml:space="preserve">Personal</t>
        </is>
      </c>
      <c r="O410" s="46" t="inlineStr">
        <is>
          <t xml:space="preserve">Personal - regular use</t>
        </is>
      </c>
      <c r="P410" s="46" t="inlineStr">
        <is>
          <t xml:space="preserve">2,500 - 5,000</t>
        </is>
      </c>
      <c r="Q410" s="46" t="inlineStr">
        <is>
          <t xml:space="preserve">Oregon</t>
        </is>
      </c>
      <c r="R410" s="46" t="inlineStr">
        <is>
          <t xml:space="preserve">97204</t>
        </is>
      </c>
      <c r="S410" s="48" t="inlineStr">
        <is>
          <t xml:space="preserve">Earthquake - high (CA, Cascadia, New Madrid)</t>
        </is>
      </c>
      <c r="T410" s="36">
        <f>IF($A410="","",IF($S410="","",IFERROR(INDEX('[1]natural catastrophe'!$D$6:$D$17,MATCH($S410,'[1]natural catastrophe'!$B$6:$B$17,0)),"?")))</f>
      </c>
      <c r="U410" s="46" t="inlineStr">
        <is>
          <t xml:space="preserve">$5,000</t>
        </is>
      </c>
      <c r="V410" s="48" t="inlineStr">
        <is>
          <t xml:space="preserve">Agreed Value</t>
        </is>
      </c>
      <c r="W410" s="46" t="inlineStr">
        <is>
          <t xml:space="preserve">$1,000</t>
        </is>
      </c>
      <c r="X410" s="48" t="inlineStr">
        <is>
          <t xml:space="preserve">$1,000,000 CSL</t>
        </is>
      </c>
      <c r="Y410" s="46"/>
      <c r="Z410" s="46"/>
      <c r="AA410" s="48" t="inlineStr">
        <is>
          <t xml:space="preserve">Surplus Lines</t>
        </is>
      </c>
      <c r="AB410" s="50">
        <v>9683.53</v>
      </c>
      <c r="AC410" s="51">
        <v>0</v>
      </c>
      <c r="AD410" s="38">
        <f>IF(ISNUMBER($AB410),$AB410*(1+N($AC410)),"")</f>
      </c>
      <c r="AE410" s="50">
        <v>350</v>
      </c>
      <c r="AF410" s="50">
        <v>0</v>
      </c>
      <c r="AG410" s="51"/>
      <c r="AH410" s="39">
        <f>IF(ISNUMBER($AD410),($AD410+$AE410+$AF410)*$AG410,"")</f>
      </c>
      <c r="AI410" s="50"/>
      <c r="AJ410" s="38">
        <f>IF(ISNUMBER($AD410),SUM($AD410:$AH410),"")</f>
      </c>
      <c r="AK410" s="40">
        <f>IF(AND(ISNUMBER($AB410),ISNUMBER($AD410)),IF($AB410&gt;0,$AD410/$AB410,""),"")</f>
      </c>
      <c r="AL410" s="48" t="inlineStr">
        <is>
          <t xml:space="preserve">At technical</t>
        </is>
      </c>
      <c r="AM410" s="41">
        <f>IF(ISNUMBER($AD410),Header!$I$3,"")</f>
      </c>
      <c r="AN410" s="39">
        <f>IF(ISNUMBER($AD410),$AO410+$AP410,"")</f>
      </c>
      <c r="AO410" s="39">
        <f>IF(ISNUMBER($AD410),ROUND($AD410*Header!$K$3,2),"")</f>
      </c>
      <c r="AP410" s="39">
        <f>IF(ISNUMBER($AD410),ROUND($AD410*Header!$M$3,2),"")</f>
      </c>
      <c r="AQ410" s="38">
        <f>IF(ISNUMBER($AD410),ROUND($AD410,2)-$AO410-$AP410,"")</f>
      </c>
      <c r="AR410" s="39">
        <f>IF(ISNUMBER($AD410),IF(Header!$D$34="","?",$AD410*Header!$D$34),"")</f>
      </c>
      <c r="AS410" s="39">
        <f>IF(ISNUMBER($AB410),IF(Header!$D$34="","?",$AB410*Header!$D$34),"")</f>
      </c>
      <c r="AT410" s="42">
        <f>IF(AND(ISNUMBER($AB410),$M410&gt;0),$AB410/$M410*100,"")</f>
      </c>
      <c r="AU410" s="42">
        <f>IF(AND(ISNUMBER($AD410),$M410&gt;0),$AD410/$M410*100,"")</f>
      </c>
      <c r="AV410" s="40">
        <f>IF(AND(ISNUMBER($AB410),ISNUMBER($AD410),ABS($AB410)&gt;0),$AD410/$AB410,"")</f>
      </c>
      <c r="AW410" s="39">
        <f>IF(ISNUMBER($AD410),MAX(0,(1-0.55-Header!$O$3)*Header!$Q$3*$AQ410),"")</f>
      </c>
      <c r="AX410" s="43">
        <f>IF($A410="","",IF(TRIM(IF($A410="","Missing certificate ref. ","") &amp; IF($C410="","Missing effective date. ","") &amp; IF($D410="","Missing binding status. ","") &amp; IF($E410="","Missing movement type. ","") &amp; IF($I410="","Missing make. ","") &amp; IF($L410="","Missing vehicle class. ","") &amp; IF($M410="","Missing agreed value. ","") &amp; IF($N410="","Missing policy type. ","") &amp; IF($Q410="","Missing garaging state. ","") &amp; IF($R410="","Missing garaging ZIP. ","") &amp; IF($S410="","Missing cat zone. ","") &amp; IF($V410="","Missing valuation basis. ","") &amp; IF($W410="","Missing PD deductible. ","") &amp; IF($X410="","Missing liability limit. ","") &amp; IF($AB410="","Missing technical premium. ","") &amp; IF($AF410="","Missing surplus lines tax %. ",""))="","PASS","FAIL: "&amp;TRIM(IF($A410="","Missing certificate ref. ","") &amp; IF($C410="","Missing effective date. ","") &amp; IF($D410="","Missing binding status. ","") &amp; IF($E410="","Missing movement type. ","") &amp; IF($I410="","Missing make. ","") &amp; IF($L410="","Missing vehicle class. ","") &amp; IF($M410="","Missing agreed value. ","") &amp; IF($N410="","Missing policy type. ","") &amp; IF($Q410="","Missing garaging state. ","") &amp; IF($R410="","Missing garaging ZIP. ","") &amp; IF($S410="","Missing cat zone. ","") &amp; IF($V410="","Missing valuation basis. ","") &amp; IF($W410="","Missing PD deductible. ","") &amp; IF($X410="","Missing liability limit. ","") &amp; IF($AB410="","Missing technical premium. ","") &amp; IF($AF410="","Missing surplus lines tax %. ",""))))</f>
      </c>
      <c r="AY410" s="44">
        <f>IF($M410="","",IF(ISNUMBER($M410),IF($M410&gt;=Header!$C$18,"YES — refer","No"),""))</f>
      </c>
      <c r="AZ410" s="44">
        <f>IF($AD410="","",IF(ISNUMBER($AD410),IF($AD410&lt;Header!$C$20,"BELOW MIN PREMIUM","OK"),""))</f>
      </c>
      <c r="BA410" s="48" t="inlineStr">
        <is>
          <t xml:space="preserve">Yes</t>
        </is>
      </c>
      <c r="BB410" s="48" t="inlineStr">
        <is>
          <t xml:space="preserve">Yes</t>
        </is>
      </c>
      <c r="BC410" s="46" t="inlineStr">
        <is>
          <t xml:space="preserve">Synthetic demo data</t>
        </is>
      </c>
      <c r="BE410" s="45">
        <f>IF(OR($A410="",$L410="",$H410=""),"",IF(AND(LEFT($L410,2)="06",$H410&gt;1945),"FAIL - pre-war class, year "&amp;$H410,IF(AND(LEFT($L410,2)="07",OR($H410&lt;1946,$H410&gt;1972)),"FAIL - 1946-72 class, year "&amp;$H410,IF(AND(LEFT($L410,2)="08",OR($H410&lt;1973,$H410&gt;1999)),"FAIL - 1973-99 class, year "&amp;$H410,IF(AND(LEFT($L410,2)="09",OR($H410&lt;2000,$H410&gt;2010)),"FAIL - 2000-10 class, year "&amp;$H410,"OK")))))</f>
      </c>
      <c r="BF410" s="45">
        <f>IF($AD410="","",IF(ROUND($AO410+$AP410+$AQ410-$AD410,2)=0,"OK","FAIL - out by "&amp;TEXT($AO410+$AP410+$AQ410-$AD410,"$0.00")))</f>
      </c>
    </row>
    <row r="411" spans="1:58" ht="18.75" customHeight="1" x14ac:dyDescent="0.25">
      <c r="A411" s="30" t="inlineStr">
        <is>
          <t xml:space="preserve">CANON-202511-002729</t>
        </is>
      </c>
      <c r="B411" s="30" t="inlineStr">
        <is>
          <t xml:space="preserve">Sunniva Okonkwo</t>
        </is>
      </c>
      <c r="C411" s="31">
        <v>45985</v>
      </c>
      <c r="D411" s="32" t="inlineStr">
        <is>
          <t xml:space="preserve">Bound - within authority</t>
        </is>
      </c>
      <c r="E411" s="32" t="inlineStr">
        <is>
          <t xml:space="preserve">New business</t>
        </is>
      </c>
      <c r="F411" s="30" t="inlineStr">
        <is>
          <t xml:space="preserve">B1234EXOTIC26</t>
        </is>
      </c>
      <c r="G411" s="33">
        <f>IF($A411="","",IF($C411="","",YEAR($C411)))</f>
      </c>
      <c r="H411" s="34">
        <v>2005</v>
      </c>
      <c r="I411" s="30" t="inlineStr">
        <is>
          <t xml:space="preserve">Aston Martin</t>
        </is>
      </c>
      <c r="J411" s="30" t="inlineStr">
        <is>
          <t xml:space="preserve">DB12</t>
        </is>
      </c>
      <c r="K411" s="30" t="inlineStr">
        <is>
          <t xml:space="preserve">8V6V61YZXSMP1CWHP</t>
        </is>
      </c>
      <c r="L411" s="32" t="inlineStr">
        <is>
          <t xml:space="preserve">02 - Sports / GT</t>
        </is>
      </c>
      <c r="M411" s="35">
        <v>585000</v>
      </c>
      <c r="N411" s="32" t="inlineStr">
        <is>
          <t xml:space="preserve">Personal</t>
        </is>
      </c>
      <c r="O411" s="30" t="inlineStr">
        <is>
          <t xml:space="preserve">Personal - regular use</t>
        </is>
      </c>
      <c r="P411" s="30" t="inlineStr">
        <is>
          <t xml:space="preserve">1,000 - 2,500</t>
        </is>
      </c>
      <c r="Q411" s="30" t="inlineStr">
        <is>
          <t xml:space="preserve">Tennessee</t>
        </is>
      </c>
      <c r="R411" s="30" t="inlineStr">
        <is>
          <t xml:space="preserve">37203</t>
        </is>
      </c>
      <c r="S411" s="32" t="inlineStr">
        <is>
          <t xml:space="preserve">Severe convective - hail / tornado (moderate)</t>
        </is>
      </c>
      <c r="T411" s="36">
        <f>IF($A411="","",IF($S411="","",IFERROR(INDEX('[1]natural catastrophe'!$D$6:$D$17,MATCH($S411,'[1]natural catastrophe'!$B$6:$B$17,0)),"?")))</f>
      </c>
      <c r="U411" s="30" t="inlineStr">
        <is>
          <t xml:space="preserve">$5,000</t>
        </is>
      </c>
      <c r="V411" s="32" t="inlineStr">
        <is>
          <t xml:space="preserve">Agreed Value</t>
        </is>
      </c>
      <c r="W411" s="30" t="inlineStr">
        <is>
          <t xml:space="preserve">$1,000</t>
        </is>
      </c>
      <c r="X411" s="32" t="inlineStr">
        <is>
          <t xml:space="preserve">$1,000,000 CSL</t>
        </is>
      </c>
      <c r="Y411" s="30"/>
      <c r="Z411" s="30"/>
      <c r="AA411" s="32" t="inlineStr">
        <is>
          <t xml:space="preserve">Surplus Lines</t>
        </is>
      </c>
      <c r="AB411" s="35">
        <v>6464.34</v>
      </c>
      <c r="AC411" s="37">
        <v>0</v>
      </c>
      <c r="AD411" s="38">
        <f>IF(ISNUMBER($AB411),$AB411*(1+N($AC411)),"")</f>
      </c>
      <c r="AE411" s="35">
        <v>350</v>
      </c>
      <c r="AF411" s="35">
        <v>0</v>
      </c>
      <c r="AG411" s="37"/>
      <c r="AH411" s="39">
        <f>IF(ISNUMBER($AD411),($AD411+$AE411+$AF411)*$AG411,"")</f>
      </c>
      <c r="AI411" s="35"/>
      <c r="AJ411" s="38">
        <f>IF(ISNUMBER($AD411),SUM($AD411:$AH411),"")</f>
      </c>
      <c r="AK411" s="40">
        <f>IF(AND(ISNUMBER($AB411),ISNUMBER($AD411)),IF($AB411&gt;0,$AD411/$AB411,""),"")</f>
      </c>
      <c r="AL411" s="32" t="inlineStr">
        <is>
          <t xml:space="preserve">At technical</t>
        </is>
      </c>
      <c r="AM411" s="41">
        <f>IF(ISNUMBER($AD411),Header!$I$3,"")</f>
      </c>
      <c r="AN411" s="39">
        <f>IF(ISNUMBER($AD411),$AO411+$AP411,"")</f>
      </c>
      <c r="AO411" s="39">
        <f>IF(ISNUMBER($AD411),ROUND($AD411*Header!$K$3,2),"")</f>
      </c>
      <c r="AP411" s="39">
        <f>IF(ISNUMBER($AD411),ROUND($AD411*Header!$M$3,2),"")</f>
      </c>
      <c r="AQ411" s="38">
        <f>IF(ISNUMBER($AD411),ROUND($AD411,2)-$AO411-$AP411,"")</f>
      </c>
      <c r="AR411" s="39">
        <f>IF(ISNUMBER($AD411),IF(Header!$D$34="","?",$AD411*Header!$D$34),"")</f>
      </c>
      <c r="AS411" s="39">
        <f>IF(ISNUMBER($AB411),IF(Header!$D$34="","?",$AB411*Header!$D$34),"")</f>
      </c>
      <c r="AT411" s="42">
        <f>IF(AND(ISNUMBER($AB411),$M411&gt;0),$AB411/$M411*100,"")</f>
      </c>
      <c r="AU411" s="42">
        <f>IF(AND(ISNUMBER($AD411),$M411&gt;0),$AD411/$M411*100,"")</f>
      </c>
      <c r="AV411" s="40">
        <f>IF(AND(ISNUMBER($AB411),ISNUMBER($AD411),ABS($AB411)&gt;0),$AD411/$AB411,"")</f>
      </c>
      <c r="AW411" s="39">
        <f>IF(ISNUMBER($AD411),MAX(0,(1-0.55-Header!$O$3)*Header!$Q$3*$AQ411),"")</f>
      </c>
      <c r="AX411" s="43">
        <f>IF($A411="","",IF(TRIM(IF($A411="","Missing certificate ref. ","") &amp; IF($C411="","Missing effective date. ","") &amp; IF($D411="","Missing binding status. ","") &amp; IF($E411="","Missing movement type. ","") &amp; IF($I411="","Missing make. ","") &amp; IF($L411="","Missing vehicle class. ","") &amp; IF($M411="","Missing agreed value. ","") &amp; IF($N411="","Missing policy type. ","") &amp; IF($Q411="","Missing garaging state. ","") &amp; IF($R411="","Missing garaging ZIP. ","") &amp; IF($S411="","Missing cat zone. ","") &amp; IF($V411="","Missing valuation basis. ","") &amp; IF($W411="","Missing PD deductible. ","") &amp; IF($X411="","Missing liability limit. ","") &amp; IF($AB411="","Missing technical premium. ","") &amp; IF($AF411="","Missing surplus lines tax %. ",""))="","PASS","FAIL: "&amp;TRIM(IF($A411="","Missing certificate ref. ","") &amp; IF($C411="","Missing effective date. ","") &amp; IF($D411="","Missing binding status. ","") &amp; IF($E411="","Missing movement type. ","") &amp; IF($I411="","Missing make. ","") &amp; IF($L411="","Missing vehicle class. ","") &amp; IF($M411="","Missing agreed value. ","") &amp; IF($N411="","Missing policy type. ","") &amp; IF($Q411="","Missing garaging state. ","") &amp; IF($R411="","Missing garaging ZIP. ","") &amp; IF($S411="","Missing cat zone. ","") &amp; IF($V411="","Missing valuation basis. ","") &amp; IF($W411="","Missing PD deductible. ","") &amp; IF($X411="","Missing liability limit. ","") &amp; IF($AB411="","Missing technical premium. ","") &amp; IF($AF411="","Missing surplus lines tax %. ",""))))</f>
      </c>
      <c r="AY411" s="44">
        <f>IF($M411="","",IF(ISNUMBER($M411),IF($M411&gt;=Header!$C$18,"YES — refer","No"),""))</f>
      </c>
      <c r="AZ411" s="44">
        <f>IF($AD411="","",IF(ISNUMBER($AD411),IF($AD411&lt;Header!$C$20,"BELOW MIN PREMIUM","OK"),""))</f>
      </c>
      <c r="BA411" s="32" t="inlineStr">
        <is>
          <t xml:space="preserve">Yes</t>
        </is>
      </c>
      <c r="BB411" s="32" t="inlineStr">
        <is>
          <t xml:space="preserve">Yes</t>
        </is>
      </c>
      <c r="BC411" s="30" t="inlineStr">
        <is>
          <t xml:space="preserve">Synthetic demo data</t>
        </is>
      </c>
      <c r="BE411" s="45">
        <f>IF(OR($A411="",$L411="",$H411=""),"",IF(AND(LEFT($L411,2)="06",$H411&gt;1945),"FAIL - pre-war class, year "&amp;$H411,IF(AND(LEFT($L411,2)="07",OR($H411&lt;1946,$H411&gt;1972)),"FAIL - 1946-72 class, year "&amp;$H411,IF(AND(LEFT($L411,2)="08",OR($H411&lt;1973,$H411&gt;1999)),"FAIL - 1973-99 class, year "&amp;$H411,IF(AND(LEFT($L411,2)="09",OR($H411&lt;2000,$H411&gt;2010)),"FAIL - 2000-10 class, year "&amp;$H411,"OK")))))</f>
      </c>
      <c r="BF411" s="45">
        <f>IF($AD411="","",IF(ROUND($AO411+$AP411+$AQ411-$AD411,2)=0,"OK","FAIL - out by "&amp;TEXT($AO411+$AP411+$AQ411-$AD411,"$0.00")))</f>
      </c>
    </row>
    <row r="412" spans="1:58" ht="18.75" customHeight="1" x14ac:dyDescent="0.25">
      <c r="A412" s="46" t="inlineStr">
        <is>
          <t xml:space="preserve">CANON-202511-002730</t>
        </is>
      </c>
      <c r="B412" s="46" t="inlineStr">
        <is>
          <t xml:space="preserve">Horace Bellandi</t>
        </is>
      </c>
      <c r="C412" s="47">
        <v>45969</v>
      </c>
      <c r="D412" s="48" t="inlineStr">
        <is>
          <t xml:space="preserve">Bound - within authority</t>
        </is>
      </c>
      <c r="E412" s="48" t="inlineStr">
        <is>
          <t xml:space="preserve">New business</t>
        </is>
      </c>
      <c r="F412" s="46" t="inlineStr">
        <is>
          <t xml:space="preserve">B1234EXOTIC26</t>
        </is>
      </c>
      <c r="G412" s="33">
        <f>IF($A412="","",IF($C412="","",YEAR($C412)))</f>
      </c>
      <c r="H412" s="49">
        <v>1993</v>
      </c>
      <c r="I412" s="46" t="inlineStr">
        <is>
          <t xml:space="preserve">McLaren</t>
        </is>
      </c>
      <c r="J412" s="46" t="inlineStr">
        <is>
          <t xml:space="preserve">750S</t>
        </is>
      </c>
      <c r="K412" s="46" t="inlineStr">
        <is>
          <t xml:space="preserve">NNMZ66X656FVC5R0Z</t>
        </is>
      </c>
      <c r="L412" s="48" t="inlineStr">
        <is>
          <t xml:space="preserve">03 - Supercar</t>
        </is>
      </c>
      <c r="M412" s="50">
        <v>430000</v>
      </c>
      <c r="N412" s="48" t="inlineStr">
        <is>
          <t xml:space="preserve">Personal</t>
        </is>
      </c>
      <c r="O412" s="46" t="inlineStr">
        <is>
          <t xml:space="preserve">Personal - regular use</t>
        </is>
      </c>
      <c r="P412" s="46" t="inlineStr">
        <is>
          <t xml:space="preserve">Under 1,000</t>
        </is>
      </c>
      <c r="Q412" s="46" t="inlineStr">
        <is>
          <t xml:space="preserve">Arizona</t>
        </is>
      </c>
      <c r="R412" s="46" t="inlineStr">
        <is>
          <t xml:space="preserve">85001</t>
        </is>
      </c>
      <c r="S412" s="48" t="inlineStr">
        <is>
          <t xml:space="preserve">Wildfire - WUI high hazard</t>
        </is>
      </c>
      <c r="T412" s="36">
        <f>IF($A412="","",IF($S412="","",IFERROR(INDEX('[1]natural catastrophe'!$D$6:$D$17,MATCH($S412,'[1]natural catastrophe'!$B$6:$B$17,0)),"?")))</f>
      </c>
      <c r="U412" s="46" t="inlineStr">
        <is>
          <t xml:space="preserve">$5,000</t>
        </is>
      </c>
      <c r="V412" s="48" t="inlineStr">
        <is>
          <t xml:space="preserve">Agreed Value</t>
        </is>
      </c>
      <c r="W412" s="46" t="inlineStr">
        <is>
          <t xml:space="preserve">$1,000</t>
        </is>
      </c>
      <c r="X412" s="48" t="inlineStr">
        <is>
          <t xml:space="preserve">$1,000,000 CSL</t>
        </is>
      </c>
      <c r="Y412" s="46"/>
      <c r="Z412" s="46"/>
      <c r="AA412" s="48" t="inlineStr">
        <is>
          <t xml:space="preserve">Surplus Lines</t>
        </is>
      </c>
      <c r="AB412" s="50">
        <v>8663.96</v>
      </c>
      <c r="AC412" s="51">
        <v>0</v>
      </c>
      <c r="AD412" s="38">
        <f>IF(ISNUMBER($AB412),$AB412*(1+N($AC412)),"")</f>
      </c>
      <c r="AE412" s="50">
        <v>350</v>
      </c>
      <c r="AF412" s="50">
        <v>0</v>
      </c>
      <c r="AG412" s="51"/>
      <c r="AH412" s="39">
        <f>IF(ISNUMBER($AD412),($AD412+$AE412+$AF412)*$AG412,"")</f>
      </c>
      <c r="AI412" s="50"/>
      <c r="AJ412" s="38">
        <f>IF(ISNUMBER($AD412),SUM($AD412:$AH412),"")</f>
      </c>
      <c r="AK412" s="40">
        <f>IF(AND(ISNUMBER($AB412),ISNUMBER($AD412)),IF($AB412&gt;0,$AD412/$AB412,""),"")</f>
      </c>
      <c r="AL412" s="48" t="inlineStr">
        <is>
          <t xml:space="preserve">At technical</t>
        </is>
      </c>
      <c r="AM412" s="41">
        <f>IF(ISNUMBER($AD412),Header!$I$3,"")</f>
      </c>
      <c r="AN412" s="39">
        <f>IF(ISNUMBER($AD412),$AO412+$AP412,"")</f>
      </c>
      <c r="AO412" s="39">
        <f>IF(ISNUMBER($AD412),ROUND($AD412*Header!$K$3,2),"")</f>
      </c>
      <c r="AP412" s="39">
        <f>IF(ISNUMBER($AD412),ROUND($AD412*Header!$M$3,2),"")</f>
      </c>
      <c r="AQ412" s="38">
        <f>IF(ISNUMBER($AD412),ROUND($AD412,2)-$AO412-$AP412,"")</f>
      </c>
      <c r="AR412" s="39">
        <f>IF(ISNUMBER($AD412),IF(Header!$D$34="","?",$AD412*Header!$D$34),"")</f>
      </c>
      <c r="AS412" s="39">
        <f>IF(ISNUMBER($AB412),IF(Header!$D$34="","?",$AB412*Header!$D$34),"")</f>
      </c>
      <c r="AT412" s="42">
        <f>IF(AND(ISNUMBER($AB412),$M412&gt;0),$AB412/$M412*100,"")</f>
      </c>
      <c r="AU412" s="42">
        <f>IF(AND(ISNUMBER($AD412),$M412&gt;0),$AD412/$M412*100,"")</f>
      </c>
      <c r="AV412" s="40">
        <f>IF(AND(ISNUMBER($AB412),ISNUMBER($AD412),ABS($AB412)&gt;0),$AD412/$AB412,"")</f>
      </c>
      <c r="AW412" s="39">
        <f>IF(ISNUMBER($AD412),MAX(0,(1-0.55-Header!$O$3)*Header!$Q$3*$AQ412),"")</f>
      </c>
      <c r="AX412" s="43">
        <f>IF($A412="","",IF(TRIM(IF($A412="","Missing certificate ref. ","") &amp; IF($C412="","Missing effective date. ","") &amp; IF($D412="","Missing binding status. ","") &amp; IF($E412="","Missing movement type. ","") &amp; IF($I412="","Missing make. ","") &amp; IF($L412="","Missing vehicle class. ","") &amp; IF($M412="","Missing agreed value. ","") &amp; IF($N412="","Missing policy type. ","") &amp; IF($Q412="","Missing garaging state. ","") &amp; IF($R412="","Missing garaging ZIP. ","") &amp; IF($S412="","Missing cat zone. ","") &amp; IF($V412="","Missing valuation basis. ","") &amp; IF($W412="","Missing PD deductible. ","") &amp; IF($X412="","Missing liability limit. ","") &amp; IF($AB412="","Missing technical premium. ","") &amp; IF($AF412="","Missing surplus lines tax %. ",""))="","PASS","FAIL: "&amp;TRIM(IF($A412="","Missing certificate ref. ","") &amp; IF($C412="","Missing effective date. ","") &amp; IF($D412="","Missing binding status. ","") &amp; IF($E412="","Missing movement type. ","") &amp; IF($I412="","Missing make. ","") &amp; IF($L412="","Missing vehicle class. ","") &amp; IF($M412="","Missing agreed value. ","") &amp; IF($N412="","Missing policy type. ","") &amp; IF($Q412="","Missing garaging state. ","") &amp; IF($R412="","Missing garaging ZIP. ","") &amp; IF($S412="","Missing cat zone. ","") &amp; IF($V412="","Missing valuation basis. ","") &amp; IF($W412="","Missing PD deductible. ","") &amp; IF($X412="","Missing liability limit. ","") &amp; IF($AB412="","Missing technical premium. ","") &amp; IF($AF412="","Missing surplus lines tax %. ",""))))</f>
      </c>
      <c r="AY412" s="44">
        <f>IF($M412="","",IF(ISNUMBER($M412),IF($M412&gt;=Header!$C$18,"YES — refer","No"),""))</f>
      </c>
      <c r="AZ412" s="44">
        <f>IF($AD412="","",IF(ISNUMBER($AD412),IF($AD412&lt;Header!$C$20,"BELOW MIN PREMIUM","OK"),""))</f>
      </c>
      <c r="BA412" s="48" t="inlineStr">
        <is>
          <t xml:space="preserve">Yes</t>
        </is>
      </c>
      <c r="BB412" s="48" t="inlineStr">
        <is>
          <t xml:space="preserve">Yes</t>
        </is>
      </c>
      <c r="BC412" s="46" t="inlineStr">
        <is>
          <t xml:space="preserve">Synthetic demo data</t>
        </is>
      </c>
      <c r="BE412" s="45">
        <f>IF(OR($A412="",$L412="",$H412=""),"",IF(AND(LEFT($L412,2)="06",$H412&gt;1945),"FAIL - pre-war class, year "&amp;$H412,IF(AND(LEFT($L412,2)="07",OR($H412&lt;1946,$H412&gt;1972)),"FAIL - 1946-72 class, year "&amp;$H412,IF(AND(LEFT($L412,2)="08",OR($H412&lt;1973,$H412&gt;1999)),"FAIL - 1973-99 class, year "&amp;$H412,IF(AND(LEFT($L412,2)="09",OR($H412&lt;2000,$H412&gt;2010)),"FAIL - 2000-10 class, year "&amp;$H412,"OK")))))</f>
      </c>
      <c r="BF412" s="45">
        <f>IF($AD412="","",IF(ROUND($AO412+$AP412+$AQ412-$AD412,2)=0,"OK","FAIL - out by "&amp;TEXT($AO412+$AP412+$AQ412-$AD412,"$0.00")))</f>
      </c>
    </row>
    <row r="413" spans="1:58" ht="18.75" customHeight="1" x14ac:dyDescent="0.25">
      <c r="A413" s="30" t="inlineStr">
        <is>
          <t xml:space="preserve">CANON-202511-002731</t>
        </is>
      </c>
      <c r="B413" s="30" t="inlineStr">
        <is>
          <t xml:space="preserve">Anouk Vandermeer</t>
        </is>
      </c>
      <c r="C413" s="31">
        <v>45986</v>
      </c>
      <c r="D413" s="32" t="inlineStr">
        <is>
          <t xml:space="preserve">Bound - within authority</t>
        </is>
      </c>
      <c r="E413" s="32" t="inlineStr">
        <is>
          <t xml:space="preserve">New business</t>
        </is>
      </c>
      <c r="F413" s="30" t="inlineStr">
        <is>
          <t xml:space="preserve">B1234EXOTIC26</t>
        </is>
      </c>
      <c r="G413" s="33">
        <f>IF($A413="","",IF($C413="","",YEAR($C413)))</f>
      </c>
      <c r="H413" s="34">
        <v>1971</v>
      </c>
      <c r="I413" s="30" t="inlineStr">
        <is>
          <t xml:space="preserve">Bentley</t>
        </is>
      </c>
      <c r="J413" s="30" t="inlineStr">
        <is>
          <t xml:space="preserve">Continental GT</t>
        </is>
      </c>
      <c r="K413" s="30" t="inlineStr">
        <is>
          <t xml:space="preserve">K34NX0KDXMYWRZSLR</t>
        </is>
      </c>
      <c r="L413" s="32" t="inlineStr">
        <is>
          <t xml:space="preserve">02 - Sports / GT</t>
        </is>
      </c>
      <c r="M413" s="35">
        <v>395000</v>
      </c>
      <c r="N413" s="32" t="inlineStr">
        <is>
          <t xml:space="preserve">Personal</t>
        </is>
      </c>
      <c r="O413" s="30" t="inlineStr">
        <is>
          <t xml:space="preserve">Personal - regular use</t>
        </is>
      </c>
      <c r="P413" s="30" t="inlineStr">
        <is>
          <t xml:space="preserve">1,000 - 2,500</t>
        </is>
      </c>
      <c r="Q413" s="30" t="inlineStr">
        <is>
          <t xml:space="preserve">Pennsylvania</t>
        </is>
      </c>
      <c r="R413" s="30" t="inlineStr">
        <is>
          <t xml:space="preserve">19103</t>
        </is>
      </c>
      <c r="S413" s="32" t="inlineStr">
        <is>
          <t xml:space="preserve">Low hazard - inland benign</t>
        </is>
      </c>
      <c r="T413" s="36">
        <f>IF($A413="","",IF($S413="","",IFERROR(INDEX('[1]natural catastrophe'!$D$6:$D$17,MATCH($S413,'[1]natural catastrophe'!$B$6:$B$17,0)),"?")))</f>
      </c>
      <c r="U413" s="30" t="inlineStr">
        <is>
          <t xml:space="preserve">$5,000</t>
        </is>
      </c>
      <c r="V413" s="32" t="inlineStr">
        <is>
          <t xml:space="preserve">Agreed Value</t>
        </is>
      </c>
      <c r="W413" s="30" t="inlineStr">
        <is>
          <t xml:space="preserve">$1,000</t>
        </is>
      </c>
      <c r="X413" s="32" t="inlineStr">
        <is>
          <t xml:space="preserve">$1,000,000 CSL</t>
        </is>
      </c>
      <c r="Y413" s="30"/>
      <c r="Z413" s="30"/>
      <c r="AA413" s="32" t="inlineStr">
        <is>
          <t xml:space="preserve">Surplus Lines</t>
        </is>
      </c>
      <c r="AB413" s="35">
        <v>5139.1</v>
      </c>
      <c r="AC413" s="37">
        <v>0</v>
      </c>
      <c r="AD413" s="38">
        <f>IF(ISNUMBER($AB413),$AB413*(1+N($AC413)),"")</f>
      </c>
      <c r="AE413" s="35">
        <v>350</v>
      </c>
      <c r="AF413" s="35">
        <v>0</v>
      </c>
      <c r="AG413" s="37"/>
      <c r="AH413" s="39">
        <f>IF(ISNUMBER($AD413),($AD413+$AE413+$AF413)*$AG413,"")</f>
      </c>
      <c r="AI413" s="35"/>
      <c r="AJ413" s="38">
        <f>IF(ISNUMBER($AD413),SUM($AD413:$AH413),"")</f>
      </c>
      <c r="AK413" s="40">
        <f>IF(AND(ISNUMBER($AB413),ISNUMBER($AD413)),IF($AB413&gt;0,$AD413/$AB413,""),"")</f>
      </c>
      <c r="AL413" s="32" t="inlineStr">
        <is>
          <t xml:space="preserve">At technical</t>
        </is>
      </c>
      <c r="AM413" s="41">
        <f>IF(ISNUMBER($AD413),Header!$I$3,"")</f>
      </c>
      <c r="AN413" s="39">
        <f>IF(ISNUMBER($AD413),$AO413+$AP413,"")</f>
      </c>
      <c r="AO413" s="39">
        <f>IF(ISNUMBER($AD413),ROUND($AD413*Header!$K$3,2),"")</f>
      </c>
      <c r="AP413" s="39">
        <f>IF(ISNUMBER($AD413),ROUND($AD413*Header!$M$3,2),"")</f>
      </c>
      <c r="AQ413" s="38">
        <f>IF(ISNUMBER($AD413),ROUND($AD413,2)-$AO413-$AP413,"")</f>
      </c>
      <c r="AR413" s="39">
        <f>IF(ISNUMBER($AD413),IF(Header!$D$34="","?",$AD413*Header!$D$34),"")</f>
      </c>
      <c r="AS413" s="39">
        <f>IF(ISNUMBER($AB413),IF(Header!$D$34="","?",$AB413*Header!$D$34),"")</f>
      </c>
      <c r="AT413" s="42">
        <f>IF(AND(ISNUMBER($AB413),$M413&gt;0),$AB413/$M413*100,"")</f>
      </c>
      <c r="AU413" s="42">
        <f>IF(AND(ISNUMBER($AD413),$M413&gt;0),$AD413/$M413*100,"")</f>
      </c>
      <c r="AV413" s="40">
        <f>IF(AND(ISNUMBER($AB413),ISNUMBER($AD413),ABS($AB413)&gt;0),$AD413/$AB413,"")</f>
      </c>
      <c r="AW413" s="39">
        <f>IF(ISNUMBER($AD413),MAX(0,(1-0.55-Header!$O$3)*Header!$Q$3*$AQ413),"")</f>
      </c>
      <c r="AX413" s="43">
        <f>IF($A413="","",IF(TRIM(IF($A413="","Missing certificate ref. ","") &amp; IF($C413="","Missing effective date. ","") &amp; IF($D413="","Missing binding status. ","") &amp; IF($E413="","Missing movement type. ","") &amp; IF($I413="","Missing make. ","") &amp; IF($L413="","Missing vehicle class. ","") &amp; IF($M413="","Missing agreed value. ","") &amp; IF($N413="","Missing policy type. ","") &amp; IF($Q413="","Missing garaging state. ","") &amp; IF($R413="","Missing garaging ZIP. ","") &amp; IF($S413="","Missing cat zone. ","") &amp; IF($V413="","Missing valuation basis. ","") &amp; IF($W413="","Missing PD deductible. ","") &amp; IF($X413="","Missing liability limit. ","") &amp; IF($AB413="","Missing technical premium. ","") &amp; IF($AF413="","Missing surplus lines tax %. ",""))="","PASS","FAIL: "&amp;TRIM(IF($A413="","Missing certificate ref. ","") &amp; IF($C413="","Missing effective date. ","") &amp; IF($D413="","Missing binding status. ","") &amp; IF($E413="","Missing movement type. ","") &amp; IF($I413="","Missing make. ","") &amp; IF($L413="","Missing vehicle class. ","") &amp; IF($M413="","Missing agreed value. ","") &amp; IF($N413="","Missing policy type. ","") &amp; IF($Q413="","Missing garaging state. ","") &amp; IF($R413="","Missing garaging ZIP. ","") &amp; IF($S413="","Missing cat zone. ","") &amp; IF($V413="","Missing valuation basis. ","") &amp; IF($W413="","Missing PD deductible. ","") &amp; IF($X413="","Missing liability limit. ","") &amp; IF($AB413="","Missing technical premium. ","") &amp; IF($AF413="","Missing surplus lines tax %. ",""))))</f>
      </c>
      <c r="AY413" s="44">
        <f>IF($M413="","",IF(ISNUMBER($M413),IF($M413&gt;=Header!$C$18,"YES — refer","No"),""))</f>
      </c>
      <c r="AZ413" s="44">
        <f>IF($AD413="","",IF(ISNUMBER($AD413),IF($AD413&lt;Header!$C$20,"BELOW MIN PREMIUM","OK"),""))</f>
      </c>
      <c r="BA413" s="32" t="inlineStr">
        <is>
          <t xml:space="preserve">Yes</t>
        </is>
      </c>
      <c r="BB413" s="32" t="inlineStr">
        <is>
          <t xml:space="preserve">Yes</t>
        </is>
      </c>
      <c r="BC413" s="30" t="inlineStr">
        <is>
          <t xml:space="preserve">Synthetic demo data</t>
        </is>
      </c>
      <c r="BE413" s="45">
        <f>IF(OR($A413="",$L413="",$H413=""),"",IF(AND(LEFT($L413,2)="06",$H413&gt;1945),"FAIL - pre-war class, year "&amp;$H413,IF(AND(LEFT($L413,2)="07",OR($H413&lt;1946,$H413&gt;1972)),"FAIL - 1946-72 class, year "&amp;$H413,IF(AND(LEFT($L413,2)="08",OR($H413&lt;1973,$H413&gt;1999)),"FAIL - 1973-99 class, year "&amp;$H413,IF(AND(LEFT($L413,2)="09",OR($H413&lt;2000,$H413&gt;2010)),"FAIL - 2000-10 class, year "&amp;$H413,"OK")))))</f>
      </c>
      <c r="BF413" s="45">
        <f>IF($AD413="","",IF(ROUND($AO413+$AP413+$AQ413-$AD413,2)=0,"OK","FAIL - out by "&amp;TEXT($AO413+$AP413+$AQ413-$AD413,"$0.00")))</f>
      </c>
    </row>
    <row r="414" spans="1:58" ht="18.75" customHeight="1" x14ac:dyDescent="0.25">
      <c r="A414" s="46" t="inlineStr">
        <is>
          <t xml:space="preserve">CANON-202511-002732</t>
        </is>
      </c>
      <c r="B414" s="46" t="inlineStr">
        <is>
          <t xml:space="preserve">Horace Farkas</t>
        </is>
      </c>
      <c r="C414" s="47">
        <v>45987</v>
      </c>
      <c r="D414" s="48" t="inlineStr">
        <is>
          <t xml:space="preserve">Bound - within authority</t>
        </is>
      </c>
      <c r="E414" s="48" t="inlineStr">
        <is>
          <t xml:space="preserve">New business</t>
        </is>
      </c>
      <c r="F414" s="46" t="inlineStr">
        <is>
          <t xml:space="preserve">B1234EXOTIC26</t>
        </is>
      </c>
      <c r="G414" s="33">
        <f>IF($A414="","",IF($C414="","",YEAR($C414)))</f>
      </c>
      <c r="H414" s="49">
        <v>2023</v>
      </c>
      <c r="I414" s="46" t="inlineStr">
        <is>
          <t xml:space="preserve">Jaguar</t>
        </is>
      </c>
      <c r="J414" s="46" t="inlineStr">
        <is>
          <t xml:space="preserve">E-Type Series 1</t>
        </is>
      </c>
      <c r="K414" s="46" t="inlineStr">
        <is>
          <t xml:space="preserve">40TPL8JWVF349MA0T</t>
        </is>
      </c>
      <c r="L414" s="48" t="inlineStr">
        <is>
          <t xml:space="preserve">02 - Sports / GT</t>
        </is>
      </c>
      <c r="M414" s="50">
        <v>910000</v>
      </c>
      <c r="N414" s="48" t="inlineStr">
        <is>
          <t xml:space="preserve">Personal</t>
        </is>
      </c>
      <c r="O414" s="46" t="inlineStr">
        <is>
          <t xml:space="preserve">Personal - regular use</t>
        </is>
      </c>
      <c r="P414" s="46" t="inlineStr">
        <is>
          <t xml:space="preserve">1,000 - 2,500</t>
        </is>
      </c>
      <c r="Q414" s="46" t="inlineStr">
        <is>
          <t xml:space="preserve">Nebraska</t>
        </is>
      </c>
      <c r="R414" s="46" t="inlineStr">
        <is>
          <t xml:space="preserve">68102</t>
        </is>
      </c>
      <c r="S414" s="48" t="inlineStr">
        <is>
          <t xml:space="preserve">Severe convective - hail alley (high)</t>
        </is>
      </c>
      <c r="T414" s="36">
        <f>IF($A414="","",IF($S414="","",IFERROR(INDEX('[1]natural catastrophe'!$D$6:$D$17,MATCH($S414,'[1]natural catastrophe'!$B$6:$B$17,0)),"?")))</f>
      </c>
      <c r="U414" s="46" t="inlineStr">
        <is>
          <t xml:space="preserve">$5,000</t>
        </is>
      </c>
      <c r="V414" s="48" t="inlineStr">
        <is>
          <t xml:space="preserve">Agreed Value</t>
        </is>
      </c>
      <c r="W414" s="46" t="inlineStr">
        <is>
          <t xml:space="preserve">$1,000</t>
        </is>
      </c>
      <c r="X414" s="48" t="inlineStr">
        <is>
          <t xml:space="preserve">$1,000,000 CSL</t>
        </is>
      </c>
      <c r="Y414" s="46"/>
      <c r="Z414" s="46"/>
      <c r="AA414" s="48" t="inlineStr">
        <is>
          <t xml:space="preserve">Surplus Lines</t>
        </is>
      </c>
      <c r="AB414" s="50">
        <v>8824.33</v>
      </c>
      <c r="AC414" s="51">
        <v>0</v>
      </c>
      <c r="AD414" s="38">
        <f>IF(ISNUMBER($AB414),$AB414*(1+N($AC414)),"")</f>
      </c>
      <c r="AE414" s="50">
        <v>350</v>
      </c>
      <c r="AF414" s="50">
        <v>0</v>
      </c>
      <c r="AG414" s="51"/>
      <c r="AH414" s="39">
        <f>IF(ISNUMBER($AD414),($AD414+$AE414+$AF414)*$AG414,"")</f>
      </c>
      <c r="AI414" s="50"/>
      <c r="AJ414" s="38">
        <f>IF(ISNUMBER($AD414),SUM($AD414:$AH414),"")</f>
      </c>
      <c r="AK414" s="40">
        <f>IF(AND(ISNUMBER($AB414),ISNUMBER($AD414)),IF($AB414&gt;0,$AD414/$AB414,""),"")</f>
      </c>
      <c r="AL414" s="48" t="inlineStr">
        <is>
          <t xml:space="preserve">At technical</t>
        </is>
      </c>
      <c r="AM414" s="41">
        <f>IF(ISNUMBER($AD414),Header!$I$3,"")</f>
      </c>
      <c r="AN414" s="39">
        <f>IF(ISNUMBER($AD414),$AO414+$AP414,"")</f>
      </c>
      <c r="AO414" s="39">
        <f>IF(ISNUMBER($AD414),ROUND($AD414*Header!$K$3,2),"")</f>
      </c>
      <c r="AP414" s="39">
        <f>IF(ISNUMBER($AD414),ROUND($AD414*Header!$M$3,2),"")</f>
      </c>
      <c r="AQ414" s="38">
        <f>IF(ISNUMBER($AD414),ROUND($AD414,2)-$AO414-$AP414,"")</f>
      </c>
      <c r="AR414" s="39">
        <f>IF(ISNUMBER($AD414),IF(Header!$D$34="","?",$AD414*Header!$D$34),"")</f>
      </c>
      <c r="AS414" s="39">
        <f>IF(ISNUMBER($AB414),IF(Header!$D$34="","?",$AB414*Header!$D$34),"")</f>
      </c>
      <c r="AT414" s="42">
        <f>IF(AND(ISNUMBER($AB414),$M414&gt;0),$AB414/$M414*100,"")</f>
      </c>
      <c r="AU414" s="42">
        <f>IF(AND(ISNUMBER($AD414),$M414&gt;0),$AD414/$M414*100,"")</f>
      </c>
      <c r="AV414" s="40">
        <f>IF(AND(ISNUMBER($AB414),ISNUMBER($AD414),ABS($AB414)&gt;0),$AD414/$AB414,"")</f>
      </c>
      <c r="AW414" s="39">
        <f>IF(ISNUMBER($AD414),MAX(0,(1-0.55-Header!$O$3)*Header!$Q$3*$AQ414),"")</f>
      </c>
      <c r="AX414" s="43">
        <f>IF($A414="","",IF(TRIM(IF($A414="","Missing certificate ref. ","") &amp; IF($C414="","Missing effective date. ","") &amp; IF($D414="","Missing binding status. ","") &amp; IF($E414="","Missing movement type. ","") &amp; IF($I414="","Missing make. ","") &amp; IF($L414="","Missing vehicle class. ","") &amp; IF($M414="","Missing agreed value. ","") &amp; IF($N414="","Missing policy type. ","") &amp; IF($Q414="","Missing garaging state. ","") &amp; IF($R414="","Missing garaging ZIP. ","") &amp; IF($S414="","Missing cat zone. ","") &amp; IF($V414="","Missing valuation basis. ","") &amp; IF($W414="","Missing PD deductible. ","") &amp; IF($X414="","Missing liability limit. ","") &amp; IF($AB414="","Missing technical premium. ","") &amp; IF($AF414="","Missing surplus lines tax %. ",""))="","PASS","FAIL: "&amp;TRIM(IF($A414="","Missing certificate ref. ","") &amp; IF($C414="","Missing effective date. ","") &amp; IF($D414="","Missing binding status. ","") &amp; IF($E414="","Missing movement type. ","") &amp; IF($I414="","Missing make. ","") &amp; IF($L414="","Missing vehicle class. ","") &amp; IF($M414="","Missing agreed value. ","") &amp; IF($N414="","Missing policy type. ","") &amp; IF($Q414="","Missing garaging state. ","") &amp; IF($R414="","Missing garaging ZIP. ","") &amp; IF($S414="","Missing cat zone. ","") &amp; IF($V414="","Missing valuation basis. ","") &amp; IF($W414="","Missing PD deductible. ","") &amp; IF($X414="","Missing liability limit. ","") &amp; IF($AB414="","Missing technical premium. ","") &amp; IF($AF414="","Missing surplus lines tax %. ",""))))</f>
      </c>
      <c r="AY414" s="44">
        <f>IF($M414="","",IF(ISNUMBER($M414),IF($M414&gt;=Header!$C$18,"YES — refer","No"),""))</f>
      </c>
      <c r="AZ414" s="44">
        <f>IF($AD414="","",IF(ISNUMBER($AD414),IF($AD414&lt;Header!$C$20,"BELOW MIN PREMIUM","OK"),""))</f>
      </c>
      <c r="BA414" s="48" t="inlineStr">
        <is>
          <t xml:space="preserve">Yes</t>
        </is>
      </c>
      <c r="BB414" s="48" t="inlineStr">
        <is>
          <t xml:space="preserve">Yes</t>
        </is>
      </c>
      <c r="BC414" s="46" t="inlineStr">
        <is>
          <t xml:space="preserve">Synthetic demo data</t>
        </is>
      </c>
      <c r="BE414" s="45">
        <f>IF(OR($A414="",$L414="",$H414=""),"",IF(AND(LEFT($L414,2)="06",$H414&gt;1945),"FAIL - pre-war class, year "&amp;$H414,IF(AND(LEFT($L414,2)="07",OR($H414&lt;1946,$H414&gt;1972)),"FAIL - 1946-72 class, year "&amp;$H414,IF(AND(LEFT($L414,2)="08",OR($H414&lt;1973,$H414&gt;1999)),"FAIL - 1973-99 class, year "&amp;$H414,IF(AND(LEFT($L414,2)="09",OR($H414&lt;2000,$H414&gt;2010)),"FAIL - 2000-10 class, year "&amp;$H414,"OK")))))</f>
      </c>
      <c r="BF414" s="45">
        <f>IF($AD414="","",IF(ROUND($AO414+$AP414+$AQ414-$AD414,2)=0,"OK","FAIL - out by "&amp;TEXT($AO414+$AP414+$AQ414-$AD414,"$0.00")))</f>
      </c>
    </row>
    <row r="415" spans="1:58" ht="18.75" customHeight="1" x14ac:dyDescent="0.25">
      <c r="A415" s="30" t="inlineStr">
        <is>
          <t xml:space="preserve">CANON-202511-002733</t>
        </is>
      </c>
      <c r="B415" s="30" t="inlineStr">
        <is>
          <t xml:space="preserve">Emiliano Vasquez</t>
        </is>
      </c>
      <c r="C415" s="31">
        <v>45966</v>
      </c>
      <c r="D415" s="32" t="inlineStr">
        <is>
          <t xml:space="preserve">Bound - within authority</t>
        </is>
      </c>
      <c r="E415" s="32" t="inlineStr">
        <is>
          <t xml:space="preserve">New business</t>
        </is>
      </c>
      <c r="F415" s="30" t="inlineStr">
        <is>
          <t xml:space="preserve">B1234EXOTIC26</t>
        </is>
      </c>
      <c r="G415" s="33">
        <f>IF($A415="","",IF($C415="","",YEAR($C415)))</f>
      </c>
      <c r="H415" s="34">
        <v>1990</v>
      </c>
      <c r="I415" s="30" t="inlineStr">
        <is>
          <t xml:space="preserve">Aston Martin</t>
        </is>
      </c>
      <c r="J415" s="30" t="inlineStr">
        <is>
          <t xml:space="preserve">DB12</t>
        </is>
      </c>
      <c r="K415" s="30" t="inlineStr">
        <is>
          <t xml:space="preserve">BM8ZGCRHG1VRPTFX3</t>
        </is>
      </c>
      <c r="L415" s="32" t="inlineStr">
        <is>
          <t xml:space="preserve">02 - Sports / GT</t>
        </is>
      </c>
      <c r="M415" s="35">
        <v>195000</v>
      </c>
      <c r="N415" s="32" t="inlineStr">
        <is>
          <t xml:space="preserve">Personal</t>
        </is>
      </c>
      <c r="O415" s="30" t="inlineStr">
        <is>
          <t xml:space="preserve">Personal - regular use</t>
        </is>
      </c>
      <c r="P415" s="30" t="inlineStr">
        <is>
          <t xml:space="preserve">2,500 - 5,000</t>
        </is>
      </c>
      <c r="Q415" s="30" t="inlineStr">
        <is>
          <t xml:space="preserve">Florida</t>
        </is>
      </c>
      <c r="R415" s="30" t="inlineStr">
        <is>
          <t xml:space="preserve">33139</t>
        </is>
      </c>
      <c r="S415" s="32" t="inlineStr">
        <is>
          <t xml:space="preserve">Tier 2 - Coastal wind (1-25 miles)</t>
        </is>
      </c>
      <c r="T415" s="36">
        <f>IF($A415="","",IF($S415="","",IFERROR(INDEX('[1]natural catastrophe'!$D$6:$D$17,MATCH($S415,'[1]natural catastrophe'!$B$6:$B$17,0)),"?")))</f>
      </c>
      <c r="U415" s="30" t="inlineStr">
        <is>
          <t xml:space="preserve">2% of agreed value, minimum $10,000</t>
        </is>
      </c>
      <c r="V415" s="32" t="inlineStr">
        <is>
          <t xml:space="preserve">Agreed Value</t>
        </is>
      </c>
      <c r="W415" s="30" t="inlineStr">
        <is>
          <t xml:space="preserve">$1,000</t>
        </is>
      </c>
      <c r="X415" s="32" t="inlineStr">
        <is>
          <t xml:space="preserve">$1,000,000 CSL</t>
        </is>
      </c>
      <c r="Y415" s="30"/>
      <c r="Z415" s="30"/>
      <c r="AA415" s="32" t="inlineStr">
        <is>
          <t xml:space="preserve">Surplus Lines</t>
        </is>
      </c>
      <c r="AB415" s="35">
        <v>4419.16</v>
      </c>
      <c r="AC415" s="37">
        <v>0</v>
      </c>
      <c r="AD415" s="38">
        <f>IF(ISNUMBER($AB415),$AB415*(1+N($AC415)),"")</f>
      </c>
      <c r="AE415" s="35">
        <v>350</v>
      </c>
      <c r="AF415" s="35">
        <v>0</v>
      </c>
      <c r="AG415" s="37"/>
      <c r="AH415" s="39">
        <f>IF(ISNUMBER($AD415),($AD415+$AE415+$AF415)*$AG415,"")</f>
      </c>
      <c r="AI415" s="35"/>
      <c r="AJ415" s="38">
        <f>IF(ISNUMBER($AD415),SUM($AD415:$AH415),"")</f>
      </c>
      <c r="AK415" s="40">
        <f>IF(AND(ISNUMBER($AB415),ISNUMBER($AD415)),IF($AB415&gt;0,$AD415/$AB415,""),"")</f>
      </c>
      <c r="AL415" s="32" t="inlineStr">
        <is>
          <t xml:space="preserve">At technical</t>
        </is>
      </c>
      <c r="AM415" s="41">
        <f>IF(ISNUMBER($AD415),Header!$I$3,"")</f>
      </c>
      <c r="AN415" s="39">
        <f>IF(ISNUMBER($AD415),$AO415+$AP415,"")</f>
      </c>
      <c r="AO415" s="39">
        <f>IF(ISNUMBER($AD415),ROUND($AD415*Header!$K$3,2),"")</f>
      </c>
      <c r="AP415" s="39">
        <f>IF(ISNUMBER($AD415),ROUND($AD415*Header!$M$3,2),"")</f>
      </c>
      <c r="AQ415" s="38">
        <f>IF(ISNUMBER($AD415),ROUND($AD415,2)-$AO415-$AP415,"")</f>
      </c>
      <c r="AR415" s="39">
        <f>IF(ISNUMBER($AD415),IF(Header!$D$34="","?",$AD415*Header!$D$34),"")</f>
      </c>
      <c r="AS415" s="39">
        <f>IF(ISNUMBER($AB415),IF(Header!$D$34="","?",$AB415*Header!$D$34),"")</f>
      </c>
      <c r="AT415" s="42">
        <f>IF(AND(ISNUMBER($AB415),$M415&gt;0),$AB415/$M415*100,"")</f>
      </c>
      <c r="AU415" s="42">
        <f>IF(AND(ISNUMBER($AD415),$M415&gt;0),$AD415/$M415*100,"")</f>
      </c>
      <c r="AV415" s="40">
        <f>IF(AND(ISNUMBER($AB415),ISNUMBER($AD415),ABS($AB415)&gt;0),$AD415/$AB415,"")</f>
      </c>
      <c r="AW415" s="39">
        <f>IF(ISNUMBER($AD415),MAX(0,(1-0.55-Header!$O$3)*Header!$Q$3*$AQ415),"")</f>
      </c>
      <c r="AX415" s="43">
        <f>IF($A415="","",IF(TRIM(IF($A415="","Missing certificate ref. ","") &amp; IF($C415="","Missing effective date. ","") &amp; IF($D415="","Missing binding status. ","") &amp; IF($E415="","Missing movement type. ","") &amp; IF($I415="","Missing make. ","") &amp; IF($L415="","Missing vehicle class. ","") &amp; IF($M415="","Missing agreed value. ","") &amp; IF($N415="","Missing policy type. ","") &amp; IF($Q415="","Missing garaging state. ","") &amp; IF($R415="","Missing garaging ZIP. ","") &amp; IF($S415="","Missing cat zone. ","") &amp; IF($V415="","Missing valuation basis. ","") &amp; IF($W415="","Missing PD deductible. ","") &amp; IF($X415="","Missing liability limit. ","") &amp; IF($AB415="","Missing technical premium. ","") &amp; IF($AF415="","Missing surplus lines tax %. ",""))="","PASS","FAIL: "&amp;TRIM(IF($A415="","Missing certificate ref. ","") &amp; IF($C415="","Missing effective date. ","") &amp; IF($D415="","Missing binding status. ","") &amp; IF($E415="","Missing movement type. ","") &amp; IF($I415="","Missing make. ","") &amp; IF($L415="","Missing vehicle class. ","") &amp; IF($M415="","Missing agreed value. ","") &amp; IF($N415="","Missing policy type. ","") &amp; IF($Q415="","Missing garaging state. ","") &amp; IF($R415="","Missing garaging ZIP. ","") &amp; IF($S415="","Missing cat zone. ","") &amp; IF($V415="","Missing valuation basis. ","") &amp; IF($W415="","Missing PD deductible. ","") &amp; IF($X415="","Missing liability limit. ","") &amp; IF($AB415="","Missing technical premium. ","") &amp; IF($AF415="","Missing surplus lines tax %. ",""))))</f>
      </c>
      <c r="AY415" s="44">
        <f>IF($M415="","",IF(ISNUMBER($M415),IF($M415&gt;=Header!$C$18,"YES — refer","No"),""))</f>
      </c>
      <c r="AZ415" s="44">
        <f>IF($AD415="","",IF(ISNUMBER($AD415),IF($AD415&lt;Header!$C$20,"BELOW MIN PREMIUM","OK"),""))</f>
      </c>
      <c r="BA415" s="32" t="inlineStr">
        <is>
          <t xml:space="preserve">Yes</t>
        </is>
      </c>
      <c r="BB415" s="32" t="inlineStr">
        <is>
          <t xml:space="preserve">Yes</t>
        </is>
      </c>
      <c r="BC415" s="30" t="inlineStr">
        <is>
          <t xml:space="preserve">Synthetic demo data</t>
        </is>
      </c>
      <c r="BE415" s="45">
        <f>IF(OR($A415="",$L415="",$H415=""),"",IF(AND(LEFT($L415,2)="06",$H415&gt;1945),"FAIL - pre-war class, year "&amp;$H415,IF(AND(LEFT($L415,2)="07",OR($H415&lt;1946,$H415&gt;1972)),"FAIL - 1946-72 class, year "&amp;$H415,IF(AND(LEFT($L415,2)="08",OR($H415&lt;1973,$H415&gt;1999)),"FAIL - 1973-99 class, year "&amp;$H415,IF(AND(LEFT($L415,2)="09",OR($H415&lt;2000,$H415&gt;2010)),"FAIL - 2000-10 class, year "&amp;$H415,"OK")))))</f>
      </c>
      <c r="BF415" s="45">
        <f>IF($AD415="","",IF(ROUND($AO415+$AP415+$AQ415-$AD415,2)=0,"OK","FAIL - out by "&amp;TEXT($AO415+$AP415+$AQ415-$AD415,"$0.00")))</f>
      </c>
    </row>
    <row r="416" spans="1:58" ht="18.75" customHeight="1" x14ac:dyDescent="0.25">
      <c r="A416" s="46" t="inlineStr">
        <is>
          <t xml:space="preserve">CANON-202511-002734</t>
        </is>
      </c>
      <c r="B416" s="46" t="inlineStr">
        <is>
          <t xml:space="preserve">Everett Vandermeer</t>
        </is>
      </c>
      <c r="C416" s="47">
        <v>45979</v>
      </c>
      <c r="D416" s="48" t="inlineStr">
        <is>
          <t xml:space="preserve">Bound - within authority</t>
        </is>
      </c>
      <c r="E416" s="48" t="inlineStr">
        <is>
          <t xml:space="preserve">New business</t>
        </is>
      </c>
      <c r="F416" s="46" t="inlineStr">
        <is>
          <t xml:space="preserve">B1234EXOTIC26</t>
        </is>
      </c>
      <c r="G416" s="33">
        <f>IF($A416="","",IF($C416="","",YEAR($C416)))</f>
      </c>
      <c r="H416" s="49">
        <v>2007</v>
      </c>
      <c r="I416" s="46" t="inlineStr">
        <is>
          <t xml:space="preserve">Aston Martin</t>
        </is>
      </c>
      <c r="J416" s="46" t="inlineStr">
        <is>
          <t xml:space="preserve">DB12</t>
        </is>
      </c>
      <c r="K416" s="46" t="inlineStr">
        <is>
          <t xml:space="preserve">A3T2D3J8BY7FB4XK5</t>
        </is>
      </c>
      <c r="L416" s="48" t="inlineStr">
        <is>
          <t xml:space="preserve">02 - Sports / GT</t>
        </is>
      </c>
      <c r="M416" s="50">
        <v>630000</v>
      </c>
      <c r="N416" s="48" t="inlineStr">
        <is>
          <t xml:space="preserve">Personal</t>
        </is>
      </c>
      <c r="O416" s="46" t="inlineStr">
        <is>
          <t xml:space="preserve">Personal - regular use</t>
        </is>
      </c>
      <c r="P416" s="46" t="inlineStr">
        <is>
          <t xml:space="preserve">1,000 - 2,500</t>
        </is>
      </c>
      <c r="Q416" s="46" t="inlineStr">
        <is>
          <t xml:space="preserve">Georgia</t>
        </is>
      </c>
      <c r="R416" s="46" t="inlineStr">
        <is>
          <t xml:space="preserve">30303</t>
        </is>
      </c>
      <c r="S416" s="48" t="inlineStr">
        <is>
          <t xml:space="preserve">Tier 2 - Coastal wind (1-25 miles)</t>
        </is>
      </c>
      <c r="T416" s="36">
        <f>IF($A416="","",IF($S416="","",IFERROR(INDEX('[1]natural catastrophe'!$D$6:$D$17,MATCH($S416,'[1]natural catastrophe'!$B$6:$B$17,0)),"?")))</f>
      </c>
      <c r="U416" s="46" t="inlineStr">
        <is>
          <t xml:space="preserve">2% of agreed value, minimum $10,000</t>
        </is>
      </c>
      <c r="V416" s="48" t="inlineStr">
        <is>
          <t xml:space="preserve">Agreed Value</t>
        </is>
      </c>
      <c r="W416" s="46" t="inlineStr">
        <is>
          <t xml:space="preserve">$1,000</t>
        </is>
      </c>
      <c r="X416" s="48" t="inlineStr">
        <is>
          <t xml:space="preserve">$1,000,000 CSL</t>
        </is>
      </c>
      <c r="Y416" s="46"/>
      <c r="Z416" s="46"/>
      <c r="AA416" s="48" t="inlineStr">
        <is>
          <t xml:space="preserve">Surplus Lines</t>
        </is>
      </c>
      <c r="AB416" s="50">
        <v>7956.1</v>
      </c>
      <c r="AC416" s="51">
        <v>0</v>
      </c>
      <c r="AD416" s="38">
        <f>IF(ISNUMBER($AB416),$AB416*(1+N($AC416)),"")</f>
      </c>
      <c r="AE416" s="50">
        <v>350</v>
      </c>
      <c r="AF416" s="50">
        <v>0</v>
      </c>
      <c r="AG416" s="51"/>
      <c r="AH416" s="39">
        <f>IF(ISNUMBER($AD416),($AD416+$AE416+$AF416)*$AG416,"")</f>
      </c>
      <c r="AI416" s="50"/>
      <c r="AJ416" s="38">
        <f>IF(ISNUMBER($AD416),SUM($AD416:$AH416),"")</f>
      </c>
      <c r="AK416" s="40">
        <f>IF(AND(ISNUMBER($AB416),ISNUMBER($AD416)),IF($AB416&gt;0,$AD416/$AB416,""),"")</f>
      </c>
      <c r="AL416" s="48" t="inlineStr">
        <is>
          <t xml:space="preserve">At technical</t>
        </is>
      </c>
      <c r="AM416" s="41">
        <f>IF(ISNUMBER($AD416),Header!$I$3,"")</f>
      </c>
      <c r="AN416" s="39">
        <f>IF(ISNUMBER($AD416),$AO416+$AP416,"")</f>
      </c>
      <c r="AO416" s="39">
        <f>IF(ISNUMBER($AD416),ROUND($AD416*Header!$K$3,2),"")</f>
      </c>
      <c r="AP416" s="39">
        <f>IF(ISNUMBER($AD416),ROUND($AD416*Header!$M$3,2),"")</f>
      </c>
      <c r="AQ416" s="38">
        <f>IF(ISNUMBER($AD416),ROUND($AD416,2)-$AO416-$AP416,"")</f>
      </c>
      <c r="AR416" s="39">
        <f>IF(ISNUMBER($AD416),IF(Header!$D$34="","?",$AD416*Header!$D$34),"")</f>
      </c>
      <c r="AS416" s="39">
        <f>IF(ISNUMBER($AB416),IF(Header!$D$34="","?",$AB416*Header!$D$34),"")</f>
      </c>
      <c r="AT416" s="42">
        <f>IF(AND(ISNUMBER($AB416),$M416&gt;0),$AB416/$M416*100,"")</f>
      </c>
      <c r="AU416" s="42">
        <f>IF(AND(ISNUMBER($AD416),$M416&gt;0),$AD416/$M416*100,"")</f>
      </c>
      <c r="AV416" s="40">
        <f>IF(AND(ISNUMBER($AB416),ISNUMBER($AD416),ABS($AB416)&gt;0),$AD416/$AB416,"")</f>
      </c>
      <c r="AW416" s="39">
        <f>IF(ISNUMBER($AD416),MAX(0,(1-0.55-Header!$O$3)*Header!$Q$3*$AQ416),"")</f>
      </c>
      <c r="AX416" s="43">
        <f>IF($A416="","",IF(TRIM(IF($A416="","Missing certificate ref. ","") &amp; IF($C416="","Missing effective date. ","") &amp; IF($D416="","Missing binding status. ","") &amp; IF($E416="","Missing movement type. ","") &amp; IF($I416="","Missing make. ","") &amp; IF($L416="","Missing vehicle class. ","") &amp; IF($M416="","Missing agreed value. ","") &amp; IF($N416="","Missing policy type. ","") &amp; IF($Q416="","Missing garaging state. ","") &amp; IF($R416="","Missing garaging ZIP. ","") &amp; IF($S416="","Missing cat zone. ","") &amp; IF($V416="","Missing valuation basis. ","") &amp; IF($W416="","Missing PD deductible. ","") &amp; IF($X416="","Missing liability limit. ","") &amp; IF($AB416="","Missing technical premium. ","") &amp; IF($AF416="","Missing surplus lines tax %. ",""))="","PASS","FAIL: "&amp;TRIM(IF($A416="","Missing certificate ref. ","") &amp; IF($C416="","Missing effective date. ","") &amp; IF($D416="","Missing binding status. ","") &amp; IF($E416="","Missing movement type. ","") &amp; IF($I416="","Missing make. ","") &amp; IF($L416="","Missing vehicle class. ","") &amp; IF($M416="","Missing agreed value. ","") &amp; IF($N416="","Missing policy type. ","") &amp; IF($Q416="","Missing garaging state. ","") &amp; IF($R416="","Missing garaging ZIP. ","") &amp; IF($S416="","Missing cat zone. ","") &amp; IF($V416="","Missing valuation basis. ","") &amp; IF($W416="","Missing PD deductible. ","") &amp; IF($X416="","Missing liability limit. ","") &amp; IF($AB416="","Missing technical premium. ","") &amp; IF($AF416="","Missing surplus lines tax %. ",""))))</f>
      </c>
      <c r="AY416" s="44">
        <f>IF($M416="","",IF(ISNUMBER($M416),IF($M416&gt;=Header!$C$18,"YES — refer","No"),""))</f>
      </c>
      <c r="AZ416" s="44">
        <f>IF($AD416="","",IF(ISNUMBER($AD416),IF($AD416&lt;Header!$C$20,"BELOW MIN PREMIUM","OK"),""))</f>
      </c>
      <c r="BA416" s="48" t="inlineStr">
        <is>
          <t xml:space="preserve">Yes</t>
        </is>
      </c>
      <c r="BB416" s="48" t="inlineStr">
        <is>
          <t xml:space="preserve">Yes</t>
        </is>
      </c>
      <c r="BC416" s="46" t="inlineStr">
        <is>
          <t xml:space="preserve">Synthetic demo data</t>
        </is>
      </c>
      <c r="BE416" s="45">
        <f>IF(OR($A416="",$L416="",$H416=""),"",IF(AND(LEFT($L416,2)="06",$H416&gt;1945),"FAIL - pre-war class, year "&amp;$H416,IF(AND(LEFT($L416,2)="07",OR($H416&lt;1946,$H416&gt;1972)),"FAIL - 1946-72 class, year "&amp;$H416,IF(AND(LEFT($L416,2)="08",OR($H416&lt;1973,$H416&gt;1999)),"FAIL - 1973-99 class, year "&amp;$H416,IF(AND(LEFT($L416,2)="09",OR($H416&lt;2000,$H416&gt;2010)),"FAIL - 2000-10 class, year "&amp;$H416,"OK")))))</f>
      </c>
      <c r="BF416" s="45">
        <f>IF($AD416="","",IF(ROUND($AO416+$AP416+$AQ416-$AD416,2)=0,"OK","FAIL - out by "&amp;TEXT($AO416+$AP416+$AQ416-$AD416,"$0.00")))</f>
      </c>
    </row>
    <row r="417" spans="1:58" ht="18.75" customHeight="1" x14ac:dyDescent="0.25">
      <c r="A417" s="30" t="inlineStr">
        <is>
          <t xml:space="preserve">CANON-202511-002735</t>
        </is>
      </c>
      <c r="B417" s="30" t="inlineStr">
        <is>
          <t xml:space="preserve">Ottilie Vandermeer</t>
        </is>
      </c>
      <c r="C417" s="31">
        <v>45984</v>
      </c>
      <c r="D417" s="32" t="inlineStr">
        <is>
          <t xml:space="preserve">Bound - within authority</t>
        </is>
      </c>
      <c r="E417" s="32" t="inlineStr">
        <is>
          <t xml:space="preserve">New business</t>
        </is>
      </c>
      <c r="F417" s="30" t="inlineStr">
        <is>
          <t xml:space="preserve">B1234EXOTIC26</t>
        </is>
      </c>
      <c r="G417" s="33">
        <f>IF($A417="","",IF($C417="","",YEAR($C417)))</f>
      </c>
      <c r="H417" s="34">
        <v>1971</v>
      </c>
      <c r="I417" s="30" t="inlineStr">
        <is>
          <t xml:space="preserve">Ferrari</t>
        </is>
      </c>
      <c r="J417" s="30" t="inlineStr">
        <is>
          <t xml:space="preserve">296 GTB</t>
        </is>
      </c>
      <c r="K417" s="30" t="inlineStr">
        <is>
          <t xml:space="preserve">LR4UT4YVSG0K14PAC</t>
        </is>
      </c>
      <c r="L417" s="32" t="inlineStr">
        <is>
          <t xml:space="preserve">03 - Supercar</t>
        </is>
      </c>
      <c r="M417" s="35">
        <v>485000</v>
      </c>
      <c r="N417" s="32" t="inlineStr">
        <is>
          <t xml:space="preserve">Personal</t>
        </is>
      </c>
      <c r="O417" s="30" t="inlineStr">
        <is>
          <t xml:space="preserve">Personal - regular use</t>
        </is>
      </c>
      <c r="P417" s="30" t="inlineStr">
        <is>
          <t xml:space="preserve">2,500 - 5,000</t>
        </is>
      </c>
      <c r="Q417" s="30" t="inlineStr">
        <is>
          <t xml:space="preserve">Ohio</t>
        </is>
      </c>
      <c r="R417" s="30" t="inlineStr">
        <is>
          <t xml:space="preserve">43215</t>
        </is>
      </c>
      <c r="S417" s="32" t="inlineStr">
        <is>
          <t xml:space="preserve">Severe convective - hail / tornado (moderate)</t>
        </is>
      </c>
      <c r="T417" s="36">
        <f>IF($A417="","",IF($S417="","",IFERROR(INDEX('[1]natural catastrophe'!$D$6:$D$17,MATCH($S417,'[1]natural catastrophe'!$B$6:$B$17,0)),"?")))</f>
      </c>
      <c r="U417" s="30" t="inlineStr">
        <is>
          <t xml:space="preserve">$5,000</t>
        </is>
      </c>
      <c r="V417" s="32" t="inlineStr">
        <is>
          <t xml:space="preserve">Agreed Value</t>
        </is>
      </c>
      <c r="W417" s="30" t="inlineStr">
        <is>
          <t xml:space="preserve">$1,000</t>
        </is>
      </c>
      <c r="X417" s="32" t="inlineStr">
        <is>
          <t xml:space="preserve">$1,000,000 CSL</t>
        </is>
      </c>
      <c r="Y417" s="30"/>
      <c r="Z417" s="30"/>
      <c r="AA417" s="32" t="inlineStr">
        <is>
          <t xml:space="preserve">Surplus Lines</t>
        </is>
      </c>
      <c r="AB417" s="35">
        <v>13448.78</v>
      </c>
      <c r="AC417" s="37">
        <v>0</v>
      </c>
      <c r="AD417" s="38">
        <f>IF(ISNUMBER($AB417),$AB417*(1+N($AC417)),"")</f>
      </c>
      <c r="AE417" s="35">
        <v>350</v>
      </c>
      <c r="AF417" s="35">
        <v>0</v>
      </c>
      <c r="AG417" s="37"/>
      <c r="AH417" s="39">
        <f>IF(ISNUMBER($AD417),($AD417+$AE417+$AF417)*$AG417,"")</f>
      </c>
      <c r="AI417" s="35"/>
      <c r="AJ417" s="38">
        <f>IF(ISNUMBER($AD417),SUM($AD417:$AH417),"")</f>
      </c>
      <c r="AK417" s="40">
        <f>IF(AND(ISNUMBER($AB417),ISNUMBER($AD417)),IF($AB417&gt;0,$AD417/$AB417,""),"")</f>
      </c>
      <c r="AL417" s="32" t="inlineStr">
        <is>
          <t xml:space="preserve">At technical</t>
        </is>
      </c>
      <c r="AM417" s="41">
        <f>IF(ISNUMBER($AD417),Header!$I$3,"")</f>
      </c>
      <c r="AN417" s="39">
        <f>IF(ISNUMBER($AD417),$AO417+$AP417,"")</f>
      </c>
      <c r="AO417" s="39">
        <f>IF(ISNUMBER($AD417),ROUND($AD417*Header!$K$3,2),"")</f>
      </c>
      <c r="AP417" s="39">
        <f>IF(ISNUMBER($AD417),ROUND($AD417*Header!$M$3,2),"")</f>
      </c>
      <c r="AQ417" s="38">
        <f>IF(ISNUMBER($AD417),ROUND($AD417,2)-$AO417-$AP417,"")</f>
      </c>
      <c r="AR417" s="39">
        <f>IF(ISNUMBER($AD417),IF(Header!$D$34="","?",$AD417*Header!$D$34),"")</f>
      </c>
      <c r="AS417" s="39">
        <f>IF(ISNUMBER($AB417),IF(Header!$D$34="","?",$AB417*Header!$D$34),"")</f>
      </c>
      <c r="AT417" s="42">
        <f>IF(AND(ISNUMBER($AB417),$M417&gt;0),$AB417/$M417*100,"")</f>
      </c>
      <c r="AU417" s="42">
        <f>IF(AND(ISNUMBER($AD417),$M417&gt;0),$AD417/$M417*100,"")</f>
      </c>
      <c r="AV417" s="40">
        <f>IF(AND(ISNUMBER($AB417),ISNUMBER($AD417),ABS($AB417)&gt;0),$AD417/$AB417,"")</f>
      </c>
      <c r="AW417" s="39">
        <f>IF(ISNUMBER($AD417),MAX(0,(1-0.55-Header!$O$3)*Header!$Q$3*$AQ417),"")</f>
      </c>
      <c r="AX417" s="43">
        <f>IF($A417="","",IF(TRIM(IF($A417="","Missing certificate ref. ","") &amp; IF($C417="","Missing effective date. ","") &amp; IF($D417="","Missing binding status. ","") &amp; IF($E417="","Missing movement type. ","") &amp; IF($I417="","Missing make. ","") &amp; IF($L417="","Missing vehicle class. ","") &amp; IF($M417="","Missing agreed value. ","") &amp; IF($N417="","Missing policy type. ","") &amp; IF($Q417="","Missing garaging state. ","") &amp; IF($R417="","Missing garaging ZIP. ","") &amp; IF($S417="","Missing cat zone. ","") &amp; IF($V417="","Missing valuation basis. ","") &amp; IF($W417="","Missing PD deductible. ","") &amp; IF($X417="","Missing liability limit. ","") &amp; IF($AB417="","Missing technical premium. ","") &amp; IF($AF417="","Missing surplus lines tax %. ",""))="","PASS","FAIL: "&amp;TRIM(IF($A417="","Missing certificate ref. ","") &amp; IF($C417="","Missing effective date. ","") &amp; IF($D417="","Missing binding status. ","") &amp; IF($E417="","Missing movement type. ","") &amp; IF($I417="","Missing make. ","") &amp; IF($L417="","Missing vehicle class. ","") &amp; IF($M417="","Missing agreed value. ","") &amp; IF($N417="","Missing policy type. ","") &amp; IF($Q417="","Missing garaging state. ","") &amp; IF($R417="","Missing garaging ZIP. ","") &amp; IF($S417="","Missing cat zone. ","") &amp; IF($V417="","Missing valuation basis. ","") &amp; IF($W417="","Missing PD deductible. ","") &amp; IF($X417="","Missing liability limit. ","") &amp; IF($AB417="","Missing technical premium. ","") &amp; IF($AF417="","Missing surplus lines tax %. ",""))))</f>
      </c>
      <c r="AY417" s="44">
        <f>IF($M417="","",IF(ISNUMBER($M417),IF($M417&gt;=Header!$C$18,"YES — refer","No"),""))</f>
      </c>
      <c r="AZ417" s="44">
        <f>IF($AD417="","",IF(ISNUMBER($AD417),IF($AD417&lt;Header!$C$20,"BELOW MIN PREMIUM","OK"),""))</f>
      </c>
      <c r="BA417" s="32" t="inlineStr">
        <is>
          <t xml:space="preserve">Yes</t>
        </is>
      </c>
      <c r="BB417" s="32" t="inlineStr">
        <is>
          <t xml:space="preserve">Yes</t>
        </is>
      </c>
      <c r="BC417" s="30" t="inlineStr">
        <is>
          <t xml:space="preserve">Synthetic demo data</t>
        </is>
      </c>
      <c r="BE417" s="45">
        <f>IF(OR($A417="",$L417="",$H417=""),"",IF(AND(LEFT($L417,2)="06",$H417&gt;1945),"FAIL - pre-war class, year "&amp;$H417,IF(AND(LEFT($L417,2)="07",OR($H417&lt;1946,$H417&gt;1972)),"FAIL - 1946-72 class, year "&amp;$H417,IF(AND(LEFT($L417,2)="08",OR($H417&lt;1973,$H417&gt;1999)),"FAIL - 1973-99 class, year "&amp;$H417,IF(AND(LEFT($L417,2)="09",OR($H417&lt;2000,$H417&gt;2010)),"FAIL - 2000-10 class, year "&amp;$H417,"OK")))))</f>
      </c>
      <c r="BF417" s="45">
        <f>IF($AD417="","",IF(ROUND($AO417+$AP417+$AQ417-$AD417,2)=0,"OK","FAIL - out by "&amp;TEXT($AO417+$AP417+$AQ417-$AD417,"$0.00")))</f>
      </c>
    </row>
    <row r="418" spans="1:58" ht="18.75" customHeight="1" x14ac:dyDescent="0.25">
      <c r="A418" s="46" t="inlineStr">
        <is>
          <t xml:space="preserve">CANON-202511-002736</t>
        </is>
      </c>
      <c r="B418" s="46" t="inlineStr">
        <is>
          <t xml:space="preserve">Ingrid Farkas</t>
        </is>
      </c>
      <c r="C418" s="47">
        <v>45973</v>
      </c>
      <c r="D418" s="48" t="inlineStr">
        <is>
          <t xml:space="preserve">Bound - within authority</t>
        </is>
      </c>
      <c r="E418" s="48" t="inlineStr">
        <is>
          <t xml:space="preserve">New business</t>
        </is>
      </c>
      <c r="F418" s="46" t="inlineStr">
        <is>
          <t xml:space="preserve">B1234EXOTIC26</t>
        </is>
      </c>
      <c r="G418" s="33">
        <f>IF($A418="","",IF($C418="","",YEAR($C418)))</f>
      </c>
      <c r="H418" s="49">
        <v>2015</v>
      </c>
      <c r="I418" s="46" t="inlineStr">
        <is>
          <t xml:space="preserve">Ferrari</t>
        </is>
      </c>
      <c r="J418" s="46" t="inlineStr">
        <is>
          <t xml:space="preserve">296 GTB</t>
        </is>
      </c>
      <c r="K418" s="46" t="inlineStr">
        <is>
          <t xml:space="preserve">NERLDACNH2F55UHPZ</t>
        </is>
      </c>
      <c r="L418" s="48" t="inlineStr">
        <is>
          <t xml:space="preserve">03 - Supercar</t>
        </is>
      </c>
      <c r="M418" s="50">
        <v>600000</v>
      </c>
      <c r="N418" s="48" t="inlineStr">
        <is>
          <t xml:space="preserve">Personal</t>
        </is>
      </c>
      <c r="O418" s="46" t="inlineStr">
        <is>
          <t xml:space="preserve">Personal - regular use</t>
        </is>
      </c>
      <c r="P418" s="46" t="inlineStr">
        <is>
          <t xml:space="preserve">1,000 - 2,500</t>
        </is>
      </c>
      <c r="Q418" s="46" t="inlineStr">
        <is>
          <t xml:space="preserve">Maryland</t>
        </is>
      </c>
      <c r="R418" s="46" t="inlineStr">
        <is>
          <t xml:space="preserve">21201</t>
        </is>
      </c>
      <c r="S418" s="48" t="inlineStr">
        <is>
          <t xml:space="preserve">Tier 3 - Coastal wind (25-100 miles)</t>
        </is>
      </c>
      <c r="T418" s="36">
        <f>IF($A418="","",IF($S418="","",IFERROR(INDEX('[1]natural catastrophe'!$D$6:$D$17,MATCH($S418,'[1]natural catastrophe'!$B$6:$B$17,0)),"?")))</f>
      </c>
      <c r="U418" s="46" t="inlineStr">
        <is>
          <t xml:space="preserve">2% of agreed value, minimum $10,000</t>
        </is>
      </c>
      <c r="V418" s="48" t="inlineStr">
        <is>
          <t xml:space="preserve">Agreed Value</t>
        </is>
      </c>
      <c r="W418" s="46" t="inlineStr">
        <is>
          <t xml:space="preserve">$1,000</t>
        </is>
      </c>
      <c r="X418" s="48" t="inlineStr">
        <is>
          <t xml:space="preserve">$1,000,000 CSL</t>
        </is>
      </c>
      <c r="Y418" s="46"/>
      <c r="Z418" s="46"/>
      <c r="AA418" s="48" t="inlineStr">
        <is>
          <t xml:space="preserve">Surplus Lines</t>
        </is>
      </c>
      <c r="AB418" s="50">
        <v>9393.49</v>
      </c>
      <c r="AC418" s="51">
        <v>0</v>
      </c>
      <c r="AD418" s="38">
        <f>IF(ISNUMBER($AB418),$AB418*(1+N($AC418)),"")</f>
      </c>
      <c r="AE418" s="50">
        <v>350</v>
      </c>
      <c r="AF418" s="50">
        <v>0</v>
      </c>
      <c r="AG418" s="51"/>
      <c r="AH418" s="39">
        <f>IF(ISNUMBER($AD418),($AD418+$AE418+$AF418)*$AG418,"")</f>
      </c>
      <c r="AI418" s="50"/>
      <c r="AJ418" s="38">
        <f>IF(ISNUMBER($AD418),SUM($AD418:$AH418),"")</f>
      </c>
      <c r="AK418" s="40">
        <f>IF(AND(ISNUMBER($AB418),ISNUMBER($AD418)),IF($AB418&gt;0,$AD418/$AB418,""),"")</f>
      </c>
      <c r="AL418" s="48" t="inlineStr">
        <is>
          <t xml:space="preserve">At technical</t>
        </is>
      </c>
      <c r="AM418" s="41">
        <f>IF(ISNUMBER($AD418),Header!$I$3,"")</f>
      </c>
      <c r="AN418" s="39">
        <f>IF(ISNUMBER($AD418),$AO418+$AP418,"")</f>
      </c>
      <c r="AO418" s="39">
        <f>IF(ISNUMBER($AD418),ROUND($AD418*Header!$K$3,2),"")</f>
      </c>
      <c r="AP418" s="39">
        <f>IF(ISNUMBER($AD418),ROUND($AD418*Header!$M$3,2),"")</f>
      </c>
      <c r="AQ418" s="38">
        <f>IF(ISNUMBER($AD418),ROUND($AD418,2)-$AO418-$AP418,"")</f>
      </c>
      <c r="AR418" s="39">
        <f>IF(ISNUMBER($AD418),IF(Header!$D$34="","?",$AD418*Header!$D$34),"")</f>
      </c>
      <c r="AS418" s="39">
        <f>IF(ISNUMBER($AB418),IF(Header!$D$34="","?",$AB418*Header!$D$34),"")</f>
      </c>
      <c r="AT418" s="42">
        <f>IF(AND(ISNUMBER($AB418),$M418&gt;0),$AB418/$M418*100,"")</f>
      </c>
      <c r="AU418" s="42">
        <f>IF(AND(ISNUMBER($AD418),$M418&gt;0),$AD418/$M418*100,"")</f>
      </c>
      <c r="AV418" s="40">
        <f>IF(AND(ISNUMBER($AB418),ISNUMBER($AD418),ABS($AB418)&gt;0),$AD418/$AB418,"")</f>
      </c>
      <c r="AW418" s="39">
        <f>IF(ISNUMBER($AD418),MAX(0,(1-0.55-Header!$O$3)*Header!$Q$3*$AQ418),"")</f>
      </c>
      <c r="AX418" s="43">
        <f>IF($A418="","",IF(TRIM(IF($A418="","Missing certificate ref. ","") &amp; IF($C418="","Missing effective date. ","") &amp; IF($D418="","Missing binding status. ","") &amp; IF($E418="","Missing movement type. ","") &amp; IF($I418="","Missing make. ","") &amp; IF($L418="","Missing vehicle class. ","") &amp; IF($M418="","Missing agreed value. ","") &amp; IF($N418="","Missing policy type. ","") &amp; IF($Q418="","Missing garaging state. ","") &amp; IF($R418="","Missing garaging ZIP. ","") &amp; IF($S418="","Missing cat zone. ","") &amp; IF($V418="","Missing valuation basis. ","") &amp; IF($W418="","Missing PD deductible. ","") &amp; IF($X418="","Missing liability limit. ","") &amp; IF($AB418="","Missing technical premium. ","") &amp; IF($AF418="","Missing surplus lines tax %. ",""))="","PASS","FAIL: "&amp;TRIM(IF($A418="","Missing certificate ref. ","") &amp; IF($C418="","Missing effective date. ","") &amp; IF($D418="","Missing binding status. ","") &amp; IF($E418="","Missing movement type. ","") &amp; IF($I418="","Missing make. ","") &amp; IF($L418="","Missing vehicle class. ","") &amp; IF($M418="","Missing agreed value. ","") &amp; IF($N418="","Missing policy type. ","") &amp; IF($Q418="","Missing garaging state. ","") &amp; IF($R418="","Missing garaging ZIP. ","") &amp; IF($S418="","Missing cat zone. ","") &amp; IF($V418="","Missing valuation basis. ","") &amp; IF($W418="","Missing PD deductible. ","") &amp; IF($X418="","Missing liability limit. ","") &amp; IF($AB418="","Missing technical premium. ","") &amp; IF($AF418="","Missing surplus lines tax %. ",""))))</f>
      </c>
      <c r="AY418" s="44">
        <f>IF($M418="","",IF(ISNUMBER($M418),IF($M418&gt;=Header!$C$18,"YES — refer","No"),""))</f>
      </c>
      <c r="AZ418" s="44">
        <f>IF($AD418="","",IF(ISNUMBER($AD418),IF($AD418&lt;Header!$C$20,"BELOW MIN PREMIUM","OK"),""))</f>
      </c>
      <c r="BA418" s="48" t="inlineStr">
        <is>
          <t xml:space="preserve">Yes</t>
        </is>
      </c>
      <c r="BB418" s="48" t="inlineStr">
        <is>
          <t xml:space="preserve">Yes</t>
        </is>
      </c>
      <c r="BC418" s="46" t="inlineStr">
        <is>
          <t xml:space="preserve">Synthetic demo data</t>
        </is>
      </c>
      <c r="BE418" s="45">
        <f>IF(OR($A418="",$L418="",$H418=""),"",IF(AND(LEFT($L418,2)="06",$H418&gt;1945),"FAIL - pre-war class, year "&amp;$H418,IF(AND(LEFT($L418,2)="07",OR($H418&lt;1946,$H418&gt;1972)),"FAIL - 1946-72 class, year "&amp;$H418,IF(AND(LEFT($L418,2)="08",OR($H418&lt;1973,$H418&gt;1999)),"FAIL - 1973-99 class, year "&amp;$H418,IF(AND(LEFT($L418,2)="09",OR($H418&lt;2000,$H418&gt;2010)),"FAIL - 2000-10 class, year "&amp;$H418,"OK")))))</f>
      </c>
      <c r="BF418" s="45">
        <f>IF($AD418="","",IF(ROUND($AO418+$AP418+$AQ418-$AD418,2)=0,"OK","FAIL - out by "&amp;TEXT($AO418+$AP418+$AQ418-$AD418,"$0.00")))</f>
      </c>
    </row>
    <row r="419" spans="1:58" ht="18.75" customHeight="1" x14ac:dyDescent="0.25">
      <c r="A419" s="30" t="inlineStr">
        <is>
          <t xml:space="preserve">CANON-202511-002737</t>
        </is>
      </c>
      <c r="B419" s="30" t="inlineStr">
        <is>
          <t xml:space="preserve">Anouk Merriweather</t>
        </is>
      </c>
      <c r="C419" s="31">
        <v>45972</v>
      </c>
      <c r="D419" s="32" t="inlineStr">
        <is>
          <t xml:space="preserve">Bound - within authority</t>
        </is>
      </c>
      <c r="E419" s="32" t="inlineStr">
        <is>
          <t xml:space="preserve">New business</t>
        </is>
      </c>
      <c r="F419" s="30" t="inlineStr">
        <is>
          <t xml:space="preserve">B1234EXOTIC26</t>
        </is>
      </c>
      <c r="G419" s="33">
        <f>IF($A419="","",IF($C419="","",YEAR($C419)))</f>
      </c>
      <c r="H419" s="34">
        <v>1990</v>
      </c>
      <c r="I419" s="30" t="inlineStr">
        <is>
          <t xml:space="preserve">Porsche</t>
        </is>
      </c>
      <c r="J419" s="30" t="inlineStr">
        <is>
          <t xml:space="preserve">911 Turbo S</t>
        </is>
      </c>
      <c r="K419" s="30" t="inlineStr">
        <is>
          <t xml:space="preserve">4ZGWASAKA87TZKA32</t>
        </is>
      </c>
      <c r="L419" s="32" t="inlineStr">
        <is>
          <t xml:space="preserve">02 - Sports / GT</t>
        </is>
      </c>
      <c r="M419" s="35">
        <v>1010000</v>
      </c>
      <c r="N419" s="32" t="inlineStr">
        <is>
          <t xml:space="preserve">Personal</t>
        </is>
      </c>
      <c r="O419" s="30" t="inlineStr">
        <is>
          <t xml:space="preserve">Personal - regular use</t>
        </is>
      </c>
      <c r="P419" s="30" t="inlineStr">
        <is>
          <t xml:space="preserve">1,000 - 2,500</t>
        </is>
      </c>
      <c r="Q419" s="30" t="inlineStr">
        <is>
          <t xml:space="preserve">Indiana</t>
        </is>
      </c>
      <c r="R419" s="30" t="inlineStr">
        <is>
          <t xml:space="preserve">46204</t>
        </is>
      </c>
      <c r="S419" s="32" t="inlineStr">
        <is>
          <t xml:space="preserve">Severe convective - hail / tornado (moderate)</t>
        </is>
      </c>
      <c r="T419" s="36">
        <f>IF($A419="","",IF($S419="","",IFERROR(INDEX('[1]natural catastrophe'!$D$6:$D$17,MATCH($S419,'[1]natural catastrophe'!$B$6:$B$17,0)),"?")))</f>
      </c>
      <c r="U419" s="30" t="inlineStr">
        <is>
          <t xml:space="preserve">$5,000</t>
        </is>
      </c>
      <c r="V419" s="32" t="inlineStr">
        <is>
          <t xml:space="preserve">Agreed Value</t>
        </is>
      </c>
      <c r="W419" s="30" t="inlineStr">
        <is>
          <t xml:space="preserve">$1,000</t>
        </is>
      </c>
      <c r="X419" s="32" t="inlineStr">
        <is>
          <t xml:space="preserve">$1,000,000 CSL</t>
        </is>
      </c>
      <c r="Y419" s="30"/>
      <c r="Z419" s="30"/>
      <c r="AA419" s="32" t="inlineStr">
        <is>
          <t xml:space="preserve">Surplus Lines</t>
        </is>
      </c>
      <c r="AB419" s="35">
        <v>11852.71</v>
      </c>
      <c r="AC419" s="37">
        <v>0</v>
      </c>
      <c r="AD419" s="38">
        <f>IF(ISNUMBER($AB419),$AB419*(1+N($AC419)),"")</f>
      </c>
      <c r="AE419" s="35">
        <v>350</v>
      </c>
      <c r="AF419" s="35">
        <v>250</v>
      </c>
      <c r="AG419" s="37"/>
      <c r="AH419" s="39">
        <f>IF(ISNUMBER($AD419),($AD419+$AE419+$AF419)*$AG419,"")</f>
      </c>
      <c r="AI419" s="35"/>
      <c r="AJ419" s="38">
        <f>IF(ISNUMBER($AD419),SUM($AD419:$AH419),"")</f>
      </c>
      <c r="AK419" s="40">
        <f>IF(AND(ISNUMBER($AB419),ISNUMBER($AD419)),IF($AB419&gt;0,$AD419/$AB419,""),"")</f>
      </c>
      <c r="AL419" s="32" t="inlineStr">
        <is>
          <t xml:space="preserve">At technical</t>
        </is>
      </c>
      <c r="AM419" s="41">
        <f>IF(ISNUMBER($AD419),Header!$I$3,"")</f>
      </c>
      <c r="AN419" s="39">
        <f>IF(ISNUMBER($AD419),$AO419+$AP419,"")</f>
      </c>
      <c r="AO419" s="39">
        <f>IF(ISNUMBER($AD419),ROUND($AD419*Header!$K$3,2),"")</f>
      </c>
      <c r="AP419" s="39">
        <f>IF(ISNUMBER($AD419),ROUND($AD419*Header!$M$3,2),"")</f>
      </c>
      <c r="AQ419" s="38">
        <f>IF(ISNUMBER($AD419),ROUND($AD419,2)-$AO419-$AP419,"")</f>
      </c>
      <c r="AR419" s="39">
        <f>IF(ISNUMBER($AD419),IF(Header!$D$34="","?",$AD419*Header!$D$34),"")</f>
      </c>
      <c r="AS419" s="39">
        <f>IF(ISNUMBER($AB419),IF(Header!$D$34="","?",$AB419*Header!$D$34),"")</f>
      </c>
      <c r="AT419" s="42">
        <f>IF(AND(ISNUMBER($AB419),$M419&gt;0),$AB419/$M419*100,"")</f>
      </c>
      <c r="AU419" s="42">
        <f>IF(AND(ISNUMBER($AD419),$M419&gt;0),$AD419/$M419*100,"")</f>
      </c>
      <c r="AV419" s="40">
        <f>IF(AND(ISNUMBER($AB419),ISNUMBER($AD419),ABS($AB419)&gt;0),$AD419/$AB419,"")</f>
      </c>
      <c r="AW419" s="39">
        <f>IF(ISNUMBER($AD419),MAX(0,(1-0.55-Header!$O$3)*Header!$Q$3*$AQ419),"")</f>
      </c>
      <c r="AX419" s="43">
        <f>IF($A419="","",IF(TRIM(IF($A419="","Missing certificate ref. ","") &amp; IF($C419="","Missing effective date. ","") &amp; IF($D419="","Missing binding status. ","") &amp; IF($E419="","Missing movement type. ","") &amp; IF($I419="","Missing make. ","") &amp; IF($L419="","Missing vehicle class. ","") &amp; IF($M419="","Missing agreed value. ","") &amp; IF($N419="","Missing policy type. ","") &amp; IF($Q419="","Missing garaging state. ","") &amp; IF($R419="","Missing garaging ZIP. ","") &amp; IF($S419="","Missing cat zone. ","") &amp; IF($V419="","Missing valuation basis. ","") &amp; IF($W419="","Missing PD deductible. ","") &amp; IF($X419="","Missing liability limit. ","") &amp; IF($AB419="","Missing technical premium. ","") &amp; IF($AF419="","Missing surplus lines tax %. ",""))="","PASS","FAIL: "&amp;TRIM(IF($A419="","Missing certificate ref. ","") &amp; IF($C419="","Missing effective date. ","") &amp; IF($D419="","Missing binding status. ","") &amp; IF($E419="","Missing movement type. ","") &amp; IF($I419="","Missing make. ","") &amp; IF($L419="","Missing vehicle class. ","") &amp; IF($M419="","Missing agreed value. ","") &amp; IF($N419="","Missing policy type. ","") &amp; IF($Q419="","Missing garaging state. ","") &amp; IF($R419="","Missing garaging ZIP. ","") &amp; IF($S419="","Missing cat zone. ","") &amp; IF($V419="","Missing valuation basis. ","") &amp; IF($W419="","Missing PD deductible. ","") &amp; IF($X419="","Missing liability limit. ","") &amp; IF($AB419="","Missing technical premium. ","") &amp; IF($AF419="","Missing surplus lines tax %. ",""))))</f>
      </c>
      <c r="AY419" s="44">
        <f>IF($M419="","",IF(ISNUMBER($M419),IF($M419&gt;=Header!$C$18,"YES — refer","No"),""))</f>
      </c>
      <c r="AZ419" s="44">
        <f>IF($AD419="","",IF(ISNUMBER($AD419),IF($AD419&lt;Header!$C$20,"BELOW MIN PREMIUM","OK"),""))</f>
      </c>
      <c r="BA419" s="32" t="inlineStr">
        <is>
          <t xml:space="preserve">Yes</t>
        </is>
      </c>
      <c r="BB419" s="32" t="inlineStr">
        <is>
          <t xml:space="preserve">Yes</t>
        </is>
      </c>
      <c r="BC419" s="30" t="inlineStr">
        <is>
          <t xml:space="preserve">Synthetic demo data</t>
        </is>
      </c>
      <c r="BE419" s="45">
        <f>IF(OR($A419="",$L419="",$H419=""),"",IF(AND(LEFT($L419,2)="06",$H419&gt;1945),"FAIL - pre-war class, year "&amp;$H419,IF(AND(LEFT($L419,2)="07",OR($H419&lt;1946,$H419&gt;1972)),"FAIL - 1946-72 class, year "&amp;$H419,IF(AND(LEFT($L419,2)="08",OR($H419&lt;1973,$H419&gt;1999)),"FAIL - 1973-99 class, year "&amp;$H419,IF(AND(LEFT($L419,2)="09",OR($H419&lt;2000,$H419&gt;2010)),"FAIL - 2000-10 class, year "&amp;$H419,"OK")))))</f>
      </c>
      <c r="BF419" s="45">
        <f>IF($AD419="","",IF(ROUND($AO419+$AP419+$AQ419-$AD419,2)=0,"OK","FAIL - out by "&amp;TEXT($AO419+$AP419+$AQ419-$AD419,"$0.00")))</f>
      </c>
    </row>
    <row r="420" spans="1:58" ht="18.75" customHeight="1" x14ac:dyDescent="0.25">
      <c r="A420" s="46" t="inlineStr">
        <is>
          <t xml:space="preserve">CANON-202511-002738</t>
        </is>
      </c>
      <c r="B420" s="46" t="inlineStr">
        <is>
          <t xml:space="preserve">Callum Kingsford</t>
        </is>
      </c>
      <c r="C420" s="47">
        <v>45973</v>
      </c>
      <c r="D420" s="48" t="inlineStr">
        <is>
          <t xml:space="preserve">Bound - within authority</t>
        </is>
      </c>
      <c r="E420" s="48" t="inlineStr">
        <is>
          <t xml:space="preserve">New business</t>
        </is>
      </c>
      <c r="F420" s="46" t="inlineStr">
        <is>
          <t xml:space="preserve">B1234EXOTIC26</t>
        </is>
      </c>
      <c r="G420" s="33">
        <f>IF($A420="","",IF($C420="","",YEAR($C420)))</f>
      </c>
      <c r="H420" s="49">
        <v>1966</v>
      </c>
      <c r="I420" s="46" t="inlineStr">
        <is>
          <t xml:space="preserve">Aston Martin</t>
        </is>
      </c>
      <c r="J420" s="46" t="inlineStr">
        <is>
          <t xml:space="preserve">DB5</t>
        </is>
      </c>
      <c r="K420" s="46" t="inlineStr">
        <is>
          <t xml:space="preserve">31Y1902A5E2F9GDC0</t>
        </is>
      </c>
      <c r="L420" s="48" t="inlineStr">
        <is>
          <t xml:space="preserve">07 - Post-War Classic (1946-1972)</t>
        </is>
      </c>
      <c r="M420" s="50">
        <v>310000</v>
      </c>
      <c r="N420" s="48" t="inlineStr">
        <is>
          <t xml:space="preserve">Personal</t>
        </is>
      </c>
      <c r="O420" s="46" t="inlineStr">
        <is>
          <t xml:space="preserve">Personal - regular use</t>
        </is>
      </c>
      <c r="P420" s="46" t="inlineStr">
        <is>
          <t xml:space="preserve">1,000 - 2,500</t>
        </is>
      </c>
      <c r="Q420" s="46" t="inlineStr">
        <is>
          <t xml:space="preserve">Wyoming</t>
        </is>
      </c>
      <c r="R420" s="46" t="inlineStr">
        <is>
          <t xml:space="preserve">82001</t>
        </is>
      </c>
      <c r="S420" s="48" t="inlineStr">
        <is>
          <t xml:space="preserve">Severe convective - hail alley (high)</t>
        </is>
      </c>
      <c r="T420" s="36">
        <f>IF($A420="","",IF($S420="","",IFERROR(INDEX('[1]natural catastrophe'!$D$6:$D$17,MATCH($S420,'[1]natural catastrophe'!$B$6:$B$17,0)),"?")))</f>
      </c>
      <c r="U420" s="46" t="inlineStr">
        <is>
          <t xml:space="preserve">$5,000</t>
        </is>
      </c>
      <c r="V420" s="48" t="inlineStr">
        <is>
          <t xml:space="preserve">Agreed Value</t>
        </is>
      </c>
      <c r="W420" s="46" t="inlineStr">
        <is>
          <t xml:space="preserve">$1,000</t>
        </is>
      </c>
      <c r="X420" s="48" t="inlineStr">
        <is>
          <t xml:space="preserve">$1,000,000 CSL</t>
        </is>
      </c>
      <c r="Y420" s="46"/>
      <c r="Z420" s="46"/>
      <c r="AA420" s="48" t="inlineStr">
        <is>
          <t xml:space="preserve">Surplus Lines</t>
        </is>
      </c>
      <c r="AB420" s="50">
        <v>2761.95</v>
      </c>
      <c r="AC420" s="51">
        <v>0</v>
      </c>
      <c r="AD420" s="38">
        <f>IF(ISNUMBER($AB420),$AB420*(1+N($AC420)),"")</f>
      </c>
      <c r="AE420" s="50">
        <v>350</v>
      </c>
      <c r="AF420" s="50">
        <v>0</v>
      </c>
      <c r="AG420" s="51"/>
      <c r="AH420" s="39">
        <f>IF(ISNUMBER($AD420),($AD420+$AE420+$AF420)*$AG420,"")</f>
      </c>
      <c r="AI420" s="50"/>
      <c r="AJ420" s="38">
        <f>IF(ISNUMBER($AD420),SUM($AD420:$AH420),"")</f>
      </c>
      <c r="AK420" s="40">
        <f>IF(AND(ISNUMBER($AB420),ISNUMBER($AD420)),IF($AB420&gt;0,$AD420/$AB420,""),"")</f>
      </c>
      <c r="AL420" s="48" t="inlineStr">
        <is>
          <t xml:space="preserve">At technical</t>
        </is>
      </c>
      <c r="AM420" s="41">
        <f>IF(ISNUMBER($AD420),Header!$I$3,"")</f>
      </c>
      <c r="AN420" s="39">
        <f>IF(ISNUMBER($AD420),$AO420+$AP420,"")</f>
      </c>
      <c r="AO420" s="39">
        <f>IF(ISNUMBER($AD420),ROUND($AD420*Header!$K$3,2),"")</f>
      </c>
      <c r="AP420" s="39">
        <f>IF(ISNUMBER($AD420),ROUND($AD420*Header!$M$3,2),"")</f>
      </c>
      <c r="AQ420" s="38">
        <f>IF(ISNUMBER($AD420),ROUND($AD420,2)-$AO420-$AP420,"")</f>
      </c>
      <c r="AR420" s="39">
        <f>IF(ISNUMBER($AD420),IF(Header!$D$34="","?",$AD420*Header!$D$34),"")</f>
      </c>
      <c r="AS420" s="39">
        <f>IF(ISNUMBER($AB420),IF(Header!$D$34="","?",$AB420*Header!$D$34),"")</f>
      </c>
      <c r="AT420" s="42">
        <f>IF(AND(ISNUMBER($AB420),$M420&gt;0),$AB420/$M420*100,"")</f>
      </c>
      <c r="AU420" s="42">
        <f>IF(AND(ISNUMBER($AD420),$M420&gt;0),$AD420/$M420*100,"")</f>
      </c>
      <c r="AV420" s="40">
        <f>IF(AND(ISNUMBER($AB420),ISNUMBER($AD420),ABS($AB420)&gt;0),$AD420/$AB420,"")</f>
      </c>
      <c r="AW420" s="39">
        <f>IF(ISNUMBER($AD420),MAX(0,(1-0.55-Header!$O$3)*Header!$Q$3*$AQ420),"")</f>
      </c>
      <c r="AX420" s="43">
        <f>IF($A420="","",IF(TRIM(IF($A420="","Missing certificate ref. ","") &amp; IF($C420="","Missing effective date. ","") &amp; IF($D420="","Missing binding status. ","") &amp; IF($E420="","Missing movement type. ","") &amp; IF($I420="","Missing make. ","") &amp; IF($L420="","Missing vehicle class. ","") &amp; IF($M420="","Missing agreed value. ","") &amp; IF($N420="","Missing policy type. ","") &amp; IF($Q420="","Missing garaging state. ","") &amp; IF($R420="","Missing garaging ZIP. ","") &amp; IF($S420="","Missing cat zone. ","") &amp; IF($V420="","Missing valuation basis. ","") &amp; IF($W420="","Missing PD deductible. ","") &amp; IF($X420="","Missing liability limit. ","") &amp; IF($AB420="","Missing technical premium. ","") &amp; IF($AF420="","Missing surplus lines tax %. ",""))="","PASS","FAIL: "&amp;TRIM(IF($A420="","Missing certificate ref. ","") &amp; IF($C420="","Missing effective date. ","") &amp; IF($D420="","Missing binding status. ","") &amp; IF($E420="","Missing movement type. ","") &amp; IF($I420="","Missing make. ","") &amp; IF($L420="","Missing vehicle class. ","") &amp; IF($M420="","Missing agreed value. ","") &amp; IF($N420="","Missing policy type. ","") &amp; IF($Q420="","Missing garaging state. ","") &amp; IF($R420="","Missing garaging ZIP. ","") &amp; IF($S420="","Missing cat zone. ","") &amp; IF($V420="","Missing valuation basis. ","") &amp; IF($W420="","Missing PD deductible. ","") &amp; IF($X420="","Missing liability limit. ","") &amp; IF($AB420="","Missing technical premium. ","") &amp; IF($AF420="","Missing surplus lines tax %. ",""))))</f>
      </c>
      <c r="AY420" s="44">
        <f>IF($M420="","",IF(ISNUMBER($M420),IF($M420&gt;=Header!$C$18,"YES — refer","No"),""))</f>
      </c>
      <c r="AZ420" s="44">
        <f>IF($AD420="","",IF(ISNUMBER($AD420),IF($AD420&lt;Header!$C$20,"BELOW MIN PREMIUM","OK"),""))</f>
      </c>
      <c r="BA420" s="48" t="inlineStr">
        <is>
          <t xml:space="preserve">Yes</t>
        </is>
      </c>
      <c r="BB420" s="48" t="inlineStr">
        <is>
          <t xml:space="preserve">Yes</t>
        </is>
      </c>
      <c r="BC420" s="46" t="inlineStr">
        <is>
          <t xml:space="preserve">Synthetic demo data</t>
        </is>
      </c>
      <c r="BE420" s="45">
        <f>IF(OR($A420="",$L420="",$H420=""),"",IF(AND(LEFT($L420,2)="06",$H420&gt;1945),"FAIL - pre-war class, year "&amp;$H420,IF(AND(LEFT($L420,2)="07",OR($H420&lt;1946,$H420&gt;1972)),"FAIL - 1946-72 class, year "&amp;$H420,IF(AND(LEFT($L420,2)="08",OR($H420&lt;1973,$H420&gt;1999)),"FAIL - 1973-99 class, year "&amp;$H420,IF(AND(LEFT($L420,2)="09",OR($H420&lt;2000,$H420&gt;2010)),"FAIL - 2000-10 class, year "&amp;$H420,"OK")))))</f>
      </c>
      <c r="BF420" s="45">
        <f>IF($AD420="","",IF(ROUND($AO420+$AP420+$AQ420-$AD420,2)=0,"OK","FAIL - out by "&amp;TEXT($AO420+$AP420+$AQ420-$AD420,"$0.00")))</f>
      </c>
    </row>
    <row r="421" spans="1:58" ht="18.75" customHeight="1" x14ac:dyDescent="0.25">
      <c r="A421" s="30" t="inlineStr">
        <is>
          <t xml:space="preserve">CANON-202511-002739</t>
        </is>
      </c>
      <c r="B421" s="30" t="inlineStr">
        <is>
          <t xml:space="preserve">Wilhelmina Underwood</t>
        </is>
      </c>
      <c r="C421" s="31">
        <v>45986</v>
      </c>
      <c r="D421" s="32" t="inlineStr">
        <is>
          <t xml:space="preserve">Bound - within authority</t>
        </is>
      </c>
      <c r="E421" s="32" t="inlineStr">
        <is>
          <t xml:space="preserve">New business</t>
        </is>
      </c>
      <c r="F421" s="30" t="inlineStr">
        <is>
          <t xml:space="preserve">B1234EXOTIC26</t>
        </is>
      </c>
      <c r="G421" s="33">
        <f>IF($A421="","",IF($C421="","",YEAR($C421)))</f>
      </c>
      <c r="H421" s="34">
        <v>2000</v>
      </c>
      <c r="I421" s="30" t="inlineStr">
        <is>
          <t xml:space="preserve">Porsche</t>
        </is>
      </c>
      <c r="J421" s="30" t="inlineStr">
        <is>
          <t xml:space="preserve">911 Turbo S</t>
        </is>
      </c>
      <c r="K421" s="30" t="inlineStr">
        <is>
          <t xml:space="preserve">EVFJUAJUHGYYPNHMR</t>
        </is>
      </c>
      <c r="L421" s="32" t="inlineStr">
        <is>
          <t xml:space="preserve">02 - Sports / GT</t>
        </is>
      </c>
      <c r="M421" s="35">
        <v>455000</v>
      </c>
      <c r="N421" s="32" t="inlineStr">
        <is>
          <t xml:space="preserve">Personal</t>
        </is>
      </c>
      <c r="O421" s="30" t="inlineStr">
        <is>
          <t xml:space="preserve">Personal - regular use</t>
        </is>
      </c>
      <c r="P421" s="30" t="inlineStr">
        <is>
          <t xml:space="preserve">Under 1,000</t>
        </is>
      </c>
      <c r="Q421" s="30" t="inlineStr">
        <is>
          <t xml:space="preserve">Oklahoma</t>
        </is>
      </c>
      <c r="R421" s="30" t="inlineStr">
        <is>
          <t xml:space="preserve">73102</t>
        </is>
      </c>
      <c r="S421" s="32" t="inlineStr">
        <is>
          <t xml:space="preserve">Severe convective - hail alley (high)</t>
        </is>
      </c>
      <c r="T421" s="36">
        <f>IF($A421="","",IF($S421="","",IFERROR(INDEX('[1]natural catastrophe'!$D$6:$D$17,MATCH($S421,'[1]natural catastrophe'!$B$6:$B$17,0)),"?")))</f>
      </c>
      <c r="U421" s="30" t="inlineStr">
        <is>
          <t xml:space="preserve">$5,000</t>
        </is>
      </c>
      <c r="V421" s="32" t="inlineStr">
        <is>
          <t xml:space="preserve">Agreed Value</t>
        </is>
      </c>
      <c r="W421" s="30" t="inlineStr">
        <is>
          <t xml:space="preserve">$1,000</t>
        </is>
      </c>
      <c r="X421" s="32" t="inlineStr">
        <is>
          <t xml:space="preserve">$1,000,000 CSL</t>
        </is>
      </c>
      <c r="Y421" s="30"/>
      <c r="Z421" s="30"/>
      <c r="AA421" s="32" t="inlineStr">
        <is>
          <t xml:space="preserve">Surplus Lines</t>
        </is>
      </c>
      <c r="AB421" s="35">
        <v>7458.85</v>
      </c>
      <c r="AC421" s="37">
        <v>0</v>
      </c>
      <c r="AD421" s="38">
        <f>IF(ISNUMBER($AB421),$AB421*(1+N($AC421)),"")</f>
      </c>
      <c r="AE421" s="35">
        <v>350</v>
      </c>
      <c r="AF421" s="35">
        <v>0</v>
      </c>
      <c r="AG421" s="37"/>
      <c r="AH421" s="39">
        <f>IF(ISNUMBER($AD421),($AD421+$AE421+$AF421)*$AG421,"")</f>
      </c>
      <c r="AI421" s="35"/>
      <c r="AJ421" s="38">
        <f>IF(ISNUMBER($AD421),SUM($AD421:$AH421),"")</f>
      </c>
      <c r="AK421" s="40">
        <f>IF(AND(ISNUMBER($AB421),ISNUMBER($AD421)),IF($AB421&gt;0,$AD421/$AB421,""),"")</f>
      </c>
      <c r="AL421" s="32" t="inlineStr">
        <is>
          <t xml:space="preserve">At technical</t>
        </is>
      </c>
      <c r="AM421" s="41">
        <f>IF(ISNUMBER($AD421),Header!$I$3,"")</f>
      </c>
      <c r="AN421" s="39">
        <f>IF(ISNUMBER($AD421),$AO421+$AP421,"")</f>
      </c>
      <c r="AO421" s="39">
        <f>IF(ISNUMBER($AD421),ROUND($AD421*Header!$K$3,2),"")</f>
      </c>
      <c r="AP421" s="39">
        <f>IF(ISNUMBER($AD421),ROUND($AD421*Header!$M$3,2),"")</f>
      </c>
      <c r="AQ421" s="38">
        <f>IF(ISNUMBER($AD421),ROUND($AD421,2)-$AO421-$AP421,"")</f>
      </c>
      <c r="AR421" s="39">
        <f>IF(ISNUMBER($AD421),IF(Header!$D$34="","?",$AD421*Header!$D$34),"")</f>
      </c>
      <c r="AS421" s="39">
        <f>IF(ISNUMBER($AB421),IF(Header!$D$34="","?",$AB421*Header!$D$34),"")</f>
      </c>
      <c r="AT421" s="42">
        <f>IF(AND(ISNUMBER($AB421),$M421&gt;0),$AB421/$M421*100,"")</f>
      </c>
      <c r="AU421" s="42">
        <f>IF(AND(ISNUMBER($AD421),$M421&gt;0),$AD421/$M421*100,"")</f>
      </c>
      <c r="AV421" s="40">
        <f>IF(AND(ISNUMBER($AB421),ISNUMBER($AD421),ABS($AB421)&gt;0),$AD421/$AB421,"")</f>
      </c>
      <c r="AW421" s="39">
        <f>IF(ISNUMBER($AD421),MAX(0,(1-0.55-Header!$O$3)*Header!$Q$3*$AQ421),"")</f>
      </c>
      <c r="AX421" s="43">
        <f>IF($A421="","",IF(TRIM(IF($A421="","Missing certificate ref. ","") &amp; IF($C421="","Missing effective date. ","") &amp; IF($D421="","Missing binding status. ","") &amp; IF($E421="","Missing movement type. ","") &amp; IF($I421="","Missing make. ","") &amp; IF($L421="","Missing vehicle class. ","") &amp; IF($M421="","Missing agreed value. ","") &amp; IF($N421="","Missing policy type. ","") &amp; IF($Q421="","Missing garaging state. ","") &amp; IF($R421="","Missing garaging ZIP. ","") &amp; IF($S421="","Missing cat zone. ","") &amp; IF($V421="","Missing valuation basis. ","") &amp; IF($W421="","Missing PD deductible. ","") &amp; IF($X421="","Missing liability limit. ","") &amp; IF($AB421="","Missing technical premium. ","") &amp; IF($AF421="","Missing surplus lines tax %. ",""))="","PASS","FAIL: "&amp;TRIM(IF($A421="","Missing certificate ref. ","") &amp; IF($C421="","Missing effective date. ","") &amp; IF($D421="","Missing binding status. ","") &amp; IF($E421="","Missing movement type. ","") &amp; IF($I421="","Missing make. ","") &amp; IF($L421="","Missing vehicle class. ","") &amp; IF($M421="","Missing agreed value. ","") &amp; IF($N421="","Missing policy type. ","") &amp; IF($Q421="","Missing garaging state. ","") &amp; IF($R421="","Missing garaging ZIP. ","") &amp; IF($S421="","Missing cat zone. ","") &amp; IF($V421="","Missing valuation basis. ","") &amp; IF($W421="","Missing PD deductible. ","") &amp; IF($X421="","Missing liability limit. ","") &amp; IF($AB421="","Missing technical premium. ","") &amp; IF($AF421="","Missing surplus lines tax %. ",""))))</f>
      </c>
      <c r="AY421" s="44">
        <f>IF($M421="","",IF(ISNUMBER($M421),IF($M421&gt;=Header!$C$18,"YES — refer","No"),""))</f>
      </c>
      <c r="AZ421" s="44">
        <f>IF($AD421="","",IF(ISNUMBER($AD421),IF($AD421&lt;Header!$C$20,"BELOW MIN PREMIUM","OK"),""))</f>
      </c>
      <c r="BA421" s="32" t="inlineStr">
        <is>
          <t xml:space="preserve">Yes</t>
        </is>
      </c>
      <c r="BB421" s="32" t="inlineStr">
        <is>
          <t xml:space="preserve">Yes</t>
        </is>
      </c>
      <c r="BC421" s="30" t="inlineStr">
        <is>
          <t xml:space="preserve">Synthetic demo data</t>
        </is>
      </c>
      <c r="BE421" s="45">
        <f>IF(OR($A421="",$L421="",$H421=""),"",IF(AND(LEFT($L421,2)="06",$H421&gt;1945),"FAIL - pre-war class, year "&amp;$H421,IF(AND(LEFT($L421,2)="07",OR($H421&lt;1946,$H421&gt;1972)),"FAIL - 1946-72 class, year "&amp;$H421,IF(AND(LEFT($L421,2)="08",OR($H421&lt;1973,$H421&gt;1999)),"FAIL - 1973-99 class, year "&amp;$H421,IF(AND(LEFT($L421,2)="09",OR($H421&lt;2000,$H421&gt;2010)),"FAIL - 2000-10 class, year "&amp;$H421,"OK")))))</f>
      </c>
      <c r="BF421" s="45">
        <f>IF($AD421="","",IF(ROUND($AO421+$AP421+$AQ421-$AD421,2)=0,"OK","FAIL - out by "&amp;TEXT($AO421+$AP421+$AQ421-$AD421,"$0.00")))</f>
      </c>
    </row>
    <row r="422" spans="1:58" ht="18.75" customHeight="1" x14ac:dyDescent="0.25">
      <c r="A422" s="46" t="inlineStr">
        <is>
          <t xml:space="preserve">CANON-202511-002740</t>
        </is>
      </c>
      <c r="B422" s="46" t="inlineStr">
        <is>
          <t xml:space="preserve">Marisol Harrington</t>
        </is>
      </c>
      <c r="C422" s="47">
        <v>45964</v>
      </c>
      <c r="D422" s="48" t="inlineStr">
        <is>
          <t xml:space="preserve">Bound - within authority</t>
        </is>
      </c>
      <c r="E422" s="48" t="inlineStr">
        <is>
          <t xml:space="preserve">New business</t>
        </is>
      </c>
      <c r="F422" s="46" t="inlineStr">
        <is>
          <t xml:space="preserve">B1234EXOTIC26</t>
        </is>
      </c>
      <c r="G422" s="33">
        <f>IF($A422="","",IF($C422="","",YEAR($C422)))</f>
      </c>
      <c r="H422" s="49">
        <v>1991</v>
      </c>
      <c r="I422" s="46" t="inlineStr">
        <is>
          <t xml:space="preserve">Mercedes-Benz</t>
        </is>
      </c>
      <c r="J422" s="46" t="inlineStr">
        <is>
          <t xml:space="preserve">280SL Pagoda</t>
        </is>
      </c>
      <c r="K422" s="46" t="inlineStr">
        <is>
          <t xml:space="preserve">BKKN9X40TD4B0VZ88</t>
        </is>
      </c>
      <c r="L422" s="48" t="inlineStr">
        <is>
          <t xml:space="preserve">08 - Modern Classic (1973-1999)</t>
        </is>
      </c>
      <c r="M422" s="50">
        <v>835000</v>
      </c>
      <c r="N422" s="48" t="inlineStr">
        <is>
          <t xml:space="preserve">Personal</t>
        </is>
      </c>
      <c r="O422" s="46" t="inlineStr">
        <is>
          <t xml:space="preserve">Personal - regular use</t>
        </is>
      </c>
      <c r="P422" s="46" t="inlineStr">
        <is>
          <t xml:space="preserve">2,500 - 5,000</t>
        </is>
      </c>
      <c r="Q422" s="46" t="inlineStr">
        <is>
          <t xml:space="preserve">New York</t>
        </is>
      </c>
      <c r="R422" s="46" t="inlineStr">
        <is>
          <t xml:space="preserve">10022</t>
        </is>
      </c>
      <c r="S422" s="48" t="inlineStr">
        <is>
          <t xml:space="preserve">Tier 3 - Coastal wind (25-100 miles)</t>
        </is>
      </c>
      <c r="T422" s="36">
        <f>IF($A422="","",IF($S422="","",IFERROR(INDEX('[1]natural catastrophe'!$D$6:$D$17,MATCH($S422,'[1]natural catastrophe'!$B$6:$B$17,0)),"?")))</f>
      </c>
      <c r="U422" s="46" t="inlineStr">
        <is>
          <t xml:space="preserve">2% of agreed value, minimum $10,000</t>
        </is>
      </c>
      <c r="V422" s="48" t="inlineStr">
        <is>
          <t xml:space="preserve">Agreed Value</t>
        </is>
      </c>
      <c r="W422" s="46" t="inlineStr">
        <is>
          <t xml:space="preserve">$1,000</t>
        </is>
      </c>
      <c r="X422" s="48" t="inlineStr">
        <is>
          <t xml:space="preserve">$1,000,000 CSL</t>
        </is>
      </c>
      <c r="Y422" s="46"/>
      <c r="Z422" s="46"/>
      <c r="AA422" s="48" t="inlineStr">
        <is>
          <t xml:space="preserve">Surplus Lines</t>
        </is>
      </c>
      <c r="AB422" s="50">
        <v>7972.49</v>
      </c>
      <c r="AC422" s="51">
        <v>0</v>
      </c>
      <c r="AD422" s="38">
        <f>IF(ISNUMBER($AB422),$AB422*(1+N($AC422)),"")</f>
      </c>
      <c r="AE422" s="50">
        <v>350</v>
      </c>
      <c r="AF422" s="50">
        <v>0</v>
      </c>
      <c r="AG422" s="51"/>
      <c r="AH422" s="39">
        <f>IF(ISNUMBER($AD422),($AD422+$AE422+$AF422)*$AG422,"")</f>
      </c>
      <c r="AI422" s="50"/>
      <c r="AJ422" s="38">
        <f>IF(ISNUMBER($AD422),SUM($AD422:$AH422),"")</f>
      </c>
      <c r="AK422" s="40">
        <f>IF(AND(ISNUMBER($AB422),ISNUMBER($AD422)),IF($AB422&gt;0,$AD422/$AB422,""),"")</f>
      </c>
      <c r="AL422" s="48" t="inlineStr">
        <is>
          <t xml:space="preserve">At technical</t>
        </is>
      </c>
      <c r="AM422" s="41">
        <f>IF(ISNUMBER($AD422),Header!$I$3,"")</f>
      </c>
      <c r="AN422" s="39">
        <f>IF(ISNUMBER($AD422),$AO422+$AP422,"")</f>
      </c>
      <c r="AO422" s="39">
        <f>IF(ISNUMBER($AD422),ROUND($AD422*Header!$K$3,2),"")</f>
      </c>
      <c r="AP422" s="39">
        <f>IF(ISNUMBER($AD422),ROUND($AD422*Header!$M$3,2),"")</f>
      </c>
      <c r="AQ422" s="38">
        <f>IF(ISNUMBER($AD422),ROUND($AD422,2)-$AO422-$AP422,"")</f>
      </c>
      <c r="AR422" s="39">
        <f>IF(ISNUMBER($AD422),IF(Header!$D$34="","?",$AD422*Header!$D$34),"")</f>
      </c>
      <c r="AS422" s="39">
        <f>IF(ISNUMBER($AB422),IF(Header!$D$34="","?",$AB422*Header!$D$34),"")</f>
      </c>
      <c r="AT422" s="42">
        <f>IF(AND(ISNUMBER($AB422),$M422&gt;0),$AB422/$M422*100,"")</f>
      </c>
      <c r="AU422" s="42">
        <f>IF(AND(ISNUMBER($AD422),$M422&gt;0),$AD422/$M422*100,"")</f>
      </c>
      <c r="AV422" s="40">
        <f>IF(AND(ISNUMBER($AB422),ISNUMBER($AD422),ABS($AB422)&gt;0),$AD422/$AB422,"")</f>
      </c>
      <c r="AW422" s="39">
        <f>IF(ISNUMBER($AD422),MAX(0,(1-0.55-Header!$O$3)*Header!$Q$3*$AQ422),"")</f>
      </c>
      <c r="AX422" s="43">
        <f>IF($A422="","",IF(TRIM(IF($A422="","Missing certificate ref. ","") &amp; IF($C422="","Missing effective date. ","") &amp; IF($D422="","Missing binding status. ","") &amp; IF($E422="","Missing movement type. ","") &amp; IF($I422="","Missing make. ","") &amp; IF($L422="","Missing vehicle class. ","") &amp; IF($M422="","Missing agreed value. ","") &amp; IF($N422="","Missing policy type. ","") &amp; IF($Q422="","Missing garaging state. ","") &amp; IF($R422="","Missing garaging ZIP. ","") &amp; IF($S422="","Missing cat zone. ","") &amp; IF($V422="","Missing valuation basis. ","") &amp; IF($W422="","Missing PD deductible. ","") &amp; IF($X422="","Missing liability limit. ","") &amp; IF($AB422="","Missing technical premium. ","") &amp; IF($AF422="","Missing surplus lines tax %. ",""))="","PASS","FAIL: "&amp;TRIM(IF($A422="","Missing certificate ref. ","") &amp; IF($C422="","Missing effective date. ","") &amp; IF($D422="","Missing binding status. ","") &amp; IF($E422="","Missing movement type. ","") &amp; IF($I422="","Missing make. ","") &amp; IF($L422="","Missing vehicle class. ","") &amp; IF($M422="","Missing agreed value. ","") &amp; IF($N422="","Missing policy type. ","") &amp; IF($Q422="","Missing garaging state. ","") &amp; IF($R422="","Missing garaging ZIP. ","") &amp; IF($S422="","Missing cat zone. ","") &amp; IF($V422="","Missing valuation basis. ","") &amp; IF($W422="","Missing PD deductible. ","") &amp; IF($X422="","Missing liability limit. ","") &amp; IF($AB422="","Missing technical premium. ","") &amp; IF($AF422="","Missing surplus lines tax %. ",""))))</f>
      </c>
      <c r="AY422" s="44">
        <f>IF($M422="","",IF(ISNUMBER($M422),IF($M422&gt;=Header!$C$18,"YES — refer","No"),""))</f>
      </c>
      <c r="AZ422" s="44">
        <f>IF($AD422="","",IF(ISNUMBER($AD422),IF($AD422&lt;Header!$C$20,"BELOW MIN PREMIUM","OK"),""))</f>
      </c>
      <c r="BA422" s="48" t="inlineStr">
        <is>
          <t xml:space="preserve">Yes</t>
        </is>
      </c>
      <c r="BB422" s="48" t="inlineStr">
        <is>
          <t xml:space="preserve">Yes</t>
        </is>
      </c>
      <c r="BC422" s="46" t="inlineStr">
        <is>
          <t xml:space="preserve">Synthetic demo data</t>
        </is>
      </c>
      <c r="BE422" s="45">
        <f>IF(OR($A422="",$L422="",$H422=""),"",IF(AND(LEFT($L422,2)="06",$H422&gt;1945),"FAIL - pre-war class, year "&amp;$H422,IF(AND(LEFT($L422,2)="07",OR($H422&lt;1946,$H422&gt;1972)),"FAIL - 1946-72 class, year "&amp;$H422,IF(AND(LEFT($L422,2)="08",OR($H422&lt;1973,$H422&gt;1999)),"FAIL - 1973-99 class, year "&amp;$H422,IF(AND(LEFT($L422,2)="09",OR($H422&lt;2000,$H422&gt;2010)),"FAIL - 2000-10 class, year "&amp;$H422,"OK")))))</f>
      </c>
      <c r="BF422" s="45">
        <f>IF($AD422="","",IF(ROUND($AO422+$AP422+$AQ422-$AD422,2)=0,"OK","FAIL - out by "&amp;TEXT($AO422+$AP422+$AQ422-$AD422,"$0.00")))</f>
      </c>
    </row>
    <row r="423" spans="1:58" ht="18.75" customHeight="1" x14ac:dyDescent="0.25">
      <c r="A423" s="30" t="inlineStr">
        <is>
          <t xml:space="preserve">CANON-202511-002743</t>
        </is>
      </c>
      <c r="B423" s="30" t="inlineStr">
        <is>
          <t xml:space="preserve">Sunniva Castellanos</t>
        </is>
      </c>
      <c r="C423" s="31">
        <v>45967</v>
      </c>
      <c r="D423" s="32" t="inlineStr">
        <is>
          <t xml:space="preserve">Bound - within authority</t>
        </is>
      </c>
      <c r="E423" s="32" t="inlineStr">
        <is>
          <t xml:space="preserve">New business</t>
        </is>
      </c>
      <c r="F423" s="30" t="inlineStr">
        <is>
          <t xml:space="preserve">B1234EXOTIC26</t>
        </is>
      </c>
      <c r="G423" s="33">
        <f>IF($A423="","",IF($C423="","",YEAR($C423)))</f>
      </c>
      <c r="H423" s="34">
        <v>1963</v>
      </c>
      <c r="I423" s="30" t="inlineStr">
        <is>
          <t xml:space="preserve">Bentley</t>
        </is>
      </c>
      <c r="J423" s="30" t="inlineStr">
        <is>
          <t xml:space="preserve">Continental GT</t>
        </is>
      </c>
      <c r="K423" s="30" t="inlineStr">
        <is>
          <t xml:space="preserve">C6220UBF8UXM1U63L</t>
        </is>
      </c>
      <c r="L423" s="32" t="inlineStr">
        <is>
          <t xml:space="preserve">02 - Sports / GT</t>
        </is>
      </c>
      <c r="M423" s="35">
        <v>635000</v>
      </c>
      <c r="N423" s="32" t="inlineStr">
        <is>
          <t xml:space="preserve">Personal</t>
        </is>
      </c>
      <c r="O423" s="30" t="inlineStr">
        <is>
          <t xml:space="preserve">Personal - regular use</t>
        </is>
      </c>
      <c r="P423" s="30" t="inlineStr">
        <is>
          <t xml:space="preserve">Under 1,000</t>
        </is>
      </c>
      <c r="Q423" s="30" t="inlineStr">
        <is>
          <t xml:space="preserve">Nevada</t>
        </is>
      </c>
      <c r="R423" s="30" t="inlineStr">
        <is>
          <t xml:space="preserve">89101</t>
        </is>
      </c>
      <c r="S423" s="32" t="inlineStr">
        <is>
          <t xml:space="preserve">Wildfire - WUI high hazard</t>
        </is>
      </c>
      <c r="T423" s="36">
        <f>IF($A423="","",IF($S423="","",IFERROR(INDEX('[1]natural catastrophe'!$D$6:$D$17,MATCH($S423,'[1]natural catastrophe'!$B$6:$B$17,0)),"?")))</f>
      </c>
      <c r="U423" s="30" t="inlineStr">
        <is>
          <t xml:space="preserve">$5,000</t>
        </is>
      </c>
      <c r="V423" s="32" t="inlineStr">
        <is>
          <t xml:space="preserve">Agreed Value</t>
        </is>
      </c>
      <c r="W423" s="30" t="inlineStr">
        <is>
          <t xml:space="preserve">$1,000</t>
        </is>
      </c>
      <c r="X423" s="32" t="inlineStr">
        <is>
          <t xml:space="preserve">$1,000,000 CSL</t>
        </is>
      </c>
      <c r="Y423" s="30"/>
      <c r="Z423" s="30"/>
      <c r="AA423" s="32" t="inlineStr">
        <is>
          <t xml:space="preserve">Surplus Lines</t>
        </is>
      </c>
      <c r="AB423" s="35">
        <v>8377.25</v>
      </c>
      <c r="AC423" s="37">
        <v>0</v>
      </c>
      <c r="AD423" s="38">
        <f>IF(ISNUMBER($AB423),$AB423*(1+N($AC423)),"")</f>
      </c>
      <c r="AE423" s="35">
        <v>350</v>
      </c>
      <c r="AF423" s="35">
        <v>0</v>
      </c>
      <c r="AG423" s="37"/>
      <c r="AH423" s="39">
        <f>IF(ISNUMBER($AD423),($AD423+$AE423+$AF423)*$AG423,"")</f>
      </c>
      <c r="AI423" s="35"/>
      <c r="AJ423" s="38">
        <f>IF(ISNUMBER($AD423),SUM($AD423:$AH423),"")</f>
      </c>
      <c r="AK423" s="40">
        <f>IF(AND(ISNUMBER($AB423),ISNUMBER($AD423)),IF($AB423&gt;0,$AD423/$AB423,""),"")</f>
      </c>
      <c r="AL423" s="32" t="inlineStr">
        <is>
          <t xml:space="preserve">At technical</t>
        </is>
      </c>
      <c r="AM423" s="41">
        <f>IF(ISNUMBER($AD423),Header!$I$3,"")</f>
      </c>
      <c r="AN423" s="39">
        <f>IF(ISNUMBER($AD423),$AO423+$AP423,"")</f>
      </c>
      <c r="AO423" s="39">
        <f>IF(ISNUMBER($AD423),ROUND($AD423*Header!$K$3,2),"")</f>
      </c>
      <c r="AP423" s="39">
        <f>IF(ISNUMBER($AD423),ROUND($AD423*Header!$M$3,2),"")</f>
      </c>
      <c r="AQ423" s="38">
        <f>IF(ISNUMBER($AD423),ROUND($AD423,2)-$AO423-$AP423,"")</f>
      </c>
      <c r="AR423" s="39">
        <f>IF(ISNUMBER($AD423),IF(Header!$D$34="","?",$AD423*Header!$D$34),"")</f>
      </c>
      <c r="AS423" s="39">
        <f>IF(ISNUMBER($AB423),IF(Header!$D$34="","?",$AB423*Header!$D$34),"")</f>
      </c>
      <c r="AT423" s="42">
        <f>IF(AND(ISNUMBER($AB423),$M423&gt;0),$AB423/$M423*100,"")</f>
      </c>
      <c r="AU423" s="42">
        <f>IF(AND(ISNUMBER($AD423),$M423&gt;0),$AD423/$M423*100,"")</f>
      </c>
      <c r="AV423" s="40">
        <f>IF(AND(ISNUMBER($AB423),ISNUMBER($AD423),ABS($AB423)&gt;0),$AD423/$AB423,"")</f>
      </c>
      <c r="AW423" s="39">
        <f>IF(ISNUMBER($AD423),MAX(0,(1-0.55-Header!$O$3)*Header!$Q$3*$AQ423),"")</f>
      </c>
      <c r="AX423" s="43">
        <f>IF($A423="","",IF(TRIM(IF($A423="","Missing certificate ref. ","") &amp; IF($C423="","Missing effective date. ","") &amp; IF($D423="","Missing binding status. ","") &amp; IF($E423="","Missing movement type. ","") &amp; IF($I423="","Missing make. ","") &amp; IF($L423="","Missing vehicle class. ","") &amp; IF($M423="","Missing agreed value. ","") &amp; IF($N423="","Missing policy type. ","") &amp; IF($Q423="","Missing garaging state. ","") &amp; IF($R423="","Missing garaging ZIP. ","") &amp; IF($S423="","Missing cat zone. ","") &amp; IF($V423="","Missing valuation basis. ","") &amp; IF($W423="","Missing PD deductible. ","") &amp; IF($X423="","Missing liability limit. ","") &amp; IF($AB423="","Missing technical premium. ","") &amp; IF($AF423="","Missing surplus lines tax %. ",""))="","PASS","FAIL: "&amp;TRIM(IF($A423="","Missing certificate ref. ","") &amp; IF($C423="","Missing effective date. ","") &amp; IF($D423="","Missing binding status. ","") &amp; IF($E423="","Missing movement type. ","") &amp; IF($I423="","Missing make. ","") &amp; IF($L423="","Missing vehicle class. ","") &amp; IF($M423="","Missing agreed value. ","") &amp; IF($N423="","Missing policy type. ","") &amp; IF($Q423="","Missing garaging state. ","") &amp; IF($R423="","Missing garaging ZIP. ","") &amp; IF($S423="","Missing cat zone. ","") &amp; IF($V423="","Missing valuation basis. ","") &amp; IF($W423="","Missing PD deductible. ","") &amp; IF($X423="","Missing liability limit. ","") &amp; IF($AB423="","Missing technical premium. ","") &amp; IF($AF423="","Missing surplus lines tax %. ",""))))</f>
      </c>
      <c r="AY423" s="44">
        <f>IF($M423="","",IF(ISNUMBER($M423),IF($M423&gt;=Header!$C$18,"YES — refer","No"),""))</f>
      </c>
      <c r="AZ423" s="44">
        <f>IF($AD423="","",IF(ISNUMBER($AD423),IF($AD423&lt;Header!$C$20,"BELOW MIN PREMIUM","OK"),""))</f>
      </c>
      <c r="BA423" s="32" t="inlineStr">
        <is>
          <t xml:space="preserve">Yes</t>
        </is>
      </c>
      <c r="BB423" s="32" t="inlineStr">
        <is>
          <t xml:space="preserve">Yes</t>
        </is>
      </c>
      <c r="BC423" s="30" t="inlineStr">
        <is>
          <t xml:space="preserve">Synthetic demo data</t>
        </is>
      </c>
      <c r="BE423" s="45">
        <f>IF(OR($A423="",$L423="",$H423=""),"",IF(AND(LEFT($L423,2)="06",$H423&gt;1945),"FAIL - pre-war class, year "&amp;$H423,IF(AND(LEFT($L423,2)="07",OR($H423&lt;1946,$H423&gt;1972)),"FAIL - 1946-72 class, year "&amp;$H423,IF(AND(LEFT($L423,2)="08",OR($H423&lt;1973,$H423&gt;1999)),"FAIL - 1973-99 class, year "&amp;$H423,IF(AND(LEFT($L423,2)="09",OR($H423&lt;2000,$H423&gt;2010)),"FAIL - 2000-10 class, year "&amp;$H423,"OK")))))</f>
      </c>
      <c r="BF423" s="45">
        <f>IF($AD423="","",IF(ROUND($AO423+$AP423+$AQ423-$AD423,2)=0,"OK","FAIL - out by "&amp;TEXT($AO423+$AP423+$AQ423-$AD423,"$0.00")))</f>
      </c>
    </row>
    <row r="424" spans="1:58" ht="18.75" customHeight="1" x14ac:dyDescent="0.25">
      <c r="A424" s="46" t="inlineStr">
        <is>
          <t xml:space="preserve">CANON-202511-002744</t>
        </is>
      </c>
      <c r="B424" s="46" t="inlineStr">
        <is>
          <t xml:space="preserve">Anouk Larsson</t>
        </is>
      </c>
      <c r="C424" s="47">
        <v>45984</v>
      </c>
      <c r="D424" s="48" t="inlineStr">
        <is>
          <t xml:space="preserve">Bound - within authority</t>
        </is>
      </c>
      <c r="E424" s="48" t="inlineStr">
        <is>
          <t xml:space="preserve">New business</t>
        </is>
      </c>
      <c r="F424" s="46" t="inlineStr">
        <is>
          <t xml:space="preserve">B1234EXOTIC26</t>
        </is>
      </c>
      <c r="G424" s="33">
        <f>IF($A424="","",IF($C424="","",YEAR($C424)))</f>
      </c>
      <c r="H424" s="49">
        <v>1962</v>
      </c>
      <c r="I424" s="46" t="inlineStr">
        <is>
          <t xml:space="preserve">Mercedes-Benz</t>
        </is>
      </c>
      <c r="J424" s="46" t="inlineStr">
        <is>
          <t xml:space="preserve">AMG GT</t>
        </is>
      </c>
      <c r="K424" s="46" t="inlineStr">
        <is>
          <t xml:space="preserve">UPXZC1JJ9WES19A9M</t>
        </is>
      </c>
      <c r="L424" s="48" t="inlineStr">
        <is>
          <t xml:space="preserve">02 - Sports / GT</t>
        </is>
      </c>
      <c r="M424" s="50">
        <v>410000</v>
      </c>
      <c r="N424" s="48" t="inlineStr">
        <is>
          <t xml:space="preserve">Personal</t>
        </is>
      </c>
      <c r="O424" s="46" t="inlineStr">
        <is>
          <t xml:space="preserve">Personal - regular use</t>
        </is>
      </c>
      <c r="P424" s="46" t="inlineStr">
        <is>
          <t xml:space="preserve">2,500 - 5,000</t>
        </is>
      </c>
      <c r="Q424" s="46" t="inlineStr">
        <is>
          <t xml:space="preserve">Louisiana</t>
        </is>
      </c>
      <c r="R424" s="46" t="inlineStr">
        <is>
          <t xml:space="preserve">70112</t>
        </is>
      </c>
      <c r="S424" s="48" t="inlineStr">
        <is>
          <t xml:space="preserve">Tier 2 - Coastal wind (1-25 miles)</t>
        </is>
      </c>
      <c r="T424" s="36">
        <f>IF($A424="","",IF($S424="","",IFERROR(INDEX('[1]natural catastrophe'!$D$6:$D$17,MATCH($S424,'[1]natural catastrophe'!$B$6:$B$17,0)),"?")))</f>
      </c>
      <c r="U424" s="46" t="inlineStr">
        <is>
          <t xml:space="preserve">2% of agreed value, minimum $10,000</t>
        </is>
      </c>
      <c r="V424" s="48" t="inlineStr">
        <is>
          <t xml:space="preserve">Agreed Value</t>
        </is>
      </c>
      <c r="W424" s="46" t="inlineStr">
        <is>
          <t xml:space="preserve">$1,000</t>
        </is>
      </c>
      <c r="X424" s="48" t="inlineStr">
        <is>
          <t xml:space="preserve">$1,000,000 CSL</t>
        </is>
      </c>
      <c r="Y424" s="46"/>
      <c r="Z424" s="46"/>
      <c r="AA424" s="48" t="inlineStr">
        <is>
          <t xml:space="preserve">Surplus Lines</t>
        </is>
      </c>
      <c r="AB424" s="50">
        <v>6454.45</v>
      </c>
      <c r="AC424" s="51">
        <v>0</v>
      </c>
      <c r="AD424" s="38">
        <f>IF(ISNUMBER($AB424),$AB424*(1+N($AC424)),"")</f>
      </c>
      <c r="AE424" s="50">
        <v>350</v>
      </c>
      <c r="AF424" s="50">
        <v>0</v>
      </c>
      <c r="AG424" s="51"/>
      <c r="AH424" s="39">
        <f>IF(ISNUMBER($AD424),($AD424+$AE424+$AF424)*$AG424,"")</f>
      </c>
      <c r="AI424" s="50"/>
      <c r="AJ424" s="38">
        <f>IF(ISNUMBER($AD424),SUM($AD424:$AH424),"")</f>
      </c>
      <c r="AK424" s="40">
        <f>IF(AND(ISNUMBER($AB424),ISNUMBER($AD424)),IF($AB424&gt;0,$AD424/$AB424,""),"")</f>
      </c>
      <c r="AL424" s="48" t="inlineStr">
        <is>
          <t xml:space="preserve">At technical</t>
        </is>
      </c>
      <c r="AM424" s="41">
        <f>IF(ISNUMBER($AD424),Header!$I$3,"")</f>
      </c>
      <c r="AN424" s="39">
        <f>IF(ISNUMBER($AD424),$AO424+$AP424,"")</f>
      </c>
      <c r="AO424" s="39">
        <f>IF(ISNUMBER($AD424),ROUND($AD424*Header!$K$3,2),"")</f>
      </c>
      <c r="AP424" s="39">
        <f>IF(ISNUMBER($AD424),ROUND($AD424*Header!$M$3,2),"")</f>
      </c>
      <c r="AQ424" s="38">
        <f>IF(ISNUMBER($AD424),ROUND($AD424,2)-$AO424-$AP424,"")</f>
      </c>
      <c r="AR424" s="39">
        <f>IF(ISNUMBER($AD424),IF(Header!$D$34="","?",$AD424*Header!$D$34),"")</f>
      </c>
      <c r="AS424" s="39">
        <f>IF(ISNUMBER($AB424),IF(Header!$D$34="","?",$AB424*Header!$D$34),"")</f>
      </c>
      <c r="AT424" s="42">
        <f>IF(AND(ISNUMBER($AB424),$M424&gt;0),$AB424/$M424*100,"")</f>
      </c>
      <c r="AU424" s="42">
        <f>IF(AND(ISNUMBER($AD424),$M424&gt;0),$AD424/$M424*100,"")</f>
      </c>
      <c r="AV424" s="40">
        <f>IF(AND(ISNUMBER($AB424),ISNUMBER($AD424),ABS($AB424)&gt;0),$AD424/$AB424,"")</f>
      </c>
      <c r="AW424" s="39">
        <f>IF(ISNUMBER($AD424),MAX(0,(1-0.55-Header!$O$3)*Header!$Q$3*$AQ424),"")</f>
      </c>
      <c r="AX424" s="43">
        <f>IF($A424="","",IF(TRIM(IF($A424="","Missing certificate ref. ","") &amp; IF($C424="","Missing effective date. ","") &amp; IF($D424="","Missing binding status. ","") &amp; IF($E424="","Missing movement type. ","") &amp; IF($I424="","Missing make. ","") &amp; IF($L424="","Missing vehicle class. ","") &amp; IF($M424="","Missing agreed value. ","") &amp; IF($N424="","Missing policy type. ","") &amp; IF($Q424="","Missing garaging state. ","") &amp; IF($R424="","Missing garaging ZIP. ","") &amp; IF($S424="","Missing cat zone. ","") &amp; IF($V424="","Missing valuation basis. ","") &amp; IF($W424="","Missing PD deductible. ","") &amp; IF($X424="","Missing liability limit. ","") &amp; IF($AB424="","Missing technical premium. ","") &amp; IF($AF424="","Missing surplus lines tax %. ",""))="","PASS","FAIL: "&amp;TRIM(IF($A424="","Missing certificate ref. ","") &amp; IF($C424="","Missing effective date. ","") &amp; IF($D424="","Missing binding status. ","") &amp; IF($E424="","Missing movement type. ","") &amp; IF($I424="","Missing make. ","") &amp; IF($L424="","Missing vehicle class. ","") &amp; IF($M424="","Missing agreed value. ","") &amp; IF($N424="","Missing policy type. ","") &amp; IF($Q424="","Missing garaging state. ","") &amp; IF($R424="","Missing garaging ZIP. ","") &amp; IF($S424="","Missing cat zone. ","") &amp; IF($V424="","Missing valuation basis. ","") &amp; IF($W424="","Missing PD deductible. ","") &amp; IF($X424="","Missing liability limit. ","") &amp; IF($AB424="","Missing technical premium. ","") &amp; IF($AF424="","Missing surplus lines tax %. ",""))))</f>
      </c>
      <c r="AY424" s="44">
        <f>IF($M424="","",IF(ISNUMBER($M424),IF($M424&gt;=Header!$C$18,"YES — refer","No"),""))</f>
      </c>
      <c r="AZ424" s="44">
        <f>IF($AD424="","",IF(ISNUMBER($AD424),IF($AD424&lt;Header!$C$20,"BELOW MIN PREMIUM","OK"),""))</f>
      </c>
      <c r="BA424" s="48" t="inlineStr">
        <is>
          <t xml:space="preserve">Yes</t>
        </is>
      </c>
      <c r="BB424" s="48" t="inlineStr">
        <is>
          <t xml:space="preserve">Yes</t>
        </is>
      </c>
      <c r="BC424" s="46" t="inlineStr">
        <is>
          <t xml:space="preserve">Synthetic demo data</t>
        </is>
      </c>
      <c r="BE424" s="45">
        <f>IF(OR($A424="",$L424="",$H424=""),"",IF(AND(LEFT($L424,2)="06",$H424&gt;1945),"FAIL - pre-war class, year "&amp;$H424,IF(AND(LEFT($L424,2)="07",OR($H424&lt;1946,$H424&gt;1972)),"FAIL - 1946-72 class, year "&amp;$H424,IF(AND(LEFT($L424,2)="08",OR($H424&lt;1973,$H424&gt;1999)),"FAIL - 1973-99 class, year "&amp;$H424,IF(AND(LEFT($L424,2)="09",OR($H424&lt;2000,$H424&gt;2010)),"FAIL - 2000-10 class, year "&amp;$H424,"OK")))))</f>
      </c>
      <c r="BF424" s="45">
        <f>IF($AD424="","",IF(ROUND($AO424+$AP424+$AQ424-$AD424,2)=0,"OK","FAIL - out by "&amp;TEXT($AO424+$AP424+$AQ424-$AD424,"$0.00")))</f>
      </c>
    </row>
    <row r="425" spans="1:58" ht="18.75" customHeight="1" x14ac:dyDescent="0.25">
      <c r="A425" s="30" t="inlineStr">
        <is>
          <t xml:space="preserve">CANON-202511-002745</t>
        </is>
      </c>
      <c r="B425" s="30" t="inlineStr">
        <is>
          <t xml:space="preserve">Priya Vandermeer</t>
        </is>
      </c>
      <c r="C425" s="31">
        <v>45984</v>
      </c>
      <c r="D425" s="32" t="inlineStr">
        <is>
          <t xml:space="preserve">Bound - within authority</t>
        </is>
      </c>
      <c r="E425" s="32" t="inlineStr">
        <is>
          <t xml:space="preserve">New business</t>
        </is>
      </c>
      <c r="F425" s="30" t="inlineStr">
        <is>
          <t xml:space="preserve">B1234EXOTIC26</t>
        </is>
      </c>
      <c r="G425" s="33">
        <f>IF($A425="","",IF($C425="","",YEAR($C425)))</f>
      </c>
      <c r="H425" s="34">
        <v>2018</v>
      </c>
      <c r="I425" s="30" t="inlineStr">
        <is>
          <t xml:space="preserve">BMW</t>
        </is>
      </c>
      <c r="J425" s="30" t="inlineStr">
        <is>
          <t xml:space="preserve">M8 Competition</t>
        </is>
      </c>
      <c r="K425" s="30" t="inlineStr">
        <is>
          <t xml:space="preserve">CG1ZH11RWHETYTYWU</t>
        </is>
      </c>
      <c r="L425" s="32" t="inlineStr">
        <is>
          <t xml:space="preserve">02 - Sports / GT</t>
        </is>
      </c>
      <c r="M425" s="35">
        <v>275000</v>
      </c>
      <c r="N425" s="32" t="inlineStr">
        <is>
          <t xml:space="preserve">Personal</t>
        </is>
      </c>
      <c r="O425" s="30" t="inlineStr">
        <is>
          <t xml:space="preserve">Personal - regular use</t>
        </is>
      </c>
      <c r="P425" s="30" t="inlineStr">
        <is>
          <t xml:space="preserve">Under 1,000</t>
        </is>
      </c>
      <c r="Q425" s="30" t="inlineStr">
        <is>
          <t xml:space="preserve">Illinois</t>
        </is>
      </c>
      <c r="R425" s="30" t="inlineStr">
        <is>
          <t xml:space="preserve">60601</t>
        </is>
      </c>
      <c r="S425" s="32" t="inlineStr">
        <is>
          <t xml:space="preserve">Severe convective - hail / tornado (moderate)</t>
        </is>
      </c>
      <c r="T425" s="36">
        <f>IF($A425="","",IF($S425="","",IFERROR(INDEX('[1]natural catastrophe'!$D$6:$D$17,MATCH($S425,'[1]natural catastrophe'!$B$6:$B$17,0)),"?")))</f>
      </c>
      <c r="U425" s="30" t="inlineStr">
        <is>
          <t xml:space="preserve">$5,000</t>
        </is>
      </c>
      <c r="V425" s="32" t="inlineStr">
        <is>
          <t xml:space="preserve">Agreed Value</t>
        </is>
      </c>
      <c r="W425" s="30" t="inlineStr">
        <is>
          <t xml:space="preserve">$1,000</t>
        </is>
      </c>
      <c r="X425" s="32" t="inlineStr">
        <is>
          <t xml:space="preserve">$1,000,000 CSL</t>
        </is>
      </c>
      <c r="Y425" s="30"/>
      <c r="Z425" s="30"/>
      <c r="AA425" s="32" t="inlineStr">
        <is>
          <t xml:space="preserve">Surplus Lines</t>
        </is>
      </c>
      <c r="AB425" s="35">
        <v>4865.88</v>
      </c>
      <c r="AC425" s="37">
        <v>0</v>
      </c>
      <c r="AD425" s="38">
        <f>IF(ISNUMBER($AB425),$AB425*(1+N($AC425)),"")</f>
      </c>
      <c r="AE425" s="35">
        <v>350</v>
      </c>
      <c r="AF425" s="35">
        <v>0</v>
      </c>
      <c r="AG425" s="37"/>
      <c r="AH425" s="39">
        <f>IF(ISNUMBER($AD425),($AD425+$AE425+$AF425)*$AG425,"")</f>
      </c>
      <c r="AI425" s="35"/>
      <c r="AJ425" s="38">
        <f>IF(ISNUMBER($AD425),SUM($AD425:$AH425),"")</f>
      </c>
      <c r="AK425" s="40">
        <f>IF(AND(ISNUMBER($AB425),ISNUMBER($AD425)),IF($AB425&gt;0,$AD425/$AB425,""),"")</f>
      </c>
      <c r="AL425" s="32" t="inlineStr">
        <is>
          <t xml:space="preserve">At technical</t>
        </is>
      </c>
      <c r="AM425" s="41">
        <f>IF(ISNUMBER($AD425),Header!$I$3,"")</f>
      </c>
      <c r="AN425" s="39">
        <f>IF(ISNUMBER($AD425),$AO425+$AP425,"")</f>
      </c>
      <c r="AO425" s="39">
        <f>IF(ISNUMBER($AD425),ROUND($AD425*Header!$K$3,2),"")</f>
      </c>
      <c r="AP425" s="39">
        <f>IF(ISNUMBER($AD425),ROUND($AD425*Header!$M$3,2),"")</f>
      </c>
      <c r="AQ425" s="38">
        <f>IF(ISNUMBER($AD425),ROUND($AD425,2)-$AO425-$AP425,"")</f>
      </c>
      <c r="AR425" s="39">
        <f>IF(ISNUMBER($AD425),IF(Header!$D$34="","?",$AD425*Header!$D$34),"")</f>
      </c>
      <c r="AS425" s="39">
        <f>IF(ISNUMBER($AB425),IF(Header!$D$34="","?",$AB425*Header!$D$34),"")</f>
      </c>
      <c r="AT425" s="42">
        <f>IF(AND(ISNUMBER($AB425),$M425&gt;0),$AB425/$M425*100,"")</f>
      </c>
      <c r="AU425" s="42">
        <f>IF(AND(ISNUMBER($AD425),$M425&gt;0),$AD425/$M425*100,"")</f>
      </c>
      <c r="AV425" s="40">
        <f>IF(AND(ISNUMBER($AB425),ISNUMBER($AD425),ABS($AB425)&gt;0),$AD425/$AB425,"")</f>
      </c>
      <c r="AW425" s="39">
        <f>IF(ISNUMBER($AD425),MAX(0,(1-0.55-Header!$O$3)*Header!$Q$3*$AQ425),"")</f>
      </c>
      <c r="AX425" s="43">
        <f>IF($A425="","",IF(TRIM(IF($A425="","Missing certificate ref. ","") &amp; IF($C425="","Missing effective date. ","") &amp; IF($D425="","Missing binding status. ","") &amp; IF($E425="","Missing movement type. ","") &amp; IF($I425="","Missing make. ","") &amp; IF($L425="","Missing vehicle class. ","") &amp; IF($M425="","Missing agreed value. ","") &amp; IF($N425="","Missing policy type. ","") &amp; IF($Q425="","Missing garaging state. ","") &amp; IF($R425="","Missing garaging ZIP. ","") &amp; IF($S425="","Missing cat zone. ","") &amp; IF($V425="","Missing valuation basis. ","") &amp; IF($W425="","Missing PD deductible. ","") &amp; IF($X425="","Missing liability limit. ","") &amp; IF($AB425="","Missing technical premium. ","") &amp; IF($AF425="","Missing surplus lines tax %. ",""))="","PASS","FAIL: "&amp;TRIM(IF($A425="","Missing certificate ref. ","") &amp; IF($C425="","Missing effective date. ","") &amp; IF($D425="","Missing binding status. ","") &amp; IF($E425="","Missing movement type. ","") &amp; IF($I425="","Missing make. ","") &amp; IF($L425="","Missing vehicle class. ","") &amp; IF($M425="","Missing agreed value. ","") &amp; IF($N425="","Missing policy type. ","") &amp; IF($Q425="","Missing garaging state. ","") &amp; IF($R425="","Missing garaging ZIP. ","") &amp; IF($S425="","Missing cat zone. ","") &amp; IF($V425="","Missing valuation basis. ","") &amp; IF($W425="","Missing PD deductible. ","") &amp; IF($X425="","Missing liability limit. ","") &amp; IF($AB425="","Missing technical premium. ","") &amp; IF($AF425="","Missing surplus lines tax %. ",""))))</f>
      </c>
      <c r="AY425" s="44">
        <f>IF($M425="","",IF(ISNUMBER($M425),IF($M425&gt;=Header!$C$18,"YES — refer","No"),""))</f>
      </c>
      <c r="AZ425" s="44">
        <f>IF($AD425="","",IF(ISNUMBER($AD425),IF($AD425&lt;Header!$C$20,"BELOW MIN PREMIUM","OK"),""))</f>
      </c>
      <c r="BA425" s="32" t="inlineStr">
        <is>
          <t xml:space="preserve">Yes</t>
        </is>
      </c>
      <c r="BB425" s="32" t="inlineStr">
        <is>
          <t xml:space="preserve">Yes</t>
        </is>
      </c>
      <c r="BC425" s="30" t="inlineStr">
        <is>
          <t xml:space="preserve">Synthetic demo data</t>
        </is>
      </c>
      <c r="BE425" s="45">
        <f>IF(OR($A425="",$L425="",$H425=""),"",IF(AND(LEFT($L425,2)="06",$H425&gt;1945),"FAIL - pre-war class, year "&amp;$H425,IF(AND(LEFT($L425,2)="07",OR($H425&lt;1946,$H425&gt;1972)),"FAIL - 1946-72 class, year "&amp;$H425,IF(AND(LEFT($L425,2)="08",OR($H425&lt;1973,$H425&gt;1999)),"FAIL - 1973-99 class, year "&amp;$H425,IF(AND(LEFT($L425,2)="09",OR($H425&lt;2000,$H425&gt;2010)),"FAIL - 2000-10 class, year "&amp;$H425,"OK")))))</f>
      </c>
      <c r="BF425" s="45">
        <f>IF($AD425="","",IF(ROUND($AO425+$AP425+$AQ425-$AD425,2)=0,"OK","FAIL - out by "&amp;TEXT($AO425+$AP425+$AQ425-$AD425,"$0.00")))</f>
      </c>
    </row>
    <row r="426" spans="1:58" ht="18.75" customHeight="1" x14ac:dyDescent="0.25">
      <c r="A426" s="46" t="inlineStr">
        <is>
          <t xml:space="preserve">CANON-202511-002746</t>
        </is>
      </c>
      <c r="B426" s="46" t="inlineStr">
        <is>
          <t xml:space="preserve">Wilhelmina Fairweather</t>
        </is>
      </c>
      <c r="C426" s="47">
        <v>45982</v>
      </c>
      <c r="D426" s="48" t="inlineStr">
        <is>
          <t xml:space="preserve">Bound - within authority</t>
        </is>
      </c>
      <c r="E426" s="48" t="inlineStr">
        <is>
          <t xml:space="preserve">New business</t>
        </is>
      </c>
      <c r="F426" s="46" t="inlineStr">
        <is>
          <t xml:space="preserve">B1234EXOTIC26</t>
        </is>
      </c>
      <c r="G426" s="33">
        <f>IF($A426="","",IF($C426="","",YEAR($C426)))</f>
      </c>
      <c r="H426" s="49">
        <v>1960</v>
      </c>
      <c r="I426" s="46" t="inlineStr">
        <is>
          <t xml:space="preserve">Aston Martin</t>
        </is>
      </c>
      <c r="J426" s="46" t="inlineStr">
        <is>
          <t xml:space="preserve">DB5</t>
        </is>
      </c>
      <c r="K426" s="46" t="inlineStr">
        <is>
          <t xml:space="preserve">K02GAHM5F9C6SXS8M</t>
        </is>
      </c>
      <c r="L426" s="48" t="inlineStr">
        <is>
          <t xml:space="preserve">07 - Post-War Classic (1946-1972)</t>
        </is>
      </c>
      <c r="M426" s="50">
        <v>660000</v>
      </c>
      <c r="N426" s="48" t="inlineStr">
        <is>
          <t xml:space="preserve">Personal</t>
        </is>
      </c>
      <c r="O426" s="46" t="inlineStr">
        <is>
          <t xml:space="preserve">Personal - regular use</t>
        </is>
      </c>
      <c r="P426" s="46" t="inlineStr">
        <is>
          <t xml:space="preserve">2,500 - 5,000</t>
        </is>
      </c>
      <c r="Q426" s="46" t="inlineStr">
        <is>
          <t xml:space="preserve">Texas</t>
        </is>
      </c>
      <c r="R426" s="46" t="inlineStr">
        <is>
          <t xml:space="preserve">75201</t>
        </is>
      </c>
      <c r="S426" s="48" t="inlineStr">
        <is>
          <t xml:space="preserve">Tier 2 - Coastal wind (1-25 miles)</t>
        </is>
      </c>
      <c r="T426" s="36">
        <f>IF($A426="","",IF($S426="","",IFERROR(INDEX('[1]natural catastrophe'!$D$6:$D$17,MATCH($S426,'[1]natural catastrophe'!$B$6:$B$17,0)),"?")))</f>
      </c>
      <c r="U426" s="46" t="inlineStr">
        <is>
          <t xml:space="preserve">2% of agreed value, minimum $10,000</t>
        </is>
      </c>
      <c r="V426" s="48" t="inlineStr">
        <is>
          <t xml:space="preserve">Agreed Value</t>
        </is>
      </c>
      <c r="W426" s="46" t="inlineStr">
        <is>
          <t xml:space="preserve">$1,000</t>
        </is>
      </c>
      <c r="X426" s="48" t="inlineStr">
        <is>
          <t xml:space="preserve">$1,000,000 CSL</t>
        </is>
      </c>
      <c r="Y426" s="46"/>
      <c r="Z426" s="46"/>
      <c r="AA426" s="48" t="inlineStr">
        <is>
          <t xml:space="preserve">Surplus Lines</t>
        </is>
      </c>
      <c r="AB426" s="50">
        <v>5661.59</v>
      </c>
      <c r="AC426" s="51">
        <v>0</v>
      </c>
      <c r="AD426" s="38">
        <f>IF(ISNUMBER($AB426),$AB426*(1+N($AC426)),"")</f>
      </c>
      <c r="AE426" s="50">
        <v>350</v>
      </c>
      <c r="AF426" s="50">
        <v>0</v>
      </c>
      <c r="AG426" s="51"/>
      <c r="AH426" s="39">
        <f>IF(ISNUMBER($AD426),($AD426+$AE426+$AF426)*$AG426,"")</f>
      </c>
      <c r="AI426" s="50"/>
      <c r="AJ426" s="38">
        <f>IF(ISNUMBER($AD426),SUM($AD426:$AH426),"")</f>
      </c>
      <c r="AK426" s="40">
        <f>IF(AND(ISNUMBER($AB426),ISNUMBER($AD426)),IF($AB426&gt;0,$AD426/$AB426,""),"")</f>
      </c>
      <c r="AL426" s="48" t="inlineStr">
        <is>
          <t xml:space="preserve">At technical</t>
        </is>
      </c>
      <c r="AM426" s="41">
        <f>IF(ISNUMBER($AD426),Header!$I$3,"")</f>
      </c>
      <c r="AN426" s="39">
        <f>IF(ISNUMBER($AD426),$AO426+$AP426,"")</f>
      </c>
      <c r="AO426" s="39">
        <f>IF(ISNUMBER($AD426),ROUND($AD426*Header!$K$3,2),"")</f>
      </c>
      <c r="AP426" s="39">
        <f>IF(ISNUMBER($AD426),ROUND($AD426*Header!$M$3,2),"")</f>
      </c>
      <c r="AQ426" s="38">
        <f>IF(ISNUMBER($AD426),ROUND($AD426,2)-$AO426-$AP426,"")</f>
      </c>
      <c r="AR426" s="39">
        <f>IF(ISNUMBER($AD426),IF(Header!$D$34="","?",$AD426*Header!$D$34),"")</f>
      </c>
      <c r="AS426" s="39">
        <f>IF(ISNUMBER($AB426),IF(Header!$D$34="","?",$AB426*Header!$D$34),"")</f>
      </c>
      <c r="AT426" s="42">
        <f>IF(AND(ISNUMBER($AB426),$M426&gt;0),$AB426/$M426*100,"")</f>
      </c>
      <c r="AU426" s="42">
        <f>IF(AND(ISNUMBER($AD426),$M426&gt;0),$AD426/$M426*100,"")</f>
      </c>
      <c r="AV426" s="40">
        <f>IF(AND(ISNUMBER($AB426),ISNUMBER($AD426),ABS($AB426)&gt;0),$AD426/$AB426,"")</f>
      </c>
      <c r="AW426" s="39">
        <f>IF(ISNUMBER($AD426),MAX(0,(1-0.55-Header!$O$3)*Header!$Q$3*$AQ426),"")</f>
      </c>
      <c r="AX426" s="43">
        <f>IF($A426="","",IF(TRIM(IF($A426="","Missing certificate ref. ","") &amp; IF($C426="","Missing effective date. ","") &amp; IF($D426="","Missing binding status. ","") &amp; IF($E426="","Missing movement type. ","") &amp; IF($I426="","Missing make. ","") &amp; IF($L426="","Missing vehicle class. ","") &amp; IF($M426="","Missing agreed value. ","") &amp; IF($N426="","Missing policy type. ","") &amp; IF($Q426="","Missing garaging state. ","") &amp; IF($R426="","Missing garaging ZIP. ","") &amp; IF($S426="","Missing cat zone. ","") &amp; IF($V426="","Missing valuation basis. ","") &amp; IF($W426="","Missing PD deductible. ","") &amp; IF($X426="","Missing liability limit. ","") &amp; IF($AB426="","Missing technical premium. ","") &amp; IF($AF426="","Missing surplus lines tax %. ",""))="","PASS","FAIL: "&amp;TRIM(IF($A426="","Missing certificate ref. ","") &amp; IF($C426="","Missing effective date. ","") &amp; IF($D426="","Missing binding status. ","") &amp; IF($E426="","Missing movement type. ","") &amp; IF($I426="","Missing make. ","") &amp; IF($L426="","Missing vehicle class. ","") &amp; IF($M426="","Missing agreed value. ","") &amp; IF($N426="","Missing policy type. ","") &amp; IF($Q426="","Missing garaging state. ","") &amp; IF($R426="","Missing garaging ZIP. ","") &amp; IF($S426="","Missing cat zone. ","") &amp; IF($V426="","Missing valuation basis. ","") &amp; IF($W426="","Missing PD deductible. ","") &amp; IF($X426="","Missing liability limit. ","") &amp; IF($AB426="","Missing technical premium. ","") &amp; IF($AF426="","Missing surplus lines tax %. ",""))))</f>
      </c>
      <c r="AY426" s="44">
        <f>IF($M426="","",IF(ISNUMBER($M426),IF($M426&gt;=Header!$C$18,"YES — refer","No"),""))</f>
      </c>
      <c r="AZ426" s="44">
        <f>IF($AD426="","",IF(ISNUMBER($AD426),IF($AD426&lt;Header!$C$20,"BELOW MIN PREMIUM","OK"),""))</f>
      </c>
      <c r="BA426" s="48" t="inlineStr">
        <is>
          <t xml:space="preserve">Yes</t>
        </is>
      </c>
      <c r="BB426" s="48" t="inlineStr">
        <is>
          <t xml:space="preserve">Yes</t>
        </is>
      </c>
      <c r="BC426" s="46" t="inlineStr">
        <is>
          <t xml:space="preserve">Synthetic demo data</t>
        </is>
      </c>
      <c r="BE426" s="45">
        <f>IF(OR($A426="",$L426="",$H426=""),"",IF(AND(LEFT($L426,2)="06",$H426&gt;1945),"FAIL - pre-war class, year "&amp;$H426,IF(AND(LEFT($L426,2)="07",OR($H426&lt;1946,$H426&gt;1972)),"FAIL - 1946-72 class, year "&amp;$H426,IF(AND(LEFT($L426,2)="08",OR($H426&lt;1973,$H426&gt;1999)),"FAIL - 1973-99 class, year "&amp;$H426,IF(AND(LEFT($L426,2)="09",OR($H426&lt;2000,$H426&gt;2010)),"FAIL - 2000-10 class, year "&amp;$H426,"OK")))))</f>
      </c>
      <c r="BF426" s="45">
        <f>IF($AD426="","",IF(ROUND($AO426+$AP426+$AQ426-$AD426,2)=0,"OK","FAIL - out by "&amp;TEXT($AO426+$AP426+$AQ426-$AD426,"$0.00")))</f>
      </c>
    </row>
    <row r="427" spans="1:58" ht="18.75" customHeight="1" x14ac:dyDescent="0.25">
      <c r="A427" s="30" t="inlineStr">
        <is>
          <t xml:space="preserve">CANON-202511-002748</t>
        </is>
      </c>
      <c r="B427" s="30" t="inlineStr">
        <is>
          <t xml:space="preserve">Beatrix Merriweather</t>
        </is>
      </c>
      <c r="C427" s="31">
        <v>45984</v>
      </c>
      <c r="D427" s="32" t="inlineStr">
        <is>
          <t xml:space="preserve">Bound - within authority</t>
        </is>
      </c>
      <c r="E427" s="32" t="inlineStr">
        <is>
          <t xml:space="preserve">New business</t>
        </is>
      </c>
      <c r="F427" s="30" t="inlineStr">
        <is>
          <t xml:space="preserve">B1234EXOTIC26</t>
        </is>
      </c>
      <c r="G427" s="33">
        <f>IF($A427="","",IF($C427="","",YEAR($C427)))</f>
      </c>
      <c r="H427" s="34">
        <v>1977</v>
      </c>
      <c r="I427" s="30" t="inlineStr">
        <is>
          <t xml:space="preserve">Mercedes-Benz</t>
        </is>
      </c>
      <c r="J427" s="30" t="inlineStr">
        <is>
          <t xml:space="preserve">AMG GT</t>
        </is>
      </c>
      <c r="K427" s="30" t="inlineStr">
        <is>
          <t xml:space="preserve">MKHRP3BCNL7ZMW6WE</t>
        </is>
      </c>
      <c r="L427" s="32" t="inlineStr">
        <is>
          <t xml:space="preserve">02 - Sports / GT</t>
        </is>
      </c>
      <c r="M427" s="35">
        <v>1030000</v>
      </c>
      <c r="N427" s="32" t="inlineStr">
        <is>
          <t xml:space="preserve">Personal</t>
        </is>
      </c>
      <c r="O427" s="30" t="inlineStr">
        <is>
          <t xml:space="preserve">Personal - regular use</t>
        </is>
      </c>
      <c r="P427" s="30" t="inlineStr">
        <is>
          <t xml:space="preserve">1,000 - 2,500</t>
        </is>
      </c>
      <c r="Q427" s="30" t="inlineStr">
        <is>
          <t xml:space="preserve">Rhode Island</t>
        </is>
      </c>
      <c r="R427" s="30" t="inlineStr">
        <is>
          <t xml:space="preserve">02903</t>
        </is>
      </c>
      <c r="S427" s="32" t="inlineStr">
        <is>
          <t xml:space="preserve">Tier 3 - Coastal wind (25-100 miles)</t>
        </is>
      </c>
      <c r="T427" s="36">
        <f>IF($A427="","",IF($S427="","",IFERROR(INDEX('[1]natural catastrophe'!$D$6:$D$17,MATCH($S427,'[1]natural catastrophe'!$B$6:$B$17,0)),"?")))</f>
      </c>
      <c r="U427" s="30" t="inlineStr">
        <is>
          <t xml:space="preserve">2% of agreed value, minimum $10,000</t>
        </is>
      </c>
      <c r="V427" s="32" t="inlineStr">
        <is>
          <t xml:space="preserve">Agreed Value</t>
        </is>
      </c>
      <c r="W427" s="30" t="inlineStr">
        <is>
          <t xml:space="preserve">$1,000</t>
        </is>
      </c>
      <c r="X427" s="32" t="inlineStr">
        <is>
          <t xml:space="preserve">$1,000,000 CSL</t>
        </is>
      </c>
      <c r="Y427" s="30"/>
      <c r="Z427" s="30"/>
      <c r="AA427" s="32" t="inlineStr">
        <is>
          <t xml:space="preserve">Surplus Lines</t>
        </is>
      </c>
      <c r="AB427" s="35">
        <v>13463.22</v>
      </c>
      <c r="AC427" s="37">
        <v>0</v>
      </c>
      <c r="AD427" s="38">
        <f>IF(ISNUMBER($AB427),$AB427*(1+N($AC427)),"")</f>
      </c>
      <c r="AE427" s="35">
        <v>350</v>
      </c>
      <c r="AF427" s="35">
        <v>250</v>
      </c>
      <c r="AG427" s="37"/>
      <c r="AH427" s="39">
        <f>IF(ISNUMBER($AD427),($AD427+$AE427+$AF427)*$AG427,"")</f>
      </c>
      <c r="AI427" s="35"/>
      <c r="AJ427" s="38">
        <f>IF(ISNUMBER($AD427),SUM($AD427:$AH427),"")</f>
      </c>
      <c r="AK427" s="40">
        <f>IF(AND(ISNUMBER($AB427),ISNUMBER($AD427)),IF($AB427&gt;0,$AD427/$AB427,""),"")</f>
      </c>
      <c r="AL427" s="32" t="inlineStr">
        <is>
          <t xml:space="preserve">At technical</t>
        </is>
      </c>
      <c r="AM427" s="41">
        <f>IF(ISNUMBER($AD427),Header!$I$3,"")</f>
      </c>
      <c r="AN427" s="39">
        <f>IF(ISNUMBER($AD427),$AO427+$AP427,"")</f>
      </c>
      <c r="AO427" s="39">
        <f>IF(ISNUMBER($AD427),ROUND($AD427*Header!$K$3,2),"")</f>
      </c>
      <c r="AP427" s="39">
        <f>IF(ISNUMBER($AD427),ROUND($AD427*Header!$M$3,2),"")</f>
      </c>
      <c r="AQ427" s="38">
        <f>IF(ISNUMBER($AD427),ROUND($AD427,2)-$AO427-$AP427,"")</f>
      </c>
      <c r="AR427" s="39">
        <f>IF(ISNUMBER($AD427),IF(Header!$D$34="","?",$AD427*Header!$D$34),"")</f>
      </c>
      <c r="AS427" s="39">
        <f>IF(ISNUMBER($AB427),IF(Header!$D$34="","?",$AB427*Header!$D$34),"")</f>
      </c>
      <c r="AT427" s="42">
        <f>IF(AND(ISNUMBER($AB427),$M427&gt;0),$AB427/$M427*100,"")</f>
      </c>
      <c r="AU427" s="42">
        <f>IF(AND(ISNUMBER($AD427),$M427&gt;0),$AD427/$M427*100,"")</f>
      </c>
      <c r="AV427" s="40">
        <f>IF(AND(ISNUMBER($AB427),ISNUMBER($AD427),ABS($AB427)&gt;0),$AD427/$AB427,"")</f>
      </c>
      <c r="AW427" s="39">
        <f>IF(ISNUMBER($AD427),MAX(0,(1-0.55-Header!$O$3)*Header!$Q$3*$AQ427),"")</f>
      </c>
      <c r="AX427" s="43">
        <f>IF($A427="","",IF(TRIM(IF($A427="","Missing certificate ref. ","") &amp; IF($C427="","Missing effective date. ","") &amp; IF($D427="","Missing binding status. ","") &amp; IF($E427="","Missing movement type. ","") &amp; IF($I427="","Missing make. ","") &amp; IF($L427="","Missing vehicle class. ","") &amp; IF($M427="","Missing agreed value. ","") &amp; IF($N427="","Missing policy type. ","") &amp; IF($Q427="","Missing garaging state. ","") &amp; IF($R427="","Missing garaging ZIP. ","") &amp; IF($S427="","Missing cat zone. ","") &amp; IF($V427="","Missing valuation basis. ","") &amp; IF($W427="","Missing PD deductible. ","") &amp; IF($X427="","Missing liability limit. ","") &amp; IF($AB427="","Missing technical premium. ","") &amp; IF($AF427="","Missing surplus lines tax %. ",""))="","PASS","FAIL: "&amp;TRIM(IF($A427="","Missing certificate ref. ","") &amp; IF($C427="","Missing effective date. ","") &amp; IF($D427="","Missing binding status. ","") &amp; IF($E427="","Missing movement type. ","") &amp; IF($I427="","Missing make. ","") &amp; IF($L427="","Missing vehicle class. ","") &amp; IF($M427="","Missing agreed value. ","") &amp; IF($N427="","Missing policy type. ","") &amp; IF($Q427="","Missing garaging state. ","") &amp; IF($R427="","Missing garaging ZIP. ","") &amp; IF($S427="","Missing cat zone. ","") &amp; IF($V427="","Missing valuation basis. ","") &amp; IF($W427="","Missing PD deductible. ","") &amp; IF($X427="","Missing liability limit. ","") &amp; IF($AB427="","Missing technical premium. ","") &amp; IF($AF427="","Missing surplus lines tax %. ",""))))</f>
      </c>
      <c r="AY427" s="44">
        <f>IF($M427="","",IF(ISNUMBER($M427),IF($M427&gt;=Header!$C$18,"YES — refer","No"),""))</f>
      </c>
      <c r="AZ427" s="44">
        <f>IF($AD427="","",IF(ISNUMBER($AD427),IF($AD427&lt;Header!$C$20,"BELOW MIN PREMIUM","OK"),""))</f>
      </c>
      <c r="BA427" s="32" t="inlineStr">
        <is>
          <t xml:space="preserve">Yes</t>
        </is>
      </c>
      <c r="BB427" s="32" t="inlineStr">
        <is>
          <t xml:space="preserve">Yes</t>
        </is>
      </c>
      <c r="BC427" s="30" t="inlineStr">
        <is>
          <t xml:space="preserve">Synthetic demo data</t>
        </is>
      </c>
      <c r="BE427" s="45">
        <f>IF(OR($A427="",$L427="",$H427=""),"",IF(AND(LEFT($L427,2)="06",$H427&gt;1945),"FAIL - pre-war class, year "&amp;$H427,IF(AND(LEFT($L427,2)="07",OR($H427&lt;1946,$H427&gt;1972)),"FAIL - 1946-72 class, year "&amp;$H427,IF(AND(LEFT($L427,2)="08",OR($H427&lt;1973,$H427&gt;1999)),"FAIL - 1973-99 class, year "&amp;$H427,IF(AND(LEFT($L427,2)="09",OR($H427&lt;2000,$H427&gt;2010)),"FAIL - 2000-10 class, year "&amp;$H427,"OK")))))</f>
      </c>
      <c r="BF427" s="45">
        <f>IF($AD427="","",IF(ROUND($AO427+$AP427+$AQ427-$AD427,2)=0,"OK","FAIL - out by "&amp;TEXT($AO427+$AP427+$AQ427-$AD427,"$0.00")))</f>
      </c>
    </row>
    <row r="428" spans="1:58" ht="18.75" customHeight="1" x14ac:dyDescent="0.25">
      <c r="A428" s="46" t="inlineStr">
        <is>
          <t xml:space="preserve">CANON-202511-002749</t>
        </is>
      </c>
      <c r="B428" s="46" t="inlineStr">
        <is>
          <t xml:space="preserve">Callum Ashcombe</t>
        </is>
      </c>
      <c r="C428" s="47">
        <v>45975</v>
      </c>
      <c r="D428" s="48" t="inlineStr">
        <is>
          <t xml:space="preserve">Bound - within authority</t>
        </is>
      </c>
      <c r="E428" s="48" t="inlineStr">
        <is>
          <t xml:space="preserve">New business</t>
        </is>
      </c>
      <c r="F428" s="46" t="inlineStr">
        <is>
          <t xml:space="preserve">B1234EXOTIC26</t>
        </is>
      </c>
      <c r="G428" s="33">
        <f>IF($A428="","",IF($C428="","",YEAR($C428)))</f>
      </c>
      <c r="H428" s="49">
        <v>1970</v>
      </c>
      <c r="I428" s="46" t="inlineStr">
        <is>
          <t xml:space="preserve">Aston Martin</t>
        </is>
      </c>
      <c r="J428" s="46" t="inlineStr">
        <is>
          <t xml:space="preserve">DB12</t>
        </is>
      </c>
      <c r="K428" s="46" t="inlineStr">
        <is>
          <t xml:space="preserve">734F7V03RVS7UFFHM</t>
        </is>
      </c>
      <c r="L428" s="48" t="inlineStr">
        <is>
          <t xml:space="preserve">02 - Sports / GT</t>
        </is>
      </c>
      <c r="M428" s="50">
        <v>920000</v>
      </c>
      <c r="N428" s="48" t="inlineStr">
        <is>
          <t xml:space="preserve">Personal</t>
        </is>
      </c>
      <c r="O428" s="46" t="inlineStr">
        <is>
          <t xml:space="preserve">Personal - regular use</t>
        </is>
      </c>
      <c r="P428" s="46" t="inlineStr">
        <is>
          <t xml:space="preserve">2,500 - 5,000</t>
        </is>
      </c>
      <c r="Q428" s="46" t="inlineStr">
        <is>
          <t xml:space="preserve">Arizona</t>
        </is>
      </c>
      <c r="R428" s="46" t="inlineStr">
        <is>
          <t xml:space="preserve">85001</t>
        </is>
      </c>
      <c r="S428" s="48" t="inlineStr">
        <is>
          <t xml:space="preserve">Wildfire - WUI high hazard</t>
        </is>
      </c>
      <c r="T428" s="36">
        <f>IF($A428="","",IF($S428="","",IFERROR(INDEX('[1]natural catastrophe'!$D$6:$D$17,MATCH($S428,'[1]natural catastrophe'!$B$6:$B$17,0)),"?")))</f>
      </c>
      <c r="U428" s="46" t="inlineStr">
        <is>
          <t xml:space="preserve">$5,000</t>
        </is>
      </c>
      <c r="V428" s="48" t="inlineStr">
        <is>
          <t xml:space="preserve">Agreed Value</t>
        </is>
      </c>
      <c r="W428" s="46" t="inlineStr">
        <is>
          <t xml:space="preserve">$1,000</t>
        </is>
      </c>
      <c r="X428" s="48" t="inlineStr">
        <is>
          <t xml:space="preserve">$1,000,000 CSL</t>
        </is>
      </c>
      <c r="Y428" s="46"/>
      <c r="Z428" s="46"/>
      <c r="AA428" s="48" t="inlineStr">
        <is>
          <t xml:space="preserve">Surplus Lines</t>
        </is>
      </c>
      <c r="AB428" s="50">
        <v>10477.34</v>
      </c>
      <c r="AC428" s="51">
        <v>0</v>
      </c>
      <c r="AD428" s="38">
        <f>IF(ISNUMBER($AB428),$AB428*(1+N($AC428)),"")</f>
      </c>
      <c r="AE428" s="50">
        <v>350</v>
      </c>
      <c r="AF428" s="50">
        <v>0</v>
      </c>
      <c r="AG428" s="51"/>
      <c r="AH428" s="39">
        <f>IF(ISNUMBER($AD428),($AD428+$AE428+$AF428)*$AG428,"")</f>
      </c>
      <c r="AI428" s="50"/>
      <c r="AJ428" s="38">
        <f>IF(ISNUMBER($AD428),SUM($AD428:$AH428),"")</f>
      </c>
      <c r="AK428" s="40">
        <f>IF(AND(ISNUMBER($AB428),ISNUMBER($AD428)),IF($AB428&gt;0,$AD428/$AB428,""),"")</f>
      </c>
      <c r="AL428" s="48" t="inlineStr">
        <is>
          <t xml:space="preserve">At technical</t>
        </is>
      </c>
      <c r="AM428" s="41">
        <f>IF(ISNUMBER($AD428),Header!$I$3,"")</f>
      </c>
      <c r="AN428" s="39">
        <f>IF(ISNUMBER($AD428),$AO428+$AP428,"")</f>
      </c>
      <c r="AO428" s="39">
        <f>IF(ISNUMBER($AD428),ROUND($AD428*Header!$K$3,2),"")</f>
      </c>
      <c r="AP428" s="39">
        <f>IF(ISNUMBER($AD428),ROUND($AD428*Header!$M$3,2),"")</f>
      </c>
      <c r="AQ428" s="38">
        <f>IF(ISNUMBER($AD428),ROUND($AD428,2)-$AO428-$AP428,"")</f>
      </c>
      <c r="AR428" s="39">
        <f>IF(ISNUMBER($AD428),IF(Header!$D$34="","?",$AD428*Header!$D$34),"")</f>
      </c>
      <c r="AS428" s="39">
        <f>IF(ISNUMBER($AB428),IF(Header!$D$34="","?",$AB428*Header!$D$34),"")</f>
      </c>
      <c r="AT428" s="42">
        <f>IF(AND(ISNUMBER($AB428),$M428&gt;0),$AB428/$M428*100,"")</f>
      </c>
      <c r="AU428" s="42">
        <f>IF(AND(ISNUMBER($AD428),$M428&gt;0),$AD428/$M428*100,"")</f>
      </c>
      <c r="AV428" s="40">
        <f>IF(AND(ISNUMBER($AB428),ISNUMBER($AD428),ABS($AB428)&gt;0),$AD428/$AB428,"")</f>
      </c>
      <c r="AW428" s="39">
        <f>IF(ISNUMBER($AD428),MAX(0,(1-0.55-Header!$O$3)*Header!$Q$3*$AQ428),"")</f>
      </c>
      <c r="AX428" s="43">
        <f>IF($A428="","",IF(TRIM(IF($A428="","Missing certificate ref. ","") &amp; IF($C428="","Missing effective date. ","") &amp; IF($D428="","Missing binding status. ","") &amp; IF($E428="","Missing movement type. ","") &amp; IF($I428="","Missing make. ","") &amp; IF($L428="","Missing vehicle class. ","") &amp; IF($M428="","Missing agreed value. ","") &amp; IF($N428="","Missing policy type. ","") &amp; IF($Q428="","Missing garaging state. ","") &amp; IF($R428="","Missing garaging ZIP. ","") &amp; IF($S428="","Missing cat zone. ","") &amp; IF($V428="","Missing valuation basis. ","") &amp; IF($W428="","Missing PD deductible. ","") &amp; IF($X428="","Missing liability limit. ","") &amp; IF($AB428="","Missing technical premium. ","") &amp; IF($AF428="","Missing surplus lines tax %. ",""))="","PASS","FAIL: "&amp;TRIM(IF($A428="","Missing certificate ref. ","") &amp; IF($C428="","Missing effective date. ","") &amp; IF($D428="","Missing binding status. ","") &amp; IF($E428="","Missing movement type. ","") &amp; IF($I428="","Missing make. ","") &amp; IF($L428="","Missing vehicle class. ","") &amp; IF($M428="","Missing agreed value. ","") &amp; IF($N428="","Missing policy type. ","") &amp; IF($Q428="","Missing garaging state. ","") &amp; IF($R428="","Missing garaging ZIP. ","") &amp; IF($S428="","Missing cat zone. ","") &amp; IF($V428="","Missing valuation basis. ","") &amp; IF($W428="","Missing PD deductible. ","") &amp; IF($X428="","Missing liability limit. ","") &amp; IF($AB428="","Missing technical premium. ","") &amp; IF($AF428="","Missing surplus lines tax %. ",""))))</f>
      </c>
      <c r="AY428" s="44">
        <f>IF($M428="","",IF(ISNUMBER($M428),IF($M428&gt;=Header!$C$18,"YES — refer","No"),""))</f>
      </c>
      <c r="AZ428" s="44">
        <f>IF($AD428="","",IF(ISNUMBER($AD428),IF($AD428&lt;Header!$C$20,"BELOW MIN PREMIUM","OK"),""))</f>
      </c>
      <c r="BA428" s="48" t="inlineStr">
        <is>
          <t xml:space="preserve">Yes</t>
        </is>
      </c>
      <c r="BB428" s="48" t="inlineStr">
        <is>
          <t xml:space="preserve">Yes</t>
        </is>
      </c>
      <c r="BC428" s="46" t="inlineStr">
        <is>
          <t xml:space="preserve">Synthetic demo data</t>
        </is>
      </c>
      <c r="BE428" s="45">
        <f>IF(OR($A428="",$L428="",$H428=""),"",IF(AND(LEFT($L428,2)="06",$H428&gt;1945),"FAIL - pre-war class, year "&amp;$H428,IF(AND(LEFT($L428,2)="07",OR($H428&lt;1946,$H428&gt;1972)),"FAIL - 1946-72 class, year "&amp;$H428,IF(AND(LEFT($L428,2)="08",OR($H428&lt;1973,$H428&gt;1999)),"FAIL - 1973-99 class, year "&amp;$H428,IF(AND(LEFT($L428,2)="09",OR($H428&lt;2000,$H428&gt;2010)),"FAIL - 2000-10 class, year "&amp;$H428,"OK")))))</f>
      </c>
      <c r="BF428" s="45">
        <f>IF($AD428="","",IF(ROUND($AO428+$AP428+$AQ428-$AD428,2)=0,"OK","FAIL - out by "&amp;TEXT($AO428+$AP428+$AQ428-$AD428,"$0.00")))</f>
      </c>
    </row>
    <row r="429" spans="1:58" ht="18.75" customHeight="1" x14ac:dyDescent="0.25">
      <c r="A429" s="30" t="inlineStr">
        <is>
          <t xml:space="preserve">CANON-202511-002750</t>
        </is>
      </c>
      <c r="B429" s="30" t="inlineStr">
        <is>
          <t xml:space="preserve">Thaddeus Fairweather</t>
        </is>
      </c>
      <c r="C429" s="31">
        <v>45984</v>
      </c>
      <c r="D429" s="32" t="inlineStr">
        <is>
          <t xml:space="preserve">Bound - within authority</t>
        </is>
      </c>
      <c r="E429" s="32" t="inlineStr">
        <is>
          <t xml:space="preserve">New business</t>
        </is>
      </c>
      <c r="F429" s="30" t="inlineStr">
        <is>
          <t xml:space="preserve">B1234EXOTIC26</t>
        </is>
      </c>
      <c r="G429" s="33">
        <f>IF($A429="","",IF($C429="","",YEAR($C429)))</f>
      </c>
      <c r="H429" s="34">
        <v>1990</v>
      </c>
      <c r="I429" s="30" t="inlineStr">
        <is>
          <t xml:space="preserve">Mercedes-Benz</t>
        </is>
      </c>
      <c r="J429" s="30" t="inlineStr">
        <is>
          <t xml:space="preserve">280SL Pagoda</t>
        </is>
      </c>
      <c r="K429" s="30" t="inlineStr">
        <is>
          <t xml:space="preserve">5J21EAFV7X8E0GHG2</t>
        </is>
      </c>
      <c r="L429" s="32" t="inlineStr">
        <is>
          <t xml:space="preserve">08 - Modern Classic (1973-1999)</t>
        </is>
      </c>
      <c r="M429" s="35">
        <v>580000</v>
      </c>
      <c r="N429" s="32" t="inlineStr">
        <is>
          <t xml:space="preserve">Personal</t>
        </is>
      </c>
      <c r="O429" s="30" t="inlineStr">
        <is>
          <t xml:space="preserve">Personal - regular use</t>
        </is>
      </c>
      <c r="P429" s="30" t="inlineStr">
        <is>
          <t xml:space="preserve">Under 1,000</t>
        </is>
      </c>
      <c r="Q429" s="30" t="inlineStr">
        <is>
          <t xml:space="preserve">Nebraska</t>
        </is>
      </c>
      <c r="R429" s="30" t="inlineStr">
        <is>
          <t xml:space="preserve">68102</t>
        </is>
      </c>
      <c r="S429" s="32" t="inlineStr">
        <is>
          <t xml:space="preserve">Severe convective - hail alley (high)</t>
        </is>
      </c>
      <c r="T429" s="36">
        <f>IF($A429="","",IF($S429="","",IFERROR(INDEX('[1]natural catastrophe'!$D$6:$D$17,MATCH($S429,'[1]natural catastrophe'!$B$6:$B$17,0)),"?")))</f>
      </c>
      <c r="U429" s="30" t="inlineStr">
        <is>
          <t xml:space="preserve">$5,000</t>
        </is>
      </c>
      <c r="V429" s="32" t="inlineStr">
        <is>
          <t xml:space="preserve">Agreed Value</t>
        </is>
      </c>
      <c r="W429" s="30" t="inlineStr">
        <is>
          <t xml:space="preserve">$1,000</t>
        </is>
      </c>
      <c r="X429" s="32" t="inlineStr">
        <is>
          <t xml:space="preserve">$1,000,000 CSL</t>
        </is>
      </c>
      <c r="Y429" s="30"/>
      <c r="Z429" s="30"/>
      <c r="AA429" s="32" t="inlineStr">
        <is>
          <t xml:space="preserve">Surplus Lines</t>
        </is>
      </c>
      <c r="AB429" s="35">
        <v>5624.3</v>
      </c>
      <c r="AC429" s="37">
        <v>0</v>
      </c>
      <c r="AD429" s="38">
        <f>IF(ISNUMBER($AB429),$AB429*(1+N($AC429)),"")</f>
      </c>
      <c r="AE429" s="35">
        <v>350</v>
      </c>
      <c r="AF429" s="35">
        <v>0</v>
      </c>
      <c r="AG429" s="37"/>
      <c r="AH429" s="39">
        <f>IF(ISNUMBER($AD429),($AD429+$AE429+$AF429)*$AG429,"")</f>
      </c>
      <c r="AI429" s="35"/>
      <c r="AJ429" s="38">
        <f>IF(ISNUMBER($AD429),SUM($AD429:$AH429),"")</f>
      </c>
      <c r="AK429" s="40">
        <f>IF(AND(ISNUMBER($AB429),ISNUMBER($AD429)),IF($AB429&gt;0,$AD429/$AB429,""),"")</f>
      </c>
      <c r="AL429" s="32" t="inlineStr">
        <is>
          <t xml:space="preserve">At technical</t>
        </is>
      </c>
      <c r="AM429" s="41">
        <f>IF(ISNUMBER($AD429),Header!$I$3,"")</f>
      </c>
      <c r="AN429" s="39">
        <f>IF(ISNUMBER($AD429),$AO429+$AP429,"")</f>
      </c>
      <c r="AO429" s="39">
        <f>IF(ISNUMBER($AD429),ROUND($AD429*Header!$K$3,2),"")</f>
      </c>
      <c r="AP429" s="39">
        <f>IF(ISNUMBER($AD429),ROUND($AD429*Header!$M$3,2),"")</f>
      </c>
      <c r="AQ429" s="38">
        <f>IF(ISNUMBER($AD429),ROUND($AD429,2)-$AO429-$AP429,"")</f>
      </c>
      <c r="AR429" s="39">
        <f>IF(ISNUMBER($AD429),IF(Header!$D$34="","?",$AD429*Header!$D$34),"")</f>
      </c>
      <c r="AS429" s="39">
        <f>IF(ISNUMBER($AB429),IF(Header!$D$34="","?",$AB429*Header!$D$34),"")</f>
      </c>
      <c r="AT429" s="42">
        <f>IF(AND(ISNUMBER($AB429),$M429&gt;0),$AB429/$M429*100,"")</f>
      </c>
      <c r="AU429" s="42">
        <f>IF(AND(ISNUMBER($AD429),$M429&gt;0),$AD429/$M429*100,"")</f>
      </c>
      <c r="AV429" s="40">
        <f>IF(AND(ISNUMBER($AB429),ISNUMBER($AD429),ABS($AB429)&gt;0),$AD429/$AB429,"")</f>
      </c>
      <c r="AW429" s="39">
        <f>IF(ISNUMBER($AD429),MAX(0,(1-0.55-Header!$O$3)*Header!$Q$3*$AQ429),"")</f>
      </c>
      <c r="AX429" s="43">
        <f>IF($A429="","",IF(TRIM(IF($A429="","Missing certificate ref. ","") &amp; IF($C429="","Missing effective date. ","") &amp; IF($D429="","Missing binding status. ","") &amp; IF($E429="","Missing movement type. ","") &amp; IF($I429="","Missing make. ","") &amp; IF($L429="","Missing vehicle class. ","") &amp; IF($M429="","Missing agreed value. ","") &amp; IF($N429="","Missing policy type. ","") &amp; IF($Q429="","Missing garaging state. ","") &amp; IF($R429="","Missing garaging ZIP. ","") &amp; IF($S429="","Missing cat zone. ","") &amp; IF($V429="","Missing valuation basis. ","") &amp; IF($W429="","Missing PD deductible. ","") &amp; IF($X429="","Missing liability limit. ","") &amp; IF($AB429="","Missing technical premium. ","") &amp; IF($AF429="","Missing surplus lines tax %. ",""))="","PASS","FAIL: "&amp;TRIM(IF($A429="","Missing certificate ref. ","") &amp; IF($C429="","Missing effective date. ","") &amp; IF($D429="","Missing binding status. ","") &amp; IF($E429="","Missing movement type. ","") &amp; IF($I429="","Missing make. ","") &amp; IF($L429="","Missing vehicle class. ","") &amp; IF($M429="","Missing agreed value. ","") &amp; IF($N429="","Missing policy type. ","") &amp; IF($Q429="","Missing garaging state. ","") &amp; IF($R429="","Missing garaging ZIP. ","") &amp; IF($S429="","Missing cat zone. ","") &amp; IF($V429="","Missing valuation basis. ","") &amp; IF($W429="","Missing PD deductible. ","") &amp; IF($X429="","Missing liability limit. ","") &amp; IF($AB429="","Missing technical premium. ","") &amp; IF($AF429="","Missing surplus lines tax %. ",""))))</f>
      </c>
      <c r="AY429" s="44">
        <f>IF($M429="","",IF(ISNUMBER($M429),IF($M429&gt;=Header!$C$18,"YES — refer","No"),""))</f>
      </c>
      <c r="AZ429" s="44">
        <f>IF($AD429="","",IF(ISNUMBER($AD429),IF($AD429&lt;Header!$C$20,"BELOW MIN PREMIUM","OK"),""))</f>
      </c>
      <c r="BA429" s="32" t="inlineStr">
        <is>
          <t xml:space="preserve">Yes</t>
        </is>
      </c>
      <c r="BB429" s="32" t="inlineStr">
        <is>
          <t xml:space="preserve">Yes</t>
        </is>
      </c>
      <c r="BC429" s="30" t="inlineStr">
        <is>
          <t xml:space="preserve">Synthetic demo data</t>
        </is>
      </c>
      <c r="BE429" s="45">
        <f>IF(OR($A429="",$L429="",$H429=""),"",IF(AND(LEFT($L429,2)="06",$H429&gt;1945),"FAIL - pre-war class, year "&amp;$H429,IF(AND(LEFT($L429,2)="07",OR($H429&lt;1946,$H429&gt;1972)),"FAIL - 1946-72 class, year "&amp;$H429,IF(AND(LEFT($L429,2)="08",OR($H429&lt;1973,$H429&gt;1999)),"FAIL - 1973-99 class, year "&amp;$H429,IF(AND(LEFT($L429,2)="09",OR($H429&lt;2000,$H429&gt;2010)),"FAIL - 2000-10 class, year "&amp;$H429,"OK")))))</f>
      </c>
      <c r="BF429" s="45">
        <f>IF($AD429="","",IF(ROUND($AO429+$AP429+$AQ429-$AD429,2)=0,"OK","FAIL - out by "&amp;TEXT($AO429+$AP429+$AQ429-$AD429,"$0.00")))</f>
      </c>
    </row>
    <row r="430" spans="1:58" ht="18.75" customHeight="1" x14ac:dyDescent="0.25">
      <c r="A430" s="46" t="inlineStr">
        <is>
          <t xml:space="preserve">CANON-202511-002751</t>
        </is>
      </c>
      <c r="B430" s="46" t="inlineStr">
        <is>
          <t xml:space="preserve">Anouk Vasquez</t>
        </is>
      </c>
      <c r="C430" s="47">
        <v>45978</v>
      </c>
      <c r="D430" s="48" t="inlineStr">
        <is>
          <t xml:space="preserve">Bound - within authority</t>
        </is>
      </c>
      <c r="E430" s="48" t="inlineStr">
        <is>
          <t xml:space="preserve">New business</t>
        </is>
      </c>
      <c r="F430" s="46" t="inlineStr">
        <is>
          <t xml:space="preserve">B1234EXOTIC26</t>
        </is>
      </c>
      <c r="G430" s="33">
        <f>IF($A430="","",IF($C430="","",YEAR($C430)))</f>
      </c>
      <c r="H430" s="49">
        <v>2000</v>
      </c>
      <c r="I430" s="46" t="inlineStr">
        <is>
          <t xml:space="preserve">Bentley</t>
        </is>
      </c>
      <c r="J430" s="46" t="inlineStr">
        <is>
          <t xml:space="preserve">Continental GT</t>
        </is>
      </c>
      <c r="K430" s="46" t="inlineStr">
        <is>
          <t xml:space="preserve">40B38YTKLRXKHET7B</t>
        </is>
      </c>
      <c r="L430" s="48" t="inlineStr">
        <is>
          <t xml:space="preserve">02 - Sports / GT</t>
        </is>
      </c>
      <c r="M430" s="50">
        <v>505000</v>
      </c>
      <c r="N430" s="48" t="inlineStr">
        <is>
          <t xml:space="preserve">Personal</t>
        </is>
      </c>
      <c r="O430" s="46" t="inlineStr">
        <is>
          <t xml:space="preserve">Personal - regular use</t>
        </is>
      </c>
      <c r="P430" s="46" t="inlineStr">
        <is>
          <t xml:space="preserve">2,500 - 5,000</t>
        </is>
      </c>
      <c r="Q430" s="46" t="inlineStr">
        <is>
          <t xml:space="preserve">California</t>
        </is>
      </c>
      <c r="R430" s="46" t="inlineStr">
        <is>
          <t xml:space="preserve">90012</t>
        </is>
      </c>
      <c r="S430" s="48" t="inlineStr">
        <is>
          <t xml:space="preserve">Earthquake - high (CA, Cascadia, New Madrid)</t>
        </is>
      </c>
      <c r="T430" s="36">
        <f>IF($A430="","",IF($S430="","",IFERROR(INDEX('[1]natural catastrophe'!$D$6:$D$17,MATCH($S430,'[1]natural catastrophe'!$B$6:$B$17,0)),"?")))</f>
      </c>
      <c r="U430" s="46" t="inlineStr">
        <is>
          <t xml:space="preserve">$5,000</t>
        </is>
      </c>
      <c r="V430" s="48" t="inlineStr">
        <is>
          <t xml:space="preserve">Agreed Value</t>
        </is>
      </c>
      <c r="W430" s="46" t="inlineStr">
        <is>
          <t xml:space="preserve">$1,000</t>
        </is>
      </c>
      <c r="X430" s="48" t="inlineStr">
        <is>
          <t xml:space="preserve">$1,000,000 CSL</t>
        </is>
      </c>
      <c r="Y430" s="46"/>
      <c r="Z430" s="46"/>
      <c r="AA430" s="48" t="inlineStr">
        <is>
          <t xml:space="preserve">Surplus Lines</t>
        </is>
      </c>
      <c r="AB430" s="50">
        <v>7687.18</v>
      </c>
      <c r="AC430" s="51">
        <v>0</v>
      </c>
      <c r="AD430" s="38">
        <f>IF(ISNUMBER($AB430),$AB430*(1+N($AC430)),"")</f>
      </c>
      <c r="AE430" s="50">
        <v>350</v>
      </c>
      <c r="AF430" s="50">
        <v>0</v>
      </c>
      <c r="AG430" s="51"/>
      <c r="AH430" s="39">
        <f>IF(ISNUMBER($AD430),($AD430+$AE430+$AF430)*$AG430,"")</f>
      </c>
      <c r="AI430" s="50"/>
      <c r="AJ430" s="38">
        <f>IF(ISNUMBER($AD430),SUM($AD430:$AH430),"")</f>
      </c>
      <c r="AK430" s="40">
        <f>IF(AND(ISNUMBER($AB430),ISNUMBER($AD430)),IF($AB430&gt;0,$AD430/$AB430,""),"")</f>
      </c>
      <c r="AL430" s="48" t="inlineStr">
        <is>
          <t xml:space="preserve">At technical</t>
        </is>
      </c>
      <c r="AM430" s="41">
        <f>IF(ISNUMBER($AD430),Header!$I$3,"")</f>
      </c>
      <c r="AN430" s="39">
        <f>IF(ISNUMBER($AD430),$AO430+$AP430,"")</f>
      </c>
      <c r="AO430" s="39">
        <f>IF(ISNUMBER($AD430),ROUND($AD430*Header!$K$3,2),"")</f>
      </c>
      <c r="AP430" s="39">
        <f>IF(ISNUMBER($AD430),ROUND($AD430*Header!$M$3,2),"")</f>
      </c>
      <c r="AQ430" s="38">
        <f>IF(ISNUMBER($AD430),ROUND($AD430,2)-$AO430-$AP430,"")</f>
      </c>
      <c r="AR430" s="39">
        <f>IF(ISNUMBER($AD430),IF(Header!$D$34="","?",$AD430*Header!$D$34),"")</f>
      </c>
      <c r="AS430" s="39">
        <f>IF(ISNUMBER($AB430),IF(Header!$D$34="","?",$AB430*Header!$D$34),"")</f>
      </c>
      <c r="AT430" s="42">
        <f>IF(AND(ISNUMBER($AB430),$M430&gt;0),$AB430/$M430*100,"")</f>
      </c>
      <c r="AU430" s="42">
        <f>IF(AND(ISNUMBER($AD430),$M430&gt;0),$AD430/$M430*100,"")</f>
      </c>
      <c r="AV430" s="40">
        <f>IF(AND(ISNUMBER($AB430),ISNUMBER($AD430),ABS($AB430)&gt;0),$AD430/$AB430,"")</f>
      </c>
      <c r="AW430" s="39">
        <f>IF(ISNUMBER($AD430),MAX(0,(1-0.55-Header!$O$3)*Header!$Q$3*$AQ430),"")</f>
      </c>
      <c r="AX430" s="43">
        <f>IF($A430="","",IF(TRIM(IF($A430="","Missing certificate ref. ","") &amp; IF($C430="","Missing effective date. ","") &amp; IF($D430="","Missing binding status. ","") &amp; IF($E430="","Missing movement type. ","") &amp; IF($I430="","Missing make. ","") &amp; IF($L430="","Missing vehicle class. ","") &amp; IF($M430="","Missing agreed value. ","") &amp; IF($N430="","Missing policy type. ","") &amp; IF($Q430="","Missing garaging state. ","") &amp; IF($R430="","Missing garaging ZIP. ","") &amp; IF($S430="","Missing cat zone. ","") &amp; IF($V430="","Missing valuation basis. ","") &amp; IF($W430="","Missing PD deductible. ","") &amp; IF($X430="","Missing liability limit. ","") &amp; IF($AB430="","Missing technical premium. ","") &amp; IF($AF430="","Missing surplus lines tax %. ",""))="","PASS","FAIL: "&amp;TRIM(IF($A430="","Missing certificate ref. ","") &amp; IF($C430="","Missing effective date. ","") &amp; IF($D430="","Missing binding status. ","") &amp; IF($E430="","Missing movement type. ","") &amp; IF($I430="","Missing make. ","") &amp; IF($L430="","Missing vehicle class. ","") &amp; IF($M430="","Missing agreed value. ","") &amp; IF($N430="","Missing policy type. ","") &amp; IF($Q430="","Missing garaging state. ","") &amp; IF($R430="","Missing garaging ZIP. ","") &amp; IF($S430="","Missing cat zone. ","") &amp; IF($V430="","Missing valuation basis. ","") &amp; IF($W430="","Missing PD deductible. ","") &amp; IF($X430="","Missing liability limit. ","") &amp; IF($AB430="","Missing technical premium. ","") &amp; IF($AF430="","Missing surplus lines tax %. ",""))))</f>
      </c>
      <c r="AY430" s="44">
        <f>IF($M430="","",IF(ISNUMBER($M430),IF($M430&gt;=Header!$C$18,"YES — refer","No"),""))</f>
      </c>
      <c r="AZ430" s="44">
        <f>IF($AD430="","",IF(ISNUMBER($AD430),IF($AD430&lt;Header!$C$20,"BELOW MIN PREMIUM","OK"),""))</f>
      </c>
      <c r="BA430" s="48" t="inlineStr">
        <is>
          <t xml:space="preserve">Yes</t>
        </is>
      </c>
      <c r="BB430" s="48" t="inlineStr">
        <is>
          <t xml:space="preserve">Yes</t>
        </is>
      </c>
      <c r="BC430" s="46" t="inlineStr">
        <is>
          <t xml:space="preserve">Synthetic demo data</t>
        </is>
      </c>
      <c r="BE430" s="45">
        <f>IF(OR($A430="",$L430="",$H430=""),"",IF(AND(LEFT($L430,2)="06",$H430&gt;1945),"FAIL - pre-war class, year "&amp;$H430,IF(AND(LEFT($L430,2)="07",OR($H430&lt;1946,$H430&gt;1972)),"FAIL - 1946-72 class, year "&amp;$H430,IF(AND(LEFT($L430,2)="08",OR($H430&lt;1973,$H430&gt;1999)),"FAIL - 1973-99 class, year "&amp;$H430,IF(AND(LEFT($L430,2)="09",OR($H430&lt;2000,$H430&gt;2010)),"FAIL - 2000-10 class, year "&amp;$H430,"OK")))))</f>
      </c>
      <c r="BF430" s="45">
        <f>IF($AD430="","",IF(ROUND($AO430+$AP430+$AQ430-$AD430,2)=0,"OK","FAIL - out by "&amp;TEXT($AO430+$AP430+$AQ430-$AD430,"$0.00")))</f>
      </c>
    </row>
    <row r="431" spans="1:58" ht="18.75" customHeight="1" x14ac:dyDescent="0.25">
      <c r="A431" s="30" t="inlineStr">
        <is>
          <t xml:space="preserve">CANON-202511-002752</t>
        </is>
      </c>
      <c r="B431" s="30" t="inlineStr">
        <is>
          <t xml:space="preserve">Priya Vandermeer</t>
        </is>
      </c>
      <c r="C431" s="31">
        <v>45973</v>
      </c>
      <c r="D431" s="32" t="inlineStr">
        <is>
          <t xml:space="preserve">Bound - within authority</t>
        </is>
      </c>
      <c r="E431" s="32" t="inlineStr">
        <is>
          <t xml:space="preserve">New business</t>
        </is>
      </c>
      <c r="F431" s="30" t="inlineStr">
        <is>
          <t xml:space="preserve">B1234EXOTIC26</t>
        </is>
      </c>
      <c r="G431" s="33">
        <f>IF($A431="","",IF($C431="","",YEAR($C431)))</f>
      </c>
      <c r="H431" s="34">
        <v>1969</v>
      </c>
      <c r="I431" s="30" t="inlineStr">
        <is>
          <t xml:space="preserve">Lamborghini</t>
        </is>
      </c>
      <c r="J431" s="30" t="inlineStr">
        <is>
          <t xml:space="preserve">Huracan EVO</t>
        </is>
      </c>
      <c r="K431" s="30" t="inlineStr">
        <is>
          <t xml:space="preserve">BEX5UNXAAXS9PHYS2</t>
        </is>
      </c>
      <c r="L431" s="32" t="inlineStr">
        <is>
          <t xml:space="preserve">03 - Supercar</t>
        </is>
      </c>
      <c r="M431" s="35">
        <v>430000</v>
      </c>
      <c r="N431" s="32" t="inlineStr">
        <is>
          <t xml:space="preserve">Personal</t>
        </is>
      </c>
      <c r="O431" s="30" t="inlineStr">
        <is>
          <t xml:space="preserve">Personal - regular use</t>
        </is>
      </c>
      <c r="P431" s="30" t="inlineStr">
        <is>
          <t xml:space="preserve">1,000 - 2,500</t>
        </is>
      </c>
      <c r="Q431" s="30" t="inlineStr">
        <is>
          <t xml:space="preserve">Michigan</t>
        </is>
      </c>
      <c r="R431" s="30" t="inlineStr">
        <is>
          <t xml:space="preserve">48226</t>
        </is>
      </c>
      <c r="S431" s="32" t="inlineStr">
        <is>
          <t xml:space="preserve">Severe convective - hail / tornado (moderate)</t>
        </is>
      </c>
      <c r="T431" s="36">
        <f>IF($A431="","",IF($S431="","",IFERROR(INDEX('[1]natural catastrophe'!$D$6:$D$17,MATCH($S431,'[1]natural catastrophe'!$B$6:$B$17,0)),"?")))</f>
      </c>
      <c r="U431" s="30" t="inlineStr">
        <is>
          <t xml:space="preserve">$5,000</t>
        </is>
      </c>
      <c r="V431" s="32" t="inlineStr">
        <is>
          <t xml:space="preserve">Agreed Value</t>
        </is>
      </c>
      <c r="W431" s="30" t="inlineStr">
        <is>
          <t xml:space="preserve">$1,000</t>
        </is>
      </c>
      <c r="X431" s="32" t="inlineStr">
        <is>
          <t xml:space="preserve">$1,000,000 CSL</t>
        </is>
      </c>
      <c r="Y431" s="30"/>
      <c r="Z431" s="30"/>
      <c r="AA431" s="32" t="inlineStr">
        <is>
          <t xml:space="preserve">Surplus Lines</t>
        </is>
      </c>
      <c r="AB431" s="35">
        <v>13296.17</v>
      </c>
      <c r="AC431" s="37">
        <v>0</v>
      </c>
      <c r="AD431" s="38">
        <f>IF(ISNUMBER($AB431),$AB431*(1+N($AC431)),"")</f>
      </c>
      <c r="AE431" s="35">
        <v>350</v>
      </c>
      <c r="AF431" s="35">
        <v>0</v>
      </c>
      <c r="AG431" s="37"/>
      <c r="AH431" s="39">
        <f>IF(ISNUMBER($AD431),($AD431+$AE431+$AF431)*$AG431,"")</f>
      </c>
      <c r="AI431" s="35"/>
      <c r="AJ431" s="38">
        <f>IF(ISNUMBER($AD431),SUM($AD431:$AH431),"")</f>
      </c>
      <c r="AK431" s="40">
        <f>IF(AND(ISNUMBER($AB431),ISNUMBER($AD431)),IF($AB431&gt;0,$AD431/$AB431,""),"")</f>
      </c>
      <c r="AL431" s="32" t="inlineStr">
        <is>
          <t xml:space="preserve">At technical</t>
        </is>
      </c>
      <c r="AM431" s="41">
        <f>IF(ISNUMBER($AD431),Header!$I$3,"")</f>
      </c>
      <c r="AN431" s="39">
        <f>IF(ISNUMBER($AD431),$AO431+$AP431,"")</f>
      </c>
      <c r="AO431" s="39">
        <f>IF(ISNUMBER($AD431),ROUND($AD431*Header!$K$3,2),"")</f>
      </c>
      <c r="AP431" s="39">
        <f>IF(ISNUMBER($AD431),ROUND($AD431*Header!$M$3,2),"")</f>
      </c>
      <c r="AQ431" s="38">
        <f>IF(ISNUMBER($AD431),ROUND($AD431,2)-$AO431-$AP431,"")</f>
      </c>
      <c r="AR431" s="39">
        <f>IF(ISNUMBER($AD431),IF(Header!$D$34="","?",$AD431*Header!$D$34),"")</f>
      </c>
      <c r="AS431" s="39">
        <f>IF(ISNUMBER($AB431),IF(Header!$D$34="","?",$AB431*Header!$D$34),"")</f>
      </c>
      <c r="AT431" s="42">
        <f>IF(AND(ISNUMBER($AB431),$M431&gt;0),$AB431/$M431*100,"")</f>
      </c>
      <c r="AU431" s="42">
        <f>IF(AND(ISNUMBER($AD431),$M431&gt;0),$AD431/$M431*100,"")</f>
      </c>
      <c r="AV431" s="40">
        <f>IF(AND(ISNUMBER($AB431),ISNUMBER($AD431),ABS($AB431)&gt;0),$AD431/$AB431,"")</f>
      </c>
      <c r="AW431" s="39">
        <f>IF(ISNUMBER($AD431),MAX(0,(1-0.55-Header!$O$3)*Header!$Q$3*$AQ431),"")</f>
      </c>
      <c r="AX431" s="43">
        <f>IF($A431="","",IF(TRIM(IF($A431="","Missing certificate ref. ","") &amp; IF($C431="","Missing effective date. ","") &amp; IF($D431="","Missing binding status. ","") &amp; IF($E431="","Missing movement type. ","") &amp; IF($I431="","Missing make. ","") &amp; IF($L431="","Missing vehicle class. ","") &amp; IF($M431="","Missing agreed value. ","") &amp; IF($N431="","Missing policy type. ","") &amp; IF($Q431="","Missing garaging state. ","") &amp; IF($R431="","Missing garaging ZIP. ","") &amp; IF($S431="","Missing cat zone. ","") &amp; IF($V431="","Missing valuation basis. ","") &amp; IF($W431="","Missing PD deductible. ","") &amp; IF($X431="","Missing liability limit. ","") &amp; IF($AB431="","Missing technical premium. ","") &amp; IF($AF431="","Missing surplus lines tax %. ",""))="","PASS","FAIL: "&amp;TRIM(IF($A431="","Missing certificate ref. ","") &amp; IF($C431="","Missing effective date. ","") &amp; IF($D431="","Missing binding status. ","") &amp; IF($E431="","Missing movement type. ","") &amp; IF($I431="","Missing make. ","") &amp; IF($L431="","Missing vehicle class. ","") &amp; IF($M431="","Missing agreed value. ","") &amp; IF($N431="","Missing policy type. ","") &amp; IF($Q431="","Missing garaging state. ","") &amp; IF($R431="","Missing garaging ZIP. ","") &amp; IF($S431="","Missing cat zone. ","") &amp; IF($V431="","Missing valuation basis. ","") &amp; IF($W431="","Missing PD deductible. ","") &amp; IF($X431="","Missing liability limit. ","") &amp; IF($AB431="","Missing technical premium. ","") &amp; IF($AF431="","Missing surplus lines tax %. ",""))))</f>
      </c>
      <c r="AY431" s="44">
        <f>IF($M431="","",IF(ISNUMBER($M431),IF($M431&gt;=Header!$C$18,"YES — refer","No"),""))</f>
      </c>
      <c r="AZ431" s="44">
        <f>IF($AD431="","",IF(ISNUMBER($AD431),IF($AD431&lt;Header!$C$20,"BELOW MIN PREMIUM","OK"),""))</f>
      </c>
      <c r="BA431" s="32" t="inlineStr">
        <is>
          <t xml:space="preserve">Yes</t>
        </is>
      </c>
      <c r="BB431" s="32" t="inlineStr">
        <is>
          <t xml:space="preserve">Yes</t>
        </is>
      </c>
      <c r="BC431" s="30" t="inlineStr">
        <is>
          <t xml:space="preserve">Synthetic demo data</t>
        </is>
      </c>
      <c r="BE431" s="45">
        <f>IF(OR($A431="",$L431="",$H431=""),"",IF(AND(LEFT($L431,2)="06",$H431&gt;1945),"FAIL - pre-war class, year "&amp;$H431,IF(AND(LEFT($L431,2)="07",OR($H431&lt;1946,$H431&gt;1972)),"FAIL - 1946-72 class, year "&amp;$H431,IF(AND(LEFT($L431,2)="08",OR($H431&lt;1973,$H431&gt;1999)),"FAIL - 1973-99 class, year "&amp;$H431,IF(AND(LEFT($L431,2)="09",OR($H431&lt;2000,$H431&gt;2010)),"FAIL - 2000-10 class, year "&amp;$H431,"OK")))))</f>
      </c>
      <c r="BF431" s="45">
        <f>IF($AD431="","",IF(ROUND($AO431+$AP431+$AQ431-$AD431,2)=0,"OK","FAIL - out by "&amp;TEXT($AO431+$AP431+$AQ431-$AD431,"$0.00")))</f>
      </c>
    </row>
    <row r="432" spans="1:58" ht="18.75" customHeight="1" x14ac:dyDescent="0.25">
      <c r="A432" s="46" t="inlineStr">
        <is>
          <t xml:space="preserve">CANON-202511-002755</t>
        </is>
      </c>
      <c r="B432" s="46" t="inlineStr">
        <is>
          <t xml:space="preserve">Delphine Chattopadhyay</t>
        </is>
      </c>
      <c r="C432" s="47">
        <v>45990</v>
      </c>
      <c r="D432" s="48" t="inlineStr">
        <is>
          <t xml:space="preserve">Bound - within authority</t>
        </is>
      </c>
      <c r="E432" s="48" t="inlineStr">
        <is>
          <t xml:space="preserve">New business</t>
        </is>
      </c>
      <c r="F432" s="46" t="inlineStr">
        <is>
          <t xml:space="preserve">B1234EXOTIC26</t>
        </is>
      </c>
      <c r="G432" s="33">
        <f>IF($A432="","",IF($C432="","",YEAR($C432)))</f>
      </c>
      <c r="H432" s="49">
        <v>2020</v>
      </c>
      <c r="I432" s="46" t="inlineStr">
        <is>
          <t xml:space="preserve">Mercedes-Benz</t>
        </is>
      </c>
      <c r="J432" s="46" t="inlineStr">
        <is>
          <t xml:space="preserve">AMG GT</t>
        </is>
      </c>
      <c r="K432" s="46" t="inlineStr">
        <is>
          <t xml:space="preserve">VWLP29T2T30FT38MY</t>
        </is>
      </c>
      <c r="L432" s="48" t="inlineStr">
        <is>
          <t xml:space="preserve">02 - Sports / GT</t>
        </is>
      </c>
      <c r="M432" s="50">
        <v>500000</v>
      </c>
      <c r="N432" s="48" t="inlineStr">
        <is>
          <t xml:space="preserve">Personal</t>
        </is>
      </c>
      <c r="O432" s="46" t="inlineStr">
        <is>
          <t xml:space="preserve">Personal - regular use</t>
        </is>
      </c>
      <c r="P432" s="46" t="inlineStr">
        <is>
          <t xml:space="preserve">1,000 - 2,500</t>
        </is>
      </c>
      <c r="Q432" s="46" t="inlineStr">
        <is>
          <t xml:space="preserve">Montana</t>
        </is>
      </c>
      <c r="R432" s="46" t="inlineStr">
        <is>
          <t xml:space="preserve">59601</t>
        </is>
      </c>
      <c r="S432" s="48" t="inlineStr">
        <is>
          <t xml:space="preserve">Wildfire - WUI high hazard</t>
        </is>
      </c>
      <c r="T432" s="36">
        <f>IF($A432="","",IF($S432="","",IFERROR(INDEX('[1]natural catastrophe'!$D$6:$D$17,MATCH($S432,'[1]natural catastrophe'!$B$6:$B$17,0)),"?")))</f>
      </c>
      <c r="U432" s="46" t="inlineStr">
        <is>
          <t xml:space="preserve">$5,000</t>
        </is>
      </c>
      <c r="V432" s="48" t="inlineStr">
        <is>
          <t xml:space="preserve">Agreed Value</t>
        </is>
      </c>
      <c r="W432" s="46" t="inlineStr">
        <is>
          <t xml:space="preserve">$1,000</t>
        </is>
      </c>
      <c r="X432" s="48" t="inlineStr">
        <is>
          <t xml:space="preserve">$1,000,000 CSL</t>
        </is>
      </c>
      <c r="Y432" s="46"/>
      <c r="Z432" s="46"/>
      <c r="AA432" s="48" t="inlineStr">
        <is>
          <t xml:space="preserve">Surplus Lines</t>
        </is>
      </c>
      <c r="AB432" s="50">
        <v>5243.18</v>
      </c>
      <c r="AC432" s="51">
        <v>0</v>
      </c>
      <c r="AD432" s="38">
        <f>IF(ISNUMBER($AB432),$AB432*(1+N($AC432)),"")</f>
      </c>
      <c r="AE432" s="50">
        <v>350</v>
      </c>
      <c r="AF432" s="50">
        <v>0</v>
      </c>
      <c r="AG432" s="51"/>
      <c r="AH432" s="39">
        <f>IF(ISNUMBER($AD432),($AD432+$AE432+$AF432)*$AG432,"")</f>
      </c>
      <c r="AI432" s="50"/>
      <c r="AJ432" s="38">
        <f>IF(ISNUMBER($AD432),SUM($AD432:$AH432),"")</f>
      </c>
      <c r="AK432" s="40">
        <f>IF(AND(ISNUMBER($AB432),ISNUMBER($AD432)),IF($AB432&gt;0,$AD432/$AB432,""),"")</f>
      </c>
      <c r="AL432" s="48" t="inlineStr">
        <is>
          <t xml:space="preserve">At technical</t>
        </is>
      </c>
      <c r="AM432" s="41">
        <f>IF(ISNUMBER($AD432),Header!$I$3,"")</f>
      </c>
      <c r="AN432" s="39">
        <f>IF(ISNUMBER($AD432),$AO432+$AP432,"")</f>
      </c>
      <c r="AO432" s="39">
        <f>IF(ISNUMBER($AD432),ROUND($AD432*Header!$K$3,2),"")</f>
      </c>
      <c r="AP432" s="39">
        <f>IF(ISNUMBER($AD432),ROUND($AD432*Header!$M$3,2),"")</f>
      </c>
      <c r="AQ432" s="38">
        <f>IF(ISNUMBER($AD432),ROUND($AD432,2)-$AO432-$AP432,"")</f>
      </c>
      <c r="AR432" s="39">
        <f>IF(ISNUMBER($AD432),IF(Header!$D$34="","?",$AD432*Header!$D$34),"")</f>
      </c>
      <c r="AS432" s="39">
        <f>IF(ISNUMBER($AB432),IF(Header!$D$34="","?",$AB432*Header!$D$34),"")</f>
      </c>
      <c r="AT432" s="42">
        <f>IF(AND(ISNUMBER($AB432),$M432&gt;0),$AB432/$M432*100,"")</f>
      </c>
      <c r="AU432" s="42">
        <f>IF(AND(ISNUMBER($AD432),$M432&gt;0),$AD432/$M432*100,"")</f>
      </c>
      <c r="AV432" s="40">
        <f>IF(AND(ISNUMBER($AB432),ISNUMBER($AD432),ABS($AB432)&gt;0),$AD432/$AB432,"")</f>
      </c>
      <c r="AW432" s="39">
        <f>IF(ISNUMBER($AD432),MAX(0,(1-0.55-Header!$O$3)*Header!$Q$3*$AQ432),"")</f>
      </c>
      <c r="AX432" s="43">
        <f>IF($A432="","",IF(TRIM(IF($A432="","Missing certificate ref. ","") &amp; IF($C432="","Missing effective date. ","") &amp; IF($D432="","Missing binding status. ","") &amp; IF($E432="","Missing movement type. ","") &amp; IF($I432="","Missing make. ","") &amp; IF($L432="","Missing vehicle class. ","") &amp; IF($M432="","Missing agreed value. ","") &amp; IF($N432="","Missing policy type. ","") &amp; IF($Q432="","Missing garaging state. ","") &amp; IF($R432="","Missing garaging ZIP. ","") &amp; IF($S432="","Missing cat zone. ","") &amp; IF($V432="","Missing valuation basis. ","") &amp; IF($W432="","Missing PD deductible. ","") &amp; IF($X432="","Missing liability limit. ","") &amp; IF($AB432="","Missing technical premium. ","") &amp; IF($AF432="","Missing surplus lines tax %. ",""))="","PASS","FAIL: "&amp;TRIM(IF($A432="","Missing certificate ref. ","") &amp; IF($C432="","Missing effective date. ","") &amp; IF($D432="","Missing binding status. ","") &amp; IF($E432="","Missing movement type. ","") &amp; IF($I432="","Missing make. ","") &amp; IF($L432="","Missing vehicle class. ","") &amp; IF($M432="","Missing agreed value. ","") &amp; IF($N432="","Missing policy type. ","") &amp; IF($Q432="","Missing garaging state. ","") &amp; IF($R432="","Missing garaging ZIP. ","") &amp; IF($S432="","Missing cat zone. ","") &amp; IF($V432="","Missing valuation basis. ","") &amp; IF($W432="","Missing PD deductible. ","") &amp; IF($X432="","Missing liability limit. ","") &amp; IF($AB432="","Missing technical premium. ","") &amp; IF($AF432="","Missing surplus lines tax %. ",""))))</f>
      </c>
      <c r="AY432" s="44">
        <f>IF($M432="","",IF(ISNUMBER($M432),IF($M432&gt;=Header!$C$18,"YES — refer","No"),""))</f>
      </c>
      <c r="AZ432" s="44">
        <f>IF($AD432="","",IF(ISNUMBER($AD432),IF($AD432&lt;Header!$C$20,"BELOW MIN PREMIUM","OK"),""))</f>
      </c>
      <c r="BA432" s="48" t="inlineStr">
        <is>
          <t xml:space="preserve">Yes</t>
        </is>
      </c>
      <c r="BB432" s="48" t="inlineStr">
        <is>
          <t xml:space="preserve">Yes</t>
        </is>
      </c>
      <c r="BC432" s="46" t="inlineStr">
        <is>
          <t xml:space="preserve">Synthetic demo data</t>
        </is>
      </c>
      <c r="BE432" s="45">
        <f>IF(OR($A432="",$L432="",$H432=""),"",IF(AND(LEFT($L432,2)="06",$H432&gt;1945),"FAIL - pre-war class, year "&amp;$H432,IF(AND(LEFT($L432,2)="07",OR($H432&lt;1946,$H432&gt;1972)),"FAIL - 1946-72 class, year "&amp;$H432,IF(AND(LEFT($L432,2)="08",OR($H432&lt;1973,$H432&gt;1999)),"FAIL - 1973-99 class, year "&amp;$H432,IF(AND(LEFT($L432,2)="09",OR($H432&lt;2000,$H432&gt;2010)),"FAIL - 2000-10 class, year "&amp;$H432,"OK")))))</f>
      </c>
      <c r="BF432" s="45">
        <f>IF($AD432="","",IF(ROUND($AO432+$AP432+$AQ432-$AD432,2)=0,"OK","FAIL - out by "&amp;TEXT($AO432+$AP432+$AQ432-$AD432,"$0.00")))</f>
      </c>
    </row>
    <row r="433" spans="1:58" ht="18.75" customHeight="1" x14ac:dyDescent="0.25">
      <c r="A433" s="30" t="inlineStr">
        <is>
          <t xml:space="preserve">CANON-202511-002756</t>
        </is>
      </c>
      <c r="B433" s="30" t="inlineStr">
        <is>
          <t xml:space="preserve">Ingrid Harrington</t>
        </is>
      </c>
      <c r="C433" s="31">
        <v>45966</v>
      </c>
      <c r="D433" s="32" t="inlineStr">
        <is>
          <t xml:space="preserve">Bound - within authority</t>
        </is>
      </c>
      <c r="E433" s="32" t="inlineStr">
        <is>
          <t xml:space="preserve">New business</t>
        </is>
      </c>
      <c r="F433" s="30" t="inlineStr">
        <is>
          <t xml:space="preserve">B1234EXOTIC26</t>
        </is>
      </c>
      <c r="G433" s="33">
        <f>IF($A433="","",IF($C433="","",YEAR($C433)))</f>
      </c>
      <c r="H433" s="34">
        <v>1955</v>
      </c>
      <c r="I433" s="30" t="inlineStr">
        <is>
          <t xml:space="preserve">Maserati</t>
        </is>
      </c>
      <c r="J433" s="30" t="inlineStr">
        <is>
          <t xml:space="preserve">GranTurismo</t>
        </is>
      </c>
      <c r="K433" s="30" t="inlineStr">
        <is>
          <t xml:space="preserve">D61DT2S6M9BH4C607</t>
        </is>
      </c>
      <c r="L433" s="32" t="inlineStr">
        <is>
          <t xml:space="preserve">02 - Sports / GT</t>
        </is>
      </c>
      <c r="M433" s="35">
        <v>700000</v>
      </c>
      <c r="N433" s="32" t="inlineStr">
        <is>
          <t xml:space="preserve">Personal</t>
        </is>
      </c>
      <c r="O433" s="30" t="inlineStr">
        <is>
          <t xml:space="preserve">Personal - regular use</t>
        </is>
      </c>
      <c r="P433" s="30" t="inlineStr">
        <is>
          <t xml:space="preserve">2,500 - 5,000</t>
        </is>
      </c>
      <c r="Q433" s="30" t="inlineStr">
        <is>
          <t xml:space="preserve">Florida</t>
        </is>
      </c>
      <c r="R433" s="30" t="inlineStr">
        <is>
          <t xml:space="preserve">33139</t>
        </is>
      </c>
      <c r="S433" s="32" t="inlineStr">
        <is>
          <t xml:space="preserve">Tier 2 - Coastal wind (1-25 miles)</t>
        </is>
      </c>
      <c r="T433" s="36">
        <f>IF($A433="","",IF($S433="","",IFERROR(INDEX('[1]natural catastrophe'!$D$6:$D$17,MATCH($S433,'[1]natural catastrophe'!$B$6:$B$17,0)),"?")))</f>
      </c>
      <c r="U433" s="30" t="inlineStr">
        <is>
          <t xml:space="preserve">2% of agreed value, minimum $10,000</t>
        </is>
      </c>
      <c r="V433" s="32" t="inlineStr">
        <is>
          <t xml:space="preserve">Agreed Value</t>
        </is>
      </c>
      <c r="W433" s="30" t="inlineStr">
        <is>
          <t xml:space="preserve">$1,000</t>
        </is>
      </c>
      <c r="X433" s="32" t="inlineStr">
        <is>
          <t xml:space="preserve">$1,000,000 CSL</t>
        </is>
      </c>
      <c r="Y433" s="30"/>
      <c r="Z433" s="30"/>
      <c r="AA433" s="32" t="inlineStr">
        <is>
          <t xml:space="preserve">Surplus Lines</t>
        </is>
      </c>
      <c r="AB433" s="35">
        <v>11208.01</v>
      </c>
      <c r="AC433" s="37">
        <v>0</v>
      </c>
      <c r="AD433" s="38">
        <f>IF(ISNUMBER($AB433),$AB433*(1+N($AC433)),"")</f>
      </c>
      <c r="AE433" s="35">
        <v>350</v>
      </c>
      <c r="AF433" s="35">
        <v>0</v>
      </c>
      <c r="AG433" s="37"/>
      <c r="AH433" s="39">
        <f>IF(ISNUMBER($AD433),($AD433+$AE433+$AF433)*$AG433,"")</f>
      </c>
      <c r="AI433" s="35"/>
      <c r="AJ433" s="38">
        <f>IF(ISNUMBER($AD433),SUM($AD433:$AH433),"")</f>
      </c>
      <c r="AK433" s="40">
        <f>IF(AND(ISNUMBER($AB433),ISNUMBER($AD433)),IF($AB433&gt;0,$AD433/$AB433,""),"")</f>
      </c>
      <c r="AL433" s="32" t="inlineStr">
        <is>
          <t xml:space="preserve">At technical</t>
        </is>
      </c>
      <c r="AM433" s="41">
        <f>IF(ISNUMBER($AD433),Header!$I$3,"")</f>
      </c>
      <c r="AN433" s="39">
        <f>IF(ISNUMBER($AD433),$AO433+$AP433,"")</f>
      </c>
      <c r="AO433" s="39">
        <f>IF(ISNUMBER($AD433),ROUND($AD433*Header!$K$3,2),"")</f>
      </c>
      <c r="AP433" s="39">
        <f>IF(ISNUMBER($AD433),ROUND($AD433*Header!$M$3,2),"")</f>
      </c>
      <c r="AQ433" s="38">
        <f>IF(ISNUMBER($AD433),ROUND($AD433,2)-$AO433-$AP433,"")</f>
      </c>
      <c r="AR433" s="39">
        <f>IF(ISNUMBER($AD433),IF(Header!$D$34="","?",$AD433*Header!$D$34),"")</f>
      </c>
      <c r="AS433" s="39">
        <f>IF(ISNUMBER($AB433),IF(Header!$D$34="","?",$AB433*Header!$D$34),"")</f>
      </c>
      <c r="AT433" s="42">
        <f>IF(AND(ISNUMBER($AB433),$M433&gt;0),$AB433/$M433*100,"")</f>
      </c>
      <c r="AU433" s="42">
        <f>IF(AND(ISNUMBER($AD433),$M433&gt;0),$AD433/$M433*100,"")</f>
      </c>
      <c r="AV433" s="40">
        <f>IF(AND(ISNUMBER($AB433),ISNUMBER($AD433),ABS($AB433)&gt;0),$AD433/$AB433,"")</f>
      </c>
      <c r="AW433" s="39">
        <f>IF(ISNUMBER($AD433),MAX(0,(1-0.55-Header!$O$3)*Header!$Q$3*$AQ433),"")</f>
      </c>
      <c r="AX433" s="43">
        <f>IF($A433="","",IF(TRIM(IF($A433="","Missing certificate ref. ","") &amp; IF($C433="","Missing effective date. ","") &amp; IF($D433="","Missing binding status. ","") &amp; IF($E433="","Missing movement type. ","") &amp; IF($I433="","Missing make. ","") &amp; IF($L433="","Missing vehicle class. ","") &amp; IF($M433="","Missing agreed value. ","") &amp; IF($N433="","Missing policy type. ","") &amp; IF($Q433="","Missing garaging state. ","") &amp; IF($R433="","Missing garaging ZIP. ","") &amp; IF($S433="","Missing cat zone. ","") &amp; IF($V433="","Missing valuation basis. ","") &amp; IF($W433="","Missing PD deductible. ","") &amp; IF($X433="","Missing liability limit. ","") &amp; IF($AB433="","Missing technical premium. ","") &amp; IF($AF433="","Missing surplus lines tax %. ",""))="","PASS","FAIL: "&amp;TRIM(IF($A433="","Missing certificate ref. ","") &amp; IF($C433="","Missing effective date. ","") &amp; IF($D433="","Missing binding status. ","") &amp; IF($E433="","Missing movement type. ","") &amp; IF($I433="","Missing make. ","") &amp; IF($L433="","Missing vehicle class. ","") &amp; IF($M433="","Missing agreed value. ","") &amp; IF($N433="","Missing policy type. ","") &amp; IF($Q433="","Missing garaging state. ","") &amp; IF($R433="","Missing garaging ZIP. ","") &amp; IF($S433="","Missing cat zone. ","") &amp; IF($V433="","Missing valuation basis. ","") &amp; IF($W433="","Missing PD deductible. ","") &amp; IF($X433="","Missing liability limit. ","") &amp; IF($AB433="","Missing technical premium. ","") &amp; IF($AF433="","Missing surplus lines tax %. ",""))))</f>
      </c>
      <c r="AY433" s="44">
        <f>IF($M433="","",IF(ISNUMBER($M433),IF($M433&gt;=Header!$C$18,"YES — refer","No"),""))</f>
      </c>
      <c r="AZ433" s="44">
        <f>IF($AD433="","",IF(ISNUMBER($AD433),IF($AD433&lt;Header!$C$20,"BELOW MIN PREMIUM","OK"),""))</f>
      </c>
      <c r="BA433" s="32" t="inlineStr">
        <is>
          <t xml:space="preserve">Yes</t>
        </is>
      </c>
      <c r="BB433" s="32" t="inlineStr">
        <is>
          <t xml:space="preserve">Yes</t>
        </is>
      </c>
      <c r="BC433" s="30" t="inlineStr">
        <is>
          <t xml:space="preserve">Synthetic demo data</t>
        </is>
      </c>
      <c r="BE433" s="45">
        <f>IF(OR($A433="",$L433="",$H433=""),"",IF(AND(LEFT($L433,2)="06",$H433&gt;1945),"FAIL - pre-war class, year "&amp;$H433,IF(AND(LEFT($L433,2)="07",OR($H433&lt;1946,$H433&gt;1972)),"FAIL - 1946-72 class, year "&amp;$H433,IF(AND(LEFT($L433,2)="08",OR($H433&lt;1973,$H433&gt;1999)),"FAIL - 1973-99 class, year "&amp;$H433,IF(AND(LEFT($L433,2)="09",OR($H433&lt;2000,$H433&gt;2010)),"FAIL - 2000-10 class, year "&amp;$H433,"OK")))))</f>
      </c>
      <c r="BF433" s="45">
        <f>IF($AD433="","",IF(ROUND($AO433+$AP433+$AQ433-$AD433,2)=0,"OK","FAIL - out by "&amp;TEXT($AO433+$AP433+$AQ433-$AD433,"$0.00")))</f>
      </c>
    </row>
    <row r="434" spans="1:58" ht="18.75" customHeight="1" x14ac:dyDescent="0.25">
      <c r="A434" s="46" t="inlineStr">
        <is>
          <t xml:space="preserve">CANON-202511-002758</t>
        </is>
      </c>
      <c r="B434" s="46" t="inlineStr">
        <is>
          <t xml:space="preserve">Beatrix Harrington</t>
        </is>
      </c>
      <c r="C434" s="47">
        <v>45980</v>
      </c>
      <c r="D434" s="48" t="inlineStr">
        <is>
          <t xml:space="preserve">Bound - within authority</t>
        </is>
      </c>
      <c r="E434" s="48" t="inlineStr">
        <is>
          <t xml:space="preserve">New business</t>
        </is>
      </c>
      <c r="F434" s="46" t="inlineStr">
        <is>
          <t xml:space="preserve">B1234EXOTIC26</t>
        </is>
      </c>
      <c r="G434" s="33">
        <f>IF($A434="","",IF($C434="","",YEAR($C434)))</f>
      </c>
      <c r="H434" s="49">
        <v>2001</v>
      </c>
      <c r="I434" s="46" t="inlineStr">
        <is>
          <t xml:space="preserve">Lamborghini</t>
        </is>
      </c>
      <c r="J434" s="46" t="inlineStr">
        <is>
          <t xml:space="preserve">Huracan EVO</t>
        </is>
      </c>
      <c r="K434" s="46" t="inlineStr">
        <is>
          <t xml:space="preserve">V23W9AKTXUE5WL1SM</t>
        </is>
      </c>
      <c r="L434" s="48" t="inlineStr">
        <is>
          <t xml:space="preserve">03 - Supercar</t>
        </is>
      </c>
      <c r="M434" s="50">
        <v>260000</v>
      </c>
      <c r="N434" s="48" t="inlineStr">
        <is>
          <t xml:space="preserve">Personal</t>
        </is>
      </c>
      <c r="O434" s="46" t="inlineStr">
        <is>
          <t xml:space="preserve">Personal - regular use</t>
        </is>
      </c>
      <c r="P434" s="46" t="inlineStr">
        <is>
          <t xml:space="preserve">1,000 - 2,500</t>
        </is>
      </c>
      <c r="Q434" s="46" t="inlineStr">
        <is>
          <t xml:space="preserve">New Jersey</t>
        </is>
      </c>
      <c r="R434" s="46" t="inlineStr">
        <is>
          <t xml:space="preserve">07102</t>
        </is>
      </c>
      <c r="S434" s="48" t="inlineStr">
        <is>
          <t xml:space="preserve">Tier 3 - Coastal wind (25-100 miles)</t>
        </is>
      </c>
      <c r="T434" s="36">
        <f>IF($A434="","",IF($S434="","",IFERROR(INDEX('[1]natural catastrophe'!$D$6:$D$17,MATCH($S434,'[1]natural catastrophe'!$B$6:$B$17,0)),"?")))</f>
      </c>
      <c r="U434" s="46" t="inlineStr">
        <is>
          <t xml:space="preserve">2% of agreed value, minimum $10,000</t>
        </is>
      </c>
      <c r="V434" s="48" t="inlineStr">
        <is>
          <t xml:space="preserve">Agreed Value</t>
        </is>
      </c>
      <c r="W434" s="46" t="inlineStr">
        <is>
          <t xml:space="preserve">$1,000</t>
        </is>
      </c>
      <c r="X434" s="48" t="inlineStr">
        <is>
          <t xml:space="preserve">$1,000,000 CSL</t>
        </is>
      </c>
      <c r="Y434" s="46"/>
      <c r="Z434" s="46"/>
      <c r="AA434" s="48" t="inlineStr">
        <is>
          <t xml:space="preserve">Surplus Lines</t>
        </is>
      </c>
      <c r="AB434" s="50">
        <v>4719.99</v>
      </c>
      <c r="AC434" s="51">
        <v>0</v>
      </c>
      <c r="AD434" s="38">
        <f>IF(ISNUMBER($AB434),$AB434*(1+N($AC434)),"")</f>
      </c>
      <c r="AE434" s="50">
        <v>350</v>
      </c>
      <c r="AF434" s="50">
        <v>0</v>
      </c>
      <c r="AG434" s="51"/>
      <c r="AH434" s="39">
        <f>IF(ISNUMBER($AD434),($AD434+$AE434+$AF434)*$AG434,"")</f>
      </c>
      <c r="AI434" s="50"/>
      <c r="AJ434" s="38">
        <f>IF(ISNUMBER($AD434),SUM($AD434:$AH434),"")</f>
      </c>
      <c r="AK434" s="40">
        <f>IF(AND(ISNUMBER($AB434),ISNUMBER($AD434)),IF($AB434&gt;0,$AD434/$AB434,""),"")</f>
      </c>
      <c r="AL434" s="48" t="inlineStr">
        <is>
          <t xml:space="preserve">At technical</t>
        </is>
      </c>
      <c r="AM434" s="41">
        <f>IF(ISNUMBER($AD434),Header!$I$3,"")</f>
      </c>
      <c r="AN434" s="39">
        <f>IF(ISNUMBER($AD434),$AO434+$AP434,"")</f>
      </c>
      <c r="AO434" s="39">
        <f>IF(ISNUMBER($AD434),ROUND($AD434*Header!$K$3,2),"")</f>
      </c>
      <c r="AP434" s="39">
        <f>IF(ISNUMBER($AD434),ROUND($AD434*Header!$M$3,2),"")</f>
      </c>
      <c r="AQ434" s="38">
        <f>IF(ISNUMBER($AD434),ROUND($AD434,2)-$AO434-$AP434,"")</f>
      </c>
      <c r="AR434" s="39">
        <f>IF(ISNUMBER($AD434),IF(Header!$D$34="","?",$AD434*Header!$D$34),"")</f>
      </c>
      <c r="AS434" s="39">
        <f>IF(ISNUMBER($AB434),IF(Header!$D$34="","?",$AB434*Header!$D$34),"")</f>
      </c>
      <c r="AT434" s="42">
        <f>IF(AND(ISNUMBER($AB434),$M434&gt;0),$AB434/$M434*100,"")</f>
      </c>
      <c r="AU434" s="42">
        <f>IF(AND(ISNUMBER($AD434),$M434&gt;0),$AD434/$M434*100,"")</f>
      </c>
      <c r="AV434" s="40">
        <f>IF(AND(ISNUMBER($AB434),ISNUMBER($AD434),ABS($AB434)&gt;0),$AD434/$AB434,"")</f>
      </c>
      <c r="AW434" s="39">
        <f>IF(ISNUMBER($AD434),MAX(0,(1-0.55-Header!$O$3)*Header!$Q$3*$AQ434),"")</f>
      </c>
      <c r="AX434" s="43">
        <f>IF($A434="","",IF(TRIM(IF($A434="","Missing certificate ref. ","") &amp; IF($C434="","Missing effective date. ","") &amp; IF($D434="","Missing binding status. ","") &amp; IF($E434="","Missing movement type. ","") &amp; IF($I434="","Missing make. ","") &amp; IF($L434="","Missing vehicle class. ","") &amp; IF($M434="","Missing agreed value. ","") &amp; IF($N434="","Missing policy type. ","") &amp; IF($Q434="","Missing garaging state. ","") &amp; IF($R434="","Missing garaging ZIP. ","") &amp; IF($S434="","Missing cat zone. ","") &amp; IF($V434="","Missing valuation basis. ","") &amp; IF($W434="","Missing PD deductible. ","") &amp; IF($X434="","Missing liability limit. ","") &amp; IF($AB434="","Missing technical premium. ","") &amp; IF($AF434="","Missing surplus lines tax %. ",""))="","PASS","FAIL: "&amp;TRIM(IF($A434="","Missing certificate ref. ","") &amp; IF($C434="","Missing effective date. ","") &amp; IF($D434="","Missing binding status. ","") &amp; IF($E434="","Missing movement type. ","") &amp; IF($I434="","Missing make. ","") &amp; IF($L434="","Missing vehicle class. ","") &amp; IF($M434="","Missing agreed value. ","") &amp; IF($N434="","Missing policy type. ","") &amp; IF($Q434="","Missing garaging state. ","") &amp; IF($R434="","Missing garaging ZIP. ","") &amp; IF($S434="","Missing cat zone. ","") &amp; IF($V434="","Missing valuation basis. ","") &amp; IF($W434="","Missing PD deductible. ","") &amp; IF($X434="","Missing liability limit. ","") &amp; IF($AB434="","Missing technical premium. ","") &amp; IF($AF434="","Missing surplus lines tax %. ",""))))</f>
      </c>
      <c r="AY434" s="44">
        <f>IF($M434="","",IF(ISNUMBER($M434),IF($M434&gt;=Header!$C$18,"YES — refer","No"),""))</f>
      </c>
      <c r="AZ434" s="44">
        <f>IF($AD434="","",IF(ISNUMBER($AD434),IF($AD434&lt;Header!$C$20,"BELOW MIN PREMIUM","OK"),""))</f>
      </c>
      <c r="BA434" s="48" t="inlineStr">
        <is>
          <t xml:space="preserve">Yes</t>
        </is>
      </c>
      <c r="BB434" s="48" t="inlineStr">
        <is>
          <t xml:space="preserve">Yes</t>
        </is>
      </c>
      <c r="BC434" s="46" t="inlineStr">
        <is>
          <t xml:space="preserve">Synthetic demo data</t>
        </is>
      </c>
      <c r="BE434" s="45">
        <f>IF(OR($A434="",$L434="",$H434=""),"",IF(AND(LEFT($L434,2)="06",$H434&gt;1945),"FAIL - pre-war class, year "&amp;$H434,IF(AND(LEFT($L434,2)="07",OR($H434&lt;1946,$H434&gt;1972)),"FAIL - 1946-72 class, year "&amp;$H434,IF(AND(LEFT($L434,2)="08",OR($H434&lt;1973,$H434&gt;1999)),"FAIL - 1973-99 class, year "&amp;$H434,IF(AND(LEFT($L434,2)="09",OR($H434&lt;2000,$H434&gt;2010)),"FAIL - 2000-10 class, year "&amp;$H434,"OK")))))</f>
      </c>
      <c r="BF434" s="45">
        <f>IF($AD434="","",IF(ROUND($AO434+$AP434+$AQ434-$AD434,2)=0,"OK","FAIL - out by "&amp;TEXT($AO434+$AP434+$AQ434-$AD434,"$0.00")))</f>
      </c>
    </row>
    <row r="435" spans="1:58" ht="18.75" customHeight="1" x14ac:dyDescent="0.25">
      <c r="A435" s="30" t="inlineStr">
        <is>
          <t xml:space="preserve">CANON-202511-002759</t>
        </is>
      </c>
      <c r="B435" s="30" t="inlineStr">
        <is>
          <t xml:space="preserve">Noor Underwood</t>
        </is>
      </c>
      <c r="C435" s="31">
        <v>45986</v>
      </c>
      <c r="D435" s="32" t="inlineStr">
        <is>
          <t xml:space="preserve">Bound - within authority</t>
        </is>
      </c>
      <c r="E435" s="32" t="inlineStr">
        <is>
          <t xml:space="preserve">New business</t>
        </is>
      </c>
      <c r="F435" s="30" t="inlineStr">
        <is>
          <t xml:space="preserve">B1234EXOTIC26</t>
        </is>
      </c>
      <c r="G435" s="33">
        <f>IF($A435="","",IF($C435="","",YEAR($C435)))</f>
      </c>
      <c r="H435" s="34">
        <v>1983</v>
      </c>
      <c r="I435" s="30" t="inlineStr">
        <is>
          <t xml:space="preserve">Ferrari</t>
        </is>
      </c>
      <c r="J435" s="30" t="inlineStr">
        <is>
          <t xml:space="preserve">SF90 Stradale</t>
        </is>
      </c>
      <c r="K435" s="30" t="inlineStr">
        <is>
          <t xml:space="preserve">5XETU0H7W37VWUH1A</t>
        </is>
      </c>
      <c r="L435" s="32" t="inlineStr">
        <is>
          <t xml:space="preserve">03 - Supercar</t>
        </is>
      </c>
      <c r="M435" s="35">
        <v>435000</v>
      </c>
      <c r="N435" s="32" t="inlineStr">
        <is>
          <t xml:space="preserve">Personal</t>
        </is>
      </c>
      <c r="O435" s="30" t="inlineStr">
        <is>
          <t xml:space="preserve">Personal - regular use</t>
        </is>
      </c>
      <c r="P435" s="30" t="inlineStr">
        <is>
          <t xml:space="preserve">1,000 - 2,500</t>
        </is>
      </c>
      <c r="Q435" s="30" t="inlineStr">
        <is>
          <t xml:space="preserve">Maine</t>
        </is>
      </c>
      <c r="R435" s="30" t="inlineStr">
        <is>
          <t xml:space="preserve">04101</t>
        </is>
      </c>
      <c r="S435" s="32" t="inlineStr">
        <is>
          <t xml:space="preserve">Tier 3 - Coastal wind (25-100 miles)</t>
        </is>
      </c>
      <c r="T435" s="36">
        <f>IF($A435="","",IF($S435="","",IFERROR(INDEX('[1]natural catastrophe'!$D$6:$D$17,MATCH($S435,'[1]natural catastrophe'!$B$6:$B$17,0)),"?")))</f>
      </c>
      <c r="U435" s="30" t="inlineStr">
        <is>
          <t xml:space="preserve">2% of agreed value, minimum $10,000</t>
        </is>
      </c>
      <c r="V435" s="32" t="inlineStr">
        <is>
          <t xml:space="preserve">Agreed Value</t>
        </is>
      </c>
      <c r="W435" s="30" t="inlineStr">
        <is>
          <t xml:space="preserve">$1,000</t>
        </is>
      </c>
      <c r="X435" s="32" t="inlineStr">
        <is>
          <t xml:space="preserve">$1,000,000 CSL</t>
        </is>
      </c>
      <c r="Y435" s="30"/>
      <c r="Z435" s="30"/>
      <c r="AA435" s="32" t="inlineStr">
        <is>
          <t xml:space="preserve">Surplus Lines</t>
        </is>
      </c>
      <c r="AB435" s="35">
        <v>9372.15</v>
      </c>
      <c r="AC435" s="37">
        <v>0</v>
      </c>
      <c r="AD435" s="38">
        <f>IF(ISNUMBER($AB435),$AB435*(1+N($AC435)),"")</f>
      </c>
      <c r="AE435" s="35">
        <v>350</v>
      </c>
      <c r="AF435" s="35">
        <v>0</v>
      </c>
      <c r="AG435" s="37"/>
      <c r="AH435" s="39">
        <f>IF(ISNUMBER($AD435),($AD435+$AE435+$AF435)*$AG435,"")</f>
      </c>
      <c r="AI435" s="35"/>
      <c r="AJ435" s="38">
        <f>IF(ISNUMBER($AD435),SUM($AD435:$AH435),"")</f>
      </c>
      <c r="AK435" s="40">
        <f>IF(AND(ISNUMBER($AB435),ISNUMBER($AD435)),IF($AB435&gt;0,$AD435/$AB435,""),"")</f>
      </c>
      <c r="AL435" s="32" t="inlineStr">
        <is>
          <t xml:space="preserve">At technical</t>
        </is>
      </c>
      <c r="AM435" s="41">
        <f>IF(ISNUMBER($AD435),Header!$I$3,"")</f>
      </c>
      <c r="AN435" s="39">
        <f>IF(ISNUMBER($AD435),$AO435+$AP435,"")</f>
      </c>
      <c r="AO435" s="39">
        <f>IF(ISNUMBER($AD435),ROUND($AD435*Header!$K$3,2),"")</f>
      </c>
      <c r="AP435" s="39">
        <f>IF(ISNUMBER($AD435),ROUND($AD435*Header!$M$3,2),"")</f>
      </c>
      <c r="AQ435" s="38">
        <f>IF(ISNUMBER($AD435),ROUND($AD435,2)-$AO435-$AP435,"")</f>
      </c>
      <c r="AR435" s="39">
        <f>IF(ISNUMBER($AD435),IF(Header!$D$34="","?",$AD435*Header!$D$34),"")</f>
      </c>
      <c r="AS435" s="39">
        <f>IF(ISNUMBER($AB435),IF(Header!$D$34="","?",$AB435*Header!$D$34),"")</f>
      </c>
      <c r="AT435" s="42">
        <f>IF(AND(ISNUMBER($AB435),$M435&gt;0),$AB435/$M435*100,"")</f>
      </c>
      <c r="AU435" s="42">
        <f>IF(AND(ISNUMBER($AD435),$M435&gt;0),$AD435/$M435*100,"")</f>
      </c>
      <c r="AV435" s="40">
        <f>IF(AND(ISNUMBER($AB435),ISNUMBER($AD435),ABS($AB435)&gt;0),$AD435/$AB435,"")</f>
      </c>
      <c r="AW435" s="39">
        <f>IF(ISNUMBER($AD435),MAX(0,(1-0.55-Header!$O$3)*Header!$Q$3*$AQ435),"")</f>
      </c>
      <c r="AX435" s="43">
        <f>IF($A435="","",IF(TRIM(IF($A435="","Missing certificate ref. ","") &amp; IF($C435="","Missing effective date. ","") &amp; IF($D435="","Missing binding status. ","") &amp; IF($E435="","Missing movement type. ","") &amp; IF($I435="","Missing make. ","") &amp; IF($L435="","Missing vehicle class. ","") &amp; IF($M435="","Missing agreed value. ","") &amp; IF($N435="","Missing policy type. ","") &amp; IF($Q435="","Missing garaging state. ","") &amp; IF($R435="","Missing garaging ZIP. ","") &amp; IF($S435="","Missing cat zone. ","") &amp; IF($V435="","Missing valuation basis. ","") &amp; IF($W435="","Missing PD deductible. ","") &amp; IF($X435="","Missing liability limit. ","") &amp; IF($AB435="","Missing technical premium. ","") &amp; IF($AF435="","Missing surplus lines tax %. ",""))="","PASS","FAIL: "&amp;TRIM(IF($A435="","Missing certificate ref. ","") &amp; IF($C435="","Missing effective date. ","") &amp; IF($D435="","Missing binding status. ","") &amp; IF($E435="","Missing movement type. ","") &amp; IF($I435="","Missing make. ","") &amp; IF($L435="","Missing vehicle class. ","") &amp; IF($M435="","Missing agreed value. ","") &amp; IF($N435="","Missing policy type. ","") &amp; IF($Q435="","Missing garaging state. ","") &amp; IF($R435="","Missing garaging ZIP. ","") &amp; IF($S435="","Missing cat zone. ","") &amp; IF($V435="","Missing valuation basis. ","") &amp; IF($W435="","Missing PD deductible. ","") &amp; IF($X435="","Missing liability limit. ","") &amp; IF($AB435="","Missing technical premium. ","") &amp; IF($AF435="","Missing surplus lines tax %. ",""))))</f>
      </c>
      <c r="AY435" s="44">
        <f>IF($M435="","",IF(ISNUMBER($M435),IF($M435&gt;=Header!$C$18,"YES — refer","No"),""))</f>
      </c>
      <c r="AZ435" s="44">
        <f>IF($AD435="","",IF(ISNUMBER($AD435),IF($AD435&lt;Header!$C$20,"BELOW MIN PREMIUM","OK"),""))</f>
      </c>
      <c r="BA435" s="32" t="inlineStr">
        <is>
          <t xml:space="preserve">Yes</t>
        </is>
      </c>
      <c r="BB435" s="32" t="inlineStr">
        <is>
          <t xml:space="preserve">Yes</t>
        </is>
      </c>
      <c r="BC435" s="30" t="inlineStr">
        <is>
          <t xml:space="preserve">Synthetic demo data</t>
        </is>
      </c>
      <c r="BE435" s="45">
        <f>IF(OR($A435="",$L435="",$H435=""),"",IF(AND(LEFT($L435,2)="06",$H435&gt;1945),"FAIL - pre-war class, year "&amp;$H435,IF(AND(LEFT($L435,2)="07",OR($H435&lt;1946,$H435&gt;1972)),"FAIL - 1946-72 class, year "&amp;$H435,IF(AND(LEFT($L435,2)="08",OR($H435&lt;1973,$H435&gt;1999)),"FAIL - 1973-99 class, year "&amp;$H435,IF(AND(LEFT($L435,2)="09",OR($H435&lt;2000,$H435&gt;2010)),"FAIL - 2000-10 class, year "&amp;$H435,"OK")))))</f>
      </c>
      <c r="BF435" s="45">
        <f>IF($AD435="","",IF(ROUND($AO435+$AP435+$AQ435-$AD435,2)=0,"OK","FAIL - out by "&amp;TEXT($AO435+$AP435+$AQ435-$AD435,"$0.00")))</f>
      </c>
    </row>
    <row r="436" spans="1:58" ht="18.75" customHeight="1" x14ac:dyDescent="0.25">
      <c r="A436" s="46" t="inlineStr">
        <is>
          <t xml:space="preserve">CANON-202511-002760</t>
        </is>
      </c>
      <c r="B436" s="46" t="inlineStr">
        <is>
          <t xml:space="preserve">Saoirse Ashcombe</t>
        </is>
      </c>
      <c r="C436" s="47">
        <v>45981</v>
      </c>
      <c r="D436" s="48" t="inlineStr">
        <is>
          <t xml:space="preserve">Bound - within authority</t>
        </is>
      </c>
      <c r="E436" s="48" t="inlineStr">
        <is>
          <t xml:space="preserve">New business</t>
        </is>
      </c>
      <c r="F436" s="46" t="inlineStr">
        <is>
          <t xml:space="preserve">B1234EXOTIC26</t>
        </is>
      </c>
      <c r="G436" s="33">
        <f>IF($A436="","",IF($C436="","",YEAR($C436)))</f>
      </c>
      <c r="H436" s="49">
        <v>2018</v>
      </c>
      <c r="I436" s="46" t="inlineStr">
        <is>
          <t xml:space="preserve">Porsche</t>
        </is>
      </c>
      <c r="J436" s="46" t="inlineStr">
        <is>
          <t xml:space="preserve">911 Turbo S</t>
        </is>
      </c>
      <c r="K436" s="46" t="inlineStr">
        <is>
          <t xml:space="preserve">9NMAXM826064YWH49</t>
        </is>
      </c>
      <c r="L436" s="48" t="inlineStr">
        <is>
          <t xml:space="preserve">02 - Sports / GT</t>
        </is>
      </c>
      <c r="M436" s="50">
        <v>485000</v>
      </c>
      <c r="N436" s="48" t="inlineStr">
        <is>
          <t xml:space="preserve">Personal</t>
        </is>
      </c>
      <c r="O436" s="46" t="inlineStr">
        <is>
          <t xml:space="preserve">Personal - regular use</t>
        </is>
      </c>
      <c r="P436" s="46" t="inlineStr">
        <is>
          <t xml:space="preserve">2,500 - 5,000</t>
        </is>
      </c>
      <c r="Q436" s="46" t="inlineStr">
        <is>
          <t xml:space="preserve">Arkansas</t>
        </is>
      </c>
      <c r="R436" s="46" t="inlineStr">
        <is>
          <t xml:space="preserve">72201</t>
        </is>
      </c>
      <c r="S436" s="48" t="inlineStr">
        <is>
          <t xml:space="preserve">Severe convective - hail / tornado (moderate)</t>
        </is>
      </c>
      <c r="T436" s="36">
        <f>IF($A436="","",IF($S436="","",IFERROR(INDEX('[1]natural catastrophe'!$D$6:$D$17,MATCH($S436,'[1]natural catastrophe'!$B$6:$B$17,0)),"?")))</f>
      </c>
      <c r="U436" s="46" t="inlineStr">
        <is>
          <t xml:space="preserve">$5,000</t>
        </is>
      </c>
      <c r="V436" s="48" t="inlineStr">
        <is>
          <t xml:space="preserve">Agreed Value</t>
        </is>
      </c>
      <c r="W436" s="46" t="inlineStr">
        <is>
          <t xml:space="preserve">$1,000</t>
        </is>
      </c>
      <c r="X436" s="48" t="inlineStr">
        <is>
          <t xml:space="preserve">$1,000,000 CSL</t>
        </is>
      </c>
      <c r="Y436" s="46"/>
      <c r="Z436" s="46"/>
      <c r="AA436" s="48" t="inlineStr">
        <is>
          <t xml:space="preserve">Surplus Lines</t>
        </is>
      </c>
      <c r="AB436" s="50">
        <v>8707.85</v>
      </c>
      <c r="AC436" s="51">
        <v>0</v>
      </c>
      <c r="AD436" s="38">
        <f>IF(ISNUMBER($AB436),$AB436*(1+N($AC436)),"")</f>
      </c>
      <c r="AE436" s="50">
        <v>350</v>
      </c>
      <c r="AF436" s="50">
        <v>0</v>
      </c>
      <c r="AG436" s="51"/>
      <c r="AH436" s="39">
        <f>IF(ISNUMBER($AD436),($AD436+$AE436+$AF436)*$AG436,"")</f>
      </c>
      <c r="AI436" s="50"/>
      <c r="AJ436" s="38">
        <f>IF(ISNUMBER($AD436),SUM($AD436:$AH436),"")</f>
      </c>
      <c r="AK436" s="40">
        <f>IF(AND(ISNUMBER($AB436),ISNUMBER($AD436)),IF($AB436&gt;0,$AD436/$AB436,""),"")</f>
      </c>
      <c r="AL436" s="48" t="inlineStr">
        <is>
          <t xml:space="preserve">At technical</t>
        </is>
      </c>
      <c r="AM436" s="41">
        <f>IF(ISNUMBER($AD436),Header!$I$3,"")</f>
      </c>
      <c r="AN436" s="39">
        <f>IF(ISNUMBER($AD436),$AO436+$AP436,"")</f>
      </c>
      <c r="AO436" s="39">
        <f>IF(ISNUMBER($AD436),ROUND($AD436*Header!$K$3,2),"")</f>
      </c>
      <c r="AP436" s="39">
        <f>IF(ISNUMBER($AD436),ROUND($AD436*Header!$M$3,2),"")</f>
      </c>
      <c r="AQ436" s="38">
        <f>IF(ISNUMBER($AD436),ROUND($AD436,2)-$AO436-$AP436,"")</f>
      </c>
      <c r="AR436" s="39">
        <f>IF(ISNUMBER($AD436),IF(Header!$D$34="","?",$AD436*Header!$D$34),"")</f>
      </c>
      <c r="AS436" s="39">
        <f>IF(ISNUMBER($AB436),IF(Header!$D$34="","?",$AB436*Header!$D$34),"")</f>
      </c>
      <c r="AT436" s="42">
        <f>IF(AND(ISNUMBER($AB436),$M436&gt;0),$AB436/$M436*100,"")</f>
      </c>
      <c r="AU436" s="42">
        <f>IF(AND(ISNUMBER($AD436),$M436&gt;0),$AD436/$M436*100,"")</f>
      </c>
      <c r="AV436" s="40">
        <f>IF(AND(ISNUMBER($AB436),ISNUMBER($AD436),ABS($AB436)&gt;0),$AD436/$AB436,"")</f>
      </c>
      <c r="AW436" s="39">
        <f>IF(ISNUMBER($AD436),MAX(0,(1-0.55-Header!$O$3)*Header!$Q$3*$AQ436),"")</f>
      </c>
      <c r="AX436" s="43">
        <f>IF($A436="","",IF(TRIM(IF($A436="","Missing certificate ref. ","") &amp; IF($C436="","Missing effective date. ","") &amp; IF($D436="","Missing binding status. ","") &amp; IF($E436="","Missing movement type. ","") &amp; IF($I436="","Missing make. ","") &amp; IF($L436="","Missing vehicle class. ","") &amp; IF($M436="","Missing agreed value. ","") &amp; IF($N436="","Missing policy type. ","") &amp; IF($Q436="","Missing garaging state. ","") &amp; IF($R436="","Missing garaging ZIP. ","") &amp; IF($S436="","Missing cat zone. ","") &amp; IF($V436="","Missing valuation basis. ","") &amp; IF($W436="","Missing PD deductible. ","") &amp; IF($X436="","Missing liability limit. ","") &amp; IF($AB436="","Missing technical premium. ","") &amp; IF($AF436="","Missing surplus lines tax %. ",""))="","PASS","FAIL: "&amp;TRIM(IF($A436="","Missing certificate ref. ","") &amp; IF($C436="","Missing effective date. ","") &amp; IF($D436="","Missing binding status. ","") &amp; IF($E436="","Missing movement type. ","") &amp; IF($I436="","Missing make. ","") &amp; IF($L436="","Missing vehicle class. ","") &amp; IF($M436="","Missing agreed value. ","") &amp; IF($N436="","Missing policy type. ","") &amp; IF($Q436="","Missing garaging state. ","") &amp; IF($R436="","Missing garaging ZIP. ","") &amp; IF($S436="","Missing cat zone. ","") &amp; IF($V436="","Missing valuation basis. ","") &amp; IF($W436="","Missing PD deductible. ","") &amp; IF($X436="","Missing liability limit. ","") &amp; IF($AB436="","Missing technical premium. ","") &amp; IF($AF436="","Missing surplus lines tax %. ",""))))</f>
      </c>
      <c r="AY436" s="44">
        <f>IF($M436="","",IF(ISNUMBER($M436),IF($M436&gt;=Header!$C$18,"YES — refer","No"),""))</f>
      </c>
      <c r="AZ436" s="44">
        <f>IF($AD436="","",IF(ISNUMBER($AD436),IF($AD436&lt;Header!$C$20,"BELOW MIN PREMIUM","OK"),""))</f>
      </c>
      <c r="BA436" s="48" t="inlineStr">
        <is>
          <t xml:space="preserve">Yes</t>
        </is>
      </c>
      <c r="BB436" s="48" t="inlineStr">
        <is>
          <t xml:space="preserve">Yes</t>
        </is>
      </c>
      <c r="BC436" s="46" t="inlineStr">
        <is>
          <t xml:space="preserve">Synthetic demo data</t>
        </is>
      </c>
      <c r="BE436" s="45">
        <f>IF(OR($A436="",$L436="",$H436=""),"",IF(AND(LEFT($L436,2)="06",$H436&gt;1945),"FAIL - pre-war class, year "&amp;$H436,IF(AND(LEFT($L436,2)="07",OR($H436&lt;1946,$H436&gt;1972)),"FAIL - 1946-72 class, year "&amp;$H436,IF(AND(LEFT($L436,2)="08",OR($H436&lt;1973,$H436&gt;1999)),"FAIL - 1973-99 class, year "&amp;$H436,IF(AND(LEFT($L436,2)="09",OR($H436&lt;2000,$H436&gt;2010)),"FAIL - 2000-10 class, year "&amp;$H436,"OK")))))</f>
      </c>
      <c r="BF436" s="45">
        <f>IF($AD436="","",IF(ROUND($AO436+$AP436+$AQ436-$AD436,2)=0,"OK","FAIL - out by "&amp;TEXT($AO436+$AP436+$AQ436-$AD436,"$0.00")))</f>
      </c>
    </row>
    <row r="437" spans="1:58" ht="18.75" customHeight="1" x14ac:dyDescent="0.25">
      <c r="A437" s="30" t="inlineStr">
        <is>
          <t xml:space="preserve">CANON-202511-002761</t>
        </is>
      </c>
      <c r="B437" s="30" t="inlineStr">
        <is>
          <t xml:space="preserve">Thaddeus Montoya</t>
        </is>
      </c>
      <c r="C437" s="31">
        <v>45968</v>
      </c>
      <c r="D437" s="32" t="inlineStr">
        <is>
          <t xml:space="preserve">Bound - within authority</t>
        </is>
      </c>
      <c r="E437" s="32" t="inlineStr">
        <is>
          <t xml:space="preserve">New business</t>
        </is>
      </c>
      <c r="F437" s="30" t="inlineStr">
        <is>
          <t xml:space="preserve">B1234EXOTIC26</t>
        </is>
      </c>
      <c r="G437" s="33">
        <f>IF($A437="","",IF($C437="","",YEAR($C437)))</f>
      </c>
      <c r="H437" s="34">
        <v>2023</v>
      </c>
      <c r="I437" s="30" t="inlineStr">
        <is>
          <t xml:space="preserve">Lamborghini</t>
        </is>
      </c>
      <c r="J437" s="30" t="inlineStr">
        <is>
          <t xml:space="preserve">Huracan EVO</t>
        </is>
      </c>
      <c r="K437" s="30" t="inlineStr">
        <is>
          <t xml:space="preserve">C476EBT87NNDF4EX7</t>
        </is>
      </c>
      <c r="L437" s="32" t="inlineStr">
        <is>
          <t xml:space="preserve">03 - Supercar</t>
        </is>
      </c>
      <c r="M437" s="35">
        <v>585000</v>
      </c>
      <c r="N437" s="32" t="inlineStr">
        <is>
          <t xml:space="preserve">Personal</t>
        </is>
      </c>
      <c r="O437" s="30" t="inlineStr">
        <is>
          <t xml:space="preserve">Personal - regular use</t>
        </is>
      </c>
      <c r="P437" s="30" t="inlineStr">
        <is>
          <t xml:space="preserve">2,500 - 5,000</t>
        </is>
      </c>
      <c r="Q437" s="30" t="inlineStr">
        <is>
          <t xml:space="preserve">North Dakota</t>
        </is>
      </c>
      <c r="R437" s="30" t="inlineStr">
        <is>
          <t xml:space="preserve">58501</t>
        </is>
      </c>
      <c r="S437" s="32" t="inlineStr">
        <is>
          <t xml:space="preserve">Severe convective - hail alley (high)</t>
        </is>
      </c>
      <c r="T437" s="36">
        <f>IF($A437="","",IF($S437="","",IFERROR(INDEX('[1]natural catastrophe'!$D$6:$D$17,MATCH($S437,'[1]natural catastrophe'!$B$6:$B$17,0)),"?")))</f>
      </c>
      <c r="U437" s="30" t="inlineStr">
        <is>
          <t xml:space="preserve">$5,000</t>
        </is>
      </c>
      <c r="V437" s="32" t="inlineStr">
        <is>
          <t xml:space="preserve">Agreed Value</t>
        </is>
      </c>
      <c r="W437" s="30" t="inlineStr">
        <is>
          <t xml:space="preserve">$1,000</t>
        </is>
      </c>
      <c r="X437" s="32" t="inlineStr">
        <is>
          <t xml:space="preserve">$1,000,000 CSL</t>
        </is>
      </c>
      <c r="Y437" s="30"/>
      <c r="Z437" s="30"/>
      <c r="AA437" s="32" t="inlineStr">
        <is>
          <t xml:space="preserve">Surplus Lines</t>
        </is>
      </c>
      <c r="AB437" s="35">
        <v>9833.51</v>
      </c>
      <c r="AC437" s="37">
        <v>0</v>
      </c>
      <c r="AD437" s="38">
        <f>IF(ISNUMBER($AB437),$AB437*(1+N($AC437)),"")</f>
      </c>
      <c r="AE437" s="35">
        <v>350</v>
      </c>
      <c r="AF437" s="35">
        <v>0</v>
      </c>
      <c r="AG437" s="37"/>
      <c r="AH437" s="39">
        <f>IF(ISNUMBER($AD437),($AD437+$AE437+$AF437)*$AG437,"")</f>
      </c>
      <c r="AI437" s="35"/>
      <c r="AJ437" s="38">
        <f>IF(ISNUMBER($AD437),SUM($AD437:$AH437),"")</f>
      </c>
      <c r="AK437" s="40">
        <f>IF(AND(ISNUMBER($AB437),ISNUMBER($AD437)),IF($AB437&gt;0,$AD437/$AB437,""),"")</f>
      </c>
      <c r="AL437" s="32" t="inlineStr">
        <is>
          <t xml:space="preserve">At technical</t>
        </is>
      </c>
      <c r="AM437" s="41">
        <f>IF(ISNUMBER($AD437),Header!$I$3,"")</f>
      </c>
      <c r="AN437" s="39">
        <f>IF(ISNUMBER($AD437),$AO437+$AP437,"")</f>
      </c>
      <c r="AO437" s="39">
        <f>IF(ISNUMBER($AD437),ROUND($AD437*Header!$K$3,2),"")</f>
      </c>
      <c r="AP437" s="39">
        <f>IF(ISNUMBER($AD437),ROUND($AD437*Header!$M$3,2),"")</f>
      </c>
      <c r="AQ437" s="38">
        <f>IF(ISNUMBER($AD437),ROUND($AD437,2)-$AO437-$AP437,"")</f>
      </c>
      <c r="AR437" s="39">
        <f>IF(ISNUMBER($AD437),IF(Header!$D$34="","?",$AD437*Header!$D$34),"")</f>
      </c>
      <c r="AS437" s="39">
        <f>IF(ISNUMBER($AB437),IF(Header!$D$34="","?",$AB437*Header!$D$34),"")</f>
      </c>
      <c r="AT437" s="42">
        <f>IF(AND(ISNUMBER($AB437),$M437&gt;0),$AB437/$M437*100,"")</f>
      </c>
      <c r="AU437" s="42">
        <f>IF(AND(ISNUMBER($AD437),$M437&gt;0),$AD437/$M437*100,"")</f>
      </c>
      <c r="AV437" s="40">
        <f>IF(AND(ISNUMBER($AB437),ISNUMBER($AD437),ABS($AB437)&gt;0),$AD437/$AB437,"")</f>
      </c>
      <c r="AW437" s="39">
        <f>IF(ISNUMBER($AD437),MAX(0,(1-0.55-Header!$O$3)*Header!$Q$3*$AQ437),"")</f>
      </c>
      <c r="AX437" s="43">
        <f>IF($A437="","",IF(TRIM(IF($A437="","Missing certificate ref. ","") &amp; IF($C437="","Missing effective date. ","") &amp; IF($D437="","Missing binding status. ","") &amp; IF($E437="","Missing movement type. ","") &amp; IF($I437="","Missing make. ","") &amp; IF($L437="","Missing vehicle class. ","") &amp; IF($M437="","Missing agreed value. ","") &amp; IF($N437="","Missing policy type. ","") &amp; IF($Q437="","Missing garaging state. ","") &amp; IF($R437="","Missing garaging ZIP. ","") &amp; IF($S437="","Missing cat zone. ","") &amp; IF($V437="","Missing valuation basis. ","") &amp; IF($W437="","Missing PD deductible. ","") &amp; IF($X437="","Missing liability limit. ","") &amp; IF($AB437="","Missing technical premium. ","") &amp; IF($AF437="","Missing surplus lines tax %. ",""))="","PASS","FAIL: "&amp;TRIM(IF($A437="","Missing certificate ref. ","") &amp; IF($C437="","Missing effective date. ","") &amp; IF($D437="","Missing binding status. ","") &amp; IF($E437="","Missing movement type. ","") &amp; IF($I437="","Missing make. ","") &amp; IF($L437="","Missing vehicle class. ","") &amp; IF($M437="","Missing agreed value. ","") &amp; IF($N437="","Missing policy type. ","") &amp; IF($Q437="","Missing garaging state. ","") &amp; IF($R437="","Missing garaging ZIP. ","") &amp; IF($S437="","Missing cat zone. ","") &amp; IF($V437="","Missing valuation basis. ","") &amp; IF($W437="","Missing PD deductible. ","") &amp; IF($X437="","Missing liability limit. ","") &amp; IF($AB437="","Missing technical premium. ","") &amp; IF($AF437="","Missing surplus lines tax %. ",""))))</f>
      </c>
      <c r="AY437" s="44">
        <f>IF($M437="","",IF(ISNUMBER($M437),IF($M437&gt;=Header!$C$18,"YES — refer","No"),""))</f>
      </c>
      <c r="AZ437" s="44">
        <f>IF($AD437="","",IF(ISNUMBER($AD437),IF($AD437&lt;Header!$C$20,"BELOW MIN PREMIUM","OK"),""))</f>
      </c>
      <c r="BA437" s="32" t="inlineStr">
        <is>
          <t xml:space="preserve">Yes</t>
        </is>
      </c>
      <c r="BB437" s="32" t="inlineStr">
        <is>
          <t xml:space="preserve">Yes</t>
        </is>
      </c>
      <c r="BC437" s="30" t="inlineStr">
        <is>
          <t xml:space="preserve">Synthetic demo data</t>
        </is>
      </c>
      <c r="BE437" s="45">
        <f>IF(OR($A437="",$L437="",$H437=""),"",IF(AND(LEFT($L437,2)="06",$H437&gt;1945),"FAIL - pre-war class, year "&amp;$H437,IF(AND(LEFT($L437,2)="07",OR($H437&lt;1946,$H437&gt;1972)),"FAIL - 1946-72 class, year "&amp;$H437,IF(AND(LEFT($L437,2)="08",OR($H437&lt;1973,$H437&gt;1999)),"FAIL - 1973-99 class, year "&amp;$H437,IF(AND(LEFT($L437,2)="09",OR($H437&lt;2000,$H437&gt;2010)),"FAIL - 2000-10 class, year "&amp;$H437,"OK")))))</f>
      </c>
      <c r="BF437" s="45">
        <f>IF($AD437="","",IF(ROUND($AO437+$AP437+$AQ437-$AD437,2)=0,"OK","FAIL - out by "&amp;TEXT($AO437+$AP437+$AQ437-$AD437,"$0.00")))</f>
      </c>
    </row>
    <row r="438" spans="1:58" ht="18.75" customHeight="1" x14ac:dyDescent="0.25">
      <c r="A438" s="46" t="inlineStr">
        <is>
          <t xml:space="preserve">CANON-202511-002763</t>
        </is>
      </c>
      <c r="B438" s="46" t="inlineStr">
        <is>
          <t xml:space="preserve">Fenwick Larsson</t>
        </is>
      </c>
      <c r="C438" s="47">
        <v>45979</v>
      </c>
      <c r="D438" s="48" t="inlineStr">
        <is>
          <t xml:space="preserve">Bound - within authority</t>
        </is>
      </c>
      <c r="E438" s="48" t="inlineStr">
        <is>
          <t xml:space="preserve">New business</t>
        </is>
      </c>
      <c r="F438" s="46" t="inlineStr">
        <is>
          <t xml:space="preserve">B1234EXOTIC26</t>
        </is>
      </c>
      <c r="G438" s="33">
        <f>IF($A438="","",IF($C438="","",YEAR($C438)))</f>
      </c>
      <c r="H438" s="49">
        <v>1997</v>
      </c>
      <c r="I438" s="46" t="inlineStr">
        <is>
          <t xml:space="preserve">Mercedes-Benz</t>
        </is>
      </c>
      <c r="J438" s="46" t="inlineStr">
        <is>
          <t xml:space="preserve">AMG GT</t>
        </is>
      </c>
      <c r="K438" s="46" t="inlineStr">
        <is>
          <t xml:space="preserve">1EC2ETTTHZ5C3MZ45</t>
        </is>
      </c>
      <c r="L438" s="48" t="inlineStr">
        <is>
          <t xml:space="preserve">02 - Sports / GT</t>
        </is>
      </c>
      <c r="M438" s="50">
        <v>525000</v>
      </c>
      <c r="N438" s="48" t="inlineStr">
        <is>
          <t xml:space="preserve">Personal</t>
        </is>
      </c>
      <c r="O438" s="46" t="inlineStr">
        <is>
          <t xml:space="preserve">Personal - regular use</t>
        </is>
      </c>
      <c r="P438" s="46" t="inlineStr">
        <is>
          <t xml:space="preserve">1,000 - 2,500</t>
        </is>
      </c>
      <c r="Q438" s="46" t="inlineStr">
        <is>
          <t xml:space="preserve">Alaska</t>
        </is>
      </c>
      <c r="R438" s="46" t="inlineStr">
        <is>
          <t xml:space="preserve">99501</t>
        </is>
      </c>
      <c r="S438" s="48" t="inlineStr">
        <is>
          <t xml:space="preserve">Earthquake - high (CA, Cascadia, New Madrid)</t>
        </is>
      </c>
      <c r="T438" s="36">
        <f>IF($A438="","",IF($S438="","",IFERROR(INDEX('[1]natural catastrophe'!$D$6:$D$17,MATCH($S438,'[1]natural catastrophe'!$B$6:$B$17,0)),"?")))</f>
      </c>
      <c r="U438" s="46" t="inlineStr">
        <is>
          <t xml:space="preserve">$5,000</t>
        </is>
      </c>
      <c r="V438" s="48" t="inlineStr">
        <is>
          <t xml:space="preserve">Agreed Value</t>
        </is>
      </c>
      <c r="W438" s="46" t="inlineStr">
        <is>
          <t xml:space="preserve">$1,000</t>
        </is>
      </c>
      <c r="X438" s="48" t="inlineStr">
        <is>
          <t xml:space="preserve">$1,000,000 CSL</t>
        </is>
      </c>
      <c r="Y438" s="46"/>
      <c r="Z438" s="46"/>
      <c r="AA438" s="48" t="inlineStr">
        <is>
          <t xml:space="preserve">Surplus Lines</t>
        </is>
      </c>
      <c r="AB438" s="50">
        <v>6748.48</v>
      </c>
      <c r="AC438" s="51">
        <v>0</v>
      </c>
      <c r="AD438" s="38">
        <f>IF(ISNUMBER($AB438),$AB438*(1+N($AC438)),"")</f>
      </c>
      <c r="AE438" s="50">
        <v>350</v>
      </c>
      <c r="AF438" s="50">
        <v>0</v>
      </c>
      <c r="AG438" s="51"/>
      <c r="AH438" s="39">
        <f>IF(ISNUMBER($AD438),($AD438+$AE438+$AF438)*$AG438,"")</f>
      </c>
      <c r="AI438" s="50"/>
      <c r="AJ438" s="38">
        <f>IF(ISNUMBER($AD438),SUM($AD438:$AH438),"")</f>
      </c>
      <c r="AK438" s="40">
        <f>IF(AND(ISNUMBER($AB438),ISNUMBER($AD438)),IF($AB438&gt;0,$AD438/$AB438,""),"")</f>
      </c>
      <c r="AL438" s="48" t="inlineStr">
        <is>
          <t xml:space="preserve">At technical</t>
        </is>
      </c>
      <c r="AM438" s="41">
        <f>IF(ISNUMBER($AD438),Header!$I$3,"")</f>
      </c>
      <c r="AN438" s="39">
        <f>IF(ISNUMBER($AD438),$AO438+$AP438,"")</f>
      </c>
      <c r="AO438" s="39">
        <f>IF(ISNUMBER($AD438),ROUND($AD438*Header!$K$3,2),"")</f>
      </c>
      <c r="AP438" s="39">
        <f>IF(ISNUMBER($AD438),ROUND($AD438*Header!$M$3,2),"")</f>
      </c>
      <c r="AQ438" s="38">
        <f>IF(ISNUMBER($AD438),ROUND($AD438,2)-$AO438-$AP438,"")</f>
      </c>
      <c r="AR438" s="39">
        <f>IF(ISNUMBER($AD438),IF(Header!$D$34="","?",$AD438*Header!$D$34),"")</f>
      </c>
      <c r="AS438" s="39">
        <f>IF(ISNUMBER($AB438),IF(Header!$D$34="","?",$AB438*Header!$D$34),"")</f>
      </c>
      <c r="AT438" s="42">
        <f>IF(AND(ISNUMBER($AB438),$M438&gt;0),$AB438/$M438*100,"")</f>
      </c>
      <c r="AU438" s="42">
        <f>IF(AND(ISNUMBER($AD438),$M438&gt;0),$AD438/$M438*100,"")</f>
      </c>
      <c r="AV438" s="40">
        <f>IF(AND(ISNUMBER($AB438),ISNUMBER($AD438),ABS($AB438)&gt;0),$AD438/$AB438,"")</f>
      </c>
      <c r="AW438" s="39">
        <f>IF(ISNUMBER($AD438),MAX(0,(1-0.55-Header!$O$3)*Header!$Q$3*$AQ438),"")</f>
      </c>
      <c r="AX438" s="43">
        <f>IF($A438="","",IF(TRIM(IF($A438="","Missing certificate ref. ","") &amp; IF($C438="","Missing effective date. ","") &amp; IF($D438="","Missing binding status. ","") &amp; IF($E438="","Missing movement type. ","") &amp; IF($I438="","Missing make. ","") &amp; IF($L438="","Missing vehicle class. ","") &amp; IF($M438="","Missing agreed value. ","") &amp; IF($N438="","Missing policy type. ","") &amp; IF($Q438="","Missing garaging state. ","") &amp; IF($R438="","Missing garaging ZIP. ","") &amp; IF($S438="","Missing cat zone. ","") &amp; IF($V438="","Missing valuation basis. ","") &amp; IF($W438="","Missing PD deductible. ","") &amp; IF($X438="","Missing liability limit. ","") &amp; IF($AB438="","Missing technical premium. ","") &amp; IF($AF438="","Missing surplus lines tax %. ",""))="","PASS","FAIL: "&amp;TRIM(IF($A438="","Missing certificate ref. ","") &amp; IF($C438="","Missing effective date. ","") &amp; IF($D438="","Missing binding status. ","") &amp; IF($E438="","Missing movement type. ","") &amp; IF($I438="","Missing make. ","") &amp; IF($L438="","Missing vehicle class. ","") &amp; IF($M438="","Missing agreed value. ","") &amp; IF($N438="","Missing policy type. ","") &amp; IF($Q438="","Missing garaging state. ","") &amp; IF($R438="","Missing garaging ZIP. ","") &amp; IF($S438="","Missing cat zone. ","") &amp; IF($V438="","Missing valuation basis. ","") &amp; IF($W438="","Missing PD deductible. ","") &amp; IF($X438="","Missing liability limit. ","") &amp; IF($AB438="","Missing technical premium. ","") &amp; IF($AF438="","Missing surplus lines tax %. ",""))))</f>
      </c>
      <c r="AY438" s="44">
        <f>IF($M438="","",IF(ISNUMBER($M438),IF($M438&gt;=Header!$C$18,"YES — refer","No"),""))</f>
      </c>
      <c r="AZ438" s="44">
        <f>IF($AD438="","",IF(ISNUMBER($AD438),IF($AD438&lt;Header!$C$20,"BELOW MIN PREMIUM","OK"),""))</f>
      </c>
      <c r="BA438" s="48" t="inlineStr">
        <is>
          <t xml:space="preserve">Yes</t>
        </is>
      </c>
      <c r="BB438" s="48" t="inlineStr">
        <is>
          <t xml:space="preserve">Yes</t>
        </is>
      </c>
      <c r="BC438" s="46" t="inlineStr">
        <is>
          <t xml:space="preserve">Synthetic demo data</t>
        </is>
      </c>
      <c r="BE438" s="45">
        <f>IF(OR($A438="",$L438="",$H438=""),"",IF(AND(LEFT($L438,2)="06",$H438&gt;1945),"FAIL - pre-war class, year "&amp;$H438,IF(AND(LEFT($L438,2)="07",OR($H438&lt;1946,$H438&gt;1972)),"FAIL - 1946-72 class, year "&amp;$H438,IF(AND(LEFT($L438,2)="08",OR($H438&lt;1973,$H438&gt;1999)),"FAIL - 1973-99 class, year "&amp;$H438,IF(AND(LEFT($L438,2)="09",OR($H438&lt;2000,$H438&gt;2010)),"FAIL - 2000-10 class, year "&amp;$H438,"OK")))))</f>
      </c>
      <c r="BF438" s="45">
        <f>IF($AD438="","",IF(ROUND($AO438+$AP438+$AQ438-$AD438,2)=0,"OK","FAIL - out by "&amp;TEXT($AO438+$AP438+$AQ438-$AD438,"$0.00")))</f>
      </c>
    </row>
    <row r="439" spans="1:58" ht="18.75" customHeight="1" x14ac:dyDescent="0.25">
      <c r="A439" s="30" t="inlineStr">
        <is>
          <t xml:space="preserve">CANON-202511-002764</t>
        </is>
      </c>
      <c r="B439" s="30" t="inlineStr">
        <is>
          <t xml:space="preserve">Fenwick Blackwood</t>
        </is>
      </c>
      <c r="C439" s="31">
        <v>45984</v>
      </c>
      <c r="D439" s="32" t="inlineStr">
        <is>
          <t xml:space="preserve">Bound - within authority</t>
        </is>
      </c>
      <c r="E439" s="32" t="inlineStr">
        <is>
          <t xml:space="preserve">New business</t>
        </is>
      </c>
      <c r="F439" s="30" t="inlineStr">
        <is>
          <t xml:space="preserve">B1234EXOTIC26</t>
        </is>
      </c>
      <c r="G439" s="33">
        <f>IF($A439="","",IF($C439="","",YEAR($C439)))</f>
      </c>
      <c r="H439" s="34">
        <v>1970</v>
      </c>
      <c r="I439" s="30" t="inlineStr">
        <is>
          <t xml:space="preserve">BMW</t>
        </is>
      </c>
      <c r="J439" s="30" t="inlineStr">
        <is>
          <t xml:space="preserve">M8 Competition</t>
        </is>
      </c>
      <c r="K439" s="30" t="inlineStr">
        <is>
          <t xml:space="preserve">1629UTCYSRS7G5AD3</t>
        </is>
      </c>
      <c r="L439" s="32" t="inlineStr">
        <is>
          <t xml:space="preserve">02 - Sports / GT</t>
        </is>
      </c>
      <c r="M439" s="35">
        <v>410000</v>
      </c>
      <c r="N439" s="32" t="inlineStr">
        <is>
          <t xml:space="preserve">Personal</t>
        </is>
      </c>
      <c r="O439" s="30" t="inlineStr">
        <is>
          <t xml:space="preserve">Personal - regular use</t>
        </is>
      </c>
      <c r="P439" s="30" t="inlineStr">
        <is>
          <t xml:space="preserve">1,000 - 2,500</t>
        </is>
      </c>
      <c r="Q439" s="30" t="inlineStr">
        <is>
          <t xml:space="preserve">New York</t>
        </is>
      </c>
      <c r="R439" s="30" t="inlineStr">
        <is>
          <t xml:space="preserve">10022</t>
        </is>
      </c>
      <c r="S439" s="32" t="inlineStr">
        <is>
          <t xml:space="preserve">Tier 3 - Coastal wind (25-100 miles)</t>
        </is>
      </c>
      <c r="T439" s="36">
        <f>IF($A439="","",IF($S439="","",IFERROR(INDEX('[1]natural catastrophe'!$D$6:$D$17,MATCH($S439,'[1]natural catastrophe'!$B$6:$B$17,0)),"?")))</f>
      </c>
      <c r="U439" s="30" t="inlineStr">
        <is>
          <t xml:space="preserve">2% of agreed value, minimum $10,000</t>
        </is>
      </c>
      <c r="V439" s="32" t="inlineStr">
        <is>
          <t xml:space="preserve">Agreed Value</t>
        </is>
      </c>
      <c r="W439" s="30" t="inlineStr">
        <is>
          <t xml:space="preserve">$1,000</t>
        </is>
      </c>
      <c r="X439" s="32" t="inlineStr">
        <is>
          <t xml:space="preserve">$1,000,000 CSL</t>
        </is>
      </c>
      <c r="Y439" s="30"/>
      <c r="Z439" s="30"/>
      <c r="AA439" s="32" t="inlineStr">
        <is>
          <t xml:space="preserve">Surplus Lines</t>
        </is>
      </c>
      <c r="AB439" s="35">
        <v>6827.85</v>
      </c>
      <c r="AC439" s="37">
        <v>0</v>
      </c>
      <c r="AD439" s="38">
        <f>IF(ISNUMBER($AB439),$AB439*(1+N($AC439)),"")</f>
      </c>
      <c r="AE439" s="35">
        <v>350</v>
      </c>
      <c r="AF439" s="35">
        <v>0</v>
      </c>
      <c r="AG439" s="37"/>
      <c r="AH439" s="39">
        <f>IF(ISNUMBER($AD439),($AD439+$AE439+$AF439)*$AG439,"")</f>
      </c>
      <c r="AI439" s="35"/>
      <c r="AJ439" s="38">
        <f>IF(ISNUMBER($AD439),SUM($AD439:$AH439),"")</f>
      </c>
      <c r="AK439" s="40">
        <f>IF(AND(ISNUMBER($AB439),ISNUMBER($AD439)),IF($AB439&gt;0,$AD439/$AB439,""),"")</f>
      </c>
      <c r="AL439" s="32" t="inlineStr">
        <is>
          <t xml:space="preserve">At technical</t>
        </is>
      </c>
      <c r="AM439" s="41">
        <f>IF(ISNUMBER($AD439),Header!$I$3,"")</f>
      </c>
      <c r="AN439" s="39">
        <f>IF(ISNUMBER($AD439),$AO439+$AP439,"")</f>
      </c>
      <c r="AO439" s="39">
        <f>IF(ISNUMBER($AD439),ROUND($AD439*Header!$K$3,2),"")</f>
      </c>
      <c r="AP439" s="39">
        <f>IF(ISNUMBER($AD439),ROUND($AD439*Header!$M$3,2),"")</f>
      </c>
      <c r="AQ439" s="38">
        <f>IF(ISNUMBER($AD439),ROUND($AD439,2)-$AO439-$AP439,"")</f>
      </c>
      <c r="AR439" s="39">
        <f>IF(ISNUMBER($AD439),IF(Header!$D$34="","?",$AD439*Header!$D$34),"")</f>
      </c>
      <c r="AS439" s="39">
        <f>IF(ISNUMBER($AB439),IF(Header!$D$34="","?",$AB439*Header!$D$34),"")</f>
      </c>
      <c r="AT439" s="42">
        <f>IF(AND(ISNUMBER($AB439),$M439&gt;0),$AB439/$M439*100,"")</f>
      </c>
      <c r="AU439" s="42">
        <f>IF(AND(ISNUMBER($AD439),$M439&gt;0),$AD439/$M439*100,"")</f>
      </c>
      <c r="AV439" s="40">
        <f>IF(AND(ISNUMBER($AB439),ISNUMBER($AD439),ABS($AB439)&gt;0),$AD439/$AB439,"")</f>
      </c>
      <c r="AW439" s="39">
        <f>IF(ISNUMBER($AD439),MAX(0,(1-0.55-Header!$O$3)*Header!$Q$3*$AQ439),"")</f>
      </c>
      <c r="AX439" s="43">
        <f>IF($A439="","",IF(TRIM(IF($A439="","Missing certificate ref. ","") &amp; IF($C439="","Missing effective date. ","") &amp; IF($D439="","Missing binding status. ","") &amp; IF($E439="","Missing movement type. ","") &amp; IF($I439="","Missing make. ","") &amp; IF($L439="","Missing vehicle class. ","") &amp; IF($M439="","Missing agreed value. ","") &amp; IF($N439="","Missing policy type. ","") &amp; IF($Q439="","Missing garaging state. ","") &amp; IF($R439="","Missing garaging ZIP. ","") &amp; IF($S439="","Missing cat zone. ","") &amp; IF($V439="","Missing valuation basis. ","") &amp; IF($W439="","Missing PD deductible. ","") &amp; IF($X439="","Missing liability limit. ","") &amp; IF($AB439="","Missing technical premium. ","") &amp; IF($AF439="","Missing surplus lines tax %. ",""))="","PASS","FAIL: "&amp;TRIM(IF($A439="","Missing certificate ref. ","") &amp; IF($C439="","Missing effective date. ","") &amp; IF($D439="","Missing binding status. ","") &amp; IF($E439="","Missing movement type. ","") &amp; IF($I439="","Missing make. ","") &amp; IF($L439="","Missing vehicle class. ","") &amp; IF($M439="","Missing agreed value. ","") &amp; IF($N439="","Missing policy type. ","") &amp; IF($Q439="","Missing garaging state. ","") &amp; IF($R439="","Missing garaging ZIP. ","") &amp; IF($S439="","Missing cat zone. ","") &amp; IF($V439="","Missing valuation basis. ","") &amp; IF($W439="","Missing PD deductible. ","") &amp; IF($X439="","Missing liability limit. ","") &amp; IF($AB439="","Missing technical premium. ","") &amp; IF($AF439="","Missing surplus lines tax %. ",""))))</f>
      </c>
      <c r="AY439" s="44">
        <f>IF($M439="","",IF(ISNUMBER($M439),IF($M439&gt;=Header!$C$18,"YES — refer","No"),""))</f>
      </c>
      <c r="AZ439" s="44">
        <f>IF($AD439="","",IF(ISNUMBER($AD439),IF($AD439&lt;Header!$C$20,"BELOW MIN PREMIUM","OK"),""))</f>
      </c>
      <c r="BA439" s="32" t="inlineStr">
        <is>
          <t xml:space="preserve">Yes</t>
        </is>
      </c>
      <c r="BB439" s="32" t="inlineStr">
        <is>
          <t xml:space="preserve">Yes</t>
        </is>
      </c>
      <c r="BC439" s="30" t="inlineStr">
        <is>
          <t xml:space="preserve">Synthetic demo data</t>
        </is>
      </c>
      <c r="BE439" s="45">
        <f>IF(OR($A439="",$L439="",$H439=""),"",IF(AND(LEFT($L439,2)="06",$H439&gt;1945),"FAIL - pre-war class, year "&amp;$H439,IF(AND(LEFT($L439,2)="07",OR($H439&lt;1946,$H439&gt;1972)),"FAIL - 1946-72 class, year "&amp;$H439,IF(AND(LEFT($L439,2)="08",OR($H439&lt;1973,$H439&gt;1999)),"FAIL - 1973-99 class, year "&amp;$H439,IF(AND(LEFT($L439,2)="09",OR($H439&lt;2000,$H439&gt;2010)),"FAIL - 2000-10 class, year "&amp;$H439,"OK")))))</f>
      </c>
      <c r="BF439" s="45">
        <f>IF($AD439="","",IF(ROUND($AO439+$AP439+$AQ439-$AD439,2)=0,"OK","FAIL - out by "&amp;TEXT($AO439+$AP439+$AQ439-$AD439,"$0.00")))</f>
      </c>
    </row>
    <row r="440" spans="1:58" ht="18.75" customHeight="1" x14ac:dyDescent="0.25">
      <c r="A440" s="46" t="inlineStr">
        <is>
          <t xml:space="preserve">CANON-202511-002765</t>
        </is>
      </c>
      <c r="B440" s="46" t="inlineStr">
        <is>
          <t xml:space="preserve">Aurelio Larsson</t>
        </is>
      </c>
      <c r="C440" s="47">
        <v>45991</v>
      </c>
      <c r="D440" s="48" t="inlineStr">
        <is>
          <t xml:space="preserve">Bound - within authority</t>
        </is>
      </c>
      <c r="E440" s="48" t="inlineStr">
        <is>
          <t xml:space="preserve">New business</t>
        </is>
      </c>
      <c r="F440" s="46" t="inlineStr">
        <is>
          <t xml:space="preserve">B1234EXOTIC26</t>
        </is>
      </c>
      <c r="G440" s="33">
        <f>IF($A440="","",IF($C440="","",YEAR($C440)))</f>
      </c>
      <c r="H440" s="49">
        <v>1967</v>
      </c>
      <c r="I440" s="46" t="inlineStr">
        <is>
          <t xml:space="preserve">Ferrari</t>
        </is>
      </c>
      <c r="J440" s="46" t="inlineStr">
        <is>
          <t xml:space="preserve">296 GTB</t>
        </is>
      </c>
      <c r="K440" s="46" t="inlineStr">
        <is>
          <t xml:space="preserve">A3PSGMUNAA0W67T5Z</t>
        </is>
      </c>
      <c r="L440" s="48" t="inlineStr">
        <is>
          <t xml:space="preserve">03 - Supercar</t>
        </is>
      </c>
      <c r="M440" s="50">
        <v>450000</v>
      </c>
      <c r="N440" s="48" t="inlineStr">
        <is>
          <t xml:space="preserve">Personal</t>
        </is>
      </c>
      <c r="O440" s="46" t="inlineStr">
        <is>
          <t xml:space="preserve">Personal - regular use</t>
        </is>
      </c>
      <c r="P440" s="46" t="inlineStr">
        <is>
          <t xml:space="preserve">Under 1,000</t>
        </is>
      </c>
      <c r="Q440" s="46" t="inlineStr">
        <is>
          <t xml:space="preserve">California</t>
        </is>
      </c>
      <c r="R440" s="46" t="inlineStr">
        <is>
          <t xml:space="preserve">90012</t>
        </is>
      </c>
      <c r="S440" s="48" t="inlineStr">
        <is>
          <t xml:space="preserve">Earthquake - high (CA, Cascadia, New Madrid)</t>
        </is>
      </c>
      <c r="T440" s="36">
        <f>IF($A440="","",IF($S440="","",IFERROR(INDEX('[1]natural catastrophe'!$D$6:$D$17,MATCH($S440,'[1]natural catastrophe'!$B$6:$B$17,0)),"?")))</f>
      </c>
      <c r="U440" s="46" t="inlineStr">
        <is>
          <t xml:space="preserve">$5,000</t>
        </is>
      </c>
      <c r="V440" s="48" t="inlineStr">
        <is>
          <t xml:space="preserve">Agreed Value</t>
        </is>
      </c>
      <c r="W440" s="46" t="inlineStr">
        <is>
          <t xml:space="preserve">$1,000</t>
        </is>
      </c>
      <c r="X440" s="48" t="inlineStr">
        <is>
          <t xml:space="preserve">$1,000,000 CSL</t>
        </is>
      </c>
      <c r="Y440" s="46"/>
      <c r="Z440" s="46"/>
      <c r="AA440" s="48" t="inlineStr">
        <is>
          <t xml:space="preserve">Surplus Lines</t>
        </is>
      </c>
      <c r="AB440" s="50">
        <v>12119.16</v>
      </c>
      <c r="AC440" s="51">
        <v>0</v>
      </c>
      <c r="AD440" s="38">
        <f>IF(ISNUMBER($AB440),$AB440*(1+N($AC440)),"")</f>
      </c>
      <c r="AE440" s="50">
        <v>350</v>
      </c>
      <c r="AF440" s="50">
        <v>0</v>
      </c>
      <c r="AG440" s="51"/>
      <c r="AH440" s="39">
        <f>IF(ISNUMBER($AD440),($AD440+$AE440+$AF440)*$AG440,"")</f>
      </c>
      <c r="AI440" s="50"/>
      <c r="AJ440" s="38">
        <f>IF(ISNUMBER($AD440),SUM($AD440:$AH440),"")</f>
      </c>
      <c r="AK440" s="40">
        <f>IF(AND(ISNUMBER($AB440),ISNUMBER($AD440)),IF($AB440&gt;0,$AD440/$AB440,""),"")</f>
      </c>
      <c r="AL440" s="48" t="inlineStr">
        <is>
          <t xml:space="preserve">At technical</t>
        </is>
      </c>
      <c r="AM440" s="41">
        <f>IF(ISNUMBER($AD440),Header!$I$3,"")</f>
      </c>
      <c r="AN440" s="39">
        <f>IF(ISNUMBER($AD440),$AO440+$AP440,"")</f>
      </c>
      <c r="AO440" s="39">
        <f>IF(ISNUMBER($AD440),ROUND($AD440*Header!$K$3,2),"")</f>
      </c>
      <c r="AP440" s="39">
        <f>IF(ISNUMBER($AD440),ROUND($AD440*Header!$M$3,2),"")</f>
      </c>
      <c r="AQ440" s="38">
        <f>IF(ISNUMBER($AD440),ROUND($AD440,2)-$AO440-$AP440,"")</f>
      </c>
      <c r="AR440" s="39">
        <f>IF(ISNUMBER($AD440),IF(Header!$D$34="","?",$AD440*Header!$D$34),"")</f>
      </c>
      <c r="AS440" s="39">
        <f>IF(ISNUMBER($AB440),IF(Header!$D$34="","?",$AB440*Header!$D$34),"")</f>
      </c>
      <c r="AT440" s="42">
        <f>IF(AND(ISNUMBER($AB440),$M440&gt;0),$AB440/$M440*100,"")</f>
      </c>
      <c r="AU440" s="42">
        <f>IF(AND(ISNUMBER($AD440),$M440&gt;0),$AD440/$M440*100,"")</f>
      </c>
      <c r="AV440" s="40">
        <f>IF(AND(ISNUMBER($AB440),ISNUMBER($AD440),ABS($AB440)&gt;0),$AD440/$AB440,"")</f>
      </c>
      <c r="AW440" s="39">
        <f>IF(ISNUMBER($AD440),MAX(0,(1-0.55-Header!$O$3)*Header!$Q$3*$AQ440),"")</f>
      </c>
      <c r="AX440" s="43">
        <f>IF($A440="","",IF(TRIM(IF($A440="","Missing certificate ref. ","") &amp; IF($C440="","Missing effective date. ","") &amp; IF($D440="","Missing binding status. ","") &amp; IF($E440="","Missing movement type. ","") &amp; IF($I440="","Missing make. ","") &amp; IF($L440="","Missing vehicle class. ","") &amp; IF($M440="","Missing agreed value. ","") &amp; IF($N440="","Missing policy type. ","") &amp; IF($Q440="","Missing garaging state. ","") &amp; IF($R440="","Missing garaging ZIP. ","") &amp; IF($S440="","Missing cat zone. ","") &amp; IF($V440="","Missing valuation basis. ","") &amp; IF($W440="","Missing PD deductible. ","") &amp; IF($X440="","Missing liability limit. ","") &amp; IF($AB440="","Missing technical premium. ","") &amp; IF($AF440="","Missing surplus lines tax %. ",""))="","PASS","FAIL: "&amp;TRIM(IF($A440="","Missing certificate ref. ","") &amp; IF($C440="","Missing effective date. ","") &amp; IF($D440="","Missing binding status. ","") &amp; IF($E440="","Missing movement type. ","") &amp; IF($I440="","Missing make. ","") &amp; IF($L440="","Missing vehicle class. ","") &amp; IF($M440="","Missing agreed value. ","") &amp; IF($N440="","Missing policy type. ","") &amp; IF($Q440="","Missing garaging state. ","") &amp; IF($R440="","Missing garaging ZIP. ","") &amp; IF($S440="","Missing cat zone. ","") &amp; IF($V440="","Missing valuation basis. ","") &amp; IF($W440="","Missing PD deductible. ","") &amp; IF($X440="","Missing liability limit. ","") &amp; IF($AB440="","Missing technical premium. ","") &amp; IF($AF440="","Missing surplus lines tax %. ",""))))</f>
      </c>
      <c r="AY440" s="44">
        <f>IF($M440="","",IF(ISNUMBER($M440),IF($M440&gt;=Header!$C$18,"YES — refer","No"),""))</f>
      </c>
      <c r="AZ440" s="44">
        <f>IF($AD440="","",IF(ISNUMBER($AD440),IF($AD440&lt;Header!$C$20,"BELOW MIN PREMIUM","OK"),""))</f>
      </c>
      <c r="BA440" s="48" t="inlineStr">
        <is>
          <t xml:space="preserve">Yes</t>
        </is>
      </c>
      <c r="BB440" s="48" t="inlineStr">
        <is>
          <t xml:space="preserve">Yes</t>
        </is>
      </c>
      <c r="BC440" s="46" t="inlineStr">
        <is>
          <t xml:space="preserve">Synthetic demo data</t>
        </is>
      </c>
      <c r="BE440" s="45">
        <f>IF(OR($A440="",$L440="",$H440=""),"",IF(AND(LEFT($L440,2)="06",$H440&gt;1945),"FAIL - pre-war class, year "&amp;$H440,IF(AND(LEFT($L440,2)="07",OR($H440&lt;1946,$H440&gt;1972)),"FAIL - 1946-72 class, year "&amp;$H440,IF(AND(LEFT($L440,2)="08",OR($H440&lt;1973,$H440&gt;1999)),"FAIL - 1973-99 class, year "&amp;$H440,IF(AND(LEFT($L440,2)="09",OR($H440&lt;2000,$H440&gt;2010)),"FAIL - 2000-10 class, year "&amp;$H440,"OK")))))</f>
      </c>
      <c r="BF440" s="45">
        <f>IF($AD440="","",IF(ROUND($AO440+$AP440+$AQ440-$AD440,2)=0,"OK","FAIL - out by "&amp;TEXT($AO440+$AP440+$AQ440-$AD440,"$0.00")))</f>
      </c>
    </row>
    <row r="441" spans="1:58" ht="18.75" customHeight="1" x14ac:dyDescent="0.25">
      <c r="A441" s="30" t="inlineStr">
        <is>
          <t xml:space="preserve">CANON-202511-002767</t>
        </is>
      </c>
      <c r="B441" s="30" t="inlineStr">
        <is>
          <t xml:space="preserve">Saoirse Farkas</t>
        </is>
      </c>
      <c r="C441" s="31">
        <v>45991</v>
      </c>
      <c r="D441" s="32" t="inlineStr">
        <is>
          <t xml:space="preserve">Bound - within authority</t>
        </is>
      </c>
      <c r="E441" s="32" t="inlineStr">
        <is>
          <t xml:space="preserve">New business</t>
        </is>
      </c>
      <c r="F441" s="30" t="inlineStr">
        <is>
          <t xml:space="preserve">B1234EXOTIC26</t>
        </is>
      </c>
      <c r="G441" s="33">
        <f>IF($A441="","",IF($C441="","",YEAR($C441)))</f>
      </c>
      <c r="H441" s="34">
        <v>1989</v>
      </c>
      <c r="I441" s="30" t="inlineStr">
        <is>
          <t xml:space="preserve">BMW</t>
        </is>
      </c>
      <c r="J441" s="30" t="inlineStr">
        <is>
          <t xml:space="preserve">M8 Competition</t>
        </is>
      </c>
      <c r="K441" s="30" t="inlineStr">
        <is>
          <t xml:space="preserve">9SRAJNK6BJS3MWCN6</t>
        </is>
      </c>
      <c r="L441" s="32" t="inlineStr">
        <is>
          <t xml:space="preserve">02 - Sports / GT</t>
        </is>
      </c>
      <c r="M441" s="35">
        <v>1175000</v>
      </c>
      <c r="N441" s="32" t="inlineStr">
        <is>
          <t xml:space="preserve">Personal</t>
        </is>
      </c>
      <c r="O441" s="30" t="inlineStr">
        <is>
          <t xml:space="preserve">Personal - regular use</t>
        </is>
      </c>
      <c r="P441" s="30" t="inlineStr">
        <is>
          <t xml:space="preserve">1,000 - 2,500</t>
        </is>
      </c>
      <c r="Q441" s="30" t="inlineStr">
        <is>
          <t xml:space="preserve">Illinois</t>
        </is>
      </c>
      <c r="R441" s="30" t="inlineStr">
        <is>
          <t xml:space="preserve">60601</t>
        </is>
      </c>
      <c r="S441" s="32" t="inlineStr">
        <is>
          <t xml:space="preserve">Severe convective - hail / tornado (moderate)</t>
        </is>
      </c>
      <c r="T441" s="36">
        <f>IF($A441="","",IF($S441="","",IFERROR(INDEX('[1]natural catastrophe'!$D$6:$D$17,MATCH($S441,'[1]natural catastrophe'!$B$6:$B$17,0)),"?")))</f>
      </c>
      <c r="U441" s="30" t="inlineStr">
        <is>
          <t xml:space="preserve">$5,000</t>
        </is>
      </c>
      <c r="V441" s="32" t="inlineStr">
        <is>
          <t xml:space="preserve">Agreed Value</t>
        </is>
      </c>
      <c r="W441" s="30" t="inlineStr">
        <is>
          <t xml:space="preserve">$1,000</t>
        </is>
      </c>
      <c r="X441" s="32" t="inlineStr">
        <is>
          <t xml:space="preserve">$1,000,000 CSL</t>
        </is>
      </c>
      <c r="Y441" s="30"/>
      <c r="Z441" s="30"/>
      <c r="AA441" s="32" t="inlineStr">
        <is>
          <t xml:space="preserve">Surplus Lines</t>
        </is>
      </c>
      <c r="AB441" s="35">
        <v>15246.43</v>
      </c>
      <c r="AC441" s="37">
        <v>0</v>
      </c>
      <c r="AD441" s="38">
        <f>IF(ISNUMBER($AB441),$AB441*(1+N($AC441)),"")</f>
      </c>
      <c r="AE441" s="35">
        <v>350</v>
      </c>
      <c r="AF441" s="35">
        <v>250</v>
      </c>
      <c r="AG441" s="37"/>
      <c r="AH441" s="39">
        <f>IF(ISNUMBER($AD441),($AD441+$AE441+$AF441)*$AG441,"")</f>
      </c>
      <c r="AI441" s="35"/>
      <c r="AJ441" s="38">
        <f>IF(ISNUMBER($AD441),SUM($AD441:$AH441),"")</f>
      </c>
      <c r="AK441" s="40">
        <f>IF(AND(ISNUMBER($AB441),ISNUMBER($AD441)),IF($AB441&gt;0,$AD441/$AB441,""),"")</f>
      </c>
      <c r="AL441" s="32" t="inlineStr">
        <is>
          <t xml:space="preserve">At technical</t>
        </is>
      </c>
      <c r="AM441" s="41">
        <f>IF(ISNUMBER($AD441),Header!$I$3,"")</f>
      </c>
      <c r="AN441" s="39">
        <f>IF(ISNUMBER($AD441),$AO441+$AP441,"")</f>
      </c>
      <c r="AO441" s="39">
        <f>IF(ISNUMBER($AD441),ROUND($AD441*Header!$K$3,2),"")</f>
      </c>
      <c r="AP441" s="39">
        <f>IF(ISNUMBER($AD441),ROUND($AD441*Header!$M$3,2),"")</f>
      </c>
      <c r="AQ441" s="38">
        <f>IF(ISNUMBER($AD441),ROUND($AD441,2)-$AO441-$AP441,"")</f>
      </c>
      <c r="AR441" s="39">
        <f>IF(ISNUMBER($AD441),IF(Header!$D$34="","?",$AD441*Header!$D$34),"")</f>
      </c>
      <c r="AS441" s="39">
        <f>IF(ISNUMBER($AB441),IF(Header!$D$34="","?",$AB441*Header!$D$34),"")</f>
      </c>
      <c r="AT441" s="42">
        <f>IF(AND(ISNUMBER($AB441),$M441&gt;0),$AB441/$M441*100,"")</f>
      </c>
      <c r="AU441" s="42">
        <f>IF(AND(ISNUMBER($AD441),$M441&gt;0),$AD441/$M441*100,"")</f>
      </c>
      <c r="AV441" s="40">
        <f>IF(AND(ISNUMBER($AB441),ISNUMBER($AD441),ABS($AB441)&gt;0),$AD441/$AB441,"")</f>
      </c>
      <c r="AW441" s="39">
        <f>IF(ISNUMBER($AD441),MAX(0,(1-0.55-Header!$O$3)*Header!$Q$3*$AQ441),"")</f>
      </c>
      <c r="AX441" s="43">
        <f>IF($A441="","",IF(TRIM(IF($A441="","Missing certificate ref. ","") &amp; IF($C441="","Missing effective date. ","") &amp; IF($D441="","Missing binding status. ","") &amp; IF($E441="","Missing movement type. ","") &amp; IF($I441="","Missing make. ","") &amp; IF($L441="","Missing vehicle class. ","") &amp; IF($M441="","Missing agreed value. ","") &amp; IF($N441="","Missing policy type. ","") &amp; IF($Q441="","Missing garaging state. ","") &amp; IF($R441="","Missing garaging ZIP. ","") &amp; IF($S441="","Missing cat zone. ","") &amp; IF($V441="","Missing valuation basis. ","") &amp; IF($W441="","Missing PD deductible. ","") &amp; IF($X441="","Missing liability limit. ","") &amp; IF($AB441="","Missing technical premium. ","") &amp; IF($AF441="","Missing surplus lines tax %. ",""))="","PASS","FAIL: "&amp;TRIM(IF($A441="","Missing certificate ref. ","") &amp; IF($C441="","Missing effective date. ","") &amp; IF($D441="","Missing binding status. ","") &amp; IF($E441="","Missing movement type. ","") &amp; IF($I441="","Missing make. ","") &amp; IF($L441="","Missing vehicle class. ","") &amp; IF($M441="","Missing agreed value. ","") &amp; IF($N441="","Missing policy type. ","") &amp; IF($Q441="","Missing garaging state. ","") &amp; IF($R441="","Missing garaging ZIP. ","") &amp; IF($S441="","Missing cat zone. ","") &amp; IF($V441="","Missing valuation basis. ","") &amp; IF($W441="","Missing PD deductible. ","") &amp; IF($X441="","Missing liability limit. ","") &amp; IF($AB441="","Missing technical premium. ","") &amp; IF($AF441="","Missing surplus lines tax %. ",""))))</f>
      </c>
      <c r="AY441" s="44">
        <f>IF($M441="","",IF(ISNUMBER($M441),IF($M441&gt;=Header!$C$18,"YES — refer","No"),""))</f>
      </c>
      <c r="AZ441" s="44">
        <f>IF($AD441="","",IF(ISNUMBER($AD441),IF($AD441&lt;Header!$C$20,"BELOW MIN PREMIUM","OK"),""))</f>
      </c>
      <c r="BA441" s="32" t="inlineStr">
        <is>
          <t xml:space="preserve">Yes</t>
        </is>
      </c>
      <c r="BB441" s="32" t="inlineStr">
        <is>
          <t xml:space="preserve">Yes</t>
        </is>
      </c>
      <c r="BC441" s="30" t="inlineStr">
        <is>
          <t xml:space="preserve">Synthetic demo data</t>
        </is>
      </c>
      <c r="BE441" s="45">
        <f>IF(OR($A441="",$L441="",$H441=""),"",IF(AND(LEFT($L441,2)="06",$H441&gt;1945),"FAIL - pre-war class, year "&amp;$H441,IF(AND(LEFT($L441,2)="07",OR($H441&lt;1946,$H441&gt;1972)),"FAIL - 1946-72 class, year "&amp;$H441,IF(AND(LEFT($L441,2)="08",OR($H441&lt;1973,$H441&gt;1999)),"FAIL - 1973-99 class, year "&amp;$H441,IF(AND(LEFT($L441,2)="09",OR($H441&lt;2000,$H441&gt;2010)),"FAIL - 2000-10 class, year "&amp;$H441,"OK")))))</f>
      </c>
      <c r="BF441" s="45">
        <f>IF($AD441="","",IF(ROUND($AO441+$AP441+$AQ441-$AD441,2)=0,"OK","FAIL - out by "&amp;TEXT($AO441+$AP441+$AQ441-$AD441,"$0.00")))</f>
      </c>
    </row>
    <row r="442" spans="1:58" ht="18.75" customHeight="1" x14ac:dyDescent="0.25">
      <c r="A442" s="46" t="inlineStr">
        <is>
          <t xml:space="preserve">CANON-202511-002768</t>
        </is>
      </c>
      <c r="B442" s="46" t="inlineStr">
        <is>
          <t xml:space="preserve">Thaddeus Fairweather</t>
        </is>
      </c>
      <c r="C442" s="47">
        <v>45963</v>
      </c>
      <c r="D442" s="48" t="inlineStr">
        <is>
          <t xml:space="preserve">Bound - within authority</t>
        </is>
      </c>
      <c r="E442" s="48" t="inlineStr">
        <is>
          <t xml:space="preserve">New business</t>
        </is>
      </c>
      <c r="F442" s="46" t="inlineStr">
        <is>
          <t xml:space="preserve">B1234EXOTIC26</t>
        </is>
      </c>
      <c r="G442" s="33">
        <f>IF($A442="","",IF($C442="","",YEAR($C442)))</f>
      </c>
      <c r="H442" s="49">
        <v>1966</v>
      </c>
      <c r="I442" s="46" t="inlineStr">
        <is>
          <t xml:space="preserve">Mercedes-Benz</t>
        </is>
      </c>
      <c r="J442" s="46" t="inlineStr">
        <is>
          <t xml:space="preserve">280SL Pagoda</t>
        </is>
      </c>
      <c r="K442" s="46" t="inlineStr">
        <is>
          <t xml:space="preserve">RRX1KB185NA8F1MW6</t>
        </is>
      </c>
      <c r="L442" s="48" t="inlineStr">
        <is>
          <t xml:space="preserve">07 - Post-War Classic (1946-1972)</t>
        </is>
      </c>
      <c r="M442" s="50">
        <v>1120000</v>
      </c>
      <c r="N442" s="48" t="inlineStr">
        <is>
          <t xml:space="preserve">Personal</t>
        </is>
      </c>
      <c r="O442" s="46" t="inlineStr">
        <is>
          <t xml:space="preserve">Personal - regular use</t>
        </is>
      </c>
      <c r="P442" s="46" t="inlineStr">
        <is>
          <t xml:space="preserve">2,500 - 5,000</t>
        </is>
      </c>
      <c r="Q442" s="46" t="inlineStr">
        <is>
          <t xml:space="preserve">Wyoming</t>
        </is>
      </c>
      <c r="R442" s="46" t="inlineStr">
        <is>
          <t xml:space="preserve">82001</t>
        </is>
      </c>
      <c r="S442" s="48" t="inlineStr">
        <is>
          <t xml:space="preserve">Severe convective - hail alley (high)</t>
        </is>
      </c>
      <c r="T442" s="36">
        <f>IF($A442="","",IF($S442="","",IFERROR(INDEX('[1]natural catastrophe'!$D$6:$D$17,MATCH($S442,'[1]natural catastrophe'!$B$6:$B$17,0)),"?")))</f>
      </c>
      <c r="U442" s="46" t="inlineStr">
        <is>
          <t xml:space="preserve">$5,000</t>
        </is>
      </c>
      <c r="V442" s="48" t="inlineStr">
        <is>
          <t xml:space="preserve">Agreed Value</t>
        </is>
      </c>
      <c r="W442" s="46" t="inlineStr">
        <is>
          <t xml:space="preserve">$1,000</t>
        </is>
      </c>
      <c r="X442" s="48" t="inlineStr">
        <is>
          <t xml:space="preserve">$1,000,000 CSL</t>
        </is>
      </c>
      <c r="Y442" s="46"/>
      <c r="Z442" s="46"/>
      <c r="AA442" s="48" t="inlineStr">
        <is>
          <t xml:space="preserve">Surplus Lines</t>
        </is>
      </c>
      <c r="AB442" s="50">
        <v>7899.76</v>
      </c>
      <c r="AC442" s="51">
        <v>0</v>
      </c>
      <c r="AD442" s="38">
        <f>IF(ISNUMBER($AB442),$AB442*(1+N($AC442)),"")</f>
      </c>
      <c r="AE442" s="50">
        <v>350</v>
      </c>
      <c r="AF442" s="50">
        <v>250</v>
      </c>
      <c r="AG442" s="51"/>
      <c r="AH442" s="39">
        <f>IF(ISNUMBER($AD442),($AD442+$AE442+$AF442)*$AG442,"")</f>
      </c>
      <c r="AI442" s="50"/>
      <c r="AJ442" s="38">
        <f>IF(ISNUMBER($AD442),SUM($AD442:$AH442),"")</f>
      </c>
      <c r="AK442" s="40">
        <f>IF(AND(ISNUMBER($AB442),ISNUMBER($AD442)),IF($AB442&gt;0,$AD442/$AB442,""),"")</f>
      </c>
      <c r="AL442" s="48" t="inlineStr">
        <is>
          <t xml:space="preserve">At technical</t>
        </is>
      </c>
      <c r="AM442" s="41">
        <f>IF(ISNUMBER($AD442),Header!$I$3,"")</f>
      </c>
      <c r="AN442" s="39">
        <f>IF(ISNUMBER($AD442),$AO442+$AP442,"")</f>
      </c>
      <c r="AO442" s="39">
        <f>IF(ISNUMBER($AD442),ROUND($AD442*Header!$K$3,2),"")</f>
      </c>
      <c r="AP442" s="39">
        <f>IF(ISNUMBER($AD442),ROUND($AD442*Header!$M$3,2),"")</f>
      </c>
      <c r="AQ442" s="38">
        <f>IF(ISNUMBER($AD442),ROUND($AD442,2)-$AO442-$AP442,"")</f>
      </c>
      <c r="AR442" s="39">
        <f>IF(ISNUMBER($AD442),IF(Header!$D$34="","?",$AD442*Header!$D$34),"")</f>
      </c>
      <c r="AS442" s="39">
        <f>IF(ISNUMBER($AB442),IF(Header!$D$34="","?",$AB442*Header!$D$34),"")</f>
      </c>
      <c r="AT442" s="42">
        <f>IF(AND(ISNUMBER($AB442),$M442&gt;0),$AB442/$M442*100,"")</f>
      </c>
      <c r="AU442" s="42">
        <f>IF(AND(ISNUMBER($AD442),$M442&gt;0),$AD442/$M442*100,"")</f>
      </c>
      <c r="AV442" s="40">
        <f>IF(AND(ISNUMBER($AB442),ISNUMBER($AD442),ABS($AB442)&gt;0),$AD442/$AB442,"")</f>
      </c>
      <c r="AW442" s="39">
        <f>IF(ISNUMBER($AD442),MAX(0,(1-0.55-Header!$O$3)*Header!$Q$3*$AQ442),"")</f>
      </c>
      <c r="AX442" s="43">
        <f>IF($A442="","",IF(TRIM(IF($A442="","Missing certificate ref. ","") &amp; IF($C442="","Missing effective date. ","") &amp; IF($D442="","Missing binding status. ","") &amp; IF($E442="","Missing movement type. ","") &amp; IF($I442="","Missing make. ","") &amp; IF($L442="","Missing vehicle class. ","") &amp; IF($M442="","Missing agreed value. ","") &amp; IF($N442="","Missing policy type. ","") &amp; IF($Q442="","Missing garaging state. ","") &amp; IF($R442="","Missing garaging ZIP. ","") &amp; IF($S442="","Missing cat zone. ","") &amp; IF($V442="","Missing valuation basis. ","") &amp; IF($W442="","Missing PD deductible. ","") &amp; IF($X442="","Missing liability limit. ","") &amp; IF($AB442="","Missing technical premium. ","") &amp; IF($AF442="","Missing surplus lines tax %. ",""))="","PASS","FAIL: "&amp;TRIM(IF($A442="","Missing certificate ref. ","") &amp; IF($C442="","Missing effective date. ","") &amp; IF($D442="","Missing binding status. ","") &amp; IF($E442="","Missing movement type. ","") &amp; IF($I442="","Missing make. ","") &amp; IF($L442="","Missing vehicle class. ","") &amp; IF($M442="","Missing agreed value. ","") &amp; IF($N442="","Missing policy type. ","") &amp; IF($Q442="","Missing garaging state. ","") &amp; IF($R442="","Missing garaging ZIP. ","") &amp; IF($S442="","Missing cat zone. ","") &amp; IF($V442="","Missing valuation basis. ","") &amp; IF($W442="","Missing PD deductible. ","") &amp; IF($X442="","Missing liability limit. ","") &amp; IF($AB442="","Missing technical premium. ","") &amp; IF($AF442="","Missing surplus lines tax %. ",""))))</f>
      </c>
      <c r="AY442" s="44">
        <f>IF($M442="","",IF(ISNUMBER($M442),IF($M442&gt;=Header!$C$18,"YES — refer","No"),""))</f>
      </c>
      <c r="AZ442" s="44">
        <f>IF($AD442="","",IF(ISNUMBER($AD442),IF($AD442&lt;Header!$C$20,"BELOW MIN PREMIUM","OK"),""))</f>
      </c>
      <c r="BA442" s="48" t="inlineStr">
        <is>
          <t xml:space="preserve">Yes</t>
        </is>
      </c>
      <c r="BB442" s="48" t="inlineStr">
        <is>
          <t xml:space="preserve">Yes</t>
        </is>
      </c>
      <c r="BC442" s="46" t="inlineStr">
        <is>
          <t xml:space="preserve">Synthetic demo data</t>
        </is>
      </c>
      <c r="BE442" s="45">
        <f>IF(OR($A442="",$L442="",$H442=""),"",IF(AND(LEFT($L442,2)="06",$H442&gt;1945),"FAIL - pre-war class, year "&amp;$H442,IF(AND(LEFT($L442,2)="07",OR($H442&lt;1946,$H442&gt;1972)),"FAIL - 1946-72 class, year "&amp;$H442,IF(AND(LEFT($L442,2)="08",OR($H442&lt;1973,$H442&gt;1999)),"FAIL - 1973-99 class, year "&amp;$H442,IF(AND(LEFT($L442,2)="09",OR($H442&lt;2000,$H442&gt;2010)),"FAIL - 2000-10 class, year "&amp;$H442,"OK")))))</f>
      </c>
      <c r="BF442" s="45">
        <f>IF($AD442="","",IF(ROUND($AO442+$AP442+$AQ442-$AD442,2)=0,"OK","FAIL - out by "&amp;TEXT($AO442+$AP442+$AQ442-$AD442,"$0.00")))</f>
      </c>
    </row>
    <row r="443" spans="1:58" ht="18.75" customHeight="1" x14ac:dyDescent="0.25">
      <c r="A443" s="30" t="inlineStr">
        <is>
          <t xml:space="preserve">CANON-202511-002770</t>
        </is>
      </c>
      <c r="B443" s="30" t="inlineStr">
        <is>
          <t xml:space="preserve">Ingrid Whitlock</t>
        </is>
      </c>
      <c r="C443" s="31">
        <v>45986</v>
      </c>
      <c r="D443" s="32" t="inlineStr">
        <is>
          <t xml:space="preserve">Bound - within authority</t>
        </is>
      </c>
      <c r="E443" s="32" t="inlineStr">
        <is>
          <t xml:space="preserve">New business</t>
        </is>
      </c>
      <c r="F443" s="30" t="inlineStr">
        <is>
          <t xml:space="preserve">B1234EXOTIC26</t>
        </is>
      </c>
      <c r="G443" s="33">
        <f>IF($A443="","",IF($C443="","",YEAR($C443)))</f>
      </c>
      <c r="H443" s="34">
        <v>2013</v>
      </c>
      <c r="I443" s="30" t="inlineStr">
        <is>
          <t xml:space="preserve">Porsche</t>
        </is>
      </c>
      <c r="J443" s="30" t="inlineStr">
        <is>
          <t xml:space="preserve">911 Turbo S</t>
        </is>
      </c>
      <c r="K443" s="30" t="inlineStr">
        <is>
          <t xml:space="preserve">SX2UFFYUU1VE24PHM</t>
        </is>
      </c>
      <c r="L443" s="32" t="inlineStr">
        <is>
          <t xml:space="preserve">02 - Sports / GT</t>
        </is>
      </c>
      <c r="M443" s="35">
        <v>1200000</v>
      </c>
      <c r="N443" s="32" t="inlineStr">
        <is>
          <t xml:space="preserve">Personal</t>
        </is>
      </c>
      <c r="O443" s="30" t="inlineStr">
        <is>
          <t xml:space="preserve">Personal - regular use</t>
        </is>
      </c>
      <c r="P443" s="30" t="inlineStr">
        <is>
          <t xml:space="preserve">1,000 - 2,500</t>
        </is>
      </c>
      <c r="Q443" s="30" t="inlineStr">
        <is>
          <t xml:space="preserve">Connecticut</t>
        </is>
      </c>
      <c r="R443" s="30" t="inlineStr">
        <is>
          <t xml:space="preserve">06103</t>
        </is>
      </c>
      <c r="S443" s="32" t="inlineStr">
        <is>
          <t xml:space="preserve">Tier 3 - Coastal wind (25-100 miles)</t>
        </is>
      </c>
      <c r="T443" s="36">
        <f>IF($A443="","",IF($S443="","",IFERROR(INDEX('[1]natural catastrophe'!$D$6:$D$17,MATCH($S443,'[1]natural catastrophe'!$B$6:$B$17,0)),"?")))</f>
      </c>
      <c r="U443" s="30" t="inlineStr">
        <is>
          <t xml:space="preserve">2% of agreed value, minimum $10,000</t>
        </is>
      </c>
      <c r="V443" s="32" t="inlineStr">
        <is>
          <t xml:space="preserve">Agreed Value</t>
        </is>
      </c>
      <c r="W443" s="30" t="inlineStr">
        <is>
          <t xml:space="preserve">$1,000</t>
        </is>
      </c>
      <c r="X443" s="32" t="inlineStr">
        <is>
          <t xml:space="preserve">$1,000,000 CSL</t>
        </is>
      </c>
      <c r="Y443" s="30"/>
      <c r="Z443" s="30"/>
      <c r="AA443" s="32" t="inlineStr">
        <is>
          <t xml:space="preserve">Surplus Lines</t>
        </is>
      </c>
      <c r="AB443" s="35">
        <v>12823.03</v>
      </c>
      <c r="AC443" s="37">
        <v>0</v>
      </c>
      <c r="AD443" s="38">
        <f>IF(ISNUMBER($AB443),$AB443*(1+N($AC443)),"")</f>
      </c>
      <c r="AE443" s="35">
        <v>350</v>
      </c>
      <c r="AF443" s="35">
        <v>250</v>
      </c>
      <c r="AG443" s="37"/>
      <c r="AH443" s="39">
        <f>IF(ISNUMBER($AD443),($AD443+$AE443+$AF443)*$AG443,"")</f>
      </c>
      <c r="AI443" s="35"/>
      <c r="AJ443" s="38">
        <f>IF(ISNUMBER($AD443),SUM($AD443:$AH443),"")</f>
      </c>
      <c r="AK443" s="40">
        <f>IF(AND(ISNUMBER($AB443),ISNUMBER($AD443)),IF($AB443&gt;0,$AD443/$AB443,""),"")</f>
      </c>
      <c r="AL443" s="32" t="inlineStr">
        <is>
          <t xml:space="preserve">At technical</t>
        </is>
      </c>
      <c r="AM443" s="41">
        <f>IF(ISNUMBER($AD443),Header!$I$3,"")</f>
      </c>
      <c r="AN443" s="39">
        <f>IF(ISNUMBER($AD443),$AO443+$AP443,"")</f>
      </c>
      <c r="AO443" s="39">
        <f>IF(ISNUMBER($AD443),ROUND($AD443*Header!$K$3,2),"")</f>
      </c>
      <c r="AP443" s="39">
        <f>IF(ISNUMBER($AD443),ROUND($AD443*Header!$M$3,2),"")</f>
      </c>
      <c r="AQ443" s="38">
        <f>IF(ISNUMBER($AD443),ROUND($AD443,2)-$AO443-$AP443,"")</f>
      </c>
      <c r="AR443" s="39">
        <f>IF(ISNUMBER($AD443),IF(Header!$D$34="","?",$AD443*Header!$D$34),"")</f>
      </c>
      <c r="AS443" s="39">
        <f>IF(ISNUMBER($AB443),IF(Header!$D$34="","?",$AB443*Header!$D$34),"")</f>
      </c>
      <c r="AT443" s="42">
        <f>IF(AND(ISNUMBER($AB443),$M443&gt;0),$AB443/$M443*100,"")</f>
      </c>
      <c r="AU443" s="42">
        <f>IF(AND(ISNUMBER($AD443),$M443&gt;0),$AD443/$M443*100,"")</f>
      </c>
      <c r="AV443" s="40">
        <f>IF(AND(ISNUMBER($AB443),ISNUMBER($AD443),ABS($AB443)&gt;0),$AD443/$AB443,"")</f>
      </c>
      <c r="AW443" s="39">
        <f>IF(ISNUMBER($AD443),MAX(0,(1-0.55-Header!$O$3)*Header!$Q$3*$AQ443),"")</f>
      </c>
      <c r="AX443" s="43">
        <f>IF($A443="","",IF(TRIM(IF($A443="","Missing certificate ref. ","") &amp; IF($C443="","Missing effective date. ","") &amp; IF($D443="","Missing binding status. ","") &amp; IF($E443="","Missing movement type. ","") &amp; IF($I443="","Missing make. ","") &amp; IF($L443="","Missing vehicle class. ","") &amp; IF($M443="","Missing agreed value. ","") &amp; IF($N443="","Missing policy type. ","") &amp; IF($Q443="","Missing garaging state. ","") &amp; IF($R443="","Missing garaging ZIP. ","") &amp; IF($S443="","Missing cat zone. ","") &amp; IF($V443="","Missing valuation basis. ","") &amp; IF($W443="","Missing PD deductible. ","") &amp; IF($X443="","Missing liability limit. ","") &amp; IF($AB443="","Missing technical premium. ","") &amp; IF($AF443="","Missing surplus lines tax %. ",""))="","PASS","FAIL: "&amp;TRIM(IF($A443="","Missing certificate ref. ","") &amp; IF($C443="","Missing effective date. ","") &amp; IF($D443="","Missing binding status. ","") &amp; IF($E443="","Missing movement type. ","") &amp; IF($I443="","Missing make. ","") &amp; IF($L443="","Missing vehicle class. ","") &amp; IF($M443="","Missing agreed value. ","") &amp; IF($N443="","Missing policy type. ","") &amp; IF($Q443="","Missing garaging state. ","") &amp; IF($R443="","Missing garaging ZIP. ","") &amp; IF($S443="","Missing cat zone. ","") &amp; IF($V443="","Missing valuation basis. ","") &amp; IF($W443="","Missing PD deductible. ","") &amp; IF($X443="","Missing liability limit. ","") &amp; IF($AB443="","Missing technical premium. ","") &amp; IF($AF443="","Missing surplus lines tax %. ",""))))</f>
      </c>
      <c r="AY443" s="44">
        <f>IF($M443="","",IF(ISNUMBER($M443),IF($M443&gt;=Header!$C$18,"YES — refer","No"),""))</f>
      </c>
      <c r="AZ443" s="44">
        <f>IF($AD443="","",IF(ISNUMBER($AD443),IF($AD443&lt;Header!$C$20,"BELOW MIN PREMIUM","OK"),""))</f>
      </c>
      <c r="BA443" s="32" t="inlineStr">
        <is>
          <t xml:space="preserve">Yes</t>
        </is>
      </c>
      <c r="BB443" s="32" t="inlineStr">
        <is>
          <t xml:space="preserve">Yes</t>
        </is>
      </c>
      <c r="BC443" s="30" t="inlineStr">
        <is>
          <t xml:space="preserve">Synthetic demo data</t>
        </is>
      </c>
      <c r="BE443" s="45">
        <f>IF(OR($A443="",$L443="",$H443=""),"",IF(AND(LEFT($L443,2)="06",$H443&gt;1945),"FAIL - pre-war class, year "&amp;$H443,IF(AND(LEFT($L443,2)="07",OR($H443&lt;1946,$H443&gt;1972)),"FAIL - 1946-72 class, year "&amp;$H443,IF(AND(LEFT($L443,2)="08",OR($H443&lt;1973,$H443&gt;1999)),"FAIL - 1973-99 class, year "&amp;$H443,IF(AND(LEFT($L443,2)="09",OR($H443&lt;2000,$H443&gt;2010)),"FAIL - 2000-10 class, year "&amp;$H443,"OK")))))</f>
      </c>
      <c r="BF443" s="45">
        <f>IF($AD443="","",IF(ROUND($AO443+$AP443+$AQ443-$AD443,2)=0,"OK","FAIL - out by "&amp;TEXT($AO443+$AP443+$AQ443-$AD443,"$0.00")))</f>
      </c>
    </row>
    <row r="444" spans="1:58" ht="18.75" customHeight="1" x14ac:dyDescent="0.25">
      <c r="A444" s="46" t="inlineStr">
        <is>
          <t xml:space="preserve">CANON-202511-002771</t>
        </is>
      </c>
      <c r="B444" s="46" t="inlineStr">
        <is>
          <t xml:space="preserve">Sunniva Ashcombe</t>
        </is>
      </c>
      <c r="C444" s="47">
        <v>45968</v>
      </c>
      <c r="D444" s="48" t="inlineStr">
        <is>
          <t xml:space="preserve">Bound - within authority</t>
        </is>
      </c>
      <c r="E444" s="48" t="inlineStr">
        <is>
          <t xml:space="preserve">New business</t>
        </is>
      </c>
      <c r="F444" s="46" t="inlineStr">
        <is>
          <t xml:space="preserve">B1234EXOTIC26</t>
        </is>
      </c>
      <c r="G444" s="33">
        <f>IF($A444="","",IF($C444="","",YEAR($C444)))</f>
      </c>
      <c r="H444" s="49">
        <v>2013</v>
      </c>
      <c r="I444" s="46" t="inlineStr">
        <is>
          <t xml:space="preserve">Maserati</t>
        </is>
      </c>
      <c r="J444" s="46" t="inlineStr">
        <is>
          <t xml:space="preserve">GranTurismo</t>
        </is>
      </c>
      <c r="K444" s="46" t="inlineStr">
        <is>
          <t xml:space="preserve">5DA0TN2AVRTLC6NUH</t>
        </is>
      </c>
      <c r="L444" s="48" t="inlineStr">
        <is>
          <t xml:space="preserve">02 - Sports / GT</t>
        </is>
      </c>
      <c r="M444" s="50">
        <v>510000</v>
      </c>
      <c r="N444" s="48" t="inlineStr">
        <is>
          <t xml:space="preserve">Personal</t>
        </is>
      </c>
      <c r="O444" s="46" t="inlineStr">
        <is>
          <t xml:space="preserve">Personal - regular use</t>
        </is>
      </c>
      <c r="P444" s="46" t="inlineStr">
        <is>
          <t xml:space="preserve">2,500 - 5,000</t>
        </is>
      </c>
      <c r="Q444" s="46" t="inlineStr">
        <is>
          <t xml:space="preserve">South Carolina</t>
        </is>
      </c>
      <c r="R444" s="46" t="inlineStr">
        <is>
          <t xml:space="preserve">29401</t>
        </is>
      </c>
      <c r="S444" s="48" t="inlineStr">
        <is>
          <t xml:space="preserve">Tier 2 - Coastal wind (1-25 miles)</t>
        </is>
      </c>
      <c r="T444" s="36">
        <f>IF($A444="","",IF($S444="","",IFERROR(INDEX('[1]natural catastrophe'!$D$6:$D$17,MATCH($S444,'[1]natural catastrophe'!$B$6:$B$17,0)),"?")))</f>
      </c>
      <c r="U444" s="46" t="inlineStr">
        <is>
          <t xml:space="preserve">2% of agreed value, minimum $10,000</t>
        </is>
      </c>
      <c r="V444" s="48" t="inlineStr">
        <is>
          <t xml:space="preserve">Agreed Value</t>
        </is>
      </c>
      <c r="W444" s="46" t="inlineStr">
        <is>
          <t xml:space="preserve">$1,000</t>
        </is>
      </c>
      <c r="X444" s="48" t="inlineStr">
        <is>
          <t xml:space="preserve">$1,000,000 CSL</t>
        </is>
      </c>
      <c r="Y444" s="46"/>
      <c r="Z444" s="46"/>
      <c r="AA444" s="48" t="inlineStr">
        <is>
          <t xml:space="preserve">Surplus Lines</t>
        </is>
      </c>
      <c r="AB444" s="50">
        <v>7130.73</v>
      </c>
      <c r="AC444" s="51">
        <v>0</v>
      </c>
      <c r="AD444" s="38">
        <f>IF(ISNUMBER($AB444),$AB444*(1+N($AC444)),"")</f>
      </c>
      <c r="AE444" s="50">
        <v>350</v>
      </c>
      <c r="AF444" s="50">
        <v>0</v>
      </c>
      <c r="AG444" s="51"/>
      <c r="AH444" s="39">
        <f>IF(ISNUMBER($AD444),($AD444+$AE444+$AF444)*$AG444,"")</f>
      </c>
      <c r="AI444" s="50"/>
      <c r="AJ444" s="38">
        <f>IF(ISNUMBER($AD444),SUM($AD444:$AH444),"")</f>
      </c>
      <c r="AK444" s="40">
        <f>IF(AND(ISNUMBER($AB444),ISNUMBER($AD444)),IF($AB444&gt;0,$AD444/$AB444,""),"")</f>
      </c>
      <c r="AL444" s="48" t="inlineStr">
        <is>
          <t xml:space="preserve">At technical</t>
        </is>
      </c>
      <c r="AM444" s="41">
        <f>IF(ISNUMBER($AD444),Header!$I$3,"")</f>
      </c>
      <c r="AN444" s="39">
        <f>IF(ISNUMBER($AD444),$AO444+$AP444,"")</f>
      </c>
      <c r="AO444" s="39">
        <f>IF(ISNUMBER($AD444),ROUND($AD444*Header!$K$3,2),"")</f>
      </c>
      <c r="AP444" s="39">
        <f>IF(ISNUMBER($AD444),ROUND($AD444*Header!$M$3,2),"")</f>
      </c>
      <c r="AQ444" s="38">
        <f>IF(ISNUMBER($AD444),ROUND($AD444,2)-$AO444-$AP444,"")</f>
      </c>
      <c r="AR444" s="39">
        <f>IF(ISNUMBER($AD444),IF(Header!$D$34="","?",$AD444*Header!$D$34),"")</f>
      </c>
      <c r="AS444" s="39">
        <f>IF(ISNUMBER($AB444),IF(Header!$D$34="","?",$AB444*Header!$D$34),"")</f>
      </c>
      <c r="AT444" s="42">
        <f>IF(AND(ISNUMBER($AB444),$M444&gt;0),$AB444/$M444*100,"")</f>
      </c>
      <c r="AU444" s="42">
        <f>IF(AND(ISNUMBER($AD444),$M444&gt;0),$AD444/$M444*100,"")</f>
      </c>
      <c r="AV444" s="40">
        <f>IF(AND(ISNUMBER($AB444),ISNUMBER($AD444),ABS($AB444)&gt;0),$AD444/$AB444,"")</f>
      </c>
      <c r="AW444" s="39">
        <f>IF(ISNUMBER($AD444),MAX(0,(1-0.55-Header!$O$3)*Header!$Q$3*$AQ444),"")</f>
      </c>
      <c r="AX444" s="43">
        <f>IF($A444="","",IF(TRIM(IF($A444="","Missing certificate ref. ","") &amp; IF($C444="","Missing effective date. ","") &amp; IF($D444="","Missing binding status. ","") &amp; IF($E444="","Missing movement type. ","") &amp; IF($I444="","Missing make. ","") &amp; IF($L444="","Missing vehicle class. ","") &amp; IF($M444="","Missing agreed value. ","") &amp; IF($N444="","Missing policy type. ","") &amp; IF($Q444="","Missing garaging state. ","") &amp; IF($R444="","Missing garaging ZIP. ","") &amp; IF($S444="","Missing cat zone. ","") &amp; IF($V444="","Missing valuation basis. ","") &amp; IF($W444="","Missing PD deductible. ","") &amp; IF($X444="","Missing liability limit. ","") &amp; IF($AB444="","Missing technical premium. ","") &amp; IF($AF444="","Missing surplus lines tax %. ",""))="","PASS","FAIL: "&amp;TRIM(IF($A444="","Missing certificate ref. ","") &amp; IF($C444="","Missing effective date. ","") &amp; IF($D444="","Missing binding status. ","") &amp; IF($E444="","Missing movement type. ","") &amp; IF($I444="","Missing make. ","") &amp; IF($L444="","Missing vehicle class. ","") &amp; IF($M444="","Missing agreed value. ","") &amp; IF($N444="","Missing policy type. ","") &amp; IF($Q444="","Missing garaging state. ","") &amp; IF($R444="","Missing garaging ZIP. ","") &amp; IF($S444="","Missing cat zone. ","") &amp; IF($V444="","Missing valuation basis. ","") &amp; IF($W444="","Missing PD deductible. ","") &amp; IF($X444="","Missing liability limit. ","") &amp; IF($AB444="","Missing technical premium. ","") &amp; IF($AF444="","Missing surplus lines tax %. ",""))))</f>
      </c>
      <c r="AY444" s="44">
        <f>IF($M444="","",IF(ISNUMBER($M444),IF($M444&gt;=Header!$C$18,"YES — refer","No"),""))</f>
      </c>
      <c r="AZ444" s="44">
        <f>IF($AD444="","",IF(ISNUMBER($AD444),IF($AD444&lt;Header!$C$20,"BELOW MIN PREMIUM","OK"),""))</f>
      </c>
      <c r="BA444" s="48" t="inlineStr">
        <is>
          <t xml:space="preserve">Yes</t>
        </is>
      </c>
      <c r="BB444" s="48" t="inlineStr">
        <is>
          <t xml:space="preserve">Yes</t>
        </is>
      </c>
      <c r="BC444" s="46" t="inlineStr">
        <is>
          <t xml:space="preserve">Synthetic demo data</t>
        </is>
      </c>
      <c r="BE444" s="45">
        <f>IF(OR($A444="",$L444="",$H444=""),"",IF(AND(LEFT($L444,2)="06",$H444&gt;1945),"FAIL - pre-war class, year "&amp;$H444,IF(AND(LEFT($L444,2)="07",OR($H444&lt;1946,$H444&gt;1972)),"FAIL - 1946-72 class, year "&amp;$H444,IF(AND(LEFT($L444,2)="08",OR($H444&lt;1973,$H444&gt;1999)),"FAIL - 1973-99 class, year "&amp;$H444,IF(AND(LEFT($L444,2)="09",OR($H444&lt;2000,$H444&gt;2010)),"FAIL - 2000-10 class, year "&amp;$H444,"OK")))))</f>
      </c>
      <c r="BF444" s="45">
        <f>IF($AD444="","",IF(ROUND($AO444+$AP444+$AQ444-$AD444,2)=0,"OK","FAIL - out by "&amp;TEXT($AO444+$AP444+$AQ444-$AD444,"$0.00")))</f>
      </c>
    </row>
    <row r="445" spans="1:58" ht="18.75" customHeight="1" x14ac:dyDescent="0.25">
      <c r="A445" s="30" t="inlineStr">
        <is>
          <t xml:space="preserve">CANON-202511-002772</t>
        </is>
      </c>
      <c r="B445" s="30" t="inlineStr">
        <is>
          <t xml:space="preserve">Marisol Bellandi</t>
        </is>
      </c>
      <c r="C445" s="31">
        <v>45987</v>
      </c>
      <c r="D445" s="32" t="inlineStr">
        <is>
          <t xml:space="preserve">Bound - within authority</t>
        </is>
      </c>
      <c r="E445" s="32" t="inlineStr">
        <is>
          <t xml:space="preserve">New business</t>
        </is>
      </c>
      <c r="F445" s="30" t="inlineStr">
        <is>
          <t xml:space="preserve">B1234EXOTIC26</t>
        </is>
      </c>
      <c r="G445" s="33">
        <f>IF($A445="","",IF($C445="","",YEAR($C445)))</f>
      </c>
      <c r="H445" s="34">
        <v>1966</v>
      </c>
      <c r="I445" s="30" t="inlineStr">
        <is>
          <t xml:space="preserve">Bentley</t>
        </is>
      </c>
      <c r="J445" s="30" t="inlineStr">
        <is>
          <t xml:space="preserve">4.5 Litre</t>
        </is>
      </c>
      <c r="K445" s="30" t="inlineStr">
        <is>
          <t xml:space="preserve">ZRA9G4MHC4TY5F667</t>
        </is>
      </c>
      <c r="L445" s="32" t="inlineStr">
        <is>
          <t xml:space="preserve">07 - Post-War Classic (1946-1972)</t>
        </is>
      </c>
      <c r="M445" s="35">
        <v>660000</v>
      </c>
      <c r="N445" s="32" t="inlineStr">
        <is>
          <t xml:space="preserve">Personal</t>
        </is>
      </c>
      <c r="O445" s="30" t="inlineStr">
        <is>
          <t xml:space="preserve">Personal - regular use</t>
        </is>
      </c>
      <c r="P445" s="30" t="inlineStr">
        <is>
          <t xml:space="preserve">Under 1,000</t>
        </is>
      </c>
      <c r="Q445" s="30" t="inlineStr">
        <is>
          <t xml:space="preserve">Iowa</t>
        </is>
      </c>
      <c r="R445" s="30" t="inlineStr">
        <is>
          <t xml:space="preserve">50309</t>
        </is>
      </c>
      <c r="S445" s="32" t="inlineStr">
        <is>
          <t xml:space="preserve">Severe convective - hail alley (high)</t>
        </is>
      </c>
      <c r="T445" s="36">
        <f>IF($A445="","",IF($S445="","",IFERROR(INDEX('[1]natural catastrophe'!$D$6:$D$17,MATCH($S445,'[1]natural catastrophe'!$B$6:$B$17,0)),"?")))</f>
      </c>
      <c r="U445" s="30" t="inlineStr">
        <is>
          <t xml:space="preserve">$5,000</t>
        </is>
      </c>
      <c r="V445" s="32" t="inlineStr">
        <is>
          <t xml:space="preserve">Agreed Value</t>
        </is>
      </c>
      <c r="W445" s="30" t="inlineStr">
        <is>
          <t xml:space="preserve">$1,000</t>
        </is>
      </c>
      <c r="X445" s="32" t="inlineStr">
        <is>
          <t xml:space="preserve">$1,000,000 CSL</t>
        </is>
      </c>
      <c r="Y445" s="30"/>
      <c r="Z445" s="30"/>
      <c r="AA445" s="32" t="inlineStr">
        <is>
          <t xml:space="preserve">Surplus Lines</t>
        </is>
      </c>
      <c r="AB445" s="35">
        <v>4785.73</v>
      </c>
      <c r="AC445" s="37">
        <v>0</v>
      </c>
      <c r="AD445" s="38">
        <f>IF(ISNUMBER($AB445),$AB445*(1+N($AC445)),"")</f>
      </c>
      <c r="AE445" s="35">
        <v>350</v>
      </c>
      <c r="AF445" s="35">
        <v>0</v>
      </c>
      <c r="AG445" s="37"/>
      <c r="AH445" s="39">
        <f>IF(ISNUMBER($AD445),($AD445+$AE445+$AF445)*$AG445,"")</f>
      </c>
      <c r="AI445" s="35"/>
      <c r="AJ445" s="38">
        <f>IF(ISNUMBER($AD445),SUM($AD445:$AH445),"")</f>
      </c>
      <c r="AK445" s="40">
        <f>IF(AND(ISNUMBER($AB445),ISNUMBER($AD445)),IF($AB445&gt;0,$AD445/$AB445,""),"")</f>
      </c>
      <c r="AL445" s="32" t="inlineStr">
        <is>
          <t xml:space="preserve">At technical</t>
        </is>
      </c>
      <c r="AM445" s="41">
        <f>IF(ISNUMBER($AD445),Header!$I$3,"")</f>
      </c>
      <c r="AN445" s="39">
        <f>IF(ISNUMBER($AD445),$AO445+$AP445,"")</f>
      </c>
      <c r="AO445" s="39">
        <f>IF(ISNUMBER($AD445),ROUND($AD445*Header!$K$3,2),"")</f>
      </c>
      <c r="AP445" s="39">
        <f>IF(ISNUMBER($AD445),ROUND($AD445*Header!$M$3,2),"")</f>
      </c>
      <c r="AQ445" s="38">
        <f>IF(ISNUMBER($AD445),ROUND($AD445,2)-$AO445-$AP445,"")</f>
      </c>
      <c r="AR445" s="39">
        <f>IF(ISNUMBER($AD445),IF(Header!$D$34="","?",$AD445*Header!$D$34),"")</f>
      </c>
      <c r="AS445" s="39">
        <f>IF(ISNUMBER($AB445),IF(Header!$D$34="","?",$AB445*Header!$D$34),"")</f>
      </c>
      <c r="AT445" s="42">
        <f>IF(AND(ISNUMBER($AB445),$M445&gt;0),$AB445/$M445*100,"")</f>
      </c>
      <c r="AU445" s="42">
        <f>IF(AND(ISNUMBER($AD445),$M445&gt;0),$AD445/$M445*100,"")</f>
      </c>
      <c r="AV445" s="40">
        <f>IF(AND(ISNUMBER($AB445),ISNUMBER($AD445),ABS($AB445)&gt;0),$AD445/$AB445,"")</f>
      </c>
      <c r="AW445" s="39">
        <f>IF(ISNUMBER($AD445),MAX(0,(1-0.55-Header!$O$3)*Header!$Q$3*$AQ445),"")</f>
      </c>
      <c r="AX445" s="43">
        <f>IF($A445="","",IF(TRIM(IF($A445="","Missing certificate ref. ","") &amp; IF($C445="","Missing effective date. ","") &amp; IF($D445="","Missing binding status. ","") &amp; IF($E445="","Missing movement type. ","") &amp; IF($I445="","Missing make. ","") &amp; IF($L445="","Missing vehicle class. ","") &amp; IF($M445="","Missing agreed value. ","") &amp; IF($N445="","Missing policy type. ","") &amp; IF($Q445="","Missing garaging state. ","") &amp; IF($R445="","Missing garaging ZIP. ","") &amp; IF($S445="","Missing cat zone. ","") &amp; IF($V445="","Missing valuation basis. ","") &amp; IF($W445="","Missing PD deductible. ","") &amp; IF($X445="","Missing liability limit. ","") &amp; IF($AB445="","Missing technical premium. ","") &amp; IF($AF445="","Missing surplus lines tax %. ",""))="","PASS","FAIL: "&amp;TRIM(IF($A445="","Missing certificate ref. ","") &amp; IF($C445="","Missing effective date. ","") &amp; IF($D445="","Missing binding status. ","") &amp; IF($E445="","Missing movement type. ","") &amp; IF($I445="","Missing make. ","") &amp; IF($L445="","Missing vehicle class. ","") &amp; IF($M445="","Missing agreed value. ","") &amp; IF($N445="","Missing policy type. ","") &amp; IF($Q445="","Missing garaging state. ","") &amp; IF($R445="","Missing garaging ZIP. ","") &amp; IF($S445="","Missing cat zone. ","") &amp; IF($V445="","Missing valuation basis. ","") &amp; IF($W445="","Missing PD deductible. ","") &amp; IF($X445="","Missing liability limit. ","") &amp; IF($AB445="","Missing technical premium. ","") &amp; IF($AF445="","Missing surplus lines tax %. ",""))))</f>
      </c>
      <c r="AY445" s="44">
        <f>IF($M445="","",IF(ISNUMBER($M445),IF($M445&gt;=Header!$C$18,"YES — refer","No"),""))</f>
      </c>
      <c r="AZ445" s="44">
        <f>IF($AD445="","",IF(ISNUMBER($AD445),IF($AD445&lt;Header!$C$20,"BELOW MIN PREMIUM","OK"),""))</f>
      </c>
      <c r="BA445" s="32" t="inlineStr">
        <is>
          <t xml:space="preserve">Yes</t>
        </is>
      </c>
      <c r="BB445" s="32" t="inlineStr">
        <is>
          <t xml:space="preserve">Yes</t>
        </is>
      </c>
      <c r="BC445" s="30" t="inlineStr">
        <is>
          <t xml:space="preserve">Synthetic demo data</t>
        </is>
      </c>
      <c r="BE445" s="45">
        <f>IF(OR($A445="",$L445="",$H445=""),"",IF(AND(LEFT($L445,2)="06",$H445&gt;1945),"FAIL - pre-war class, year "&amp;$H445,IF(AND(LEFT($L445,2)="07",OR($H445&lt;1946,$H445&gt;1972)),"FAIL - 1946-72 class, year "&amp;$H445,IF(AND(LEFT($L445,2)="08",OR($H445&lt;1973,$H445&gt;1999)),"FAIL - 1973-99 class, year "&amp;$H445,IF(AND(LEFT($L445,2)="09",OR($H445&lt;2000,$H445&gt;2010)),"FAIL - 2000-10 class, year "&amp;$H445,"OK")))))</f>
      </c>
      <c r="BF445" s="45">
        <f>IF($AD445="","",IF(ROUND($AO445+$AP445+$AQ445-$AD445,2)=0,"OK","FAIL - out by "&amp;TEXT($AO445+$AP445+$AQ445-$AD445,"$0.00")))</f>
      </c>
    </row>
    <row r="446" spans="1:58" ht="18.75" customHeight="1" x14ac:dyDescent="0.25">
      <c r="A446" s="46" t="inlineStr">
        <is>
          <t xml:space="preserve">CANON-202511-002773</t>
        </is>
      </c>
      <c r="B446" s="46" t="inlineStr">
        <is>
          <t xml:space="preserve">Everett Bellandi</t>
        </is>
      </c>
      <c r="C446" s="47">
        <v>45982</v>
      </c>
      <c r="D446" s="48" t="inlineStr">
        <is>
          <t xml:space="preserve">Bound - within authority</t>
        </is>
      </c>
      <c r="E446" s="48" t="inlineStr">
        <is>
          <t xml:space="preserve">New business</t>
        </is>
      </c>
      <c r="F446" s="46" t="inlineStr">
        <is>
          <t xml:space="preserve">B1234EXOTIC26</t>
        </is>
      </c>
      <c r="G446" s="33">
        <f>IF($A446="","",IF($C446="","",YEAR($C446)))</f>
      </c>
      <c r="H446" s="49">
        <v>2015</v>
      </c>
      <c r="I446" s="46" t="inlineStr">
        <is>
          <t xml:space="preserve">Ferrari</t>
        </is>
      </c>
      <c r="J446" s="46" t="inlineStr">
        <is>
          <t xml:space="preserve">SF90 Stradale</t>
        </is>
      </c>
      <c r="K446" s="46" t="inlineStr">
        <is>
          <t xml:space="preserve">6BXJYVX2U7SRRTTBL</t>
        </is>
      </c>
      <c r="L446" s="48" t="inlineStr">
        <is>
          <t xml:space="preserve">03 - Supercar</t>
        </is>
      </c>
      <c r="M446" s="50">
        <v>1950000</v>
      </c>
      <c r="N446" s="48" t="inlineStr">
        <is>
          <t xml:space="preserve">Personal</t>
        </is>
      </c>
      <c r="O446" s="46" t="inlineStr">
        <is>
          <t xml:space="preserve">Personal - regular use</t>
        </is>
      </c>
      <c r="P446" s="46" t="inlineStr">
        <is>
          <t xml:space="preserve">Under 1,000</t>
        </is>
      </c>
      <c r="Q446" s="46" t="inlineStr">
        <is>
          <t xml:space="preserve">Kentucky</t>
        </is>
      </c>
      <c r="R446" s="46" t="inlineStr">
        <is>
          <t xml:space="preserve">40202</t>
        </is>
      </c>
      <c r="S446" s="48" t="inlineStr">
        <is>
          <t xml:space="preserve">Severe convective - hail / tornado (moderate)</t>
        </is>
      </c>
      <c r="T446" s="36">
        <f>IF($A446="","",IF($S446="","",IFERROR(INDEX('[1]natural catastrophe'!$D$6:$D$17,MATCH($S446,'[1]natural catastrophe'!$B$6:$B$17,0)),"?")))</f>
      </c>
      <c r="U446" s="46" t="inlineStr">
        <is>
          <t xml:space="preserve">$5,000</t>
        </is>
      </c>
      <c r="V446" s="48" t="inlineStr">
        <is>
          <t xml:space="preserve">Agreed Value</t>
        </is>
      </c>
      <c r="W446" s="46" t="inlineStr">
        <is>
          <t xml:space="preserve">$1,000</t>
        </is>
      </c>
      <c r="X446" s="48" t="inlineStr">
        <is>
          <t xml:space="preserve">$1,000,000 CSL</t>
        </is>
      </c>
      <c r="Y446" s="46"/>
      <c r="Z446" s="46"/>
      <c r="AA446" s="48" t="inlineStr">
        <is>
          <t xml:space="preserve">Surplus Lines</t>
        </is>
      </c>
      <c r="AB446" s="50">
        <v>36262.52</v>
      </c>
      <c r="AC446" s="51">
        <v>0</v>
      </c>
      <c r="AD446" s="38">
        <f>IF(ISNUMBER($AB446),$AB446*(1+N($AC446)),"")</f>
      </c>
      <c r="AE446" s="50">
        <v>350</v>
      </c>
      <c r="AF446" s="50">
        <v>250</v>
      </c>
      <c r="AG446" s="51"/>
      <c r="AH446" s="39">
        <f>IF(ISNUMBER($AD446),($AD446+$AE446+$AF446)*$AG446,"")</f>
      </c>
      <c r="AI446" s="50"/>
      <c r="AJ446" s="38">
        <f>IF(ISNUMBER($AD446),SUM($AD446:$AH446),"")</f>
      </c>
      <c r="AK446" s="40">
        <f>IF(AND(ISNUMBER($AB446),ISNUMBER($AD446)),IF($AB446&gt;0,$AD446/$AB446,""),"")</f>
      </c>
      <c r="AL446" s="48" t="inlineStr">
        <is>
          <t xml:space="preserve">At technical</t>
        </is>
      </c>
      <c r="AM446" s="41">
        <f>IF(ISNUMBER($AD446),Header!$I$3,"")</f>
      </c>
      <c r="AN446" s="39">
        <f>IF(ISNUMBER($AD446),$AO446+$AP446,"")</f>
      </c>
      <c r="AO446" s="39">
        <f>IF(ISNUMBER($AD446),ROUND($AD446*Header!$K$3,2),"")</f>
      </c>
      <c r="AP446" s="39">
        <f>IF(ISNUMBER($AD446),ROUND($AD446*Header!$M$3,2),"")</f>
      </c>
      <c r="AQ446" s="38">
        <f>IF(ISNUMBER($AD446),ROUND($AD446,2)-$AO446-$AP446,"")</f>
      </c>
      <c r="AR446" s="39">
        <f>IF(ISNUMBER($AD446),IF(Header!$D$34="","?",$AD446*Header!$D$34),"")</f>
      </c>
      <c r="AS446" s="39">
        <f>IF(ISNUMBER($AB446),IF(Header!$D$34="","?",$AB446*Header!$D$34),"")</f>
      </c>
      <c r="AT446" s="42">
        <f>IF(AND(ISNUMBER($AB446),$M446&gt;0),$AB446/$M446*100,"")</f>
      </c>
      <c r="AU446" s="42">
        <f>IF(AND(ISNUMBER($AD446),$M446&gt;0),$AD446/$M446*100,"")</f>
      </c>
      <c r="AV446" s="40">
        <f>IF(AND(ISNUMBER($AB446),ISNUMBER($AD446),ABS($AB446)&gt;0),$AD446/$AB446,"")</f>
      </c>
      <c r="AW446" s="39">
        <f>IF(ISNUMBER($AD446),MAX(0,(1-0.55-Header!$O$3)*Header!$Q$3*$AQ446),"")</f>
      </c>
      <c r="AX446" s="43">
        <f>IF($A446="","",IF(TRIM(IF($A446="","Missing certificate ref. ","") &amp; IF($C446="","Missing effective date. ","") &amp; IF($D446="","Missing binding status. ","") &amp; IF($E446="","Missing movement type. ","") &amp; IF($I446="","Missing make. ","") &amp; IF($L446="","Missing vehicle class. ","") &amp; IF($M446="","Missing agreed value. ","") &amp; IF($N446="","Missing policy type. ","") &amp; IF($Q446="","Missing garaging state. ","") &amp; IF($R446="","Missing garaging ZIP. ","") &amp; IF($S446="","Missing cat zone. ","") &amp; IF($V446="","Missing valuation basis. ","") &amp; IF($W446="","Missing PD deductible. ","") &amp; IF($X446="","Missing liability limit. ","") &amp; IF($AB446="","Missing technical premium. ","") &amp; IF($AF446="","Missing surplus lines tax %. ",""))="","PASS","FAIL: "&amp;TRIM(IF($A446="","Missing certificate ref. ","") &amp; IF($C446="","Missing effective date. ","") &amp; IF($D446="","Missing binding status. ","") &amp; IF($E446="","Missing movement type. ","") &amp; IF($I446="","Missing make. ","") &amp; IF($L446="","Missing vehicle class. ","") &amp; IF($M446="","Missing agreed value. ","") &amp; IF($N446="","Missing policy type. ","") &amp; IF($Q446="","Missing garaging state. ","") &amp; IF($R446="","Missing garaging ZIP. ","") &amp; IF($S446="","Missing cat zone. ","") &amp; IF($V446="","Missing valuation basis. ","") &amp; IF($W446="","Missing PD deductible. ","") &amp; IF($X446="","Missing liability limit. ","") &amp; IF($AB446="","Missing technical premium. ","") &amp; IF($AF446="","Missing surplus lines tax %. ",""))))</f>
      </c>
      <c r="AY446" s="44">
        <f>IF($M446="","",IF(ISNUMBER($M446),IF($M446&gt;=Header!$C$18,"YES — refer","No"),""))</f>
      </c>
      <c r="AZ446" s="44">
        <f>IF($AD446="","",IF(ISNUMBER($AD446),IF($AD446&lt;Header!$C$20,"BELOW MIN PREMIUM","OK"),""))</f>
      </c>
      <c r="BA446" s="48" t="inlineStr">
        <is>
          <t xml:space="preserve">Yes</t>
        </is>
      </c>
      <c r="BB446" s="48" t="inlineStr">
        <is>
          <t xml:space="preserve">Yes</t>
        </is>
      </c>
      <c r="BC446" s="46" t="inlineStr">
        <is>
          <t xml:space="preserve">Synthetic demo data</t>
        </is>
      </c>
      <c r="BE446" s="45">
        <f>IF(OR($A446="",$L446="",$H446=""),"",IF(AND(LEFT($L446,2)="06",$H446&gt;1945),"FAIL - pre-war class, year "&amp;$H446,IF(AND(LEFT($L446,2)="07",OR($H446&lt;1946,$H446&gt;1972)),"FAIL - 1946-72 class, year "&amp;$H446,IF(AND(LEFT($L446,2)="08",OR($H446&lt;1973,$H446&gt;1999)),"FAIL - 1973-99 class, year "&amp;$H446,IF(AND(LEFT($L446,2)="09",OR($H446&lt;2000,$H446&gt;2010)),"FAIL - 2000-10 class, year "&amp;$H446,"OK")))))</f>
      </c>
      <c r="BF446" s="45">
        <f>IF($AD446="","",IF(ROUND($AO446+$AP446+$AQ446-$AD446,2)=0,"OK","FAIL - out by "&amp;TEXT($AO446+$AP446+$AQ446-$AD446,"$0.00")))</f>
      </c>
    </row>
    <row r="447" spans="1:58" ht="18.75" customHeight="1" x14ac:dyDescent="0.25">
      <c r="A447" s="30" t="inlineStr">
        <is>
          <t xml:space="preserve">CANON-202511-002774</t>
        </is>
      </c>
      <c r="B447" s="30" t="inlineStr">
        <is>
          <t xml:space="preserve">Marisol Blackwood</t>
        </is>
      </c>
      <c r="C447" s="31">
        <v>45984</v>
      </c>
      <c r="D447" s="32" t="inlineStr">
        <is>
          <t xml:space="preserve">Bound - within authority</t>
        </is>
      </c>
      <c r="E447" s="32" t="inlineStr">
        <is>
          <t xml:space="preserve">New business</t>
        </is>
      </c>
      <c r="F447" s="30" t="inlineStr">
        <is>
          <t xml:space="preserve">B1234EXOTIC26</t>
        </is>
      </c>
      <c r="G447" s="33">
        <f>IF($A447="","",IF($C447="","",YEAR($C447)))</f>
      </c>
      <c r="H447" s="34">
        <v>1999</v>
      </c>
      <c r="I447" s="30" t="inlineStr">
        <is>
          <t xml:space="preserve">Aston Martin</t>
        </is>
      </c>
      <c r="J447" s="30" t="inlineStr">
        <is>
          <t xml:space="preserve">DB5</t>
        </is>
      </c>
      <c r="K447" s="30" t="inlineStr">
        <is>
          <t xml:space="preserve">HN57DVBC4RYNNU9NY</t>
        </is>
      </c>
      <c r="L447" s="32" t="inlineStr">
        <is>
          <t xml:space="preserve">08 - Modern Classic (1973-1999)</t>
        </is>
      </c>
      <c r="M447" s="35">
        <v>160000</v>
      </c>
      <c r="N447" s="32" t="inlineStr">
        <is>
          <t xml:space="preserve">Personal</t>
        </is>
      </c>
      <c r="O447" s="30" t="inlineStr">
        <is>
          <t xml:space="preserve">Personal - regular use</t>
        </is>
      </c>
      <c r="P447" s="30" t="inlineStr">
        <is>
          <t xml:space="preserve">1,000 - 2,500</t>
        </is>
      </c>
      <c r="Q447" s="30" t="inlineStr">
        <is>
          <t xml:space="preserve">New York</t>
        </is>
      </c>
      <c r="R447" s="30" t="inlineStr">
        <is>
          <t xml:space="preserve">10022</t>
        </is>
      </c>
      <c r="S447" s="32" t="inlineStr">
        <is>
          <t xml:space="preserve">Tier 3 - Coastal wind (25-100 miles)</t>
        </is>
      </c>
      <c r="T447" s="36">
        <f>IF($A447="","",IF($S447="","",IFERROR(INDEX('[1]natural catastrophe'!$D$6:$D$17,MATCH($S447,'[1]natural catastrophe'!$B$6:$B$17,0)),"?")))</f>
      </c>
      <c r="U447" s="30" t="inlineStr">
        <is>
          <t xml:space="preserve">2% of agreed value, minimum $10,000</t>
        </is>
      </c>
      <c r="V447" s="32" t="inlineStr">
        <is>
          <t xml:space="preserve">Agreed Value</t>
        </is>
      </c>
      <c r="W447" s="30" t="inlineStr">
        <is>
          <t xml:space="preserve">$1,000</t>
        </is>
      </c>
      <c r="X447" s="32" t="inlineStr">
        <is>
          <t xml:space="preserve">$1,000,000 CSL</t>
        </is>
      </c>
      <c r="Y447" s="30"/>
      <c r="Z447" s="30"/>
      <c r="AA447" s="32" t="inlineStr">
        <is>
          <t xml:space="preserve">Surplus Lines</t>
        </is>
      </c>
      <c r="AB447" s="35">
        <v>2025.04</v>
      </c>
      <c r="AC447" s="37">
        <v>0</v>
      </c>
      <c r="AD447" s="38">
        <f>IF(ISNUMBER($AB447),$AB447*(1+N($AC447)),"")</f>
      </c>
      <c r="AE447" s="35">
        <v>350</v>
      </c>
      <c r="AF447" s="35">
        <v>0</v>
      </c>
      <c r="AG447" s="37"/>
      <c r="AH447" s="39">
        <f>IF(ISNUMBER($AD447),($AD447+$AE447+$AF447)*$AG447,"")</f>
      </c>
      <c r="AI447" s="35"/>
      <c r="AJ447" s="38">
        <f>IF(ISNUMBER($AD447),SUM($AD447:$AH447),"")</f>
      </c>
      <c r="AK447" s="40">
        <f>IF(AND(ISNUMBER($AB447),ISNUMBER($AD447)),IF($AB447&gt;0,$AD447/$AB447,""),"")</f>
      </c>
      <c r="AL447" s="32" t="inlineStr">
        <is>
          <t xml:space="preserve">At technical</t>
        </is>
      </c>
      <c r="AM447" s="41">
        <f>IF(ISNUMBER($AD447),Header!$I$3,"")</f>
      </c>
      <c r="AN447" s="39">
        <f>IF(ISNUMBER($AD447),$AO447+$AP447,"")</f>
      </c>
      <c r="AO447" s="39">
        <f>IF(ISNUMBER($AD447),ROUND($AD447*Header!$K$3,2),"")</f>
      </c>
      <c r="AP447" s="39">
        <f>IF(ISNUMBER($AD447),ROUND($AD447*Header!$M$3,2),"")</f>
      </c>
      <c r="AQ447" s="38">
        <f>IF(ISNUMBER($AD447),ROUND($AD447,2)-$AO447-$AP447,"")</f>
      </c>
      <c r="AR447" s="39">
        <f>IF(ISNUMBER($AD447),IF(Header!$D$34="","?",$AD447*Header!$D$34),"")</f>
      </c>
      <c r="AS447" s="39">
        <f>IF(ISNUMBER($AB447),IF(Header!$D$34="","?",$AB447*Header!$D$34),"")</f>
      </c>
      <c r="AT447" s="42">
        <f>IF(AND(ISNUMBER($AB447),$M447&gt;0),$AB447/$M447*100,"")</f>
      </c>
      <c r="AU447" s="42">
        <f>IF(AND(ISNUMBER($AD447),$M447&gt;0),$AD447/$M447*100,"")</f>
      </c>
      <c r="AV447" s="40">
        <f>IF(AND(ISNUMBER($AB447),ISNUMBER($AD447),ABS($AB447)&gt;0),$AD447/$AB447,"")</f>
      </c>
      <c r="AW447" s="39">
        <f>IF(ISNUMBER($AD447),MAX(0,(1-0.55-Header!$O$3)*Header!$Q$3*$AQ447),"")</f>
      </c>
      <c r="AX447" s="43">
        <f>IF($A447="","",IF(TRIM(IF($A447="","Missing certificate ref. ","") &amp; IF($C447="","Missing effective date. ","") &amp; IF($D447="","Missing binding status. ","") &amp; IF($E447="","Missing movement type. ","") &amp; IF($I447="","Missing make. ","") &amp; IF($L447="","Missing vehicle class. ","") &amp; IF($M447="","Missing agreed value. ","") &amp; IF($N447="","Missing policy type. ","") &amp; IF($Q447="","Missing garaging state. ","") &amp; IF($R447="","Missing garaging ZIP. ","") &amp; IF($S447="","Missing cat zone. ","") &amp; IF($V447="","Missing valuation basis. ","") &amp; IF($W447="","Missing PD deductible. ","") &amp; IF($X447="","Missing liability limit. ","") &amp; IF($AB447="","Missing technical premium. ","") &amp; IF($AF447="","Missing surplus lines tax %. ",""))="","PASS","FAIL: "&amp;TRIM(IF($A447="","Missing certificate ref. ","") &amp; IF($C447="","Missing effective date. ","") &amp; IF($D447="","Missing binding status. ","") &amp; IF($E447="","Missing movement type. ","") &amp; IF($I447="","Missing make. ","") &amp; IF($L447="","Missing vehicle class. ","") &amp; IF($M447="","Missing agreed value. ","") &amp; IF($N447="","Missing policy type. ","") &amp; IF($Q447="","Missing garaging state. ","") &amp; IF($R447="","Missing garaging ZIP. ","") &amp; IF($S447="","Missing cat zone. ","") &amp; IF($V447="","Missing valuation basis. ","") &amp; IF($W447="","Missing PD deductible. ","") &amp; IF($X447="","Missing liability limit. ","") &amp; IF($AB447="","Missing technical premium. ","") &amp; IF($AF447="","Missing surplus lines tax %. ",""))))</f>
      </c>
      <c r="AY447" s="44">
        <f>IF($M447="","",IF(ISNUMBER($M447),IF($M447&gt;=Header!$C$18,"YES — refer","No"),""))</f>
      </c>
      <c r="AZ447" s="44">
        <f>IF($AD447="","",IF(ISNUMBER($AD447),IF($AD447&lt;Header!$C$20,"BELOW MIN PREMIUM","OK"),""))</f>
      </c>
      <c r="BA447" s="32" t="inlineStr">
        <is>
          <t xml:space="preserve">Yes</t>
        </is>
      </c>
      <c r="BB447" s="32" t="inlineStr">
        <is>
          <t xml:space="preserve">Yes</t>
        </is>
      </c>
      <c r="BC447" s="30" t="inlineStr">
        <is>
          <t xml:space="preserve">Synthetic demo data</t>
        </is>
      </c>
      <c r="BE447" s="45">
        <f>IF(OR($A447="",$L447="",$H447=""),"",IF(AND(LEFT($L447,2)="06",$H447&gt;1945),"FAIL - pre-war class, year "&amp;$H447,IF(AND(LEFT($L447,2)="07",OR($H447&lt;1946,$H447&gt;1972)),"FAIL - 1946-72 class, year "&amp;$H447,IF(AND(LEFT($L447,2)="08",OR($H447&lt;1973,$H447&gt;1999)),"FAIL - 1973-99 class, year "&amp;$H447,IF(AND(LEFT($L447,2)="09",OR($H447&lt;2000,$H447&gt;2010)),"FAIL - 2000-10 class, year "&amp;$H447,"OK")))))</f>
      </c>
      <c r="BF447" s="45">
        <f>IF($AD447="","",IF(ROUND($AO447+$AP447+$AQ447-$AD447,2)=0,"OK","FAIL - out by "&amp;TEXT($AO447+$AP447+$AQ447-$AD447,"$0.00")))</f>
      </c>
    </row>
    <row r="448" spans="1:58" ht="18.75" customHeight="1" x14ac:dyDescent="0.25">
      <c r="A448" s="46" t="inlineStr">
        <is>
          <t xml:space="preserve">CANON-202511-002775</t>
        </is>
      </c>
      <c r="B448" s="46" t="inlineStr">
        <is>
          <t xml:space="preserve">Noor Vasquez</t>
        </is>
      </c>
      <c r="C448" s="47">
        <v>45972</v>
      </c>
      <c r="D448" s="48" t="inlineStr">
        <is>
          <t xml:space="preserve">Bound - within authority</t>
        </is>
      </c>
      <c r="E448" s="48" t="inlineStr">
        <is>
          <t xml:space="preserve">New business</t>
        </is>
      </c>
      <c r="F448" s="46" t="inlineStr">
        <is>
          <t xml:space="preserve">B1234EXOTIC26</t>
        </is>
      </c>
      <c r="G448" s="33">
        <f>IF($A448="","",IF($C448="","",YEAR($C448)))</f>
      </c>
      <c r="H448" s="49">
        <v>1969</v>
      </c>
      <c r="I448" s="46" t="inlineStr">
        <is>
          <t xml:space="preserve">McLaren</t>
        </is>
      </c>
      <c r="J448" s="46" t="inlineStr">
        <is>
          <t xml:space="preserve">750S</t>
        </is>
      </c>
      <c r="K448" s="46" t="inlineStr">
        <is>
          <t xml:space="preserve">LJ1M9BW3MACUZJAXC</t>
        </is>
      </c>
      <c r="L448" s="48" t="inlineStr">
        <is>
          <t xml:space="preserve">03 - Supercar</t>
        </is>
      </c>
      <c r="M448" s="50">
        <v>1950000</v>
      </c>
      <c r="N448" s="48" t="inlineStr">
        <is>
          <t xml:space="preserve">Personal</t>
        </is>
      </c>
      <c r="O448" s="46" t="inlineStr">
        <is>
          <t xml:space="preserve">Personal - regular use</t>
        </is>
      </c>
      <c r="P448" s="46" t="inlineStr">
        <is>
          <t xml:space="preserve">2,500 - 5,000</t>
        </is>
      </c>
      <c r="Q448" s="46" t="inlineStr">
        <is>
          <t xml:space="preserve">New York</t>
        </is>
      </c>
      <c r="R448" s="46" t="inlineStr">
        <is>
          <t xml:space="preserve">10022</t>
        </is>
      </c>
      <c r="S448" s="48" t="inlineStr">
        <is>
          <t xml:space="preserve">Tier 3 - Coastal wind (25-100 miles)</t>
        </is>
      </c>
      <c r="T448" s="36">
        <f>IF($A448="","",IF($S448="","",IFERROR(INDEX('[1]natural catastrophe'!$D$6:$D$17,MATCH($S448,'[1]natural catastrophe'!$B$6:$B$17,0)),"?")))</f>
      </c>
      <c r="U448" s="46" t="inlineStr">
        <is>
          <t xml:space="preserve">2% of agreed value, minimum $10,000</t>
        </is>
      </c>
      <c r="V448" s="48" t="inlineStr">
        <is>
          <t xml:space="preserve">Agreed Value</t>
        </is>
      </c>
      <c r="W448" s="46" t="inlineStr">
        <is>
          <t xml:space="preserve">$1,000</t>
        </is>
      </c>
      <c r="X448" s="48" t="inlineStr">
        <is>
          <t xml:space="preserve">$1,000,000 CSL</t>
        </is>
      </c>
      <c r="Y448" s="46"/>
      <c r="Z448" s="46"/>
      <c r="AA448" s="48" t="inlineStr">
        <is>
          <t xml:space="preserve">Surplus Lines</t>
        </is>
      </c>
      <c r="AB448" s="50">
        <v>34638.83</v>
      </c>
      <c r="AC448" s="51">
        <v>0</v>
      </c>
      <c r="AD448" s="38">
        <f>IF(ISNUMBER($AB448),$AB448*(1+N($AC448)),"")</f>
      </c>
      <c r="AE448" s="50">
        <v>350</v>
      </c>
      <c r="AF448" s="50">
        <v>250</v>
      </c>
      <c r="AG448" s="51"/>
      <c r="AH448" s="39">
        <f>IF(ISNUMBER($AD448),($AD448+$AE448+$AF448)*$AG448,"")</f>
      </c>
      <c r="AI448" s="50"/>
      <c r="AJ448" s="38">
        <f>IF(ISNUMBER($AD448),SUM($AD448:$AH448),"")</f>
      </c>
      <c r="AK448" s="40">
        <f>IF(AND(ISNUMBER($AB448),ISNUMBER($AD448)),IF($AB448&gt;0,$AD448/$AB448,""),"")</f>
      </c>
      <c r="AL448" s="48" t="inlineStr">
        <is>
          <t xml:space="preserve">At technical</t>
        </is>
      </c>
      <c r="AM448" s="41">
        <f>IF(ISNUMBER($AD448),Header!$I$3,"")</f>
      </c>
      <c r="AN448" s="39">
        <f>IF(ISNUMBER($AD448),$AO448+$AP448,"")</f>
      </c>
      <c r="AO448" s="39">
        <f>IF(ISNUMBER($AD448),ROUND($AD448*Header!$K$3,2),"")</f>
      </c>
      <c r="AP448" s="39">
        <f>IF(ISNUMBER($AD448),ROUND($AD448*Header!$M$3,2),"")</f>
      </c>
      <c r="AQ448" s="38">
        <f>IF(ISNUMBER($AD448),ROUND($AD448,2)-$AO448-$AP448,"")</f>
      </c>
      <c r="AR448" s="39">
        <f>IF(ISNUMBER($AD448),IF(Header!$D$34="","?",$AD448*Header!$D$34),"")</f>
      </c>
      <c r="AS448" s="39">
        <f>IF(ISNUMBER($AB448),IF(Header!$D$34="","?",$AB448*Header!$D$34),"")</f>
      </c>
      <c r="AT448" s="42">
        <f>IF(AND(ISNUMBER($AB448),$M448&gt;0),$AB448/$M448*100,"")</f>
      </c>
      <c r="AU448" s="42">
        <f>IF(AND(ISNUMBER($AD448),$M448&gt;0),$AD448/$M448*100,"")</f>
      </c>
      <c r="AV448" s="40">
        <f>IF(AND(ISNUMBER($AB448),ISNUMBER($AD448),ABS($AB448)&gt;0),$AD448/$AB448,"")</f>
      </c>
      <c r="AW448" s="39">
        <f>IF(ISNUMBER($AD448),MAX(0,(1-0.55-Header!$O$3)*Header!$Q$3*$AQ448),"")</f>
      </c>
      <c r="AX448" s="43">
        <f>IF($A448="","",IF(TRIM(IF($A448="","Missing certificate ref. ","") &amp; IF($C448="","Missing effective date. ","") &amp; IF($D448="","Missing binding status. ","") &amp; IF($E448="","Missing movement type. ","") &amp; IF($I448="","Missing make. ","") &amp; IF($L448="","Missing vehicle class. ","") &amp; IF($M448="","Missing agreed value. ","") &amp; IF($N448="","Missing policy type. ","") &amp; IF($Q448="","Missing garaging state. ","") &amp; IF($R448="","Missing garaging ZIP. ","") &amp; IF($S448="","Missing cat zone. ","") &amp; IF($V448="","Missing valuation basis. ","") &amp; IF($W448="","Missing PD deductible. ","") &amp; IF($X448="","Missing liability limit. ","") &amp; IF($AB448="","Missing technical premium. ","") &amp; IF($AF448="","Missing surplus lines tax %. ",""))="","PASS","FAIL: "&amp;TRIM(IF($A448="","Missing certificate ref. ","") &amp; IF($C448="","Missing effective date. ","") &amp; IF($D448="","Missing binding status. ","") &amp; IF($E448="","Missing movement type. ","") &amp; IF($I448="","Missing make. ","") &amp; IF($L448="","Missing vehicle class. ","") &amp; IF($M448="","Missing agreed value. ","") &amp; IF($N448="","Missing policy type. ","") &amp; IF($Q448="","Missing garaging state. ","") &amp; IF($R448="","Missing garaging ZIP. ","") &amp; IF($S448="","Missing cat zone. ","") &amp; IF($V448="","Missing valuation basis. ","") &amp; IF($W448="","Missing PD deductible. ","") &amp; IF($X448="","Missing liability limit. ","") &amp; IF($AB448="","Missing technical premium. ","") &amp; IF($AF448="","Missing surplus lines tax %. ",""))))</f>
      </c>
      <c r="AY448" s="44">
        <f>IF($M448="","",IF(ISNUMBER($M448),IF($M448&gt;=Header!$C$18,"YES — refer","No"),""))</f>
      </c>
      <c r="AZ448" s="44">
        <f>IF($AD448="","",IF(ISNUMBER($AD448),IF($AD448&lt;Header!$C$20,"BELOW MIN PREMIUM","OK"),""))</f>
      </c>
      <c r="BA448" s="48" t="inlineStr">
        <is>
          <t xml:space="preserve">Yes</t>
        </is>
      </c>
      <c r="BB448" s="48" t="inlineStr">
        <is>
          <t xml:space="preserve">Yes</t>
        </is>
      </c>
      <c r="BC448" s="46" t="inlineStr">
        <is>
          <t xml:space="preserve">Synthetic demo data</t>
        </is>
      </c>
      <c r="BE448" s="45">
        <f>IF(OR($A448="",$L448="",$H448=""),"",IF(AND(LEFT($L448,2)="06",$H448&gt;1945),"FAIL - pre-war class, year "&amp;$H448,IF(AND(LEFT($L448,2)="07",OR($H448&lt;1946,$H448&gt;1972)),"FAIL - 1946-72 class, year "&amp;$H448,IF(AND(LEFT($L448,2)="08",OR($H448&lt;1973,$H448&gt;1999)),"FAIL - 1973-99 class, year "&amp;$H448,IF(AND(LEFT($L448,2)="09",OR($H448&lt;2000,$H448&gt;2010)),"FAIL - 2000-10 class, year "&amp;$H448,"OK")))))</f>
      </c>
      <c r="BF448" s="45">
        <f>IF($AD448="","",IF(ROUND($AO448+$AP448+$AQ448-$AD448,2)=0,"OK","FAIL - out by "&amp;TEXT($AO448+$AP448+$AQ448-$AD448,"$0.00")))</f>
      </c>
    </row>
    <row r="449" spans="1:58" ht="18.75" customHeight="1" x14ac:dyDescent="0.25">
      <c r="A449" s="30" t="inlineStr">
        <is>
          <t xml:space="preserve">CANON-202511-002776</t>
        </is>
      </c>
      <c r="B449" s="30" t="inlineStr">
        <is>
          <t xml:space="preserve">Emiliano Larsson</t>
        </is>
      </c>
      <c r="C449" s="31">
        <v>45989</v>
      </c>
      <c r="D449" s="32" t="inlineStr">
        <is>
          <t xml:space="preserve">Bound - within authority</t>
        </is>
      </c>
      <c r="E449" s="32" t="inlineStr">
        <is>
          <t xml:space="preserve">New business</t>
        </is>
      </c>
      <c r="F449" s="30" t="inlineStr">
        <is>
          <t xml:space="preserve">B1234EXOTIC26</t>
        </is>
      </c>
      <c r="G449" s="33">
        <f>IF($A449="","",IF($C449="","",YEAR($C449)))</f>
      </c>
      <c r="H449" s="34">
        <v>2006</v>
      </c>
      <c r="I449" s="30" t="inlineStr">
        <is>
          <t xml:space="preserve">BMW</t>
        </is>
      </c>
      <c r="J449" s="30" t="inlineStr">
        <is>
          <t xml:space="preserve">M8 Competition</t>
        </is>
      </c>
      <c r="K449" s="30" t="inlineStr">
        <is>
          <t xml:space="preserve">SR2XPESAV3UNBSKT2</t>
        </is>
      </c>
      <c r="L449" s="32" t="inlineStr">
        <is>
          <t xml:space="preserve">02 - Sports / GT</t>
        </is>
      </c>
      <c r="M449" s="35">
        <v>570000</v>
      </c>
      <c r="N449" s="32" t="inlineStr">
        <is>
          <t xml:space="preserve">Personal</t>
        </is>
      </c>
      <c r="O449" s="30" t="inlineStr">
        <is>
          <t xml:space="preserve">Personal - regular use</t>
        </is>
      </c>
      <c r="P449" s="30" t="inlineStr">
        <is>
          <t xml:space="preserve">1,000 - 2,500</t>
        </is>
      </c>
      <c r="Q449" s="30" t="inlineStr">
        <is>
          <t xml:space="preserve">Arkansas</t>
        </is>
      </c>
      <c r="R449" s="30" t="inlineStr">
        <is>
          <t xml:space="preserve">72201</t>
        </is>
      </c>
      <c r="S449" s="32" t="inlineStr">
        <is>
          <t xml:space="preserve">Severe convective - hail / tornado (moderate)</t>
        </is>
      </c>
      <c r="T449" s="36">
        <f>IF($A449="","",IF($S449="","",IFERROR(INDEX('[1]natural catastrophe'!$D$6:$D$17,MATCH($S449,'[1]natural catastrophe'!$B$6:$B$17,0)),"?")))</f>
      </c>
      <c r="U449" s="30" t="inlineStr">
        <is>
          <t xml:space="preserve">$5,000</t>
        </is>
      </c>
      <c r="V449" s="32" t="inlineStr">
        <is>
          <t xml:space="preserve">Agreed Value</t>
        </is>
      </c>
      <c r="W449" s="30" t="inlineStr">
        <is>
          <t xml:space="preserve">$1,000</t>
        </is>
      </c>
      <c r="X449" s="32" t="inlineStr">
        <is>
          <t xml:space="preserve">$1,000,000 CSL</t>
        </is>
      </c>
      <c r="Y449" s="30"/>
      <c r="Z449" s="30"/>
      <c r="AA449" s="32" t="inlineStr">
        <is>
          <t xml:space="preserve">Surplus Lines</t>
        </is>
      </c>
      <c r="AB449" s="35">
        <v>8869.43</v>
      </c>
      <c r="AC449" s="37">
        <v>0</v>
      </c>
      <c r="AD449" s="38">
        <f>IF(ISNUMBER($AB449),$AB449*(1+N($AC449)),"")</f>
      </c>
      <c r="AE449" s="35">
        <v>350</v>
      </c>
      <c r="AF449" s="35">
        <v>0</v>
      </c>
      <c r="AG449" s="37"/>
      <c r="AH449" s="39">
        <f>IF(ISNUMBER($AD449),($AD449+$AE449+$AF449)*$AG449,"")</f>
      </c>
      <c r="AI449" s="35"/>
      <c r="AJ449" s="38">
        <f>IF(ISNUMBER($AD449),SUM($AD449:$AH449),"")</f>
      </c>
      <c r="AK449" s="40">
        <f>IF(AND(ISNUMBER($AB449),ISNUMBER($AD449)),IF($AB449&gt;0,$AD449/$AB449,""),"")</f>
      </c>
      <c r="AL449" s="32" t="inlineStr">
        <is>
          <t xml:space="preserve">At technical</t>
        </is>
      </c>
      <c r="AM449" s="41">
        <f>IF(ISNUMBER($AD449),Header!$I$3,"")</f>
      </c>
      <c r="AN449" s="39">
        <f>IF(ISNUMBER($AD449),$AO449+$AP449,"")</f>
      </c>
      <c r="AO449" s="39">
        <f>IF(ISNUMBER($AD449),ROUND($AD449*Header!$K$3,2),"")</f>
      </c>
      <c r="AP449" s="39">
        <f>IF(ISNUMBER($AD449),ROUND($AD449*Header!$M$3,2),"")</f>
      </c>
      <c r="AQ449" s="38">
        <f>IF(ISNUMBER($AD449),ROUND($AD449,2)-$AO449-$AP449,"")</f>
      </c>
      <c r="AR449" s="39">
        <f>IF(ISNUMBER($AD449),IF(Header!$D$34="","?",$AD449*Header!$D$34),"")</f>
      </c>
      <c r="AS449" s="39">
        <f>IF(ISNUMBER($AB449),IF(Header!$D$34="","?",$AB449*Header!$D$34),"")</f>
      </c>
      <c r="AT449" s="42">
        <f>IF(AND(ISNUMBER($AB449),$M449&gt;0),$AB449/$M449*100,"")</f>
      </c>
      <c r="AU449" s="42">
        <f>IF(AND(ISNUMBER($AD449),$M449&gt;0),$AD449/$M449*100,"")</f>
      </c>
      <c r="AV449" s="40">
        <f>IF(AND(ISNUMBER($AB449),ISNUMBER($AD449),ABS($AB449)&gt;0),$AD449/$AB449,"")</f>
      </c>
      <c r="AW449" s="39">
        <f>IF(ISNUMBER($AD449),MAX(0,(1-0.55-Header!$O$3)*Header!$Q$3*$AQ449),"")</f>
      </c>
      <c r="AX449" s="43">
        <f>IF($A449="","",IF(TRIM(IF($A449="","Missing certificate ref. ","") &amp; IF($C449="","Missing effective date. ","") &amp; IF($D449="","Missing binding status. ","") &amp; IF($E449="","Missing movement type. ","") &amp; IF($I449="","Missing make. ","") &amp; IF($L449="","Missing vehicle class. ","") &amp; IF($M449="","Missing agreed value. ","") &amp; IF($N449="","Missing policy type. ","") &amp; IF($Q449="","Missing garaging state. ","") &amp; IF($R449="","Missing garaging ZIP. ","") &amp; IF($S449="","Missing cat zone. ","") &amp; IF($V449="","Missing valuation basis. ","") &amp; IF($W449="","Missing PD deductible. ","") &amp; IF($X449="","Missing liability limit. ","") &amp; IF($AB449="","Missing technical premium. ","") &amp; IF($AF449="","Missing surplus lines tax %. ",""))="","PASS","FAIL: "&amp;TRIM(IF($A449="","Missing certificate ref. ","") &amp; IF($C449="","Missing effective date. ","") &amp; IF($D449="","Missing binding status. ","") &amp; IF($E449="","Missing movement type. ","") &amp; IF($I449="","Missing make. ","") &amp; IF($L449="","Missing vehicle class. ","") &amp; IF($M449="","Missing agreed value. ","") &amp; IF($N449="","Missing policy type. ","") &amp; IF($Q449="","Missing garaging state. ","") &amp; IF($R449="","Missing garaging ZIP. ","") &amp; IF($S449="","Missing cat zone. ","") &amp; IF($V449="","Missing valuation basis. ","") &amp; IF($W449="","Missing PD deductible. ","") &amp; IF($X449="","Missing liability limit. ","") &amp; IF($AB449="","Missing technical premium. ","") &amp; IF($AF449="","Missing surplus lines tax %. ",""))))</f>
      </c>
      <c r="AY449" s="44">
        <f>IF($M449="","",IF(ISNUMBER($M449),IF($M449&gt;=Header!$C$18,"YES — refer","No"),""))</f>
      </c>
      <c r="AZ449" s="44">
        <f>IF($AD449="","",IF(ISNUMBER($AD449),IF($AD449&lt;Header!$C$20,"BELOW MIN PREMIUM","OK"),""))</f>
      </c>
      <c r="BA449" s="32" t="inlineStr">
        <is>
          <t xml:space="preserve">Yes</t>
        </is>
      </c>
      <c r="BB449" s="32" t="inlineStr">
        <is>
          <t xml:space="preserve">Yes</t>
        </is>
      </c>
      <c r="BC449" s="30" t="inlineStr">
        <is>
          <t xml:space="preserve">Synthetic demo data</t>
        </is>
      </c>
      <c r="BE449" s="45">
        <f>IF(OR($A449="",$L449="",$H449=""),"",IF(AND(LEFT($L449,2)="06",$H449&gt;1945),"FAIL - pre-war class, year "&amp;$H449,IF(AND(LEFT($L449,2)="07",OR($H449&lt;1946,$H449&gt;1972)),"FAIL - 1946-72 class, year "&amp;$H449,IF(AND(LEFT($L449,2)="08",OR($H449&lt;1973,$H449&gt;1999)),"FAIL - 1973-99 class, year "&amp;$H449,IF(AND(LEFT($L449,2)="09",OR($H449&lt;2000,$H449&gt;2010)),"FAIL - 2000-10 class, year "&amp;$H449,"OK")))))</f>
      </c>
      <c r="BF449" s="45">
        <f>IF($AD449="","",IF(ROUND($AO449+$AP449+$AQ449-$AD449,2)=0,"OK","FAIL - out by "&amp;TEXT($AO449+$AP449+$AQ449-$AD449,"$0.00")))</f>
      </c>
    </row>
    <row r="450" spans="1:58" ht="18.75" customHeight="1" x14ac:dyDescent="0.25">
      <c r="A450" s="46" t="inlineStr">
        <is>
          <t xml:space="preserve">CANON-202511-002778</t>
        </is>
      </c>
      <c r="B450" s="46" t="inlineStr">
        <is>
          <t xml:space="preserve">Marisol Delacroix</t>
        </is>
      </c>
      <c r="C450" s="47">
        <v>45968</v>
      </c>
      <c r="D450" s="48" t="inlineStr">
        <is>
          <t xml:space="preserve">Bound - within authority</t>
        </is>
      </c>
      <c r="E450" s="48" t="inlineStr">
        <is>
          <t xml:space="preserve">New business</t>
        </is>
      </c>
      <c r="F450" s="46" t="inlineStr">
        <is>
          <t xml:space="preserve">B1234EXOTIC26</t>
        </is>
      </c>
      <c r="G450" s="33">
        <f>IF($A450="","",IF($C450="","",YEAR($C450)))</f>
      </c>
      <c r="H450" s="49">
        <v>1958</v>
      </c>
      <c r="I450" s="46" t="inlineStr">
        <is>
          <t xml:space="preserve">Ferrari</t>
        </is>
      </c>
      <c r="J450" s="46" t="inlineStr">
        <is>
          <t xml:space="preserve">SF90 Stradale</t>
        </is>
      </c>
      <c r="K450" s="46" t="inlineStr">
        <is>
          <t xml:space="preserve">4GAH274X3H5M4PUGJ</t>
        </is>
      </c>
      <c r="L450" s="48" t="inlineStr">
        <is>
          <t xml:space="preserve">03 - Supercar</t>
        </is>
      </c>
      <c r="M450" s="50">
        <v>1680000</v>
      </c>
      <c r="N450" s="48" t="inlineStr">
        <is>
          <t xml:space="preserve">Personal</t>
        </is>
      </c>
      <c r="O450" s="46" t="inlineStr">
        <is>
          <t xml:space="preserve">Personal - regular use</t>
        </is>
      </c>
      <c r="P450" s="46" t="inlineStr">
        <is>
          <t xml:space="preserve">2,500 - 5,000</t>
        </is>
      </c>
      <c r="Q450" s="46" t="inlineStr">
        <is>
          <t xml:space="preserve">Montana</t>
        </is>
      </c>
      <c r="R450" s="46" t="inlineStr">
        <is>
          <t xml:space="preserve">59601</t>
        </is>
      </c>
      <c r="S450" s="48" t="inlineStr">
        <is>
          <t xml:space="preserve">Wildfire - WUI high hazard</t>
        </is>
      </c>
      <c r="T450" s="36">
        <f>IF($A450="","",IF($S450="","",IFERROR(INDEX('[1]natural catastrophe'!$D$6:$D$17,MATCH($S450,'[1]natural catastrophe'!$B$6:$B$17,0)),"?")))</f>
      </c>
      <c r="U450" s="46" t="inlineStr">
        <is>
          <t xml:space="preserve">$5,000</t>
        </is>
      </c>
      <c r="V450" s="48" t="inlineStr">
        <is>
          <t xml:space="preserve">Agreed Value</t>
        </is>
      </c>
      <c r="W450" s="46" t="inlineStr">
        <is>
          <t xml:space="preserve">$1,000</t>
        </is>
      </c>
      <c r="X450" s="48" t="inlineStr">
        <is>
          <t xml:space="preserve">$1,000,000 CSL</t>
        </is>
      </c>
      <c r="Y450" s="46"/>
      <c r="Z450" s="46"/>
      <c r="AA450" s="48" t="inlineStr">
        <is>
          <t xml:space="preserve">Surplus Lines</t>
        </is>
      </c>
      <c r="AB450" s="50">
        <v>21682.58</v>
      </c>
      <c r="AC450" s="51">
        <v>0</v>
      </c>
      <c r="AD450" s="38">
        <f>IF(ISNUMBER($AB450),$AB450*(1+N($AC450)),"")</f>
      </c>
      <c r="AE450" s="50">
        <v>350</v>
      </c>
      <c r="AF450" s="50">
        <v>250</v>
      </c>
      <c r="AG450" s="51"/>
      <c r="AH450" s="39">
        <f>IF(ISNUMBER($AD450),($AD450+$AE450+$AF450)*$AG450,"")</f>
      </c>
      <c r="AI450" s="50"/>
      <c r="AJ450" s="38">
        <f>IF(ISNUMBER($AD450),SUM($AD450:$AH450),"")</f>
      </c>
      <c r="AK450" s="40">
        <f>IF(AND(ISNUMBER($AB450),ISNUMBER($AD450)),IF($AB450&gt;0,$AD450/$AB450,""),"")</f>
      </c>
      <c r="AL450" s="48" t="inlineStr">
        <is>
          <t xml:space="preserve">At technical</t>
        </is>
      </c>
      <c r="AM450" s="41">
        <f>IF(ISNUMBER($AD450),Header!$I$3,"")</f>
      </c>
      <c r="AN450" s="39">
        <f>IF(ISNUMBER($AD450),$AO450+$AP450,"")</f>
      </c>
      <c r="AO450" s="39">
        <f>IF(ISNUMBER($AD450),ROUND($AD450*Header!$K$3,2),"")</f>
      </c>
      <c r="AP450" s="39">
        <f>IF(ISNUMBER($AD450),ROUND($AD450*Header!$M$3,2),"")</f>
      </c>
      <c r="AQ450" s="38">
        <f>IF(ISNUMBER($AD450),ROUND($AD450,2)-$AO450-$AP450,"")</f>
      </c>
      <c r="AR450" s="39">
        <f>IF(ISNUMBER($AD450),IF(Header!$D$34="","?",$AD450*Header!$D$34),"")</f>
      </c>
      <c r="AS450" s="39">
        <f>IF(ISNUMBER($AB450),IF(Header!$D$34="","?",$AB450*Header!$D$34),"")</f>
      </c>
      <c r="AT450" s="42">
        <f>IF(AND(ISNUMBER($AB450),$M450&gt;0),$AB450/$M450*100,"")</f>
      </c>
      <c r="AU450" s="42">
        <f>IF(AND(ISNUMBER($AD450),$M450&gt;0),$AD450/$M450*100,"")</f>
      </c>
      <c r="AV450" s="40">
        <f>IF(AND(ISNUMBER($AB450),ISNUMBER($AD450),ABS($AB450)&gt;0),$AD450/$AB450,"")</f>
      </c>
      <c r="AW450" s="39">
        <f>IF(ISNUMBER($AD450),MAX(0,(1-0.55-Header!$O$3)*Header!$Q$3*$AQ450),"")</f>
      </c>
      <c r="AX450" s="43">
        <f>IF($A450="","",IF(TRIM(IF($A450="","Missing certificate ref. ","") &amp; IF($C450="","Missing effective date. ","") &amp; IF($D450="","Missing binding status. ","") &amp; IF($E450="","Missing movement type. ","") &amp; IF($I450="","Missing make. ","") &amp; IF($L450="","Missing vehicle class. ","") &amp; IF($M450="","Missing agreed value. ","") &amp; IF($N450="","Missing policy type. ","") &amp; IF($Q450="","Missing garaging state. ","") &amp; IF($R450="","Missing garaging ZIP. ","") &amp; IF($S450="","Missing cat zone. ","") &amp; IF($V450="","Missing valuation basis. ","") &amp; IF($W450="","Missing PD deductible. ","") &amp; IF($X450="","Missing liability limit. ","") &amp; IF($AB450="","Missing technical premium. ","") &amp; IF($AF450="","Missing surplus lines tax %. ",""))="","PASS","FAIL: "&amp;TRIM(IF($A450="","Missing certificate ref. ","") &amp; IF($C450="","Missing effective date. ","") &amp; IF($D450="","Missing binding status. ","") &amp; IF($E450="","Missing movement type. ","") &amp; IF($I450="","Missing make. ","") &amp; IF($L450="","Missing vehicle class. ","") &amp; IF($M450="","Missing agreed value. ","") &amp; IF($N450="","Missing policy type. ","") &amp; IF($Q450="","Missing garaging state. ","") &amp; IF($R450="","Missing garaging ZIP. ","") &amp; IF($S450="","Missing cat zone. ","") &amp; IF($V450="","Missing valuation basis. ","") &amp; IF($W450="","Missing PD deductible. ","") &amp; IF($X450="","Missing liability limit. ","") &amp; IF($AB450="","Missing technical premium. ","") &amp; IF($AF450="","Missing surplus lines tax %. ",""))))</f>
      </c>
      <c r="AY450" s="44">
        <f>IF($M450="","",IF(ISNUMBER($M450),IF($M450&gt;=Header!$C$18,"YES — refer","No"),""))</f>
      </c>
      <c r="AZ450" s="44">
        <f>IF($AD450="","",IF(ISNUMBER($AD450),IF($AD450&lt;Header!$C$20,"BELOW MIN PREMIUM","OK"),""))</f>
      </c>
      <c r="BA450" s="48" t="inlineStr">
        <is>
          <t xml:space="preserve">Yes</t>
        </is>
      </c>
      <c r="BB450" s="48" t="inlineStr">
        <is>
          <t xml:space="preserve">Yes</t>
        </is>
      </c>
      <c r="BC450" s="46" t="inlineStr">
        <is>
          <t xml:space="preserve">Synthetic demo data</t>
        </is>
      </c>
      <c r="BE450" s="45">
        <f>IF(OR($A450="",$L450="",$H450=""),"",IF(AND(LEFT($L450,2)="06",$H450&gt;1945),"FAIL - pre-war class, year "&amp;$H450,IF(AND(LEFT($L450,2)="07",OR($H450&lt;1946,$H450&gt;1972)),"FAIL - 1946-72 class, year "&amp;$H450,IF(AND(LEFT($L450,2)="08",OR($H450&lt;1973,$H450&gt;1999)),"FAIL - 1973-99 class, year "&amp;$H450,IF(AND(LEFT($L450,2)="09",OR($H450&lt;2000,$H450&gt;2010)),"FAIL - 2000-10 class, year "&amp;$H450,"OK")))))</f>
      </c>
      <c r="BF450" s="45">
        <f>IF($AD450="","",IF(ROUND($AO450+$AP450+$AQ450-$AD450,2)=0,"OK","FAIL - out by "&amp;TEXT($AO450+$AP450+$AQ450-$AD450,"$0.00")))</f>
      </c>
    </row>
    <row r="451" spans="1:58" ht="18.75" customHeight="1" x14ac:dyDescent="0.25">
      <c r="A451" s="30" t="inlineStr">
        <is>
          <t xml:space="preserve">CANON-202511-002779</t>
        </is>
      </c>
      <c r="B451" s="30" t="inlineStr">
        <is>
          <t xml:space="preserve">Noor Delacroix</t>
        </is>
      </c>
      <c r="C451" s="31">
        <v>45974</v>
      </c>
      <c r="D451" s="32" t="inlineStr">
        <is>
          <t xml:space="preserve">Bound - within authority</t>
        </is>
      </c>
      <c r="E451" s="32" t="inlineStr">
        <is>
          <t xml:space="preserve">New business</t>
        </is>
      </c>
      <c r="F451" s="30" t="inlineStr">
        <is>
          <t xml:space="preserve">B1234EXOTIC26</t>
        </is>
      </c>
      <c r="G451" s="33">
        <f>IF($A451="","",IF($C451="","",YEAR($C451)))</f>
      </c>
      <c r="H451" s="34">
        <v>1998</v>
      </c>
      <c r="I451" s="30" t="inlineStr">
        <is>
          <t xml:space="preserve">Bentley</t>
        </is>
      </c>
      <c r="J451" s="30" t="inlineStr">
        <is>
          <t xml:space="preserve">Continental GT</t>
        </is>
      </c>
      <c r="K451" s="30" t="inlineStr">
        <is>
          <t xml:space="preserve">YB2N7SUTH0TFF1KLD</t>
        </is>
      </c>
      <c r="L451" s="32" t="inlineStr">
        <is>
          <t xml:space="preserve">02 - Sports / GT</t>
        </is>
      </c>
      <c r="M451" s="35">
        <v>365000</v>
      </c>
      <c r="N451" s="32" t="inlineStr">
        <is>
          <t xml:space="preserve">Personal</t>
        </is>
      </c>
      <c r="O451" s="30" t="inlineStr">
        <is>
          <t xml:space="preserve">Personal - regular use</t>
        </is>
      </c>
      <c r="P451" s="30" t="inlineStr">
        <is>
          <t xml:space="preserve">1,000 - 2,500</t>
        </is>
      </c>
      <c r="Q451" s="30" t="inlineStr">
        <is>
          <t xml:space="preserve">New York</t>
        </is>
      </c>
      <c r="R451" s="30" t="inlineStr">
        <is>
          <t xml:space="preserve">10022</t>
        </is>
      </c>
      <c r="S451" s="32" t="inlineStr">
        <is>
          <t xml:space="preserve">Tier 3 - Coastal wind (25-100 miles)</t>
        </is>
      </c>
      <c r="T451" s="36">
        <f>IF($A451="","",IF($S451="","",IFERROR(INDEX('[1]natural catastrophe'!$D$6:$D$17,MATCH($S451,'[1]natural catastrophe'!$B$6:$B$17,0)),"?")))</f>
      </c>
      <c r="U451" s="30" t="inlineStr">
        <is>
          <t xml:space="preserve">2% of agreed value, minimum $10,000</t>
        </is>
      </c>
      <c r="V451" s="32" t="inlineStr">
        <is>
          <t xml:space="preserve">Agreed Value</t>
        </is>
      </c>
      <c r="W451" s="30" t="inlineStr">
        <is>
          <t xml:space="preserve">$1,000</t>
        </is>
      </c>
      <c r="X451" s="32" t="inlineStr">
        <is>
          <t xml:space="preserve">$1,000,000 CSL</t>
        </is>
      </c>
      <c r="Y451" s="30"/>
      <c r="Z451" s="30"/>
      <c r="AA451" s="32" t="inlineStr">
        <is>
          <t xml:space="preserve">Surplus Lines</t>
        </is>
      </c>
      <c r="AB451" s="35">
        <v>6078.45</v>
      </c>
      <c r="AC451" s="37">
        <v>0</v>
      </c>
      <c r="AD451" s="38">
        <f>IF(ISNUMBER($AB451),$AB451*(1+N($AC451)),"")</f>
      </c>
      <c r="AE451" s="35">
        <v>350</v>
      </c>
      <c r="AF451" s="35">
        <v>0</v>
      </c>
      <c r="AG451" s="37"/>
      <c r="AH451" s="39">
        <f>IF(ISNUMBER($AD451),($AD451+$AE451+$AF451)*$AG451,"")</f>
      </c>
      <c r="AI451" s="35"/>
      <c r="AJ451" s="38">
        <f>IF(ISNUMBER($AD451),SUM($AD451:$AH451),"")</f>
      </c>
      <c r="AK451" s="40">
        <f>IF(AND(ISNUMBER($AB451),ISNUMBER($AD451)),IF($AB451&gt;0,$AD451/$AB451,""),"")</f>
      </c>
      <c r="AL451" s="32" t="inlineStr">
        <is>
          <t xml:space="preserve">At technical</t>
        </is>
      </c>
      <c r="AM451" s="41">
        <f>IF(ISNUMBER($AD451),Header!$I$3,"")</f>
      </c>
      <c r="AN451" s="39">
        <f>IF(ISNUMBER($AD451),$AO451+$AP451,"")</f>
      </c>
      <c r="AO451" s="39">
        <f>IF(ISNUMBER($AD451),ROUND($AD451*Header!$K$3,2),"")</f>
      </c>
      <c r="AP451" s="39">
        <f>IF(ISNUMBER($AD451),ROUND($AD451*Header!$M$3,2),"")</f>
      </c>
      <c r="AQ451" s="38">
        <f>IF(ISNUMBER($AD451),ROUND($AD451,2)-$AO451-$AP451,"")</f>
      </c>
      <c r="AR451" s="39">
        <f>IF(ISNUMBER($AD451),IF(Header!$D$34="","?",$AD451*Header!$D$34),"")</f>
      </c>
      <c r="AS451" s="39">
        <f>IF(ISNUMBER($AB451),IF(Header!$D$34="","?",$AB451*Header!$D$34),"")</f>
      </c>
      <c r="AT451" s="42">
        <f>IF(AND(ISNUMBER($AB451),$M451&gt;0),$AB451/$M451*100,"")</f>
      </c>
      <c r="AU451" s="42">
        <f>IF(AND(ISNUMBER($AD451),$M451&gt;0),$AD451/$M451*100,"")</f>
      </c>
      <c r="AV451" s="40">
        <f>IF(AND(ISNUMBER($AB451),ISNUMBER($AD451),ABS($AB451)&gt;0),$AD451/$AB451,"")</f>
      </c>
      <c r="AW451" s="39">
        <f>IF(ISNUMBER($AD451),MAX(0,(1-0.55-Header!$O$3)*Header!$Q$3*$AQ451),"")</f>
      </c>
      <c r="AX451" s="43">
        <f>IF($A451="","",IF(TRIM(IF($A451="","Missing certificate ref. ","") &amp; IF($C451="","Missing effective date. ","") &amp; IF($D451="","Missing binding status. ","") &amp; IF($E451="","Missing movement type. ","") &amp; IF($I451="","Missing make. ","") &amp; IF($L451="","Missing vehicle class. ","") &amp; IF($M451="","Missing agreed value. ","") &amp; IF($N451="","Missing policy type. ","") &amp; IF($Q451="","Missing garaging state. ","") &amp; IF($R451="","Missing garaging ZIP. ","") &amp; IF($S451="","Missing cat zone. ","") &amp; IF($V451="","Missing valuation basis. ","") &amp; IF($W451="","Missing PD deductible. ","") &amp; IF($X451="","Missing liability limit. ","") &amp; IF($AB451="","Missing technical premium. ","") &amp; IF($AF451="","Missing surplus lines tax %. ",""))="","PASS","FAIL: "&amp;TRIM(IF($A451="","Missing certificate ref. ","") &amp; IF($C451="","Missing effective date. ","") &amp; IF($D451="","Missing binding status. ","") &amp; IF($E451="","Missing movement type. ","") &amp; IF($I451="","Missing make. ","") &amp; IF($L451="","Missing vehicle class. ","") &amp; IF($M451="","Missing agreed value. ","") &amp; IF($N451="","Missing policy type. ","") &amp; IF($Q451="","Missing garaging state. ","") &amp; IF($R451="","Missing garaging ZIP. ","") &amp; IF($S451="","Missing cat zone. ","") &amp; IF($V451="","Missing valuation basis. ","") &amp; IF($W451="","Missing PD deductible. ","") &amp; IF($X451="","Missing liability limit. ","") &amp; IF($AB451="","Missing technical premium. ","") &amp; IF($AF451="","Missing surplus lines tax %. ",""))))</f>
      </c>
      <c r="AY451" s="44">
        <f>IF($M451="","",IF(ISNUMBER($M451),IF($M451&gt;=Header!$C$18,"YES — refer","No"),""))</f>
      </c>
      <c r="AZ451" s="44">
        <f>IF($AD451="","",IF(ISNUMBER($AD451),IF($AD451&lt;Header!$C$20,"BELOW MIN PREMIUM","OK"),""))</f>
      </c>
      <c r="BA451" s="32" t="inlineStr">
        <is>
          <t xml:space="preserve">Yes</t>
        </is>
      </c>
      <c r="BB451" s="32" t="inlineStr">
        <is>
          <t xml:space="preserve">Yes</t>
        </is>
      </c>
      <c r="BC451" s="30" t="inlineStr">
        <is>
          <t xml:space="preserve">Synthetic demo data</t>
        </is>
      </c>
      <c r="BE451" s="45">
        <f>IF(OR($A451="",$L451="",$H451=""),"",IF(AND(LEFT($L451,2)="06",$H451&gt;1945),"FAIL - pre-war class, year "&amp;$H451,IF(AND(LEFT($L451,2)="07",OR($H451&lt;1946,$H451&gt;1972)),"FAIL - 1946-72 class, year "&amp;$H451,IF(AND(LEFT($L451,2)="08",OR($H451&lt;1973,$H451&gt;1999)),"FAIL - 1973-99 class, year "&amp;$H451,IF(AND(LEFT($L451,2)="09",OR($H451&lt;2000,$H451&gt;2010)),"FAIL - 2000-10 class, year "&amp;$H451,"OK")))))</f>
      </c>
      <c r="BF451" s="45">
        <f>IF($AD451="","",IF(ROUND($AO451+$AP451+$AQ451-$AD451,2)=0,"OK","FAIL - out by "&amp;TEXT($AO451+$AP451+$AQ451-$AD451,"$0.00")))</f>
      </c>
    </row>
    <row r="452" spans="1:58" ht="18.75" customHeight="1" x14ac:dyDescent="0.25">
      <c r="A452" s="46" t="inlineStr">
        <is>
          <t xml:space="preserve">CANON-202511-002780</t>
        </is>
      </c>
      <c r="B452" s="46" t="inlineStr">
        <is>
          <t xml:space="preserve">Everett Pennington</t>
        </is>
      </c>
      <c r="C452" s="47">
        <v>45966</v>
      </c>
      <c r="D452" s="48" t="inlineStr">
        <is>
          <t xml:space="preserve">Bound - within authority</t>
        </is>
      </c>
      <c r="E452" s="48" t="inlineStr">
        <is>
          <t xml:space="preserve">New business</t>
        </is>
      </c>
      <c r="F452" s="46" t="inlineStr">
        <is>
          <t xml:space="preserve">B1234EXOTIC26</t>
        </is>
      </c>
      <c r="G452" s="33">
        <f>IF($A452="","",IF($C452="","",YEAR($C452)))</f>
      </c>
      <c r="H452" s="49">
        <v>2019</v>
      </c>
      <c r="I452" s="46" t="inlineStr">
        <is>
          <t xml:space="preserve">Mercedes-Benz</t>
        </is>
      </c>
      <c r="J452" s="46" t="inlineStr">
        <is>
          <t xml:space="preserve">AMG GT</t>
        </is>
      </c>
      <c r="K452" s="46" t="inlineStr">
        <is>
          <t xml:space="preserve">R27RSJ3212GT1KGLS</t>
        </is>
      </c>
      <c r="L452" s="48" t="inlineStr">
        <is>
          <t xml:space="preserve">02 - Sports / GT</t>
        </is>
      </c>
      <c r="M452" s="50">
        <v>1305000</v>
      </c>
      <c r="N452" s="48" t="inlineStr">
        <is>
          <t xml:space="preserve">Personal</t>
        </is>
      </c>
      <c r="O452" s="46" t="inlineStr">
        <is>
          <t xml:space="preserve">Personal - regular use</t>
        </is>
      </c>
      <c r="P452" s="46" t="inlineStr">
        <is>
          <t xml:space="preserve">1,000 - 2,500</t>
        </is>
      </c>
      <c r="Q452" s="46" t="inlineStr">
        <is>
          <t xml:space="preserve">Arizona</t>
        </is>
      </c>
      <c r="R452" s="46" t="inlineStr">
        <is>
          <t xml:space="preserve">85001</t>
        </is>
      </c>
      <c r="S452" s="48" t="inlineStr">
        <is>
          <t xml:space="preserve">Wildfire - WUI high hazard</t>
        </is>
      </c>
      <c r="T452" s="36">
        <f>IF($A452="","",IF($S452="","",IFERROR(INDEX('[1]natural catastrophe'!$D$6:$D$17,MATCH($S452,'[1]natural catastrophe'!$B$6:$B$17,0)),"?")))</f>
      </c>
      <c r="U452" s="46" t="inlineStr">
        <is>
          <t xml:space="preserve">$5,000</t>
        </is>
      </c>
      <c r="V452" s="48" t="inlineStr">
        <is>
          <t xml:space="preserve">Agreed Value</t>
        </is>
      </c>
      <c r="W452" s="46" t="inlineStr">
        <is>
          <t xml:space="preserve">$1,000</t>
        </is>
      </c>
      <c r="X452" s="48" t="inlineStr">
        <is>
          <t xml:space="preserve">$1,000,000 CSL</t>
        </is>
      </c>
      <c r="Y452" s="46"/>
      <c r="Z452" s="46"/>
      <c r="AA452" s="48" t="inlineStr">
        <is>
          <t xml:space="preserve">Surplus Lines</t>
        </is>
      </c>
      <c r="AB452" s="50">
        <v>12575.44</v>
      </c>
      <c r="AC452" s="51">
        <v>0</v>
      </c>
      <c r="AD452" s="38">
        <f>IF(ISNUMBER($AB452),$AB452*(1+N($AC452)),"")</f>
      </c>
      <c r="AE452" s="50">
        <v>350</v>
      </c>
      <c r="AF452" s="50">
        <v>250</v>
      </c>
      <c r="AG452" s="51"/>
      <c r="AH452" s="39">
        <f>IF(ISNUMBER($AD452),($AD452+$AE452+$AF452)*$AG452,"")</f>
      </c>
      <c r="AI452" s="50"/>
      <c r="AJ452" s="38">
        <f>IF(ISNUMBER($AD452),SUM($AD452:$AH452),"")</f>
      </c>
      <c r="AK452" s="40">
        <f>IF(AND(ISNUMBER($AB452),ISNUMBER($AD452)),IF($AB452&gt;0,$AD452/$AB452,""),"")</f>
      </c>
      <c r="AL452" s="48" t="inlineStr">
        <is>
          <t xml:space="preserve">At technical</t>
        </is>
      </c>
      <c r="AM452" s="41">
        <f>IF(ISNUMBER($AD452),Header!$I$3,"")</f>
      </c>
      <c r="AN452" s="39">
        <f>IF(ISNUMBER($AD452),$AO452+$AP452,"")</f>
      </c>
      <c r="AO452" s="39">
        <f>IF(ISNUMBER($AD452),ROUND($AD452*Header!$K$3,2),"")</f>
      </c>
      <c r="AP452" s="39">
        <f>IF(ISNUMBER($AD452),ROUND($AD452*Header!$M$3,2),"")</f>
      </c>
      <c r="AQ452" s="38">
        <f>IF(ISNUMBER($AD452),ROUND($AD452,2)-$AO452-$AP452,"")</f>
      </c>
      <c r="AR452" s="39">
        <f>IF(ISNUMBER($AD452),IF(Header!$D$34="","?",$AD452*Header!$D$34),"")</f>
      </c>
      <c r="AS452" s="39">
        <f>IF(ISNUMBER($AB452),IF(Header!$D$34="","?",$AB452*Header!$D$34),"")</f>
      </c>
      <c r="AT452" s="42">
        <f>IF(AND(ISNUMBER($AB452),$M452&gt;0),$AB452/$M452*100,"")</f>
      </c>
      <c r="AU452" s="42">
        <f>IF(AND(ISNUMBER($AD452),$M452&gt;0),$AD452/$M452*100,"")</f>
      </c>
      <c r="AV452" s="40">
        <f>IF(AND(ISNUMBER($AB452),ISNUMBER($AD452),ABS($AB452)&gt;0),$AD452/$AB452,"")</f>
      </c>
      <c r="AW452" s="39">
        <f>IF(ISNUMBER($AD452),MAX(0,(1-0.55-Header!$O$3)*Header!$Q$3*$AQ452),"")</f>
      </c>
      <c r="AX452" s="43">
        <f>IF($A452="","",IF(TRIM(IF($A452="","Missing certificate ref. ","") &amp; IF($C452="","Missing effective date. ","") &amp; IF($D452="","Missing binding status. ","") &amp; IF($E452="","Missing movement type. ","") &amp; IF($I452="","Missing make. ","") &amp; IF($L452="","Missing vehicle class. ","") &amp; IF($M452="","Missing agreed value. ","") &amp; IF($N452="","Missing policy type. ","") &amp; IF($Q452="","Missing garaging state. ","") &amp; IF($R452="","Missing garaging ZIP. ","") &amp; IF($S452="","Missing cat zone. ","") &amp; IF($V452="","Missing valuation basis. ","") &amp; IF($W452="","Missing PD deductible. ","") &amp; IF($X452="","Missing liability limit. ","") &amp; IF($AB452="","Missing technical premium. ","") &amp; IF($AF452="","Missing surplus lines tax %. ",""))="","PASS","FAIL: "&amp;TRIM(IF($A452="","Missing certificate ref. ","") &amp; IF($C452="","Missing effective date. ","") &amp; IF($D452="","Missing binding status. ","") &amp; IF($E452="","Missing movement type. ","") &amp; IF($I452="","Missing make. ","") &amp; IF($L452="","Missing vehicle class. ","") &amp; IF($M452="","Missing agreed value. ","") &amp; IF($N452="","Missing policy type. ","") &amp; IF($Q452="","Missing garaging state. ","") &amp; IF($R452="","Missing garaging ZIP. ","") &amp; IF($S452="","Missing cat zone. ","") &amp; IF($V452="","Missing valuation basis. ","") &amp; IF($W452="","Missing PD deductible. ","") &amp; IF($X452="","Missing liability limit. ","") &amp; IF($AB452="","Missing technical premium. ","") &amp; IF($AF452="","Missing surplus lines tax %. ",""))))</f>
      </c>
      <c r="AY452" s="44">
        <f>IF($M452="","",IF(ISNUMBER($M452),IF($M452&gt;=Header!$C$18,"YES — refer","No"),""))</f>
      </c>
      <c r="AZ452" s="44">
        <f>IF($AD452="","",IF(ISNUMBER($AD452),IF($AD452&lt;Header!$C$20,"BELOW MIN PREMIUM","OK"),""))</f>
      </c>
      <c r="BA452" s="48" t="inlineStr">
        <is>
          <t xml:space="preserve">Yes</t>
        </is>
      </c>
      <c r="BB452" s="48" t="inlineStr">
        <is>
          <t xml:space="preserve">Yes</t>
        </is>
      </c>
      <c r="BC452" s="46" t="inlineStr">
        <is>
          <t xml:space="preserve">Synthetic demo data</t>
        </is>
      </c>
      <c r="BE452" s="45">
        <f>IF(OR($A452="",$L452="",$H452=""),"",IF(AND(LEFT($L452,2)="06",$H452&gt;1945),"FAIL - pre-war class, year "&amp;$H452,IF(AND(LEFT($L452,2)="07",OR($H452&lt;1946,$H452&gt;1972)),"FAIL - 1946-72 class, year "&amp;$H452,IF(AND(LEFT($L452,2)="08",OR($H452&lt;1973,$H452&gt;1999)),"FAIL - 1973-99 class, year "&amp;$H452,IF(AND(LEFT($L452,2)="09",OR($H452&lt;2000,$H452&gt;2010)),"FAIL - 2000-10 class, year "&amp;$H452,"OK")))))</f>
      </c>
      <c r="BF452" s="45">
        <f>IF($AD452="","",IF(ROUND($AO452+$AP452+$AQ452-$AD452,2)=0,"OK","FAIL - out by "&amp;TEXT($AO452+$AP452+$AQ452-$AD452,"$0.00")))</f>
      </c>
    </row>
    <row r="453" spans="1:58" ht="18.75" customHeight="1" x14ac:dyDescent="0.25">
      <c r="A453" s="30" t="inlineStr">
        <is>
          <t xml:space="preserve">CANON-202511-002781</t>
        </is>
      </c>
      <c r="B453" s="30" t="inlineStr">
        <is>
          <t xml:space="preserve">Wilhelmina Farkas</t>
        </is>
      </c>
      <c r="C453" s="31">
        <v>45966</v>
      </c>
      <c r="D453" s="32" t="inlineStr">
        <is>
          <t xml:space="preserve">Bound - within authority</t>
        </is>
      </c>
      <c r="E453" s="32" t="inlineStr">
        <is>
          <t xml:space="preserve">New business</t>
        </is>
      </c>
      <c r="F453" s="30" t="inlineStr">
        <is>
          <t xml:space="preserve">B1234EXOTIC26</t>
        </is>
      </c>
      <c r="G453" s="33">
        <f>IF($A453="","",IF($C453="","",YEAR($C453)))</f>
      </c>
      <c r="H453" s="34">
        <v>2009</v>
      </c>
      <c r="I453" s="30" t="inlineStr">
        <is>
          <t xml:space="preserve">Bentley</t>
        </is>
      </c>
      <c r="J453" s="30" t="inlineStr">
        <is>
          <t xml:space="preserve">Continental GT</t>
        </is>
      </c>
      <c r="K453" s="30" t="inlineStr">
        <is>
          <t xml:space="preserve">0W64PHS66CL98GE5M</t>
        </is>
      </c>
      <c r="L453" s="32" t="inlineStr">
        <is>
          <t xml:space="preserve">02 - Sports / GT</t>
        </is>
      </c>
      <c r="M453" s="35">
        <v>930000</v>
      </c>
      <c r="N453" s="32" t="inlineStr">
        <is>
          <t xml:space="preserve">Personal</t>
        </is>
      </c>
      <c r="O453" s="30" t="inlineStr">
        <is>
          <t xml:space="preserve">Personal - regular use</t>
        </is>
      </c>
      <c r="P453" s="30" t="inlineStr">
        <is>
          <t xml:space="preserve">1,000 - 2,500</t>
        </is>
      </c>
      <c r="Q453" s="30" t="inlineStr">
        <is>
          <t xml:space="preserve">Texas</t>
        </is>
      </c>
      <c r="R453" s="30" t="inlineStr">
        <is>
          <t xml:space="preserve">75201</t>
        </is>
      </c>
      <c r="S453" s="32" t="inlineStr">
        <is>
          <t xml:space="preserve">Tier 2 - Coastal wind (1-25 miles)</t>
        </is>
      </c>
      <c r="T453" s="36">
        <f>IF($A453="","",IF($S453="","",IFERROR(INDEX('[1]natural catastrophe'!$D$6:$D$17,MATCH($S453,'[1]natural catastrophe'!$B$6:$B$17,0)),"?")))</f>
      </c>
      <c r="U453" s="30" t="inlineStr">
        <is>
          <t xml:space="preserve">2% of agreed value, minimum $10,000</t>
        </is>
      </c>
      <c r="V453" s="32" t="inlineStr">
        <is>
          <t xml:space="preserve">Agreed Value</t>
        </is>
      </c>
      <c r="W453" s="30" t="inlineStr">
        <is>
          <t xml:space="preserve">$1,000</t>
        </is>
      </c>
      <c r="X453" s="32" t="inlineStr">
        <is>
          <t xml:space="preserve">$1,000,000 CSL</t>
        </is>
      </c>
      <c r="Y453" s="30"/>
      <c r="Z453" s="30"/>
      <c r="AA453" s="32" t="inlineStr">
        <is>
          <t xml:space="preserve">Surplus Lines</t>
        </is>
      </c>
      <c r="AB453" s="35">
        <v>12059.32</v>
      </c>
      <c r="AC453" s="37">
        <v>0</v>
      </c>
      <c r="AD453" s="38">
        <f>IF(ISNUMBER($AB453),$AB453*(1+N($AC453)),"")</f>
      </c>
      <c r="AE453" s="35">
        <v>350</v>
      </c>
      <c r="AF453" s="35">
        <v>0</v>
      </c>
      <c r="AG453" s="37"/>
      <c r="AH453" s="39">
        <f>IF(ISNUMBER($AD453),($AD453+$AE453+$AF453)*$AG453,"")</f>
      </c>
      <c r="AI453" s="35"/>
      <c r="AJ453" s="38">
        <f>IF(ISNUMBER($AD453),SUM($AD453:$AH453),"")</f>
      </c>
      <c r="AK453" s="40">
        <f>IF(AND(ISNUMBER($AB453),ISNUMBER($AD453)),IF($AB453&gt;0,$AD453/$AB453,""),"")</f>
      </c>
      <c r="AL453" s="32" t="inlineStr">
        <is>
          <t xml:space="preserve">At technical</t>
        </is>
      </c>
      <c r="AM453" s="41">
        <f>IF(ISNUMBER($AD453),Header!$I$3,"")</f>
      </c>
      <c r="AN453" s="39">
        <f>IF(ISNUMBER($AD453),$AO453+$AP453,"")</f>
      </c>
      <c r="AO453" s="39">
        <f>IF(ISNUMBER($AD453),ROUND($AD453*Header!$K$3,2),"")</f>
      </c>
      <c r="AP453" s="39">
        <f>IF(ISNUMBER($AD453),ROUND($AD453*Header!$M$3,2),"")</f>
      </c>
      <c r="AQ453" s="38">
        <f>IF(ISNUMBER($AD453),ROUND($AD453,2)-$AO453-$AP453,"")</f>
      </c>
      <c r="AR453" s="39">
        <f>IF(ISNUMBER($AD453),IF(Header!$D$34="","?",$AD453*Header!$D$34),"")</f>
      </c>
      <c r="AS453" s="39">
        <f>IF(ISNUMBER($AB453),IF(Header!$D$34="","?",$AB453*Header!$D$34),"")</f>
      </c>
      <c r="AT453" s="42">
        <f>IF(AND(ISNUMBER($AB453),$M453&gt;0),$AB453/$M453*100,"")</f>
      </c>
      <c r="AU453" s="42">
        <f>IF(AND(ISNUMBER($AD453),$M453&gt;0),$AD453/$M453*100,"")</f>
      </c>
      <c r="AV453" s="40">
        <f>IF(AND(ISNUMBER($AB453),ISNUMBER($AD453),ABS($AB453)&gt;0),$AD453/$AB453,"")</f>
      </c>
      <c r="AW453" s="39">
        <f>IF(ISNUMBER($AD453),MAX(0,(1-0.55-Header!$O$3)*Header!$Q$3*$AQ453),"")</f>
      </c>
      <c r="AX453" s="43">
        <f>IF($A453="","",IF(TRIM(IF($A453="","Missing certificate ref. ","") &amp; IF($C453="","Missing effective date. ","") &amp; IF($D453="","Missing binding status. ","") &amp; IF($E453="","Missing movement type. ","") &amp; IF($I453="","Missing make. ","") &amp; IF($L453="","Missing vehicle class. ","") &amp; IF($M453="","Missing agreed value. ","") &amp; IF($N453="","Missing policy type. ","") &amp; IF($Q453="","Missing garaging state. ","") &amp; IF($R453="","Missing garaging ZIP. ","") &amp; IF($S453="","Missing cat zone. ","") &amp; IF($V453="","Missing valuation basis. ","") &amp; IF($W453="","Missing PD deductible. ","") &amp; IF($X453="","Missing liability limit. ","") &amp; IF($AB453="","Missing technical premium. ","") &amp; IF($AF453="","Missing surplus lines tax %. ",""))="","PASS","FAIL: "&amp;TRIM(IF($A453="","Missing certificate ref. ","") &amp; IF($C453="","Missing effective date. ","") &amp; IF($D453="","Missing binding status. ","") &amp; IF($E453="","Missing movement type. ","") &amp; IF($I453="","Missing make. ","") &amp; IF($L453="","Missing vehicle class. ","") &amp; IF($M453="","Missing agreed value. ","") &amp; IF($N453="","Missing policy type. ","") &amp; IF($Q453="","Missing garaging state. ","") &amp; IF($R453="","Missing garaging ZIP. ","") &amp; IF($S453="","Missing cat zone. ","") &amp; IF($V453="","Missing valuation basis. ","") &amp; IF($W453="","Missing PD deductible. ","") &amp; IF($X453="","Missing liability limit. ","") &amp; IF($AB453="","Missing technical premium. ","") &amp; IF($AF453="","Missing surplus lines tax %. ",""))))</f>
      </c>
      <c r="AY453" s="44">
        <f>IF($M453="","",IF(ISNUMBER($M453),IF($M453&gt;=Header!$C$18,"YES — refer","No"),""))</f>
      </c>
      <c r="AZ453" s="44">
        <f>IF($AD453="","",IF(ISNUMBER($AD453),IF($AD453&lt;Header!$C$20,"BELOW MIN PREMIUM","OK"),""))</f>
      </c>
      <c r="BA453" s="32" t="inlineStr">
        <is>
          <t xml:space="preserve">Yes</t>
        </is>
      </c>
      <c r="BB453" s="32" t="inlineStr">
        <is>
          <t xml:space="preserve">Yes</t>
        </is>
      </c>
      <c r="BC453" s="30" t="inlineStr">
        <is>
          <t xml:space="preserve">Synthetic demo data</t>
        </is>
      </c>
      <c r="BE453" s="45">
        <f>IF(OR($A453="",$L453="",$H453=""),"",IF(AND(LEFT($L453,2)="06",$H453&gt;1945),"FAIL - pre-war class, year "&amp;$H453,IF(AND(LEFT($L453,2)="07",OR($H453&lt;1946,$H453&gt;1972)),"FAIL - 1946-72 class, year "&amp;$H453,IF(AND(LEFT($L453,2)="08",OR($H453&lt;1973,$H453&gt;1999)),"FAIL - 1973-99 class, year "&amp;$H453,IF(AND(LEFT($L453,2)="09",OR($H453&lt;2000,$H453&gt;2010)),"FAIL - 2000-10 class, year "&amp;$H453,"OK")))))</f>
      </c>
      <c r="BF453" s="45">
        <f>IF($AD453="","",IF(ROUND($AO453+$AP453+$AQ453-$AD453,2)=0,"OK","FAIL - out by "&amp;TEXT($AO453+$AP453+$AQ453-$AD453,"$0.00")))</f>
      </c>
    </row>
    <row r="454" spans="1:58" ht="18.75" customHeight="1" x14ac:dyDescent="0.25">
      <c r="A454" s="46" t="inlineStr">
        <is>
          <t xml:space="preserve">CANON-202511-002782</t>
        </is>
      </c>
      <c r="B454" s="46" t="inlineStr">
        <is>
          <t xml:space="preserve">Wilhelmina Fairweather</t>
        </is>
      </c>
      <c r="C454" s="47">
        <v>45975</v>
      </c>
      <c r="D454" s="48" t="inlineStr">
        <is>
          <t xml:space="preserve">Bound - within authority</t>
        </is>
      </c>
      <c r="E454" s="48" t="inlineStr">
        <is>
          <t xml:space="preserve">New business</t>
        </is>
      </c>
      <c r="F454" s="46" t="inlineStr">
        <is>
          <t xml:space="preserve">B1234EXOTIC26</t>
        </is>
      </c>
      <c r="G454" s="33">
        <f>IF($A454="","",IF($C454="","",YEAR($C454)))</f>
      </c>
      <c r="H454" s="49">
        <v>1956</v>
      </c>
      <c r="I454" s="46" t="inlineStr">
        <is>
          <t xml:space="preserve">Ferrari</t>
        </is>
      </c>
      <c r="J454" s="46" t="inlineStr">
        <is>
          <t xml:space="preserve">SF90 Stradale</t>
        </is>
      </c>
      <c r="K454" s="46" t="inlineStr">
        <is>
          <t xml:space="preserve">EETTAGTJ54ZKAW0YY</t>
        </is>
      </c>
      <c r="L454" s="48" t="inlineStr">
        <is>
          <t xml:space="preserve">03 - Supercar</t>
        </is>
      </c>
      <c r="M454" s="50">
        <v>525000</v>
      </c>
      <c r="N454" s="48" t="inlineStr">
        <is>
          <t xml:space="preserve">Personal</t>
        </is>
      </c>
      <c r="O454" s="46" t="inlineStr">
        <is>
          <t xml:space="preserve">Personal - regular use</t>
        </is>
      </c>
      <c r="P454" s="46" t="inlineStr">
        <is>
          <t xml:space="preserve">2,500 - 5,000</t>
        </is>
      </c>
      <c r="Q454" s="46" t="inlineStr">
        <is>
          <t xml:space="preserve">Florida</t>
        </is>
      </c>
      <c r="R454" s="46" t="inlineStr">
        <is>
          <t xml:space="preserve">33139</t>
        </is>
      </c>
      <c r="S454" s="48" t="inlineStr">
        <is>
          <t xml:space="preserve">Tier 2 - Coastal wind (1-25 miles)</t>
        </is>
      </c>
      <c r="T454" s="36">
        <f>IF($A454="","",IF($S454="","",IFERROR(INDEX('[1]natural catastrophe'!$D$6:$D$17,MATCH($S454,'[1]natural catastrophe'!$B$6:$B$17,0)),"?")))</f>
      </c>
      <c r="U454" s="46" t="inlineStr">
        <is>
          <t xml:space="preserve">2% of agreed value, minimum $10,000</t>
        </is>
      </c>
      <c r="V454" s="48" t="inlineStr">
        <is>
          <t xml:space="preserve">Agreed Value</t>
        </is>
      </c>
      <c r="W454" s="46" t="inlineStr">
        <is>
          <t xml:space="preserve">$1,000</t>
        </is>
      </c>
      <c r="X454" s="48" t="inlineStr">
        <is>
          <t xml:space="preserve">$1,000,000 CSL</t>
        </is>
      </c>
      <c r="Y454" s="46"/>
      <c r="Z454" s="46"/>
      <c r="AA454" s="48" t="inlineStr">
        <is>
          <t xml:space="preserve">Surplus Lines</t>
        </is>
      </c>
      <c r="AB454" s="50">
        <v>12285.7</v>
      </c>
      <c r="AC454" s="51">
        <v>0</v>
      </c>
      <c r="AD454" s="38">
        <f>IF(ISNUMBER($AB454),$AB454*(1+N($AC454)),"")</f>
      </c>
      <c r="AE454" s="50">
        <v>350</v>
      </c>
      <c r="AF454" s="50">
        <v>0</v>
      </c>
      <c r="AG454" s="51"/>
      <c r="AH454" s="39">
        <f>IF(ISNUMBER($AD454),($AD454+$AE454+$AF454)*$AG454,"")</f>
      </c>
      <c r="AI454" s="50"/>
      <c r="AJ454" s="38">
        <f>IF(ISNUMBER($AD454),SUM($AD454:$AH454),"")</f>
      </c>
      <c r="AK454" s="40">
        <f>IF(AND(ISNUMBER($AB454),ISNUMBER($AD454)),IF($AB454&gt;0,$AD454/$AB454,""),"")</f>
      </c>
      <c r="AL454" s="48" t="inlineStr">
        <is>
          <t xml:space="preserve">At technical</t>
        </is>
      </c>
      <c r="AM454" s="41">
        <f>IF(ISNUMBER($AD454),Header!$I$3,"")</f>
      </c>
      <c r="AN454" s="39">
        <f>IF(ISNUMBER($AD454),$AO454+$AP454,"")</f>
      </c>
      <c r="AO454" s="39">
        <f>IF(ISNUMBER($AD454),ROUND($AD454*Header!$K$3,2),"")</f>
      </c>
      <c r="AP454" s="39">
        <f>IF(ISNUMBER($AD454),ROUND($AD454*Header!$M$3,2),"")</f>
      </c>
      <c r="AQ454" s="38">
        <f>IF(ISNUMBER($AD454),ROUND($AD454,2)-$AO454-$AP454,"")</f>
      </c>
      <c r="AR454" s="39">
        <f>IF(ISNUMBER($AD454),IF(Header!$D$34="","?",$AD454*Header!$D$34),"")</f>
      </c>
      <c r="AS454" s="39">
        <f>IF(ISNUMBER($AB454),IF(Header!$D$34="","?",$AB454*Header!$D$34),"")</f>
      </c>
      <c r="AT454" s="42">
        <f>IF(AND(ISNUMBER($AB454),$M454&gt;0),$AB454/$M454*100,"")</f>
      </c>
      <c r="AU454" s="42">
        <f>IF(AND(ISNUMBER($AD454),$M454&gt;0),$AD454/$M454*100,"")</f>
      </c>
      <c r="AV454" s="40">
        <f>IF(AND(ISNUMBER($AB454),ISNUMBER($AD454),ABS($AB454)&gt;0),$AD454/$AB454,"")</f>
      </c>
      <c r="AW454" s="39">
        <f>IF(ISNUMBER($AD454),MAX(0,(1-0.55-Header!$O$3)*Header!$Q$3*$AQ454),"")</f>
      </c>
      <c r="AX454" s="43">
        <f>IF($A454="","",IF(TRIM(IF($A454="","Missing certificate ref. ","") &amp; IF($C454="","Missing effective date. ","") &amp; IF($D454="","Missing binding status. ","") &amp; IF($E454="","Missing movement type. ","") &amp; IF($I454="","Missing make. ","") &amp; IF($L454="","Missing vehicle class. ","") &amp; IF($M454="","Missing agreed value. ","") &amp; IF($N454="","Missing policy type. ","") &amp; IF($Q454="","Missing garaging state. ","") &amp; IF($R454="","Missing garaging ZIP. ","") &amp; IF($S454="","Missing cat zone. ","") &amp; IF($V454="","Missing valuation basis. ","") &amp; IF($W454="","Missing PD deductible. ","") &amp; IF($X454="","Missing liability limit. ","") &amp; IF($AB454="","Missing technical premium. ","") &amp; IF($AF454="","Missing surplus lines tax %. ",""))="","PASS","FAIL: "&amp;TRIM(IF($A454="","Missing certificate ref. ","") &amp; IF($C454="","Missing effective date. ","") &amp; IF($D454="","Missing binding status. ","") &amp; IF($E454="","Missing movement type. ","") &amp; IF($I454="","Missing make. ","") &amp; IF($L454="","Missing vehicle class. ","") &amp; IF($M454="","Missing agreed value. ","") &amp; IF($N454="","Missing policy type. ","") &amp; IF($Q454="","Missing garaging state. ","") &amp; IF($R454="","Missing garaging ZIP. ","") &amp; IF($S454="","Missing cat zone. ","") &amp; IF($V454="","Missing valuation basis. ","") &amp; IF($W454="","Missing PD deductible. ","") &amp; IF($X454="","Missing liability limit. ","") &amp; IF($AB454="","Missing technical premium. ","") &amp; IF($AF454="","Missing surplus lines tax %. ",""))))</f>
      </c>
      <c r="AY454" s="44">
        <f>IF($M454="","",IF(ISNUMBER($M454),IF($M454&gt;=Header!$C$18,"YES — refer","No"),""))</f>
      </c>
      <c r="AZ454" s="44">
        <f>IF($AD454="","",IF(ISNUMBER($AD454),IF($AD454&lt;Header!$C$20,"BELOW MIN PREMIUM","OK"),""))</f>
      </c>
      <c r="BA454" s="48" t="inlineStr">
        <is>
          <t xml:space="preserve">Yes</t>
        </is>
      </c>
      <c r="BB454" s="48" t="inlineStr">
        <is>
          <t xml:space="preserve">Yes</t>
        </is>
      </c>
      <c r="BC454" s="46" t="inlineStr">
        <is>
          <t xml:space="preserve">Synthetic demo data</t>
        </is>
      </c>
      <c r="BE454" s="45">
        <f>IF(OR($A454="",$L454="",$H454=""),"",IF(AND(LEFT($L454,2)="06",$H454&gt;1945),"FAIL - pre-war class, year "&amp;$H454,IF(AND(LEFT($L454,2)="07",OR($H454&lt;1946,$H454&gt;1972)),"FAIL - 1946-72 class, year "&amp;$H454,IF(AND(LEFT($L454,2)="08",OR($H454&lt;1973,$H454&gt;1999)),"FAIL - 1973-99 class, year "&amp;$H454,IF(AND(LEFT($L454,2)="09",OR($H454&lt;2000,$H454&gt;2010)),"FAIL - 2000-10 class, year "&amp;$H454,"OK")))))</f>
      </c>
      <c r="BF454" s="45">
        <f>IF($AD454="","",IF(ROUND($AO454+$AP454+$AQ454-$AD454,2)=0,"OK","FAIL - out by "&amp;TEXT($AO454+$AP454+$AQ454-$AD454,"$0.00")))</f>
      </c>
    </row>
    <row r="455" spans="1:58" ht="18.75" customHeight="1" x14ac:dyDescent="0.25">
      <c r="A455" s="30" t="inlineStr">
        <is>
          <t xml:space="preserve">CANON-202511-002783</t>
        </is>
      </c>
      <c r="B455" s="30" t="inlineStr">
        <is>
          <t xml:space="preserve">Wilhelmina Kingsford</t>
        </is>
      </c>
      <c r="C455" s="31">
        <v>45971</v>
      </c>
      <c r="D455" s="32" t="inlineStr">
        <is>
          <t xml:space="preserve">Bound - within authority</t>
        </is>
      </c>
      <c r="E455" s="32" t="inlineStr">
        <is>
          <t xml:space="preserve">New business</t>
        </is>
      </c>
      <c r="F455" s="30" t="inlineStr">
        <is>
          <t xml:space="preserve">B1234EXOTIC26</t>
        </is>
      </c>
      <c r="G455" s="33">
        <f>IF($A455="","",IF($C455="","",YEAR($C455)))</f>
      </c>
      <c r="H455" s="34">
        <v>2018</v>
      </c>
      <c r="I455" s="30" t="inlineStr">
        <is>
          <t xml:space="preserve">Icon</t>
        </is>
      </c>
      <c r="J455" s="30" t="inlineStr">
        <is>
          <t xml:space="preserve">Derelict</t>
        </is>
      </c>
      <c r="K455" s="30" t="inlineStr">
        <is>
          <t xml:space="preserve">5W0KPFA19V8CUKUY0</t>
        </is>
      </c>
      <c r="L455" s="32" t="inlineStr">
        <is>
          <t xml:space="preserve">11 - Restomod / Coachbuilt / Bespoke</t>
        </is>
      </c>
      <c r="M455" s="35">
        <v>210000</v>
      </c>
      <c r="N455" s="32" t="inlineStr">
        <is>
          <t xml:space="preserve">Personal</t>
        </is>
      </c>
      <c r="O455" s="30" t="inlineStr">
        <is>
          <t xml:space="preserve">Personal - regular use</t>
        </is>
      </c>
      <c r="P455" s="30" t="inlineStr">
        <is>
          <t xml:space="preserve">1,000 - 2,500</t>
        </is>
      </c>
      <c r="Q455" s="30" t="inlineStr">
        <is>
          <t xml:space="preserve">Arkansas</t>
        </is>
      </c>
      <c r="R455" s="30" t="inlineStr">
        <is>
          <t xml:space="preserve">72201</t>
        </is>
      </c>
      <c r="S455" s="32" t="inlineStr">
        <is>
          <t xml:space="preserve">Severe convective - hail / tornado (moderate)</t>
        </is>
      </c>
      <c r="T455" s="36">
        <f>IF($A455="","",IF($S455="","",IFERROR(INDEX('[1]natural catastrophe'!$D$6:$D$17,MATCH($S455,'[1]natural catastrophe'!$B$6:$B$17,0)),"?")))</f>
      </c>
      <c r="U455" s="30" t="inlineStr">
        <is>
          <t xml:space="preserve">$5,000</t>
        </is>
      </c>
      <c r="V455" s="32" t="inlineStr">
        <is>
          <t xml:space="preserve">Agreed Value</t>
        </is>
      </c>
      <c r="W455" s="30" t="inlineStr">
        <is>
          <t xml:space="preserve">$1,000</t>
        </is>
      </c>
      <c r="X455" s="32" t="inlineStr">
        <is>
          <t xml:space="preserve">$1,000,000 CSL</t>
        </is>
      </c>
      <c r="Y455" s="30"/>
      <c r="Z455" s="30"/>
      <c r="AA455" s="32" t="inlineStr">
        <is>
          <t xml:space="preserve">Surplus Lines</t>
        </is>
      </c>
      <c r="AB455" s="35">
        <v>5278.57</v>
      </c>
      <c r="AC455" s="37">
        <v>0</v>
      </c>
      <c r="AD455" s="38">
        <f>IF(ISNUMBER($AB455),$AB455*(1+N($AC455)),"")</f>
      </c>
      <c r="AE455" s="35">
        <v>350</v>
      </c>
      <c r="AF455" s="35">
        <v>0</v>
      </c>
      <c r="AG455" s="37"/>
      <c r="AH455" s="39">
        <f>IF(ISNUMBER($AD455),($AD455+$AE455+$AF455)*$AG455,"")</f>
      </c>
      <c r="AI455" s="35"/>
      <c r="AJ455" s="38">
        <f>IF(ISNUMBER($AD455),SUM($AD455:$AH455),"")</f>
      </c>
      <c r="AK455" s="40">
        <f>IF(AND(ISNUMBER($AB455),ISNUMBER($AD455)),IF($AB455&gt;0,$AD455/$AB455,""),"")</f>
      </c>
      <c r="AL455" s="32" t="inlineStr">
        <is>
          <t xml:space="preserve">At technical</t>
        </is>
      </c>
      <c r="AM455" s="41">
        <f>IF(ISNUMBER($AD455),Header!$I$3,"")</f>
      </c>
      <c r="AN455" s="39">
        <f>IF(ISNUMBER($AD455),$AO455+$AP455,"")</f>
      </c>
      <c r="AO455" s="39">
        <f>IF(ISNUMBER($AD455),ROUND($AD455*Header!$K$3,2),"")</f>
      </c>
      <c r="AP455" s="39">
        <f>IF(ISNUMBER($AD455),ROUND($AD455*Header!$M$3,2),"")</f>
      </c>
      <c r="AQ455" s="38">
        <f>IF(ISNUMBER($AD455),ROUND($AD455,2)-$AO455-$AP455,"")</f>
      </c>
      <c r="AR455" s="39">
        <f>IF(ISNUMBER($AD455),IF(Header!$D$34="","?",$AD455*Header!$D$34),"")</f>
      </c>
      <c r="AS455" s="39">
        <f>IF(ISNUMBER($AB455),IF(Header!$D$34="","?",$AB455*Header!$D$34),"")</f>
      </c>
      <c r="AT455" s="42">
        <f>IF(AND(ISNUMBER($AB455),$M455&gt;0),$AB455/$M455*100,"")</f>
      </c>
      <c r="AU455" s="42">
        <f>IF(AND(ISNUMBER($AD455),$M455&gt;0),$AD455/$M455*100,"")</f>
      </c>
      <c r="AV455" s="40">
        <f>IF(AND(ISNUMBER($AB455),ISNUMBER($AD455),ABS($AB455)&gt;0),$AD455/$AB455,"")</f>
      </c>
      <c r="AW455" s="39">
        <f>IF(ISNUMBER($AD455),MAX(0,(1-0.55-Header!$O$3)*Header!$Q$3*$AQ455),"")</f>
      </c>
      <c r="AX455" s="43">
        <f>IF($A455="","",IF(TRIM(IF($A455="","Missing certificate ref. ","") &amp; IF($C455="","Missing effective date. ","") &amp; IF($D455="","Missing binding status. ","") &amp; IF($E455="","Missing movement type. ","") &amp; IF($I455="","Missing make. ","") &amp; IF($L455="","Missing vehicle class. ","") &amp; IF($M455="","Missing agreed value. ","") &amp; IF($N455="","Missing policy type. ","") &amp; IF($Q455="","Missing garaging state. ","") &amp; IF($R455="","Missing garaging ZIP. ","") &amp; IF($S455="","Missing cat zone. ","") &amp; IF($V455="","Missing valuation basis. ","") &amp; IF($W455="","Missing PD deductible. ","") &amp; IF($X455="","Missing liability limit. ","") &amp; IF($AB455="","Missing technical premium. ","") &amp; IF($AF455="","Missing surplus lines tax %. ",""))="","PASS","FAIL: "&amp;TRIM(IF($A455="","Missing certificate ref. ","") &amp; IF($C455="","Missing effective date. ","") &amp; IF($D455="","Missing binding status. ","") &amp; IF($E455="","Missing movement type. ","") &amp; IF($I455="","Missing make. ","") &amp; IF($L455="","Missing vehicle class. ","") &amp; IF($M455="","Missing agreed value. ","") &amp; IF($N455="","Missing policy type. ","") &amp; IF($Q455="","Missing garaging state. ","") &amp; IF($R455="","Missing garaging ZIP. ","") &amp; IF($S455="","Missing cat zone. ","") &amp; IF($V455="","Missing valuation basis. ","") &amp; IF($W455="","Missing PD deductible. ","") &amp; IF($X455="","Missing liability limit. ","") &amp; IF($AB455="","Missing technical premium. ","") &amp; IF($AF455="","Missing surplus lines tax %. ",""))))</f>
      </c>
      <c r="AY455" s="44">
        <f>IF($M455="","",IF(ISNUMBER($M455),IF($M455&gt;=Header!$C$18,"YES — refer","No"),""))</f>
      </c>
      <c r="AZ455" s="44">
        <f>IF($AD455="","",IF(ISNUMBER($AD455),IF($AD455&lt;Header!$C$20,"BELOW MIN PREMIUM","OK"),""))</f>
      </c>
      <c r="BA455" s="32" t="inlineStr">
        <is>
          <t xml:space="preserve">Yes</t>
        </is>
      </c>
      <c r="BB455" s="32" t="inlineStr">
        <is>
          <t xml:space="preserve">Yes</t>
        </is>
      </c>
      <c r="BC455" s="30" t="inlineStr">
        <is>
          <t xml:space="preserve">Synthetic demo data</t>
        </is>
      </c>
      <c r="BE455" s="45">
        <f>IF(OR($A455="",$L455="",$H455=""),"",IF(AND(LEFT($L455,2)="06",$H455&gt;1945),"FAIL - pre-war class, year "&amp;$H455,IF(AND(LEFT($L455,2)="07",OR($H455&lt;1946,$H455&gt;1972)),"FAIL - 1946-72 class, year "&amp;$H455,IF(AND(LEFT($L455,2)="08",OR($H455&lt;1973,$H455&gt;1999)),"FAIL - 1973-99 class, year "&amp;$H455,IF(AND(LEFT($L455,2)="09",OR($H455&lt;2000,$H455&gt;2010)),"FAIL - 2000-10 class, year "&amp;$H455,"OK")))))</f>
      </c>
      <c r="BF455" s="45">
        <f>IF($AD455="","",IF(ROUND($AO455+$AP455+$AQ455-$AD455,2)=0,"OK","FAIL - out by "&amp;TEXT($AO455+$AP455+$AQ455-$AD455,"$0.00")))</f>
      </c>
    </row>
    <row r="456" spans="1:58" ht="18.75" customHeight="1" x14ac:dyDescent="0.25">
      <c r="A456" s="46" t="inlineStr">
        <is>
          <t xml:space="preserve">CANON-202511-002784</t>
        </is>
      </c>
      <c r="B456" s="46" t="inlineStr">
        <is>
          <t xml:space="preserve">Leopold Merriweather</t>
        </is>
      </c>
      <c r="C456" s="47">
        <v>45982</v>
      </c>
      <c r="D456" s="48" t="inlineStr">
        <is>
          <t xml:space="preserve">Bound - within authority</t>
        </is>
      </c>
      <c r="E456" s="48" t="inlineStr">
        <is>
          <t xml:space="preserve">New business</t>
        </is>
      </c>
      <c r="F456" s="46" t="inlineStr">
        <is>
          <t xml:space="preserve">B1234EXOTIC26</t>
        </is>
      </c>
      <c r="G456" s="33">
        <f>IF($A456="","",IF($C456="","",YEAR($C456)))</f>
      </c>
      <c r="H456" s="49">
        <v>1975</v>
      </c>
      <c r="I456" s="46" t="inlineStr">
        <is>
          <t xml:space="preserve">Aston Martin</t>
        </is>
      </c>
      <c r="J456" s="46" t="inlineStr">
        <is>
          <t xml:space="preserve">DB12</t>
        </is>
      </c>
      <c r="K456" s="46" t="inlineStr">
        <is>
          <t xml:space="preserve">HCPEJ2HKY336W24YS</t>
        </is>
      </c>
      <c r="L456" s="48" t="inlineStr">
        <is>
          <t xml:space="preserve">02 - Sports / GT</t>
        </is>
      </c>
      <c r="M456" s="50">
        <v>370000</v>
      </c>
      <c r="N456" s="48" t="inlineStr">
        <is>
          <t xml:space="preserve">Personal</t>
        </is>
      </c>
      <c r="O456" s="46" t="inlineStr">
        <is>
          <t xml:space="preserve">Personal - regular use</t>
        </is>
      </c>
      <c r="P456" s="46" t="inlineStr">
        <is>
          <t xml:space="preserve">Under 1,000</t>
        </is>
      </c>
      <c r="Q456" s="46" t="inlineStr">
        <is>
          <t xml:space="preserve">Wyoming</t>
        </is>
      </c>
      <c r="R456" s="46" t="inlineStr">
        <is>
          <t xml:space="preserve">82001</t>
        </is>
      </c>
      <c r="S456" s="48" t="inlineStr">
        <is>
          <t xml:space="preserve">Severe convective - hail alley (high)</t>
        </is>
      </c>
      <c r="T456" s="36">
        <f>IF($A456="","",IF($S456="","",IFERROR(INDEX('[1]natural catastrophe'!$D$6:$D$17,MATCH($S456,'[1]natural catastrophe'!$B$6:$B$17,0)),"?")))</f>
      </c>
      <c r="U456" s="46" t="inlineStr">
        <is>
          <t xml:space="preserve">$5,000</t>
        </is>
      </c>
      <c r="V456" s="48" t="inlineStr">
        <is>
          <t xml:space="preserve">Agreed Value</t>
        </is>
      </c>
      <c r="W456" s="46" t="inlineStr">
        <is>
          <t xml:space="preserve">$1,000</t>
        </is>
      </c>
      <c r="X456" s="48" t="inlineStr">
        <is>
          <t xml:space="preserve">$1,000,000 CSL</t>
        </is>
      </c>
      <c r="Y456" s="46"/>
      <c r="Z456" s="46"/>
      <c r="AA456" s="48" t="inlineStr">
        <is>
          <t xml:space="preserve">Surplus Lines</t>
        </is>
      </c>
      <c r="AB456" s="50">
        <v>5150.81</v>
      </c>
      <c r="AC456" s="51">
        <v>0</v>
      </c>
      <c r="AD456" s="38">
        <f>IF(ISNUMBER($AB456),$AB456*(1+N($AC456)),"")</f>
      </c>
      <c r="AE456" s="50">
        <v>350</v>
      </c>
      <c r="AF456" s="50">
        <v>0</v>
      </c>
      <c r="AG456" s="51"/>
      <c r="AH456" s="39">
        <f>IF(ISNUMBER($AD456),($AD456+$AE456+$AF456)*$AG456,"")</f>
      </c>
      <c r="AI456" s="50"/>
      <c r="AJ456" s="38">
        <f>IF(ISNUMBER($AD456),SUM($AD456:$AH456),"")</f>
      </c>
      <c r="AK456" s="40">
        <f>IF(AND(ISNUMBER($AB456),ISNUMBER($AD456)),IF($AB456&gt;0,$AD456/$AB456,""),"")</f>
      </c>
      <c r="AL456" s="48" t="inlineStr">
        <is>
          <t xml:space="preserve">At technical</t>
        </is>
      </c>
      <c r="AM456" s="41">
        <f>IF(ISNUMBER($AD456),Header!$I$3,"")</f>
      </c>
      <c r="AN456" s="39">
        <f>IF(ISNUMBER($AD456),$AO456+$AP456,"")</f>
      </c>
      <c r="AO456" s="39">
        <f>IF(ISNUMBER($AD456),ROUND($AD456*Header!$K$3,2),"")</f>
      </c>
      <c r="AP456" s="39">
        <f>IF(ISNUMBER($AD456),ROUND($AD456*Header!$M$3,2),"")</f>
      </c>
      <c r="AQ456" s="38">
        <f>IF(ISNUMBER($AD456),ROUND($AD456,2)-$AO456-$AP456,"")</f>
      </c>
      <c r="AR456" s="39">
        <f>IF(ISNUMBER($AD456),IF(Header!$D$34="","?",$AD456*Header!$D$34),"")</f>
      </c>
      <c r="AS456" s="39">
        <f>IF(ISNUMBER($AB456),IF(Header!$D$34="","?",$AB456*Header!$D$34),"")</f>
      </c>
      <c r="AT456" s="42">
        <f>IF(AND(ISNUMBER($AB456),$M456&gt;0),$AB456/$M456*100,"")</f>
      </c>
      <c r="AU456" s="42">
        <f>IF(AND(ISNUMBER($AD456),$M456&gt;0),$AD456/$M456*100,"")</f>
      </c>
      <c r="AV456" s="40">
        <f>IF(AND(ISNUMBER($AB456),ISNUMBER($AD456),ABS($AB456)&gt;0),$AD456/$AB456,"")</f>
      </c>
      <c r="AW456" s="39">
        <f>IF(ISNUMBER($AD456),MAX(0,(1-0.55-Header!$O$3)*Header!$Q$3*$AQ456),"")</f>
      </c>
      <c r="AX456" s="43">
        <f>IF($A456="","",IF(TRIM(IF($A456="","Missing certificate ref. ","") &amp; IF($C456="","Missing effective date. ","") &amp; IF($D456="","Missing binding status. ","") &amp; IF($E456="","Missing movement type. ","") &amp; IF($I456="","Missing make. ","") &amp; IF($L456="","Missing vehicle class. ","") &amp; IF($M456="","Missing agreed value. ","") &amp; IF($N456="","Missing policy type. ","") &amp; IF($Q456="","Missing garaging state. ","") &amp; IF($R456="","Missing garaging ZIP. ","") &amp; IF($S456="","Missing cat zone. ","") &amp; IF($V456="","Missing valuation basis. ","") &amp; IF($W456="","Missing PD deductible. ","") &amp; IF($X456="","Missing liability limit. ","") &amp; IF($AB456="","Missing technical premium. ","") &amp; IF($AF456="","Missing surplus lines tax %. ",""))="","PASS","FAIL: "&amp;TRIM(IF($A456="","Missing certificate ref. ","") &amp; IF($C456="","Missing effective date. ","") &amp; IF($D456="","Missing binding status. ","") &amp; IF($E456="","Missing movement type. ","") &amp; IF($I456="","Missing make. ","") &amp; IF($L456="","Missing vehicle class. ","") &amp; IF($M456="","Missing agreed value. ","") &amp; IF($N456="","Missing policy type. ","") &amp; IF($Q456="","Missing garaging state. ","") &amp; IF($R456="","Missing garaging ZIP. ","") &amp; IF($S456="","Missing cat zone. ","") &amp; IF($V456="","Missing valuation basis. ","") &amp; IF($W456="","Missing PD deductible. ","") &amp; IF($X456="","Missing liability limit. ","") &amp; IF($AB456="","Missing technical premium. ","") &amp; IF($AF456="","Missing surplus lines tax %. ",""))))</f>
      </c>
      <c r="AY456" s="44">
        <f>IF($M456="","",IF(ISNUMBER($M456),IF($M456&gt;=Header!$C$18,"YES — refer","No"),""))</f>
      </c>
      <c r="AZ456" s="44">
        <f>IF($AD456="","",IF(ISNUMBER($AD456),IF($AD456&lt;Header!$C$20,"BELOW MIN PREMIUM","OK"),""))</f>
      </c>
      <c r="BA456" s="48" t="inlineStr">
        <is>
          <t xml:space="preserve">Yes</t>
        </is>
      </c>
      <c r="BB456" s="48" t="inlineStr">
        <is>
          <t xml:space="preserve">Yes</t>
        </is>
      </c>
      <c r="BC456" s="46" t="inlineStr">
        <is>
          <t xml:space="preserve">Synthetic demo data</t>
        </is>
      </c>
      <c r="BE456" s="45">
        <f>IF(OR($A456="",$L456="",$H456=""),"",IF(AND(LEFT($L456,2)="06",$H456&gt;1945),"FAIL - pre-war class, year "&amp;$H456,IF(AND(LEFT($L456,2)="07",OR($H456&lt;1946,$H456&gt;1972)),"FAIL - 1946-72 class, year "&amp;$H456,IF(AND(LEFT($L456,2)="08",OR($H456&lt;1973,$H456&gt;1999)),"FAIL - 1973-99 class, year "&amp;$H456,IF(AND(LEFT($L456,2)="09",OR($H456&lt;2000,$H456&gt;2010)),"FAIL - 2000-10 class, year "&amp;$H456,"OK")))))</f>
      </c>
      <c r="BF456" s="45">
        <f>IF($AD456="","",IF(ROUND($AO456+$AP456+$AQ456-$AD456,2)=0,"OK","FAIL - out by "&amp;TEXT($AO456+$AP456+$AQ456-$AD456,"$0.00")))</f>
      </c>
    </row>
    <row r="457" spans="1:58" ht="18.75" customHeight="1" x14ac:dyDescent="0.25">
      <c r="A457" s="30" t="inlineStr">
        <is>
          <t xml:space="preserve">CANON-202511-002785</t>
        </is>
      </c>
      <c r="B457" s="30" t="inlineStr">
        <is>
          <t xml:space="preserve">Saoirse Farkas</t>
        </is>
      </c>
      <c r="C457" s="31">
        <v>45986</v>
      </c>
      <c r="D457" s="32" t="inlineStr">
        <is>
          <t xml:space="preserve">Bound - within authority</t>
        </is>
      </c>
      <c r="E457" s="32" t="inlineStr">
        <is>
          <t xml:space="preserve">New business</t>
        </is>
      </c>
      <c r="F457" s="30" t="inlineStr">
        <is>
          <t xml:space="preserve">B1234EXOTIC26</t>
        </is>
      </c>
      <c r="G457" s="33">
        <f>IF($A457="","",IF($C457="","",YEAR($C457)))</f>
      </c>
      <c r="H457" s="34">
        <v>1983</v>
      </c>
      <c r="I457" s="30" t="inlineStr">
        <is>
          <t xml:space="preserve">Ferrari</t>
        </is>
      </c>
      <c r="J457" s="30" t="inlineStr">
        <is>
          <t xml:space="preserve">SF90 Stradale</t>
        </is>
      </c>
      <c r="K457" s="30" t="inlineStr">
        <is>
          <t xml:space="preserve">XCNATXX4ALNAJTC9E</t>
        </is>
      </c>
      <c r="L457" s="32" t="inlineStr">
        <is>
          <t xml:space="preserve">03 - Supercar</t>
        </is>
      </c>
      <c r="M457" s="35">
        <v>250000</v>
      </c>
      <c r="N457" s="32" t="inlineStr">
        <is>
          <t xml:space="preserve">Personal</t>
        </is>
      </c>
      <c r="O457" s="30" t="inlineStr">
        <is>
          <t xml:space="preserve">Personal - regular use</t>
        </is>
      </c>
      <c r="P457" s="30" t="inlineStr">
        <is>
          <t xml:space="preserve">Under 1,000</t>
        </is>
      </c>
      <c r="Q457" s="30" t="inlineStr">
        <is>
          <t xml:space="preserve">Washington</t>
        </is>
      </c>
      <c r="R457" s="30" t="inlineStr">
        <is>
          <t xml:space="preserve">98101</t>
        </is>
      </c>
      <c r="S457" s="32" t="inlineStr">
        <is>
          <t xml:space="preserve">Earthquake - high (CA, Cascadia, New Madrid)</t>
        </is>
      </c>
      <c r="T457" s="36">
        <f>IF($A457="","",IF($S457="","",IFERROR(INDEX('[1]natural catastrophe'!$D$6:$D$17,MATCH($S457,'[1]natural catastrophe'!$B$6:$B$17,0)),"?")))</f>
      </c>
      <c r="U457" s="30" t="inlineStr">
        <is>
          <t xml:space="preserve">$5,000</t>
        </is>
      </c>
      <c r="V457" s="32" t="inlineStr">
        <is>
          <t xml:space="preserve">Agreed Value</t>
        </is>
      </c>
      <c r="W457" s="30" t="inlineStr">
        <is>
          <t xml:space="preserve">$1,000</t>
        </is>
      </c>
      <c r="X457" s="32" t="inlineStr">
        <is>
          <t xml:space="preserve">$1,000,000 CSL</t>
        </is>
      </c>
      <c r="Y457" s="30"/>
      <c r="Z457" s="30"/>
      <c r="AA457" s="32" t="inlineStr">
        <is>
          <t xml:space="preserve">Surplus Lines</t>
        </is>
      </c>
      <c r="AB457" s="35">
        <v>4787.82</v>
      </c>
      <c r="AC457" s="37">
        <v>0</v>
      </c>
      <c r="AD457" s="38">
        <f>IF(ISNUMBER($AB457),$AB457*(1+N($AC457)),"")</f>
      </c>
      <c r="AE457" s="35">
        <v>350</v>
      </c>
      <c r="AF457" s="35">
        <v>0</v>
      </c>
      <c r="AG457" s="37"/>
      <c r="AH457" s="39">
        <f>IF(ISNUMBER($AD457),($AD457+$AE457+$AF457)*$AG457,"")</f>
      </c>
      <c r="AI457" s="35"/>
      <c r="AJ457" s="38">
        <f>IF(ISNUMBER($AD457),SUM($AD457:$AH457),"")</f>
      </c>
      <c r="AK457" s="40">
        <f>IF(AND(ISNUMBER($AB457),ISNUMBER($AD457)),IF($AB457&gt;0,$AD457/$AB457,""),"")</f>
      </c>
      <c r="AL457" s="32" t="inlineStr">
        <is>
          <t xml:space="preserve">At technical</t>
        </is>
      </c>
      <c r="AM457" s="41">
        <f>IF(ISNUMBER($AD457),Header!$I$3,"")</f>
      </c>
      <c r="AN457" s="39">
        <f>IF(ISNUMBER($AD457),$AO457+$AP457,"")</f>
      </c>
      <c r="AO457" s="39">
        <f>IF(ISNUMBER($AD457),ROUND($AD457*Header!$K$3,2),"")</f>
      </c>
      <c r="AP457" s="39">
        <f>IF(ISNUMBER($AD457),ROUND($AD457*Header!$M$3,2),"")</f>
      </c>
      <c r="AQ457" s="38">
        <f>IF(ISNUMBER($AD457),ROUND($AD457,2)-$AO457-$AP457,"")</f>
      </c>
      <c r="AR457" s="39">
        <f>IF(ISNUMBER($AD457),IF(Header!$D$34="","?",$AD457*Header!$D$34),"")</f>
      </c>
      <c r="AS457" s="39">
        <f>IF(ISNUMBER($AB457),IF(Header!$D$34="","?",$AB457*Header!$D$34),"")</f>
      </c>
      <c r="AT457" s="42">
        <f>IF(AND(ISNUMBER($AB457),$M457&gt;0),$AB457/$M457*100,"")</f>
      </c>
      <c r="AU457" s="42">
        <f>IF(AND(ISNUMBER($AD457),$M457&gt;0),$AD457/$M457*100,"")</f>
      </c>
      <c r="AV457" s="40">
        <f>IF(AND(ISNUMBER($AB457),ISNUMBER($AD457),ABS($AB457)&gt;0),$AD457/$AB457,"")</f>
      </c>
      <c r="AW457" s="39">
        <f>IF(ISNUMBER($AD457),MAX(0,(1-0.55-Header!$O$3)*Header!$Q$3*$AQ457),"")</f>
      </c>
      <c r="AX457" s="43">
        <f>IF($A457="","",IF(TRIM(IF($A457="","Missing certificate ref. ","") &amp; IF($C457="","Missing effective date. ","") &amp; IF($D457="","Missing binding status. ","") &amp; IF($E457="","Missing movement type. ","") &amp; IF($I457="","Missing make. ","") &amp; IF($L457="","Missing vehicle class. ","") &amp; IF($M457="","Missing agreed value. ","") &amp; IF($N457="","Missing policy type. ","") &amp; IF($Q457="","Missing garaging state. ","") &amp; IF($R457="","Missing garaging ZIP. ","") &amp; IF($S457="","Missing cat zone. ","") &amp; IF($V457="","Missing valuation basis. ","") &amp; IF($W457="","Missing PD deductible. ","") &amp; IF($X457="","Missing liability limit. ","") &amp; IF($AB457="","Missing technical premium. ","") &amp; IF($AF457="","Missing surplus lines tax %. ",""))="","PASS","FAIL: "&amp;TRIM(IF($A457="","Missing certificate ref. ","") &amp; IF($C457="","Missing effective date. ","") &amp; IF($D457="","Missing binding status. ","") &amp; IF($E457="","Missing movement type. ","") &amp; IF($I457="","Missing make. ","") &amp; IF($L457="","Missing vehicle class. ","") &amp; IF($M457="","Missing agreed value. ","") &amp; IF($N457="","Missing policy type. ","") &amp; IF($Q457="","Missing garaging state. ","") &amp; IF($R457="","Missing garaging ZIP. ","") &amp; IF($S457="","Missing cat zone. ","") &amp; IF($V457="","Missing valuation basis. ","") &amp; IF($W457="","Missing PD deductible. ","") &amp; IF($X457="","Missing liability limit. ","") &amp; IF($AB457="","Missing technical premium. ","") &amp; IF($AF457="","Missing surplus lines tax %. ",""))))</f>
      </c>
      <c r="AY457" s="44">
        <f>IF($M457="","",IF(ISNUMBER($M457),IF($M457&gt;=Header!$C$18,"YES — refer","No"),""))</f>
      </c>
      <c r="AZ457" s="44">
        <f>IF($AD457="","",IF(ISNUMBER($AD457),IF($AD457&lt;Header!$C$20,"BELOW MIN PREMIUM","OK"),""))</f>
      </c>
      <c r="BA457" s="32" t="inlineStr">
        <is>
          <t xml:space="preserve">Yes</t>
        </is>
      </c>
      <c r="BB457" s="32" t="inlineStr">
        <is>
          <t xml:space="preserve">Yes</t>
        </is>
      </c>
      <c r="BC457" s="30" t="inlineStr">
        <is>
          <t xml:space="preserve">Synthetic demo data</t>
        </is>
      </c>
      <c r="BE457" s="45">
        <f>IF(OR($A457="",$L457="",$H457=""),"",IF(AND(LEFT($L457,2)="06",$H457&gt;1945),"FAIL - pre-war class, year "&amp;$H457,IF(AND(LEFT($L457,2)="07",OR($H457&lt;1946,$H457&gt;1972)),"FAIL - 1946-72 class, year "&amp;$H457,IF(AND(LEFT($L457,2)="08",OR($H457&lt;1973,$H457&gt;1999)),"FAIL - 1973-99 class, year "&amp;$H457,IF(AND(LEFT($L457,2)="09",OR($H457&lt;2000,$H457&gt;2010)),"FAIL - 2000-10 class, year "&amp;$H457,"OK")))))</f>
      </c>
      <c r="BF457" s="45">
        <f>IF($AD457="","",IF(ROUND($AO457+$AP457+$AQ457-$AD457,2)=0,"OK","FAIL - out by "&amp;TEXT($AO457+$AP457+$AQ457-$AD457,"$0.00")))</f>
      </c>
    </row>
    <row r="458" spans="1:58" ht="18.75" customHeight="1" x14ac:dyDescent="0.25">
      <c r="A458" s="46" t="inlineStr">
        <is>
          <t xml:space="preserve">CANON-202511-002786</t>
        </is>
      </c>
      <c r="B458" s="46" t="inlineStr">
        <is>
          <t xml:space="preserve">Mireille Pennington</t>
        </is>
      </c>
      <c r="C458" s="47">
        <v>45983</v>
      </c>
      <c r="D458" s="48" t="inlineStr">
        <is>
          <t xml:space="preserve">Bound - within authority</t>
        </is>
      </c>
      <c r="E458" s="48" t="inlineStr">
        <is>
          <t xml:space="preserve">New business</t>
        </is>
      </c>
      <c r="F458" s="46" t="inlineStr">
        <is>
          <t xml:space="preserve">B1234EXOTIC26</t>
        </is>
      </c>
      <c r="G458" s="33">
        <f>IF($A458="","",IF($C458="","",YEAR($C458)))</f>
      </c>
      <c r="H458" s="49">
        <v>1976</v>
      </c>
      <c r="I458" s="46" t="inlineStr">
        <is>
          <t xml:space="preserve">Aston Martin</t>
        </is>
      </c>
      <c r="J458" s="46" t="inlineStr">
        <is>
          <t xml:space="preserve">DB12</t>
        </is>
      </c>
      <c r="K458" s="46" t="inlineStr">
        <is>
          <t xml:space="preserve">H2EVGUXT4829TSSCF</t>
        </is>
      </c>
      <c r="L458" s="48" t="inlineStr">
        <is>
          <t xml:space="preserve">02 - Sports / GT</t>
        </is>
      </c>
      <c r="M458" s="50">
        <v>775000</v>
      </c>
      <c r="N458" s="48" t="inlineStr">
        <is>
          <t xml:space="preserve">Personal</t>
        </is>
      </c>
      <c r="O458" s="46" t="inlineStr">
        <is>
          <t xml:space="preserve">Personal - regular use</t>
        </is>
      </c>
      <c r="P458" s="46" t="inlineStr">
        <is>
          <t xml:space="preserve">2,500 - 5,000</t>
        </is>
      </c>
      <c r="Q458" s="46" t="inlineStr">
        <is>
          <t xml:space="preserve">California</t>
        </is>
      </c>
      <c r="R458" s="46" t="inlineStr">
        <is>
          <t xml:space="preserve">90012</t>
        </is>
      </c>
      <c r="S458" s="48" t="inlineStr">
        <is>
          <t xml:space="preserve">Earthquake - high (CA, Cascadia, New Madrid)</t>
        </is>
      </c>
      <c r="T458" s="36">
        <f>IF($A458="","",IF($S458="","",IFERROR(INDEX('[1]natural catastrophe'!$D$6:$D$17,MATCH($S458,'[1]natural catastrophe'!$B$6:$B$17,0)),"?")))</f>
      </c>
      <c r="U458" s="46" t="inlineStr">
        <is>
          <t xml:space="preserve">$5,000</t>
        </is>
      </c>
      <c r="V458" s="48" t="inlineStr">
        <is>
          <t xml:space="preserve">Agreed Value</t>
        </is>
      </c>
      <c r="W458" s="46" t="inlineStr">
        <is>
          <t xml:space="preserve">$1,000</t>
        </is>
      </c>
      <c r="X458" s="48" t="inlineStr">
        <is>
          <t xml:space="preserve">$1,000,000 CSL</t>
        </is>
      </c>
      <c r="Y458" s="46"/>
      <c r="Z458" s="46"/>
      <c r="AA458" s="48" t="inlineStr">
        <is>
          <t xml:space="preserve">Surplus Lines</t>
        </is>
      </c>
      <c r="AB458" s="50">
        <v>11797.16</v>
      </c>
      <c r="AC458" s="51">
        <v>0</v>
      </c>
      <c r="AD458" s="38">
        <f>IF(ISNUMBER($AB458),$AB458*(1+N($AC458)),"")</f>
      </c>
      <c r="AE458" s="50">
        <v>350</v>
      </c>
      <c r="AF458" s="50">
        <v>0</v>
      </c>
      <c r="AG458" s="51"/>
      <c r="AH458" s="39">
        <f>IF(ISNUMBER($AD458),($AD458+$AE458+$AF458)*$AG458,"")</f>
      </c>
      <c r="AI458" s="50"/>
      <c r="AJ458" s="38">
        <f>IF(ISNUMBER($AD458),SUM($AD458:$AH458),"")</f>
      </c>
      <c r="AK458" s="40">
        <f>IF(AND(ISNUMBER($AB458),ISNUMBER($AD458)),IF($AB458&gt;0,$AD458/$AB458,""),"")</f>
      </c>
      <c r="AL458" s="48" t="inlineStr">
        <is>
          <t xml:space="preserve">At technical</t>
        </is>
      </c>
      <c r="AM458" s="41">
        <f>IF(ISNUMBER($AD458),Header!$I$3,"")</f>
      </c>
      <c r="AN458" s="39">
        <f>IF(ISNUMBER($AD458),$AO458+$AP458,"")</f>
      </c>
      <c r="AO458" s="39">
        <f>IF(ISNUMBER($AD458),ROUND($AD458*Header!$K$3,2),"")</f>
      </c>
      <c r="AP458" s="39">
        <f>IF(ISNUMBER($AD458),ROUND($AD458*Header!$M$3,2),"")</f>
      </c>
      <c r="AQ458" s="38">
        <f>IF(ISNUMBER($AD458),ROUND($AD458,2)-$AO458-$AP458,"")</f>
      </c>
      <c r="AR458" s="39">
        <f>IF(ISNUMBER($AD458),IF(Header!$D$34="","?",$AD458*Header!$D$34),"")</f>
      </c>
      <c r="AS458" s="39">
        <f>IF(ISNUMBER($AB458),IF(Header!$D$34="","?",$AB458*Header!$D$34),"")</f>
      </c>
      <c r="AT458" s="42">
        <f>IF(AND(ISNUMBER($AB458),$M458&gt;0),$AB458/$M458*100,"")</f>
      </c>
      <c r="AU458" s="42">
        <f>IF(AND(ISNUMBER($AD458),$M458&gt;0),$AD458/$M458*100,"")</f>
      </c>
      <c r="AV458" s="40">
        <f>IF(AND(ISNUMBER($AB458),ISNUMBER($AD458),ABS($AB458)&gt;0),$AD458/$AB458,"")</f>
      </c>
      <c r="AW458" s="39">
        <f>IF(ISNUMBER($AD458),MAX(0,(1-0.55-Header!$O$3)*Header!$Q$3*$AQ458),"")</f>
      </c>
      <c r="AX458" s="43">
        <f>IF($A458="","",IF(TRIM(IF($A458="","Missing certificate ref. ","") &amp; IF($C458="","Missing effective date. ","") &amp; IF($D458="","Missing binding status. ","") &amp; IF($E458="","Missing movement type. ","") &amp; IF($I458="","Missing make. ","") &amp; IF($L458="","Missing vehicle class. ","") &amp; IF($M458="","Missing agreed value. ","") &amp; IF($N458="","Missing policy type. ","") &amp; IF($Q458="","Missing garaging state. ","") &amp; IF($R458="","Missing garaging ZIP. ","") &amp; IF($S458="","Missing cat zone. ","") &amp; IF($V458="","Missing valuation basis. ","") &amp; IF($W458="","Missing PD deductible. ","") &amp; IF($X458="","Missing liability limit. ","") &amp; IF($AB458="","Missing technical premium. ","") &amp; IF($AF458="","Missing surplus lines tax %. ",""))="","PASS","FAIL: "&amp;TRIM(IF($A458="","Missing certificate ref. ","") &amp; IF($C458="","Missing effective date. ","") &amp; IF($D458="","Missing binding status. ","") &amp; IF($E458="","Missing movement type. ","") &amp; IF($I458="","Missing make. ","") &amp; IF($L458="","Missing vehicle class. ","") &amp; IF($M458="","Missing agreed value. ","") &amp; IF($N458="","Missing policy type. ","") &amp; IF($Q458="","Missing garaging state. ","") &amp; IF($R458="","Missing garaging ZIP. ","") &amp; IF($S458="","Missing cat zone. ","") &amp; IF($V458="","Missing valuation basis. ","") &amp; IF($W458="","Missing PD deductible. ","") &amp; IF($X458="","Missing liability limit. ","") &amp; IF($AB458="","Missing technical premium. ","") &amp; IF($AF458="","Missing surplus lines tax %. ",""))))</f>
      </c>
      <c r="AY458" s="44">
        <f>IF($M458="","",IF(ISNUMBER($M458),IF($M458&gt;=Header!$C$18,"YES — refer","No"),""))</f>
      </c>
      <c r="AZ458" s="44">
        <f>IF($AD458="","",IF(ISNUMBER($AD458),IF($AD458&lt;Header!$C$20,"BELOW MIN PREMIUM","OK"),""))</f>
      </c>
      <c r="BA458" s="48" t="inlineStr">
        <is>
          <t xml:space="preserve">Yes</t>
        </is>
      </c>
      <c r="BB458" s="48" t="inlineStr">
        <is>
          <t xml:space="preserve">Yes</t>
        </is>
      </c>
      <c r="BC458" s="46" t="inlineStr">
        <is>
          <t xml:space="preserve">Synthetic demo data</t>
        </is>
      </c>
      <c r="BE458" s="45">
        <f>IF(OR($A458="",$L458="",$H458=""),"",IF(AND(LEFT($L458,2)="06",$H458&gt;1945),"FAIL - pre-war class, year "&amp;$H458,IF(AND(LEFT($L458,2)="07",OR($H458&lt;1946,$H458&gt;1972)),"FAIL - 1946-72 class, year "&amp;$H458,IF(AND(LEFT($L458,2)="08",OR($H458&lt;1973,$H458&gt;1999)),"FAIL - 1973-99 class, year "&amp;$H458,IF(AND(LEFT($L458,2)="09",OR($H458&lt;2000,$H458&gt;2010)),"FAIL - 2000-10 class, year "&amp;$H458,"OK")))))</f>
      </c>
      <c r="BF458" s="45">
        <f>IF($AD458="","",IF(ROUND($AO458+$AP458+$AQ458-$AD458,2)=0,"OK","FAIL - out by "&amp;TEXT($AO458+$AP458+$AQ458-$AD458,"$0.00")))</f>
      </c>
    </row>
    <row r="459" spans="1:58" ht="18.75" customHeight="1" x14ac:dyDescent="0.25">
      <c r="A459" s="30" t="inlineStr">
        <is>
          <t xml:space="preserve">CANON-202511-002789</t>
        </is>
      </c>
      <c r="B459" s="30" t="inlineStr">
        <is>
          <t xml:space="preserve">Thaddeus Blackwood</t>
        </is>
      </c>
      <c r="C459" s="31">
        <v>45988</v>
      </c>
      <c r="D459" s="32" t="inlineStr">
        <is>
          <t xml:space="preserve">Bound - within authority</t>
        </is>
      </c>
      <c r="E459" s="32" t="inlineStr">
        <is>
          <t xml:space="preserve">New business</t>
        </is>
      </c>
      <c r="F459" s="30" t="inlineStr">
        <is>
          <t xml:space="preserve">B1234EXOTIC26</t>
        </is>
      </c>
      <c r="G459" s="33">
        <f>IF($A459="","",IF($C459="","",YEAR($C459)))</f>
      </c>
      <c r="H459" s="34">
        <v>1995</v>
      </c>
      <c r="I459" s="30" t="inlineStr">
        <is>
          <t xml:space="preserve">Mercedes-Benz</t>
        </is>
      </c>
      <c r="J459" s="30" t="inlineStr">
        <is>
          <t xml:space="preserve">AMG GT</t>
        </is>
      </c>
      <c r="K459" s="30" t="inlineStr">
        <is>
          <t xml:space="preserve">S1H3YJ2XB6PUJ6W9P</t>
        </is>
      </c>
      <c r="L459" s="32" t="inlineStr">
        <is>
          <t xml:space="preserve">02 - Sports / GT</t>
        </is>
      </c>
      <c r="M459" s="35">
        <v>755000</v>
      </c>
      <c r="N459" s="32" t="inlineStr">
        <is>
          <t xml:space="preserve">Personal</t>
        </is>
      </c>
      <c r="O459" s="30" t="inlineStr">
        <is>
          <t xml:space="preserve">Personal - regular use</t>
        </is>
      </c>
      <c r="P459" s="30" t="inlineStr">
        <is>
          <t xml:space="preserve">2,500 - 5,000</t>
        </is>
      </c>
      <c r="Q459" s="30" t="inlineStr">
        <is>
          <t xml:space="preserve">Ohio</t>
        </is>
      </c>
      <c r="R459" s="30" t="inlineStr">
        <is>
          <t xml:space="preserve">43215</t>
        </is>
      </c>
      <c r="S459" s="32" t="inlineStr">
        <is>
          <t xml:space="preserve">Severe convective - hail / tornado (moderate)</t>
        </is>
      </c>
      <c r="T459" s="36">
        <f>IF($A459="","",IF($S459="","",IFERROR(INDEX('[1]natural catastrophe'!$D$6:$D$17,MATCH($S459,'[1]natural catastrophe'!$B$6:$B$17,0)),"?")))</f>
      </c>
      <c r="U459" s="30" t="inlineStr">
        <is>
          <t xml:space="preserve">$5,000</t>
        </is>
      </c>
      <c r="V459" s="32" t="inlineStr">
        <is>
          <t xml:space="preserve">Agreed Value</t>
        </is>
      </c>
      <c r="W459" s="30" t="inlineStr">
        <is>
          <t xml:space="preserve">$1,000</t>
        </is>
      </c>
      <c r="X459" s="32" t="inlineStr">
        <is>
          <t xml:space="preserve">$1,000,000 CSL</t>
        </is>
      </c>
      <c r="Y459" s="30"/>
      <c r="Z459" s="30"/>
      <c r="AA459" s="32" t="inlineStr">
        <is>
          <t xml:space="preserve">Surplus Lines</t>
        </is>
      </c>
      <c r="AB459" s="35">
        <v>11833.24</v>
      </c>
      <c r="AC459" s="37">
        <v>0</v>
      </c>
      <c r="AD459" s="38">
        <f>IF(ISNUMBER($AB459),$AB459*(1+N($AC459)),"")</f>
      </c>
      <c r="AE459" s="35">
        <v>350</v>
      </c>
      <c r="AF459" s="35">
        <v>0</v>
      </c>
      <c r="AG459" s="37"/>
      <c r="AH459" s="39">
        <f>IF(ISNUMBER($AD459),($AD459+$AE459+$AF459)*$AG459,"")</f>
      </c>
      <c r="AI459" s="35"/>
      <c r="AJ459" s="38">
        <f>IF(ISNUMBER($AD459),SUM($AD459:$AH459),"")</f>
      </c>
      <c r="AK459" s="40">
        <f>IF(AND(ISNUMBER($AB459),ISNUMBER($AD459)),IF($AB459&gt;0,$AD459/$AB459,""),"")</f>
      </c>
      <c r="AL459" s="32" t="inlineStr">
        <is>
          <t xml:space="preserve">At technical</t>
        </is>
      </c>
      <c r="AM459" s="41">
        <f>IF(ISNUMBER($AD459),Header!$I$3,"")</f>
      </c>
      <c r="AN459" s="39">
        <f>IF(ISNUMBER($AD459),$AO459+$AP459,"")</f>
      </c>
      <c r="AO459" s="39">
        <f>IF(ISNUMBER($AD459),ROUND($AD459*Header!$K$3,2),"")</f>
      </c>
      <c r="AP459" s="39">
        <f>IF(ISNUMBER($AD459),ROUND($AD459*Header!$M$3,2),"")</f>
      </c>
      <c r="AQ459" s="38">
        <f>IF(ISNUMBER($AD459),ROUND($AD459,2)-$AO459-$AP459,"")</f>
      </c>
      <c r="AR459" s="39">
        <f>IF(ISNUMBER($AD459),IF(Header!$D$34="","?",$AD459*Header!$D$34),"")</f>
      </c>
      <c r="AS459" s="39">
        <f>IF(ISNUMBER($AB459),IF(Header!$D$34="","?",$AB459*Header!$D$34),"")</f>
      </c>
      <c r="AT459" s="42">
        <f>IF(AND(ISNUMBER($AB459),$M459&gt;0),$AB459/$M459*100,"")</f>
      </c>
      <c r="AU459" s="42">
        <f>IF(AND(ISNUMBER($AD459),$M459&gt;0),$AD459/$M459*100,"")</f>
      </c>
      <c r="AV459" s="40">
        <f>IF(AND(ISNUMBER($AB459),ISNUMBER($AD459),ABS($AB459)&gt;0),$AD459/$AB459,"")</f>
      </c>
      <c r="AW459" s="39">
        <f>IF(ISNUMBER($AD459),MAX(0,(1-0.55-Header!$O$3)*Header!$Q$3*$AQ459),"")</f>
      </c>
      <c r="AX459" s="43">
        <f>IF($A459="","",IF(TRIM(IF($A459="","Missing certificate ref. ","") &amp; IF($C459="","Missing effective date. ","") &amp; IF($D459="","Missing binding status. ","") &amp; IF($E459="","Missing movement type. ","") &amp; IF($I459="","Missing make. ","") &amp; IF($L459="","Missing vehicle class. ","") &amp; IF($M459="","Missing agreed value. ","") &amp; IF($N459="","Missing policy type. ","") &amp; IF($Q459="","Missing garaging state. ","") &amp; IF($R459="","Missing garaging ZIP. ","") &amp; IF($S459="","Missing cat zone. ","") &amp; IF($V459="","Missing valuation basis. ","") &amp; IF($W459="","Missing PD deductible. ","") &amp; IF($X459="","Missing liability limit. ","") &amp; IF($AB459="","Missing technical premium. ","") &amp; IF($AF459="","Missing surplus lines tax %. ",""))="","PASS","FAIL: "&amp;TRIM(IF($A459="","Missing certificate ref. ","") &amp; IF($C459="","Missing effective date. ","") &amp; IF($D459="","Missing binding status. ","") &amp; IF($E459="","Missing movement type. ","") &amp; IF($I459="","Missing make. ","") &amp; IF($L459="","Missing vehicle class. ","") &amp; IF($M459="","Missing agreed value. ","") &amp; IF($N459="","Missing policy type. ","") &amp; IF($Q459="","Missing garaging state. ","") &amp; IF($R459="","Missing garaging ZIP. ","") &amp; IF($S459="","Missing cat zone. ","") &amp; IF($V459="","Missing valuation basis. ","") &amp; IF($W459="","Missing PD deductible. ","") &amp; IF($X459="","Missing liability limit. ","") &amp; IF($AB459="","Missing technical premium. ","") &amp; IF($AF459="","Missing surplus lines tax %. ",""))))</f>
      </c>
      <c r="AY459" s="44">
        <f>IF($M459="","",IF(ISNUMBER($M459),IF($M459&gt;=Header!$C$18,"YES — refer","No"),""))</f>
      </c>
      <c r="AZ459" s="44">
        <f>IF($AD459="","",IF(ISNUMBER($AD459),IF($AD459&lt;Header!$C$20,"BELOW MIN PREMIUM","OK"),""))</f>
      </c>
      <c r="BA459" s="32" t="inlineStr">
        <is>
          <t xml:space="preserve">Yes</t>
        </is>
      </c>
      <c r="BB459" s="32" t="inlineStr">
        <is>
          <t xml:space="preserve">Yes</t>
        </is>
      </c>
      <c r="BC459" s="30" t="inlineStr">
        <is>
          <t xml:space="preserve">Synthetic demo data</t>
        </is>
      </c>
      <c r="BE459" s="45">
        <f>IF(OR($A459="",$L459="",$H459=""),"",IF(AND(LEFT($L459,2)="06",$H459&gt;1945),"FAIL - pre-war class, year "&amp;$H459,IF(AND(LEFT($L459,2)="07",OR($H459&lt;1946,$H459&gt;1972)),"FAIL - 1946-72 class, year "&amp;$H459,IF(AND(LEFT($L459,2)="08",OR($H459&lt;1973,$H459&gt;1999)),"FAIL - 1973-99 class, year "&amp;$H459,IF(AND(LEFT($L459,2)="09",OR($H459&lt;2000,$H459&gt;2010)),"FAIL - 2000-10 class, year "&amp;$H459,"OK")))))</f>
      </c>
      <c r="BF459" s="45">
        <f>IF($AD459="","",IF(ROUND($AO459+$AP459+$AQ459-$AD459,2)=0,"OK","FAIL - out by "&amp;TEXT($AO459+$AP459+$AQ459-$AD459,"$0.00")))</f>
      </c>
    </row>
    <row r="460" spans="1:58" ht="18.75" customHeight="1" x14ac:dyDescent="0.25">
      <c r="A460" s="46" t="inlineStr">
        <is>
          <t xml:space="preserve">CANON-202511-002790</t>
        </is>
      </c>
      <c r="B460" s="46" t="inlineStr">
        <is>
          <t xml:space="preserve">Callum Pennington</t>
        </is>
      </c>
      <c r="C460" s="47">
        <v>45990</v>
      </c>
      <c r="D460" s="48" t="inlineStr">
        <is>
          <t xml:space="preserve">Bound - within authority</t>
        </is>
      </c>
      <c r="E460" s="48" t="inlineStr">
        <is>
          <t xml:space="preserve">New business</t>
        </is>
      </c>
      <c r="F460" s="46" t="inlineStr">
        <is>
          <t xml:space="preserve">B1234EXOTIC26</t>
        </is>
      </c>
      <c r="G460" s="33">
        <f>IF($A460="","",IF($C460="","",YEAR($C460)))</f>
      </c>
      <c r="H460" s="49">
        <v>2014</v>
      </c>
      <c r="I460" s="46" t="inlineStr">
        <is>
          <t xml:space="preserve">Porsche</t>
        </is>
      </c>
      <c r="J460" s="46" t="inlineStr">
        <is>
          <t xml:space="preserve">911 Turbo S</t>
        </is>
      </c>
      <c r="K460" s="46" t="inlineStr">
        <is>
          <t xml:space="preserve">P6VL3H2T4LHA7KGPT</t>
        </is>
      </c>
      <c r="L460" s="48" t="inlineStr">
        <is>
          <t xml:space="preserve">02 - Sports / GT</t>
        </is>
      </c>
      <c r="M460" s="50">
        <v>410000</v>
      </c>
      <c r="N460" s="48" t="inlineStr">
        <is>
          <t xml:space="preserve">Personal</t>
        </is>
      </c>
      <c r="O460" s="46" t="inlineStr">
        <is>
          <t xml:space="preserve">Personal - regular use</t>
        </is>
      </c>
      <c r="P460" s="46" t="inlineStr">
        <is>
          <t xml:space="preserve">2,500 - 5,000</t>
        </is>
      </c>
      <c r="Q460" s="46" t="inlineStr">
        <is>
          <t xml:space="preserve">Arizona</t>
        </is>
      </c>
      <c r="R460" s="46" t="inlineStr">
        <is>
          <t xml:space="preserve">85001</t>
        </is>
      </c>
      <c r="S460" s="48" t="inlineStr">
        <is>
          <t xml:space="preserve">Wildfire - WUI high hazard</t>
        </is>
      </c>
      <c r="T460" s="36">
        <f>IF($A460="","",IF($S460="","",IFERROR(INDEX('[1]natural catastrophe'!$D$6:$D$17,MATCH($S460,'[1]natural catastrophe'!$B$6:$B$17,0)),"?")))</f>
      </c>
      <c r="U460" s="46" t="inlineStr">
        <is>
          <t xml:space="preserve">$5,000</t>
        </is>
      </c>
      <c r="V460" s="48" t="inlineStr">
        <is>
          <t xml:space="preserve">Agreed Value</t>
        </is>
      </c>
      <c r="W460" s="46" t="inlineStr">
        <is>
          <t xml:space="preserve">$1,000</t>
        </is>
      </c>
      <c r="X460" s="48" t="inlineStr">
        <is>
          <t xml:space="preserve">$1,000,000 CSL</t>
        </is>
      </c>
      <c r="Y460" s="46"/>
      <c r="Z460" s="46"/>
      <c r="AA460" s="48" t="inlineStr">
        <is>
          <t xml:space="preserve">Surplus Lines</t>
        </is>
      </c>
      <c r="AB460" s="50">
        <v>5387.6</v>
      </c>
      <c r="AC460" s="51">
        <v>0</v>
      </c>
      <c r="AD460" s="38">
        <f>IF(ISNUMBER($AB460),$AB460*(1+N($AC460)),"")</f>
      </c>
      <c r="AE460" s="50">
        <v>350</v>
      </c>
      <c r="AF460" s="50">
        <v>0</v>
      </c>
      <c r="AG460" s="51"/>
      <c r="AH460" s="39">
        <f>IF(ISNUMBER($AD460),($AD460+$AE460+$AF460)*$AG460,"")</f>
      </c>
      <c r="AI460" s="50"/>
      <c r="AJ460" s="38">
        <f>IF(ISNUMBER($AD460),SUM($AD460:$AH460),"")</f>
      </c>
      <c r="AK460" s="40">
        <f>IF(AND(ISNUMBER($AB460),ISNUMBER($AD460)),IF($AB460&gt;0,$AD460/$AB460,""),"")</f>
      </c>
      <c r="AL460" s="48" t="inlineStr">
        <is>
          <t xml:space="preserve">At technical</t>
        </is>
      </c>
      <c r="AM460" s="41">
        <f>IF(ISNUMBER($AD460),Header!$I$3,"")</f>
      </c>
      <c r="AN460" s="39">
        <f>IF(ISNUMBER($AD460),$AO460+$AP460,"")</f>
      </c>
      <c r="AO460" s="39">
        <f>IF(ISNUMBER($AD460),ROUND($AD460*Header!$K$3,2),"")</f>
      </c>
      <c r="AP460" s="39">
        <f>IF(ISNUMBER($AD460),ROUND($AD460*Header!$M$3,2),"")</f>
      </c>
      <c r="AQ460" s="38">
        <f>IF(ISNUMBER($AD460),ROUND($AD460,2)-$AO460-$AP460,"")</f>
      </c>
      <c r="AR460" s="39">
        <f>IF(ISNUMBER($AD460),IF(Header!$D$34="","?",$AD460*Header!$D$34),"")</f>
      </c>
      <c r="AS460" s="39">
        <f>IF(ISNUMBER($AB460),IF(Header!$D$34="","?",$AB460*Header!$D$34),"")</f>
      </c>
      <c r="AT460" s="42">
        <f>IF(AND(ISNUMBER($AB460),$M460&gt;0),$AB460/$M460*100,"")</f>
      </c>
      <c r="AU460" s="42">
        <f>IF(AND(ISNUMBER($AD460),$M460&gt;0),$AD460/$M460*100,"")</f>
      </c>
      <c r="AV460" s="40">
        <f>IF(AND(ISNUMBER($AB460),ISNUMBER($AD460),ABS($AB460)&gt;0),$AD460/$AB460,"")</f>
      </c>
      <c r="AW460" s="39">
        <f>IF(ISNUMBER($AD460),MAX(0,(1-0.55-Header!$O$3)*Header!$Q$3*$AQ460),"")</f>
      </c>
      <c r="AX460" s="43">
        <f>IF($A460="","",IF(TRIM(IF($A460="","Missing certificate ref. ","") &amp; IF($C460="","Missing effective date. ","") &amp; IF($D460="","Missing binding status. ","") &amp; IF($E460="","Missing movement type. ","") &amp; IF($I460="","Missing make. ","") &amp; IF($L460="","Missing vehicle class. ","") &amp; IF($M460="","Missing agreed value. ","") &amp; IF($N460="","Missing policy type. ","") &amp; IF($Q460="","Missing garaging state. ","") &amp; IF($R460="","Missing garaging ZIP. ","") &amp; IF($S460="","Missing cat zone. ","") &amp; IF($V460="","Missing valuation basis. ","") &amp; IF($W460="","Missing PD deductible. ","") &amp; IF($X460="","Missing liability limit. ","") &amp; IF($AB460="","Missing technical premium. ","") &amp; IF($AF460="","Missing surplus lines tax %. ",""))="","PASS","FAIL: "&amp;TRIM(IF($A460="","Missing certificate ref. ","") &amp; IF($C460="","Missing effective date. ","") &amp; IF($D460="","Missing binding status. ","") &amp; IF($E460="","Missing movement type. ","") &amp; IF($I460="","Missing make. ","") &amp; IF($L460="","Missing vehicle class. ","") &amp; IF($M460="","Missing agreed value. ","") &amp; IF($N460="","Missing policy type. ","") &amp; IF($Q460="","Missing garaging state. ","") &amp; IF($R460="","Missing garaging ZIP. ","") &amp; IF($S460="","Missing cat zone. ","") &amp; IF($V460="","Missing valuation basis. ","") &amp; IF($W460="","Missing PD deductible. ","") &amp; IF($X460="","Missing liability limit. ","") &amp; IF($AB460="","Missing technical premium. ","") &amp; IF($AF460="","Missing surplus lines tax %. ",""))))</f>
      </c>
      <c r="AY460" s="44">
        <f>IF($M460="","",IF(ISNUMBER($M460),IF($M460&gt;=Header!$C$18,"YES — refer","No"),""))</f>
      </c>
      <c r="AZ460" s="44">
        <f>IF($AD460="","",IF(ISNUMBER($AD460),IF($AD460&lt;Header!$C$20,"BELOW MIN PREMIUM","OK"),""))</f>
      </c>
      <c r="BA460" s="48" t="inlineStr">
        <is>
          <t xml:space="preserve">Yes</t>
        </is>
      </c>
      <c r="BB460" s="48" t="inlineStr">
        <is>
          <t xml:space="preserve">Yes</t>
        </is>
      </c>
      <c r="BC460" s="46" t="inlineStr">
        <is>
          <t xml:space="preserve">Synthetic demo data</t>
        </is>
      </c>
      <c r="BE460" s="45">
        <f>IF(OR($A460="",$L460="",$H460=""),"",IF(AND(LEFT($L460,2)="06",$H460&gt;1945),"FAIL - pre-war class, year "&amp;$H460,IF(AND(LEFT($L460,2)="07",OR($H460&lt;1946,$H460&gt;1972)),"FAIL - 1946-72 class, year "&amp;$H460,IF(AND(LEFT($L460,2)="08",OR($H460&lt;1973,$H460&gt;1999)),"FAIL - 1973-99 class, year "&amp;$H460,IF(AND(LEFT($L460,2)="09",OR($H460&lt;2000,$H460&gt;2010)),"FAIL - 2000-10 class, year "&amp;$H460,"OK")))))</f>
      </c>
      <c r="BF460" s="45">
        <f>IF($AD460="","",IF(ROUND($AO460+$AP460+$AQ460-$AD460,2)=0,"OK","FAIL - out by "&amp;TEXT($AO460+$AP460+$AQ460-$AD460,"$0.00")))</f>
      </c>
    </row>
    <row r="461" spans="1:58" ht="18.75" customHeight="1" x14ac:dyDescent="0.25">
      <c r="A461" s="30" t="inlineStr">
        <is>
          <t xml:space="preserve">CANON-202511-002794</t>
        </is>
      </c>
      <c r="B461" s="30" t="inlineStr">
        <is>
          <t xml:space="preserve">Everett Merriweather</t>
        </is>
      </c>
      <c r="C461" s="31">
        <v>45987</v>
      </c>
      <c r="D461" s="32" t="inlineStr">
        <is>
          <t xml:space="preserve">Bound - within authority</t>
        </is>
      </c>
      <c r="E461" s="32" t="inlineStr">
        <is>
          <t xml:space="preserve">New business</t>
        </is>
      </c>
      <c r="F461" s="30" t="inlineStr">
        <is>
          <t xml:space="preserve">B1234EXOTIC26</t>
        </is>
      </c>
      <c r="G461" s="33">
        <f>IF($A461="","",IF($C461="","",YEAR($C461)))</f>
      </c>
      <c r="H461" s="34">
        <v>1984</v>
      </c>
      <c r="I461" s="30" t="inlineStr">
        <is>
          <t xml:space="preserve">Ferrari</t>
        </is>
      </c>
      <c r="J461" s="30" t="inlineStr">
        <is>
          <t xml:space="preserve">296 GTB</t>
        </is>
      </c>
      <c r="K461" s="30" t="inlineStr">
        <is>
          <t xml:space="preserve">3DLVRR7NN4EVU1BZ1</t>
        </is>
      </c>
      <c r="L461" s="32" t="inlineStr">
        <is>
          <t xml:space="preserve">03 - Supercar</t>
        </is>
      </c>
      <c r="M461" s="35">
        <v>765000</v>
      </c>
      <c r="N461" s="32" t="inlineStr">
        <is>
          <t xml:space="preserve">Personal</t>
        </is>
      </c>
      <c r="O461" s="30" t="inlineStr">
        <is>
          <t xml:space="preserve">Personal - regular use</t>
        </is>
      </c>
      <c r="P461" s="30" t="inlineStr">
        <is>
          <t xml:space="preserve">Under 1,000</t>
        </is>
      </c>
      <c r="Q461" s="30" t="inlineStr">
        <is>
          <t xml:space="preserve">Tennessee</t>
        </is>
      </c>
      <c r="R461" s="30" t="inlineStr">
        <is>
          <t xml:space="preserve">37203</t>
        </is>
      </c>
      <c r="S461" s="32" t="inlineStr">
        <is>
          <t xml:space="preserve">Severe convective - hail / tornado (moderate)</t>
        </is>
      </c>
      <c r="T461" s="36">
        <f>IF($A461="","",IF($S461="","",IFERROR(INDEX('[1]natural catastrophe'!$D$6:$D$17,MATCH($S461,'[1]natural catastrophe'!$B$6:$B$17,0)),"?")))</f>
      </c>
      <c r="U461" s="30" t="inlineStr">
        <is>
          <t xml:space="preserve">$5,000</t>
        </is>
      </c>
      <c r="V461" s="32" t="inlineStr">
        <is>
          <t xml:space="preserve">Agreed Value</t>
        </is>
      </c>
      <c r="W461" s="30" t="inlineStr">
        <is>
          <t xml:space="preserve">$1,000</t>
        </is>
      </c>
      <c r="X461" s="32" t="inlineStr">
        <is>
          <t xml:space="preserve">$1,000,000 CSL</t>
        </is>
      </c>
      <c r="Y461" s="30"/>
      <c r="Z461" s="30"/>
      <c r="AA461" s="32" t="inlineStr">
        <is>
          <t xml:space="preserve">Surplus Lines</t>
        </is>
      </c>
      <c r="AB461" s="35">
        <v>12354.92</v>
      </c>
      <c r="AC461" s="37">
        <v>0</v>
      </c>
      <c r="AD461" s="38">
        <f>IF(ISNUMBER($AB461),$AB461*(1+N($AC461)),"")</f>
      </c>
      <c r="AE461" s="35">
        <v>350</v>
      </c>
      <c r="AF461" s="35">
        <v>0</v>
      </c>
      <c r="AG461" s="37"/>
      <c r="AH461" s="39">
        <f>IF(ISNUMBER($AD461),($AD461+$AE461+$AF461)*$AG461,"")</f>
      </c>
      <c r="AI461" s="35"/>
      <c r="AJ461" s="38">
        <f>IF(ISNUMBER($AD461),SUM($AD461:$AH461),"")</f>
      </c>
      <c r="AK461" s="40">
        <f>IF(AND(ISNUMBER($AB461),ISNUMBER($AD461)),IF($AB461&gt;0,$AD461/$AB461,""),"")</f>
      </c>
      <c r="AL461" s="32" t="inlineStr">
        <is>
          <t xml:space="preserve">At technical</t>
        </is>
      </c>
      <c r="AM461" s="41">
        <f>IF(ISNUMBER($AD461),Header!$I$3,"")</f>
      </c>
      <c r="AN461" s="39">
        <f>IF(ISNUMBER($AD461),$AO461+$AP461,"")</f>
      </c>
      <c r="AO461" s="39">
        <f>IF(ISNUMBER($AD461),ROUND($AD461*Header!$K$3,2),"")</f>
      </c>
      <c r="AP461" s="39">
        <f>IF(ISNUMBER($AD461),ROUND($AD461*Header!$M$3,2),"")</f>
      </c>
      <c r="AQ461" s="38">
        <f>IF(ISNUMBER($AD461),ROUND($AD461,2)-$AO461-$AP461,"")</f>
      </c>
      <c r="AR461" s="39">
        <f>IF(ISNUMBER($AD461),IF(Header!$D$34="","?",$AD461*Header!$D$34),"")</f>
      </c>
      <c r="AS461" s="39">
        <f>IF(ISNUMBER($AB461),IF(Header!$D$34="","?",$AB461*Header!$D$34),"")</f>
      </c>
      <c r="AT461" s="42">
        <f>IF(AND(ISNUMBER($AB461),$M461&gt;0),$AB461/$M461*100,"")</f>
      </c>
      <c r="AU461" s="42">
        <f>IF(AND(ISNUMBER($AD461),$M461&gt;0),$AD461/$M461*100,"")</f>
      </c>
      <c r="AV461" s="40">
        <f>IF(AND(ISNUMBER($AB461),ISNUMBER($AD461),ABS($AB461)&gt;0),$AD461/$AB461,"")</f>
      </c>
      <c r="AW461" s="39">
        <f>IF(ISNUMBER($AD461),MAX(0,(1-0.55-Header!$O$3)*Header!$Q$3*$AQ461),"")</f>
      </c>
      <c r="AX461" s="43">
        <f>IF($A461="","",IF(TRIM(IF($A461="","Missing certificate ref. ","") &amp; IF($C461="","Missing effective date. ","") &amp; IF($D461="","Missing binding status. ","") &amp; IF($E461="","Missing movement type. ","") &amp; IF($I461="","Missing make. ","") &amp; IF($L461="","Missing vehicle class. ","") &amp; IF($M461="","Missing agreed value. ","") &amp; IF($N461="","Missing policy type. ","") &amp; IF($Q461="","Missing garaging state. ","") &amp; IF($R461="","Missing garaging ZIP. ","") &amp; IF($S461="","Missing cat zone. ","") &amp; IF($V461="","Missing valuation basis. ","") &amp; IF($W461="","Missing PD deductible. ","") &amp; IF($X461="","Missing liability limit. ","") &amp; IF($AB461="","Missing technical premium. ","") &amp; IF($AF461="","Missing surplus lines tax %. ",""))="","PASS","FAIL: "&amp;TRIM(IF($A461="","Missing certificate ref. ","") &amp; IF($C461="","Missing effective date. ","") &amp; IF($D461="","Missing binding status. ","") &amp; IF($E461="","Missing movement type. ","") &amp; IF($I461="","Missing make. ","") &amp; IF($L461="","Missing vehicle class. ","") &amp; IF($M461="","Missing agreed value. ","") &amp; IF($N461="","Missing policy type. ","") &amp; IF($Q461="","Missing garaging state. ","") &amp; IF($R461="","Missing garaging ZIP. ","") &amp; IF($S461="","Missing cat zone. ","") &amp; IF($V461="","Missing valuation basis. ","") &amp; IF($W461="","Missing PD deductible. ","") &amp; IF($X461="","Missing liability limit. ","") &amp; IF($AB461="","Missing technical premium. ","") &amp; IF($AF461="","Missing surplus lines tax %. ",""))))</f>
      </c>
      <c r="AY461" s="44">
        <f>IF($M461="","",IF(ISNUMBER($M461),IF($M461&gt;=Header!$C$18,"YES — refer","No"),""))</f>
      </c>
      <c r="AZ461" s="44">
        <f>IF($AD461="","",IF(ISNUMBER($AD461),IF($AD461&lt;Header!$C$20,"BELOW MIN PREMIUM","OK"),""))</f>
      </c>
      <c r="BA461" s="32" t="inlineStr">
        <is>
          <t xml:space="preserve">Yes</t>
        </is>
      </c>
      <c r="BB461" s="32" t="inlineStr">
        <is>
          <t xml:space="preserve">Yes</t>
        </is>
      </c>
      <c r="BC461" s="30" t="inlineStr">
        <is>
          <t xml:space="preserve">Synthetic demo data</t>
        </is>
      </c>
      <c r="BE461" s="45">
        <f>IF(OR($A461="",$L461="",$H461=""),"",IF(AND(LEFT($L461,2)="06",$H461&gt;1945),"FAIL - pre-war class, year "&amp;$H461,IF(AND(LEFT($L461,2)="07",OR($H461&lt;1946,$H461&gt;1972)),"FAIL - 1946-72 class, year "&amp;$H461,IF(AND(LEFT($L461,2)="08",OR($H461&lt;1973,$H461&gt;1999)),"FAIL - 1973-99 class, year "&amp;$H461,IF(AND(LEFT($L461,2)="09",OR($H461&lt;2000,$H461&gt;2010)),"FAIL - 2000-10 class, year "&amp;$H461,"OK")))))</f>
      </c>
      <c r="BF461" s="45">
        <f>IF($AD461="","",IF(ROUND($AO461+$AP461+$AQ461-$AD461,2)=0,"OK","FAIL - out by "&amp;TEXT($AO461+$AP461+$AQ461-$AD461,"$0.00")))</f>
      </c>
    </row>
    <row r="462" spans="1:58" ht="18.75" customHeight="1" x14ac:dyDescent="0.25">
      <c r="A462" s="46" t="inlineStr">
        <is>
          <t xml:space="preserve">CANON-202511-002795</t>
        </is>
      </c>
      <c r="B462" s="46" t="inlineStr">
        <is>
          <t xml:space="preserve">Marisol Underwood</t>
        </is>
      </c>
      <c r="C462" s="47">
        <v>45962</v>
      </c>
      <c r="D462" s="48" t="inlineStr">
        <is>
          <t xml:space="preserve">Bound - within authority</t>
        </is>
      </c>
      <c r="E462" s="48" t="inlineStr">
        <is>
          <t xml:space="preserve">New business</t>
        </is>
      </c>
      <c r="F462" s="46" t="inlineStr">
        <is>
          <t xml:space="preserve">B1234EXOTIC26</t>
        </is>
      </c>
      <c r="G462" s="33">
        <f>IF($A462="","",IF($C462="","",YEAR($C462)))</f>
      </c>
      <c r="H462" s="49">
        <v>1965</v>
      </c>
      <c r="I462" s="46" t="inlineStr">
        <is>
          <t xml:space="preserve">Singer</t>
        </is>
      </c>
      <c r="J462" s="46" t="inlineStr">
        <is>
          <t xml:space="preserve">911 Reimagined</t>
        </is>
      </c>
      <c r="K462" s="46" t="inlineStr">
        <is>
          <t xml:space="preserve">KAWPD7ENL6LB890R6</t>
        </is>
      </c>
      <c r="L462" s="48" t="inlineStr">
        <is>
          <t xml:space="preserve">11 - Restomod / Coachbuilt / Bespoke</t>
        </is>
      </c>
      <c r="M462" s="50">
        <v>265000</v>
      </c>
      <c r="N462" s="48" t="inlineStr">
        <is>
          <t xml:space="preserve">Personal</t>
        </is>
      </c>
      <c r="O462" s="46" t="inlineStr">
        <is>
          <t xml:space="preserve">Personal - regular use</t>
        </is>
      </c>
      <c r="P462" s="46" t="inlineStr">
        <is>
          <t xml:space="preserve">1,000 - 2,500</t>
        </is>
      </c>
      <c r="Q462" s="46" t="inlineStr">
        <is>
          <t xml:space="preserve">New Hampshire</t>
        </is>
      </c>
      <c r="R462" s="46" t="inlineStr">
        <is>
          <t xml:space="preserve">03301</t>
        </is>
      </c>
      <c r="S462" s="48" t="inlineStr">
        <is>
          <t xml:space="preserve">Tier 3 - Coastal wind (25-100 miles)</t>
        </is>
      </c>
      <c r="T462" s="36">
        <f>IF($A462="","",IF($S462="","",IFERROR(INDEX('[1]natural catastrophe'!$D$6:$D$17,MATCH($S462,'[1]natural catastrophe'!$B$6:$B$17,0)),"?")))</f>
      </c>
      <c r="U462" s="46" t="inlineStr">
        <is>
          <t xml:space="preserve">2% of agreed value, minimum $10,000</t>
        </is>
      </c>
      <c r="V462" s="48" t="inlineStr">
        <is>
          <t xml:space="preserve">Agreed Value</t>
        </is>
      </c>
      <c r="W462" s="46" t="inlineStr">
        <is>
          <t xml:space="preserve">$1,000</t>
        </is>
      </c>
      <c r="X462" s="48" t="inlineStr">
        <is>
          <t xml:space="preserve">$1,000,000 CSL</t>
        </is>
      </c>
      <c r="Y462" s="46"/>
      <c r="Z462" s="46"/>
      <c r="AA462" s="48" t="inlineStr">
        <is>
          <t xml:space="preserve">Surplus Lines</t>
        </is>
      </c>
      <c r="AB462" s="50">
        <v>4207.17</v>
      </c>
      <c r="AC462" s="51">
        <v>0</v>
      </c>
      <c r="AD462" s="38">
        <f>IF(ISNUMBER($AB462),$AB462*(1+N($AC462)),"")</f>
      </c>
      <c r="AE462" s="50">
        <v>350</v>
      </c>
      <c r="AF462" s="50">
        <v>0</v>
      </c>
      <c r="AG462" s="51"/>
      <c r="AH462" s="39">
        <f>IF(ISNUMBER($AD462),($AD462+$AE462+$AF462)*$AG462,"")</f>
      </c>
      <c r="AI462" s="50"/>
      <c r="AJ462" s="38">
        <f>IF(ISNUMBER($AD462),SUM($AD462:$AH462),"")</f>
      </c>
      <c r="AK462" s="40">
        <f>IF(AND(ISNUMBER($AB462),ISNUMBER($AD462)),IF($AB462&gt;0,$AD462/$AB462,""),"")</f>
      </c>
      <c r="AL462" s="48" t="inlineStr">
        <is>
          <t xml:space="preserve">At technical</t>
        </is>
      </c>
      <c r="AM462" s="41">
        <f>IF(ISNUMBER($AD462),Header!$I$3,"")</f>
      </c>
      <c r="AN462" s="39">
        <f>IF(ISNUMBER($AD462),$AO462+$AP462,"")</f>
      </c>
      <c r="AO462" s="39">
        <f>IF(ISNUMBER($AD462),ROUND($AD462*Header!$K$3,2),"")</f>
      </c>
      <c r="AP462" s="39">
        <f>IF(ISNUMBER($AD462),ROUND($AD462*Header!$M$3,2),"")</f>
      </c>
      <c r="AQ462" s="38">
        <f>IF(ISNUMBER($AD462),ROUND($AD462,2)-$AO462-$AP462,"")</f>
      </c>
      <c r="AR462" s="39">
        <f>IF(ISNUMBER($AD462),IF(Header!$D$34="","?",$AD462*Header!$D$34),"")</f>
      </c>
      <c r="AS462" s="39">
        <f>IF(ISNUMBER($AB462),IF(Header!$D$34="","?",$AB462*Header!$D$34),"")</f>
      </c>
      <c r="AT462" s="42">
        <f>IF(AND(ISNUMBER($AB462),$M462&gt;0),$AB462/$M462*100,"")</f>
      </c>
      <c r="AU462" s="42">
        <f>IF(AND(ISNUMBER($AD462),$M462&gt;0),$AD462/$M462*100,"")</f>
      </c>
      <c r="AV462" s="40">
        <f>IF(AND(ISNUMBER($AB462),ISNUMBER($AD462),ABS($AB462)&gt;0),$AD462/$AB462,"")</f>
      </c>
      <c r="AW462" s="39">
        <f>IF(ISNUMBER($AD462),MAX(0,(1-0.55-Header!$O$3)*Header!$Q$3*$AQ462),"")</f>
      </c>
      <c r="AX462" s="43">
        <f>IF($A462="","",IF(TRIM(IF($A462="","Missing certificate ref. ","") &amp; IF($C462="","Missing effective date. ","") &amp; IF($D462="","Missing binding status. ","") &amp; IF($E462="","Missing movement type. ","") &amp; IF($I462="","Missing make. ","") &amp; IF($L462="","Missing vehicle class. ","") &amp; IF($M462="","Missing agreed value. ","") &amp; IF($N462="","Missing policy type. ","") &amp; IF($Q462="","Missing garaging state. ","") &amp; IF($R462="","Missing garaging ZIP. ","") &amp; IF($S462="","Missing cat zone. ","") &amp; IF($V462="","Missing valuation basis. ","") &amp; IF($W462="","Missing PD deductible. ","") &amp; IF($X462="","Missing liability limit. ","") &amp; IF($AB462="","Missing technical premium. ","") &amp; IF($AF462="","Missing surplus lines tax %. ",""))="","PASS","FAIL: "&amp;TRIM(IF($A462="","Missing certificate ref. ","") &amp; IF($C462="","Missing effective date. ","") &amp; IF($D462="","Missing binding status. ","") &amp; IF($E462="","Missing movement type. ","") &amp; IF($I462="","Missing make. ","") &amp; IF($L462="","Missing vehicle class. ","") &amp; IF($M462="","Missing agreed value. ","") &amp; IF($N462="","Missing policy type. ","") &amp; IF($Q462="","Missing garaging state. ","") &amp; IF($R462="","Missing garaging ZIP. ","") &amp; IF($S462="","Missing cat zone. ","") &amp; IF($V462="","Missing valuation basis. ","") &amp; IF($W462="","Missing PD deductible. ","") &amp; IF($X462="","Missing liability limit. ","") &amp; IF($AB462="","Missing technical premium. ","") &amp; IF($AF462="","Missing surplus lines tax %. ",""))))</f>
      </c>
      <c r="AY462" s="44">
        <f>IF($M462="","",IF(ISNUMBER($M462),IF($M462&gt;=Header!$C$18,"YES — refer","No"),""))</f>
      </c>
      <c r="AZ462" s="44">
        <f>IF($AD462="","",IF(ISNUMBER($AD462),IF($AD462&lt;Header!$C$20,"BELOW MIN PREMIUM","OK"),""))</f>
      </c>
      <c r="BA462" s="48" t="inlineStr">
        <is>
          <t xml:space="preserve">Yes</t>
        </is>
      </c>
      <c r="BB462" s="48" t="inlineStr">
        <is>
          <t xml:space="preserve">Yes</t>
        </is>
      </c>
      <c r="BC462" s="46" t="inlineStr">
        <is>
          <t xml:space="preserve">Synthetic demo data</t>
        </is>
      </c>
      <c r="BE462" s="45">
        <f>IF(OR($A462="",$L462="",$H462=""),"",IF(AND(LEFT($L462,2)="06",$H462&gt;1945),"FAIL - pre-war class, year "&amp;$H462,IF(AND(LEFT($L462,2)="07",OR($H462&lt;1946,$H462&gt;1972)),"FAIL - 1946-72 class, year "&amp;$H462,IF(AND(LEFT($L462,2)="08",OR($H462&lt;1973,$H462&gt;1999)),"FAIL - 1973-99 class, year "&amp;$H462,IF(AND(LEFT($L462,2)="09",OR($H462&lt;2000,$H462&gt;2010)),"FAIL - 2000-10 class, year "&amp;$H462,"OK")))))</f>
      </c>
      <c r="BF462" s="45">
        <f>IF($AD462="","",IF(ROUND($AO462+$AP462+$AQ462-$AD462,2)=0,"OK","FAIL - out by "&amp;TEXT($AO462+$AP462+$AQ462-$AD462,"$0.00")))</f>
      </c>
    </row>
    <row r="463" spans="1:58" ht="18.75" customHeight="1" x14ac:dyDescent="0.25">
      <c r="A463" s="30" t="inlineStr">
        <is>
          <t xml:space="preserve">CANON-202511-002796</t>
        </is>
      </c>
      <c r="B463" s="30" t="inlineStr">
        <is>
          <t xml:space="preserve">Saoirse Montoya</t>
        </is>
      </c>
      <c r="C463" s="31">
        <v>45985</v>
      </c>
      <c r="D463" s="32" t="inlineStr">
        <is>
          <t xml:space="preserve">Bound - within authority</t>
        </is>
      </c>
      <c r="E463" s="32" t="inlineStr">
        <is>
          <t xml:space="preserve">New business</t>
        </is>
      </c>
      <c r="F463" s="30" t="inlineStr">
        <is>
          <t xml:space="preserve">B1234EXOTIC26</t>
        </is>
      </c>
      <c r="G463" s="33">
        <f>IF($A463="","",IF($C463="","",YEAR($C463)))</f>
      </c>
      <c r="H463" s="34">
        <v>2002</v>
      </c>
      <c r="I463" s="30" t="inlineStr">
        <is>
          <t xml:space="preserve">Maserati</t>
        </is>
      </c>
      <c r="J463" s="30" t="inlineStr">
        <is>
          <t xml:space="preserve">GranTurismo</t>
        </is>
      </c>
      <c r="K463" s="30" t="inlineStr">
        <is>
          <t xml:space="preserve">1D2ADHRS3A2XHXY29</t>
        </is>
      </c>
      <c r="L463" s="32" t="inlineStr">
        <is>
          <t xml:space="preserve">02 - Sports / GT</t>
        </is>
      </c>
      <c r="M463" s="35">
        <v>290000</v>
      </c>
      <c r="N463" s="32" t="inlineStr">
        <is>
          <t xml:space="preserve">Personal</t>
        </is>
      </c>
      <c r="O463" s="30" t="inlineStr">
        <is>
          <t xml:space="preserve">Personal - regular use</t>
        </is>
      </c>
      <c r="P463" s="30" t="inlineStr">
        <is>
          <t xml:space="preserve">1,000 - 2,500</t>
        </is>
      </c>
      <c r="Q463" s="30" t="inlineStr">
        <is>
          <t xml:space="preserve">Illinois</t>
        </is>
      </c>
      <c r="R463" s="30" t="inlineStr">
        <is>
          <t xml:space="preserve">60601</t>
        </is>
      </c>
      <c r="S463" s="32" t="inlineStr">
        <is>
          <t xml:space="preserve">Severe convective - hail / tornado (moderate)</t>
        </is>
      </c>
      <c r="T463" s="36">
        <f>IF($A463="","",IF($S463="","",IFERROR(INDEX('[1]natural catastrophe'!$D$6:$D$17,MATCH($S463,'[1]natural catastrophe'!$B$6:$B$17,0)),"?")))</f>
      </c>
      <c r="U463" s="30" t="inlineStr">
        <is>
          <t xml:space="preserve">$5,000</t>
        </is>
      </c>
      <c r="V463" s="32" t="inlineStr">
        <is>
          <t xml:space="preserve">Agreed Value</t>
        </is>
      </c>
      <c r="W463" s="30" t="inlineStr">
        <is>
          <t xml:space="preserve">$1,000</t>
        </is>
      </c>
      <c r="X463" s="32" t="inlineStr">
        <is>
          <t xml:space="preserve">$1,000,000 CSL</t>
        </is>
      </c>
      <c r="Y463" s="30"/>
      <c r="Z463" s="30"/>
      <c r="AA463" s="32" t="inlineStr">
        <is>
          <t xml:space="preserve">Surplus Lines</t>
        </is>
      </c>
      <c r="AB463" s="35">
        <v>5131.29</v>
      </c>
      <c r="AC463" s="37">
        <v>0</v>
      </c>
      <c r="AD463" s="38">
        <f>IF(ISNUMBER($AB463),$AB463*(1+N($AC463)),"")</f>
      </c>
      <c r="AE463" s="35">
        <v>350</v>
      </c>
      <c r="AF463" s="35">
        <v>0</v>
      </c>
      <c r="AG463" s="37"/>
      <c r="AH463" s="39">
        <f>IF(ISNUMBER($AD463),($AD463+$AE463+$AF463)*$AG463,"")</f>
      </c>
      <c r="AI463" s="35"/>
      <c r="AJ463" s="38">
        <f>IF(ISNUMBER($AD463),SUM($AD463:$AH463),"")</f>
      </c>
      <c r="AK463" s="40">
        <f>IF(AND(ISNUMBER($AB463),ISNUMBER($AD463)),IF($AB463&gt;0,$AD463/$AB463,""),"")</f>
      </c>
      <c r="AL463" s="32" t="inlineStr">
        <is>
          <t xml:space="preserve">At technical</t>
        </is>
      </c>
      <c r="AM463" s="41">
        <f>IF(ISNUMBER($AD463),Header!$I$3,"")</f>
      </c>
      <c r="AN463" s="39">
        <f>IF(ISNUMBER($AD463),$AO463+$AP463,"")</f>
      </c>
      <c r="AO463" s="39">
        <f>IF(ISNUMBER($AD463),ROUND($AD463*Header!$K$3,2),"")</f>
      </c>
      <c r="AP463" s="39">
        <f>IF(ISNUMBER($AD463),ROUND($AD463*Header!$M$3,2),"")</f>
      </c>
      <c r="AQ463" s="38">
        <f>IF(ISNUMBER($AD463),ROUND($AD463,2)-$AO463-$AP463,"")</f>
      </c>
      <c r="AR463" s="39">
        <f>IF(ISNUMBER($AD463),IF(Header!$D$34="","?",$AD463*Header!$D$34),"")</f>
      </c>
      <c r="AS463" s="39">
        <f>IF(ISNUMBER($AB463),IF(Header!$D$34="","?",$AB463*Header!$D$34),"")</f>
      </c>
      <c r="AT463" s="42">
        <f>IF(AND(ISNUMBER($AB463),$M463&gt;0),$AB463/$M463*100,"")</f>
      </c>
      <c r="AU463" s="42">
        <f>IF(AND(ISNUMBER($AD463),$M463&gt;0),$AD463/$M463*100,"")</f>
      </c>
      <c r="AV463" s="40">
        <f>IF(AND(ISNUMBER($AB463),ISNUMBER($AD463),ABS($AB463)&gt;0),$AD463/$AB463,"")</f>
      </c>
      <c r="AW463" s="39">
        <f>IF(ISNUMBER($AD463),MAX(0,(1-0.55-Header!$O$3)*Header!$Q$3*$AQ463),"")</f>
      </c>
      <c r="AX463" s="43">
        <f>IF($A463="","",IF(TRIM(IF($A463="","Missing certificate ref. ","") &amp; IF($C463="","Missing effective date. ","") &amp; IF($D463="","Missing binding status. ","") &amp; IF($E463="","Missing movement type. ","") &amp; IF($I463="","Missing make. ","") &amp; IF($L463="","Missing vehicle class. ","") &amp; IF($M463="","Missing agreed value. ","") &amp; IF($N463="","Missing policy type. ","") &amp; IF($Q463="","Missing garaging state. ","") &amp; IF($R463="","Missing garaging ZIP. ","") &amp; IF($S463="","Missing cat zone. ","") &amp; IF($V463="","Missing valuation basis. ","") &amp; IF($W463="","Missing PD deductible. ","") &amp; IF($X463="","Missing liability limit. ","") &amp; IF($AB463="","Missing technical premium. ","") &amp; IF($AF463="","Missing surplus lines tax %. ",""))="","PASS","FAIL: "&amp;TRIM(IF($A463="","Missing certificate ref. ","") &amp; IF($C463="","Missing effective date. ","") &amp; IF($D463="","Missing binding status. ","") &amp; IF($E463="","Missing movement type. ","") &amp; IF($I463="","Missing make. ","") &amp; IF($L463="","Missing vehicle class. ","") &amp; IF($M463="","Missing agreed value. ","") &amp; IF($N463="","Missing policy type. ","") &amp; IF($Q463="","Missing garaging state. ","") &amp; IF($R463="","Missing garaging ZIP. ","") &amp; IF($S463="","Missing cat zone. ","") &amp; IF($V463="","Missing valuation basis. ","") &amp; IF($W463="","Missing PD deductible. ","") &amp; IF($X463="","Missing liability limit. ","") &amp; IF($AB463="","Missing technical premium. ","") &amp; IF($AF463="","Missing surplus lines tax %. ",""))))</f>
      </c>
      <c r="AY463" s="44">
        <f>IF($M463="","",IF(ISNUMBER($M463),IF($M463&gt;=Header!$C$18,"YES — refer","No"),""))</f>
      </c>
      <c r="AZ463" s="44">
        <f>IF($AD463="","",IF(ISNUMBER($AD463),IF($AD463&lt;Header!$C$20,"BELOW MIN PREMIUM","OK"),""))</f>
      </c>
      <c r="BA463" s="32" t="inlineStr">
        <is>
          <t xml:space="preserve">Yes</t>
        </is>
      </c>
      <c r="BB463" s="32" t="inlineStr">
        <is>
          <t xml:space="preserve">Yes</t>
        </is>
      </c>
      <c r="BC463" s="30" t="inlineStr">
        <is>
          <t xml:space="preserve">Synthetic demo data</t>
        </is>
      </c>
      <c r="BE463" s="45">
        <f>IF(OR($A463="",$L463="",$H463=""),"",IF(AND(LEFT($L463,2)="06",$H463&gt;1945),"FAIL - pre-war class, year "&amp;$H463,IF(AND(LEFT($L463,2)="07",OR($H463&lt;1946,$H463&gt;1972)),"FAIL - 1946-72 class, year "&amp;$H463,IF(AND(LEFT($L463,2)="08",OR($H463&lt;1973,$H463&gt;1999)),"FAIL - 1973-99 class, year "&amp;$H463,IF(AND(LEFT($L463,2)="09",OR($H463&lt;2000,$H463&gt;2010)),"FAIL - 2000-10 class, year "&amp;$H463,"OK")))))</f>
      </c>
      <c r="BF463" s="45">
        <f>IF($AD463="","",IF(ROUND($AO463+$AP463+$AQ463-$AD463,2)=0,"OK","FAIL - out by "&amp;TEXT($AO463+$AP463+$AQ463-$AD463,"$0.00")))</f>
      </c>
    </row>
    <row r="464" spans="1:58" ht="18.75" customHeight="1" x14ac:dyDescent="0.25">
      <c r="A464" s="46" t="inlineStr">
        <is>
          <t xml:space="preserve">CANON-202511-002798</t>
        </is>
      </c>
      <c r="B464" s="46" t="inlineStr">
        <is>
          <t xml:space="preserve">Fitzgerald Harrington</t>
        </is>
      </c>
      <c r="C464" s="47">
        <v>45990</v>
      </c>
      <c r="D464" s="48" t="inlineStr">
        <is>
          <t xml:space="preserve">Bound - within authority</t>
        </is>
      </c>
      <c r="E464" s="48" t="inlineStr">
        <is>
          <t xml:space="preserve">New business</t>
        </is>
      </c>
      <c r="F464" s="46" t="inlineStr">
        <is>
          <t xml:space="preserve">B1234EXOTIC26</t>
        </is>
      </c>
      <c r="G464" s="33">
        <f>IF($A464="","",IF($C464="","",YEAR($C464)))</f>
      </c>
      <c r="H464" s="49">
        <v>1973</v>
      </c>
      <c r="I464" s="46" t="inlineStr">
        <is>
          <t xml:space="preserve">Aston Martin</t>
        </is>
      </c>
      <c r="J464" s="46" t="inlineStr">
        <is>
          <t xml:space="preserve">DB12</t>
        </is>
      </c>
      <c r="K464" s="46" t="inlineStr">
        <is>
          <t xml:space="preserve">YYUDUYM6YNYCFP4TV</t>
        </is>
      </c>
      <c r="L464" s="48" t="inlineStr">
        <is>
          <t xml:space="preserve">02 - Sports / GT</t>
        </is>
      </c>
      <c r="M464" s="50">
        <v>570000</v>
      </c>
      <c r="N464" s="48" t="inlineStr">
        <is>
          <t xml:space="preserve">Personal</t>
        </is>
      </c>
      <c r="O464" s="46" t="inlineStr">
        <is>
          <t xml:space="preserve">Personal - regular use</t>
        </is>
      </c>
      <c r="P464" s="46" t="inlineStr">
        <is>
          <t xml:space="preserve">2,500 - 5,000</t>
        </is>
      </c>
      <c r="Q464" s="46" t="inlineStr">
        <is>
          <t xml:space="preserve">Minnesota</t>
        </is>
      </c>
      <c r="R464" s="46" t="inlineStr">
        <is>
          <t xml:space="preserve">55401</t>
        </is>
      </c>
      <c r="S464" s="48" t="inlineStr">
        <is>
          <t xml:space="preserve">Severe convective - hail / tornado (moderate)</t>
        </is>
      </c>
      <c r="T464" s="36">
        <f>IF($A464="","",IF($S464="","",IFERROR(INDEX('[1]natural catastrophe'!$D$6:$D$17,MATCH($S464,'[1]natural catastrophe'!$B$6:$B$17,0)),"?")))</f>
      </c>
      <c r="U464" s="46" t="inlineStr">
        <is>
          <t xml:space="preserve">$5,000</t>
        </is>
      </c>
      <c r="V464" s="48" t="inlineStr">
        <is>
          <t xml:space="preserve">Agreed Value</t>
        </is>
      </c>
      <c r="W464" s="46" t="inlineStr">
        <is>
          <t xml:space="preserve">$1,000</t>
        </is>
      </c>
      <c r="X464" s="48" t="inlineStr">
        <is>
          <t xml:space="preserve">$1,000,000 CSL</t>
        </is>
      </c>
      <c r="Y464" s="46"/>
      <c r="Z464" s="46"/>
      <c r="AA464" s="48" t="inlineStr">
        <is>
          <t xml:space="preserve">Surplus Lines</t>
        </is>
      </c>
      <c r="AB464" s="50">
        <v>8483.81</v>
      </c>
      <c r="AC464" s="51">
        <v>0</v>
      </c>
      <c r="AD464" s="38">
        <f>IF(ISNUMBER($AB464),$AB464*(1+N($AC464)),"")</f>
      </c>
      <c r="AE464" s="50">
        <v>350</v>
      </c>
      <c r="AF464" s="50">
        <v>0</v>
      </c>
      <c r="AG464" s="51"/>
      <c r="AH464" s="39">
        <f>IF(ISNUMBER($AD464),($AD464+$AE464+$AF464)*$AG464,"")</f>
      </c>
      <c r="AI464" s="50"/>
      <c r="AJ464" s="38">
        <f>IF(ISNUMBER($AD464),SUM($AD464:$AH464),"")</f>
      </c>
      <c r="AK464" s="40">
        <f>IF(AND(ISNUMBER($AB464),ISNUMBER($AD464)),IF($AB464&gt;0,$AD464/$AB464,""),"")</f>
      </c>
      <c r="AL464" s="48" t="inlineStr">
        <is>
          <t xml:space="preserve">At technical</t>
        </is>
      </c>
      <c r="AM464" s="41">
        <f>IF(ISNUMBER($AD464),Header!$I$3,"")</f>
      </c>
      <c r="AN464" s="39">
        <f>IF(ISNUMBER($AD464),$AO464+$AP464,"")</f>
      </c>
      <c r="AO464" s="39">
        <f>IF(ISNUMBER($AD464),ROUND($AD464*Header!$K$3,2),"")</f>
      </c>
      <c r="AP464" s="39">
        <f>IF(ISNUMBER($AD464),ROUND($AD464*Header!$M$3,2),"")</f>
      </c>
      <c r="AQ464" s="38">
        <f>IF(ISNUMBER($AD464),ROUND($AD464,2)-$AO464-$AP464,"")</f>
      </c>
      <c r="AR464" s="39">
        <f>IF(ISNUMBER($AD464),IF(Header!$D$34="","?",$AD464*Header!$D$34),"")</f>
      </c>
      <c r="AS464" s="39">
        <f>IF(ISNUMBER($AB464),IF(Header!$D$34="","?",$AB464*Header!$D$34),"")</f>
      </c>
      <c r="AT464" s="42">
        <f>IF(AND(ISNUMBER($AB464),$M464&gt;0),$AB464/$M464*100,"")</f>
      </c>
      <c r="AU464" s="42">
        <f>IF(AND(ISNUMBER($AD464),$M464&gt;0),$AD464/$M464*100,"")</f>
      </c>
      <c r="AV464" s="40">
        <f>IF(AND(ISNUMBER($AB464),ISNUMBER($AD464),ABS($AB464)&gt;0),$AD464/$AB464,"")</f>
      </c>
      <c r="AW464" s="39">
        <f>IF(ISNUMBER($AD464),MAX(0,(1-0.55-Header!$O$3)*Header!$Q$3*$AQ464),"")</f>
      </c>
      <c r="AX464" s="43">
        <f>IF($A464="","",IF(TRIM(IF($A464="","Missing certificate ref. ","") &amp; IF($C464="","Missing effective date. ","") &amp; IF($D464="","Missing binding status. ","") &amp; IF($E464="","Missing movement type. ","") &amp; IF($I464="","Missing make. ","") &amp; IF($L464="","Missing vehicle class. ","") &amp; IF($M464="","Missing agreed value. ","") &amp; IF($N464="","Missing policy type. ","") &amp; IF($Q464="","Missing garaging state. ","") &amp; IF($R464="","Missing garaging ZIP. ","") &amp; IF($S464="","Missing cat zone. ","") &amp; IF($V464="","Missing valuation basis. ","") &amp; IF($W464="","Missing PD deductible. ","") &amp; IF($X464="","Missing liability limit. ","") &amp; IF($AB464="","Missing technical premium. ","") &amp; IF($AF464="","Missing surplus lines tax %. ",""))="","PASS","FAIL: "&amp;TRIM(IF($A464="","Missing certificate ref. ","") &amp; IF($C464="","Missing effective date. ","") &amp; IF($D464="","Missing binding status. ","") &amp; IF($E464="","Missing movement type. ","") &amp; IF($I464="","Missing make. ","") &amp; IF($L464="","Missing vehicle class. ","") &amp; IF($M464="","Missing agreed value. ","") &amp; IF($N464="","Missing policy type. ","") &amp; IF($Q464="","Missing garaging state. ","") &amp; IF($R464="","Missing garaging ZIP. ","") &amp; IF($S464="","Missing cat zone. ","") &amp; IF($V464="","Missing valuation basis. ","") &amp; IF($W464="","Missing PD deductible. ","") &amp; IF($X464="","Missing liability limit. ","") &amp; IF($AB464="","Missing technical premium. ","") &amp; IF($AF464="","Missing surplus lines tax %. ",""))))</f>
      </c>
      <c r="AY464" s="44">
        <f>IF($M464="","",IF(ISNUMBER($M464),IF($M464&gt;=Header!$C$18,"YES — refer","No"),""))</f>
      </c>
      <c r="AZ464" s="44">
        <f>IF($AD464="","",IF(ISNUMBER($AD464),IF($AD464&lt;Header!$C$20,"BELOW MIN PREMIUM","OK"),""))</f>
      </c>
      <c r="BA464" s="48" t="inlineStr">
        <is>
          <t xml:space="preserve">Yes</t>
        </is>
      </c>
      <c r="BB464" s="48" t="inlineStr">
        <is>
          <t xml:space="preserve">Yes</t>
        </is>
      </c>
      <c r="BC464" s="46" t="inlineStr">
        <is>
          <t xml:space="preserve">Synthetic demo data</t>
        </is>
      </c>
      <c r="BE464" s="45">
        <f>IF(OR($A464="",$L464="",$H464=""),"",IF(AND(LEFT($L464,2)="06",$H464&gt;1945),"FAIL - pre-war class, year "&amp;$H464,IF(AND(LEFT($L464,2)="07",OR($H464&lt;1946,$H464&gt;1972)),"FAIL - 1946-72 class, year "&amp;$H464,IF(AND(LEFT($L464,2)="08",OR($H464&lt;1973,$H464&gt;1999)),"FAIL - 1973-99 class, year "&amp;$H464,IF(AND(LEFT($L464,2)="09",OR($H464&lt;2000,$H464&gt;2010)),"FAIL - 2000-10 class, year "&amp;$H464,"OK")))))</f>
      </c>
      <c r="BF464" s="45">
        <f>IF($AD464="","",IF(ROUND($AO464+$AP464+$AQ464-$AD464,2)=0,"OK","FAIL - out by "&amp;TEXT($AO464+$AP464+$AQ464-$AD464,"$0.00")))</f>
      </c>
    </row>
    <row r="465" spans="1:58" ht="18.75" customHeight="1" x14ac:dyDescent="0.25">
      <c r="A465" s="30" t="inlineStr">
        <is>
          <t xml:space="preserve">CANON-202511-002799</t>
        </is>
      </c>
      <c r="B465" s="30" t="inlineStr">
        <is>
          <t xml:space="preserve">Cassius Nakashima</t>
        </is>
      </c>
      <c r="C465" s="31">
        <v>45985</v>
      </c>
      <c r="D465" s="32" t="inlineStr">
        <is>
          <t xml:space="preserve">Bound - within authority</t>
        </is>
      </c>
      <c r="E465" s="32" t="inlineStr">
        <is>
          <t xml:space="preserve">New business</t>
        </is>
      </c>
      <c r="F465" s="30" t="inlineStr">
        <is>
          <t xml:space="preserve">B1234EXOTIC26</t>
        </is>
      </c>
      <c r="G465" s="33">
        <f>IF($A465="","",IF($C465="","",YEAR($C465)))</f>
      </c>
      <c r="H465" s="34">
        <v>2010</v>
      </c>
      <c r="I465" s="30" t="inlineStr">
        <is>
          <t xml:space="preserve">Jaguar</t>
        </is>
      </c>
      <c r="J465" s="30" t="inlineStr">
        <is>
          <t xml:space="preserve">E-Type Series 1</t>
        </is>
      </c>
      <c r="K465" s="30" t="inlineStr">
        <is>
          <t xml:space="preserve">0BTY670C8RRG8Z82B</t>
        </is>
      </c>
      <c r="L465" s="32" t="inlineStr">
        <is>
          <t xml:space="preserve">09 - Youngtimer / Collectible (2000-2010)</t>
        </is>
      </c>
      <c r="M465" s="35">
        <v>925000</v>
      </c>
      <c r="N465" s="32" t="inlineStr">
        <is>
          <t xml:space="preserve">Personal</t>
        </is>
      </c>
      <c r="O465" s="30" t="inlineStr">
        <is>
          <t xml:space="preserve">Personal - regular use</t>
        </is>
      </c>
      <c r="P465" s="30" t="inlineStr">
        <is>
          <t xml:space="preserve">2,500 - 5,000</t>
        </is>
      </c>
      <c r="Q465" s="30" t="inlineStr">
        <is>
          <t xml:space="preserve">Nebraska</t>
        </is>
      </c>
      <c r="R465" s="30" t="inlineStr">
        <is>
          <t xml:space="preserve">68102</t>
        </is>
      </c>
      <c r="S465" s="32" t="inlineStr">
        <is>
          <t xml:space="preserve">Severe convective - hail alley (high)</t>
        </is>
      </c>
      <c r="T465" s="36">
        <f>IF($A465="","",IF($S465="","",IFERROR(INDEX('[1]natural catastrophe'!$D$6:$D$17,MATCH($S465,'[1]natural catastrophe'!$B$6:$B$17,0)),"?")))</f>
      </c>
      <c r="U465" s="30" t="inlineStr">
        <is>
          <t xml:space="preserve">$5,000</t>
        </is>
      </c>
      <c r="V465" s="32" t="inlineStr">
        <is>
          <t xml:space="preserve">Agreed Value</t>
        </is>
      </c>
      <c r="W465" s="30" t="inlineStr">
        <is>
          <t xml:space="preserve">$1,000</t>
        </is>
      </c>
      <c r="X465" s="32" t="inlineStr">
        <is>
          <t xml:space="preserve">$1,000,000 CSL</t>
        </is>
      </c>
      <c r="Y465" s="30"/>
      <c r="Z465" s="30"/>
      <c r="AA465" s="32" t="inlineStr">
        <is>
          <t xml:space="preserve">Surplus Lines</t>
        </is>
      </c>
      <c r="AB465" s="35">
        <v>8969.79</v>
      </c>
      <c r="AC465" s="37">
        <v>0</v>
      </c>
      <c r="AD465" s="38">
        <f>IF(ISNUMBER($AB465),$AB465*(1+N($AC465)),"")</f>
      </c>
      <c r="AE465" s="35">
        <v>350</v>
      </c>
      <c r="AF465" s="35">
        <v>0</v>
      </c>
      <c r="AG465" s="37"/>
      <c r="AH465" s="39">
        <f>IF(ISNUMBER($AD465),($AD465+$AE465+$AF465)*$AG465,"")</f>
      </c>
      <c r="AI465" s="35"/>
      <c r="AJ465" s="38">
        <f>IF(ISNUMBER($AD465),SUM($AD465:$AH465),"")</f>
      </c>
      <c r="AK465" s="40">
        <f>IF(AND(ISNUMBER($AB465),ISNUMBER($AD465)),IF($AB465&gt;0,$AD465/$AB465,""),"")</f>
      </c>
      <c r="AL465" s="32" t="inlineStr">
        <is>
          <t xml:space="preserve">At technical</t>
        </is>
      </c>
      <c r="AM465" s="41">
        <f>IF(ISNUMBER($AD465),Header!$I$3,"")</f>
      </c>
      <c r="AN465" s="39">
        <f>IF(ISNUMBER($AD465),$AO465+$AP465,"")</f>
      </c>
      <c r="AO465" s="39">
        <f>IF(ISNUMBER($AD465),ROUND($AD465*Header!$K$3,2),"")</f>
      </c>
      <c r="AP465" s="39">
        <f>IF(ISNUMBER($AD465),ROUND($AD465*Header!$M$3,2),"")</f>
      </c>
      <c r="AQ465" s="38">
        <f>IF(ISNUMBER($AD465),ROUND($AD465,2)-$AO465-$AP465,"")</f>
      </c>
      <c r="AR465" s="39">
        <f>IF(ISNUMBER($AD465),IF(Header!$D$34="","?",$AD465*Header!$D$34),"")</f>
      </c>
      <c r="AS465" s="39">
        <f>IF(ISNUMBER($AB465),IF(Header!$D$34="","?",$AB465*Header!$D$34),"")</f>
      </c>
      <c r="AT465" s="42">
        <f>IF(AND(ISNUMBER($AB465),$M465&gt;0),$AB465/$M465*100,"")</f>
      </c>
      <c r="AU465" s="42">
        <f>IF(AND(ISNUMBER($AD465),$M465&gt;0),$AD465/$M465*100,"")</f>
      </c>
      <c r="AV465" s="40">
        <f>IF(AND(ISNUMBER($AB465),ISNUMBER($AD465),ABS($AB465)&gt;0),$AD465/$AB465,"")</f>
      </c>
      <c r="AW465" s="39">
        <f>IF(ISNUMBER($AD465),MAX(0,(1-0.55-Header!$O$3)*Header!$Q$3*$AQ465),"")</f>
      </c>
      <c r="AX465" s="43">
        <f>IF($A465="","",IF(TRIM(IF($A465="","Missing certificate ref. ","") &amp; IF($C465="","Missing effective date. ","") &amp; IF($D465="","Missing binding status. ","") &amp; IF($E465="","Missing movement type. ","") &amp; IF($I465="","Missing make. ","") &amp; IF($L465="","Missing vehicle class. ","") &amp; IF($M465="","Missing agreed value. ","") &amp; IF($N465="","Missing policy type. ","") &amp; IF($Q465="","Missing garaging state. ","") &amp; IF($R465="","Missing garaging ZIP. ","") &amp; IF($S465="","Missing cat zone. ","") &amp; IF($V465="","Missing valuation basis. ","") &amp; IF($W465="","Missing PD deductible. ","") &amp; IF($X465="","Missing liability limit. ","") &amp; IF($AB465="","Missing technical premium. ","") &amp; IF($AF465="","Missing surplus lines tax %. ",""))="","PASS","FAIL: "&amp;TRIM(IF($A465="","Missing certificate ref. ","") &amp; IF($C465="","Missing effective date. ","") &amp; IF($D465="","Missing binding status. ","") &amp; IF($E465="","Missing movement type. ","") &amp; IF($I465="","Missing make. ","") &amp; IF($L465="","Missing vehicle class. ","") &amp; IF($M465="","Missing agreed value. ","") &amp; IF($N465="","Missing policy type. ","") &amp; IF($Q465="","Missing garaging state. ","") &amp; IF($R465="","Missing garaging ZIP. ","") &amp; IF($S465="","Missing cat zone. ","") &amp; IF($V465="","Missing valuation basis. ","") &amp; IF($W465="","Missing PD deductible. ","") &amp; IF($X465="","Missing liability limit. ","") &amp; IF($AB465="","Missing technical premium. ","") &amp; IF($AF465="","Missing surplus lines tax %. ",""))))</f>
      </c>
      <c r="AY465" s="44">
        <f>IF($M465="","",IF(ISNUMBER($M465),IF($M465&gt;=Header!$C$18,"YES — refer","No"),""))</f>
      </c>
      <c r="AZ465" s="44">
        <f>IF($AD465="","",IF(ISNUMBER($AD465),IF($AD465&lt;Header!$C$20,"BELOW MIN PREMIUM","OK"),""))</f>
      </c>
      <c r="BA465" s="32" t="inlineStr">
        <is>
          <t xml:space="preserve">Yes</t>
        </is>
      </c>
      <c r="BB465" s="32" t="inlineStr">
        <is>
          <t xml:space="preserve">Yes</t>
        </is>
      </c>
      <c r="BC465" s="30" t="inlineStr">
        <is>
          <t xml:space="preserve">Synthetic demo data</t>
        </is>
      </c>
      <c r="BE465" s="45">
        <f>IF(OR($A465="",$L465="",$H465=""),"",IF(AND(LEFT($L465,2)="06",$H465&gt;1945),"FAIL - pre-war class, year "&amp;$H465,IF(AND(LEFT($L465,2)="07",OR($H465&lt;1946,$H465&gt;1972)),"FAIL - 1946-72 class, year "&amp;$H465,IF(AND(LEFT($L465,2)="08",OR($H465&lt;1973,$H465&gt;1999)),"FAIL - 1973-99 class, year "&amp;$H465,IF(AND(LEFT($L465,2)="09",OR($H465&lt;2000,$H465&gt;2010)),"FAIL - 2000-10 class, year "&amp;$H465,"OK")))))</f>
      </c>
      <c r="BF465" s="45">
        <f>IF($AD465="","",IF(ROUND($AO465+$AP465+$AQ465-$AD465,2)=0,"OK","FAIL - out by "&amp;TEXT($AO465+$AP465+$AQ465-$AD465,"$0.00")))</f>
      </c>
    </row>
    <row r="466" spans="1:58" ht="18.75" customHeight="1" x14ac:dyDescent="0.25">
      <c r="A466" s="46" t="inlineStr">
        <is>
          <t xml:space="preserve">CANON-202511-002800</t>
        </is>
      </c>
      <c r="B466" s="46" t="inlineStr">
        <is>
          <t xml:space="preserve">Fenwick Okonkwo</t>
        </is>
      </c>
      <c r="C466" s="47">
        <v>45984</v>
      </c>
      <c r="D466" s="48" t="inlineStr">
        <is>
          <t xml:space="preserve">Bound - within authority</t>
        </is>
      </c>
      <c r="E466" s="48" t="inlineStr">
        <is>
          <t xml:space="preserve">New business</t>
        </is>
      </c>
      <c r="F466" s="46" t="inlineStr">
        <is>
          <t xml:space="preserve">B1234EXOTIC26</t>
        </is>
      </c>
      <c r="G466" s="33">
        <f>IF($A466="","",IF($C466="","",YEAR($C466)))</f>
      </c>
      <c r="H466" s="49">
        <v>2017</v>
      </c>
      <c r="I466" s="46" t="inlineStr">
        <is>
          <t xml:space="preserve">Aston Martin</t>
        </is>
      </c>
      <c r="J466" s="46" t="inlineStr">
        <is>
          <t xml:space="preserve">DB12</t>
        </is>
      </c>
      <c r="K466" s="46" t="inlineStr">
        <is>
          <t xml:space="preserve">V0JN2JMXYM3XC7PNE</t>
        </is>
      </c>
      <c r="L466" s="48" t="inlineStr">
        <is>
          <t xml:space="preserve">02 - Sports / GT</t>
        </is>
      </c>
      <c r="M466" s="50">
        <v>165000</v>
      </c>
      <c r="N466" s="48" t="inlineStr">
        <is>
          <t xml:space="preserve">Personal</t>
        </is>
      </c>
      <c r="O466" s="46" t="inlineStr">
        <is>
          <t xml:space="preserve">Personal - regular use</t>
        </is>
      </c>
      <c r="P466" s="46" t="inlineStr">
        <is>
          <t xml:space="preserve">1,000 - 2,500</t>
        </is>
      </c>
      <c r="Q466" s="46" t="inlineStr">
        <is>
          <t xml:space="preserve">Kentucky</t>
        </is>
      </c>
      <c r="R466" s="46" t="inlineStr">
        <is>
          <t xml:space="preserve">40202</t>
        </is>
      </c>
      <c r="S466" s="48" t="inlineStr">
        <is>
          <t xml:space="preserve">Severe convective - hail / tornado (moderate)</t>
        </is>
      </c>
      <c r="T466" s="36">
        <f>IF($A466="","",IF($S466="","",IFERROR(INDEX('[1]natural catastrophe'!$D$6:$D$17,MATCH($S466,'[1]natural catastrophe'!$B$6:$B$17,0)),"?")))</f>
      </c>
      <c r="U466" s="46" t="inlineStr">
        <is>
          <t xml:space="preserve">$5,000</t>
        </is>
      </c>
      <c r="V466" s="48" t="inlineStr">
        <is>
          <t xml:space="preserve">Agreed Value</t>
        </is>
      </c>
      <c r="W466" s="46" t="inlineStr">
        <is>
          <t xml:space="preserve">$1,000</t>
        </is>
      </c>
      <c r="X466" s="48" t="inlineStr">
        <is>
          <t xml:space="preserve">$1,000,000 CSL</t>
        </is>
      </c>
      <c r="Y466" s="46"/>
      <c r="Z466" s="46"/>
      <c r="AA466" s="48" t="inlineStr">
        <is>
          <t xml:space="preserve">Surplus Lines</t>
        </is>
      </c>
      <c r="AB466" s="50">
        <v>3528.62</v>
      </c>
      <c r="AC466" s="51">
        <v>0</v>
      </c>
      <c r="AD466" s="38">
        <f>IF(ISNUMBER($AB466),$AB466*(1+N($AC466)),"")</f>
      </c>
      <c r="AE466" s="50">
        <v>350</v>
      </c>
      <c r="AF466" s="50">
        <v>0</v>
      </c>
      <c r="AG466" s="51"/>
      <c r="AH466" s="39">
        <f>IF(ISNUMBER($AD466),($AD466+$AE466+$AF466)*$AG466,"")</f>
      </c>
      <c r="AI466" s="50"/>
      <c r="AJ466" s="38">
        <f>IF(ISNUMBER($AD466),SUM($AD466:$AH466),"")</f>
      </c>
      <c r="AK466" s="40">
        <f>IF(AND(ISNUMBER($AB466),ISNUMBER($AD466)),IF($AB466&gt;0,$AD466/$AB466,""),"")</f>
      </c>
      <c r="AL466" s="48" t="inlineStr">
        <is>
          <t xml:space="preserve">At technical</t>
        </is>
      </c>
      <c r="AM466" s="41">
        <f>IF(ISNUMBER($AD466),Header!$I$3,"")</f>
      </c>
      <c r="AN466" s="39">
        <f>IF(ISNUMBER($AD466),$AO466+$AP466,"")</f>
      </c>
      <c r="AO466" s="39">
        <f>IF(ISNUMBER($AD466),ROUND($AD466*Header!$K$3,2),"")</f>
      </c>
      <c r="AP466" s="39">
        <f>IF(ISNUMBER($AD466),ROUND($AD466*Header!$M$3,2),"")</f>
      </c>
      <c r="AQ466" s="38">
        <f>IF(ISNUMBER($AD466),ROUND($AD466,2)-$AO466-$AP466,"")</f>
      </c>
      <c r="AR466" s="39">
        <f>IF(ISNUMBER($AD466),IF(Header!$D$34="","?",$AD466*Header!$D$34),"")</f>
      </c>
      <c r="AS466" s="39">
        <f>IF(ISNUMBER($AB466),IF(Header!$D$34="","?",$AB466*Header!$D$34),"")</f>
      </c>
      <c r="AT466" s="42">
        <f>IF(AND(ISNUMBER($AB466),$M466&gt;0),$AB466/$M466*100,"")</f>
      </c>
      <c r="AU466" s="42">
        <f>IF(AND(ISNUMBER($AD466),$M466&gt;0),$AD466/$M466*100,"")</f>
      </c>
      <c r="AV466" s="40">
        <f>IF(AND(ISNUMBER($AB466),ISNUMBER($AD466),ABS($AB466)&gt;0),$AD466/$AB466,"")</f>
      </c>
      <c r="AW466" s="39">
        <f>IF(ISNUMBER($AD466),MAX(0,(1-0.55-Header!$O$3)*Header!$Q$3*$AQ466),"")</f>
      </c>
      <c r="AX466" s="43">
        <f>IF($A466="","",IF(TRIM(IF($A466="","Missing certificate ref. ","") &amp; IF($C466="","Missing effective date. ","") &amp; IF($D466="","Missing binding status. ","") &amp; IF($E466="","Missing movement type. ","") &amp; IF($I466="","Missing make. ","") &amp; IF($L466="","Missing vehicle class. ","") &amp; IF($M466="","Missing agreed value. ","") &amp; IF($N466="","Missing policy type. ","") &amp; IF($Q466="","Missing garaging state. ","") &amp; IF($R466="","Missing garaging ZIP. ","") &amp; IF($S466="","Missing cat zone. ","") &amp; IF($V466="","Missing valuation basis. ","") &amp; IF($W466="","Missing PD deductible. ","") &amp; IF($X466="","Missing liability limit. ","") &amp; IF($AB466="","Missing technical premium. ","") &amp; IF($AF466="","Missing surplus lines tax %. ",""))="","PASS","FAIL: "&amp;TRIM(IF($A466="","Missing certificate ref. ","") &amp; IF($C466="","Missing effective date. ","") &amp; IF($D466="","Missing binding status. ","") &amp; IF($E466="","Missing movement type. ","") &amp; IF($I466="","Missing make. ","") &amp; IF($L466="","Missing vehicle class. ","") &amp; IF($M466="","Missing agreed value. ","") &amp; IF($N466="","Missing policy type. ","") &amp; IF($Q466="","Missing garaging state. ","") &amp; IF($R466="","Missing garaging ZIP. ","") &amp; IF($S466="","Missing cat zone. ","") &amp; IF($V466="","Missing valuation basis. ","") &amp; IF($W466="","Missing PD deductible. ","") &amp; IF($X466="","Missing liability limit. ","") &amp; IF($AB466="","Missing technical premium. ","") &amp; IF($AF466="","Missing surplus lines tax %. ",""))))</f>
      </c>
      <c r="AY466" s="44">
        <f>IF($M466="","",IF(ISNUMBER($M466),IF($M466&gt;=Header!$C$18,"YES — refer","No"),""))</f>
      </c>
      <c r="AZ466" s="44">
        <f>IF($AD466="","",IF(ISNUMBER($AD466),IF($AD466&lt;Header!$C$20,"BELOW MIN PREMIUM","OK"),""))</f>
      </c>
      <c r="BA466" s="48" t="inlineStr">
        <is>
          <t xml:space="preserve">Yes</t>
        </is>
      </c>
      <c r="BB466" s="48" t="inlineStr">
        <is>
          <t xml:space="preserve">Yes</t>
        </is>
      </c>
      <c r="BC466" s="46" t="inlineStr">
        <is>
          <t xml:space="preserve">Synthetic demo data</t>
        </is>
      </c>
      <c r="BE466" s="45">
        <f>IF(OR($A466="",$L466="",$H466=""),"",IF(AND(LEFT($L466,2)="06",$H466&gt;1945),"FAIL - pre-war class, year "&amp;$H466,IF(AND(LEFT($L466,2)="07",OR($H466&lt;1946,$H466&gt;1972)),"FAIL - 1946-72 class, year "&amp;$H466,IF(AND(LEFT($L466,2)="08",OR($H466&lt;1973,$H466&gt;1999)),"FAIL - 1973-99 class, year "&amp;$H466,IF(AND(LEFT($L466,2)="09",OR($H466&lt;2000,$H466&gt;2010)),"FAIL - 2000-10 class, year "&amp;$H466,"OK")))))</f>
      </c>
      <c r="BF466" s="45">
        <f>IF($AD466="","",IF(ROUND($AO466+$AP466+$AQ466-$AD466,2)=0,"OK","FAIL - out by "&amp;TEXT($AO466+$AP466+$AQ466-$AD466,"$0.00")))</f>
      </c>
    </row>
    <row r="467" spans="1:58" ht="18.75" customHeight="1" x14ac:dyDescent="0.25">
      <c r="A467" s="30" t="inlineStr">
        <is>
          <t xml:space="preserve">CANON-202511-002801</t>
        </is>
      </c>
      <c r="B467" s="30" t="inlineStr">
        <is>
          <t xml:space="preserve">Wilhelmina Montoya</t>
        </is>
      </c>
      <c r="C467" s="31">
        <v>45962</v>
      </c>
      <c r="D467" s="32" t="inlineStr">
        <is>
          <t xml:space="preserve">Bound - within authority</t>
        </is>
      </c>
      <c r="E467" s="32" t="inlineStr">
        <is>
          <t xml:space="preserve">New business</t>
        </is>
      </c>
      <c r="F467" s="30" t="inlineStr">
        <is>
          <t xml:space="preserve">B1234EXOTIC26</t>
        </is>
      </c>
      <c r="G467" s="33">
        <f>IF($A467="","",IF($C467="","",YEAR($C467)))</f>
      </c>
      <c r="H467" s="34">
        <v>2006</v>
      </c>
      <c r="I467" s="30" t="inlineStr">
        <is>
          <t xml:space="preserve">Mercedes-Benz</t>
        </is>
      </c>
      <c r="J467" s="30" t="inlineStr">
        <is>
          <t xml:space="preserve">AMG GT</t>
        </is>
      </c>
      <c r="K467" s="30" t="inlineStr">
        <is>
          <t xml:space="preserve">P45KL6N2UEUBP5CH4</t>
        </is>
      </c>
      <c r="L467" s="32" t="inlineStr">
        <is>
          <t xml:space="preserve">02 - Sports / GT</t>
        </is>
      </c>
      <c r="M467" s="35">
        <v>1350000</v>
      </c>
      <c r="N467" s="32" t="inlineStr">
        <is>
          <t xml:space="preserve">Personal</t>
        </is>
      </c>
      <c r="O467" s="30" t="inlineStr">
        <is>
          <t xml:space="preserve">Personal - regular use</t>
        </is>
      </c>
      <c r="P467" s="30" t="inlineStr">
        <is>
          <t xml:space="preserve">1,000 - 2,500</t>
        </is>
      </c>
      <c r="Q467" s="30" t="inlineStr">
        <is>
          <t xml:space="preserve">New Jersey</t>
        </is>
      </c>
      <c r="R467" s="30" t="inlineStr">
        <is>
          <t xml:space="preserve">07102</t>
        </is>
      </c>
      <c r="S467" s="32" t="inlineStr">
        <is>
          <t xml:space="preserve">Tier 3 - Coastal wind (25-100 miles)</t>
        </is>
      </c>
      <c r="T467" s="36">
        <f>IF($A467="","",IF($S467="","",IFERROR(INDEX('[1]natural catastrophe'!$D$6:$D$17,MATCH($S467,'[1]natural catastrophe'!$B$6:$B$17,0)),"?")))</f>
      </c>
      <c r="U467" s="30" t="inlineStr">
        <is>
          <t xml:space="preserve">2% of agreed value, minimum $10,000</t>
        </is>
      </c>
      <c r="V467" s="32" t="inlineStr">
        <is>
          <t xml:space="preserve">Agreed Value</t>
        </is>
      </c>
      <c r="W467" s="30" t="inlineStr">
        <is>
          <t xml:space="preserve">$1,000</t>
        </is>
      </c>
      <c r="X467" s="32" t="inlineStr">
        <is>
          <t xml:space="preserve">$1,000,000 CSL</t>
        </is>
      </c>
      <c r="Y467" s="30"/>
      <c r="Z467" s="30"/>
      <c r="AA467" s="32" t="inlineStr">
        <is>
          <t xml:space="preserve">Surplus Lines</t>
        </is>
      </c>
      <c r="AB467" s="35">
        <v>11721.04</v>
      </c>
      <c r="AC467" s="37">
        <v>0</v>
      </c>
      <c r="AD467" s="38">
        <f>IF(ISNUMBER($AB467),$AB467*(1+N($AC467)),"")</f>
      </c>
      <c r="AE467" s="35">
        <v>350</v>
      </c>
      <c r="AF467" s="35">
        <v>250</v>
      </c>
      <c r="AG467" s="37"/>
      <c r="AH467" s="39">
        <f>IF(ISNUMBER($AD467),($AD467+$AE467+$AF467)*$AG467,"")</f>
      </c>
      <c r="AI467" s="35"/>
      <c r="AJ467" s="38">
        <f>IF(ISNUMBER($AD467),SUM($AD467:$AH467),"")</f>
      </c>
      <c r="AK467" s="40">
        <f>IF(AND(ISNUMBER($AB467),ISNUMBER($AD467)),IF($AB467&gt;0,$AD467/$AB467,""),"")</f>
      </c>
      <c r="AL467" s="32" t="inlineStr">
        <is>
          <t xml:space="preserve">At technical</t>
        </is>
      </c>
      <c r="AM467" s="41">
        <f>IF(ISNUMBER($AD467),Header!$I$3,"")</f>
      </c>
      <c r="AN467" s="39">
        <f>IF(ISNUMBER($AD467),$AO467+$AP467,"")</f>
      </c>
      <c r="AO467" s="39">
        <f>IF(ISNUMBER($AD467),ROUND($AD467*Header!$K$3,2),"")</f>
      </c>
      <c r="AP467" s="39">
        <f>IF(ISNUMBER($AD467),ROUND($AD467*Header!$M$3,2),"")</f>
      </c>
      <c r="AQ467" s="38">
        <f>IF(ISNUMBER($AD467),ROUND($AD467,2)-$AO467-$AP467,"")</f>
      </c>
      <c r="AR467" s="39">
        <f>IF(ISNUMBER($AD467),IF(Header!$D$34="","?",$AD467*Header!$D$34),"")</f>
      </c>
      <c r="AS467" s="39">
        <f>IF(ISNUMBER($AB467),IF(Header!$D$34="","?",$AB467*Header!$D$34),"")</f>
      </c>
      <c r="AT467" s="42">
        <f>IF(AND(ISNUMBER($AB467),$M467&gt;0),$AB467/$M467*100,"")</f>
      </c>
      <c r="AU467" s="42">
        <f>IF(AND(ISNUMBER($AD467),$M467&gt;0),$AD467/$M467*100,"")</f>
      </c>
      <c r="AV467" s="40">
        <f>IF(AND(ISNUMBER($AB467),ISNUMBER($AD467),ABS($AB467)&gt;0),$AD467/$AB467,"")</f>
      </c>
      <c r="AW467" s="39">
        <f>IF(ISNUMBER($AD467),MAX(0,(1-0.55-Header!$O$3)*Header!$Q$3*$AQ467),"")</f>
      </c>
      <c r="AX467" s="43">
        <f>IF($A467="","",IF(TRIM(IF($A467="","Missing certificate ref. ","") &amp; IF($C467="","Missing effective date. ","") &amp; IF($D467="","Missing binding status. ","") &amp; IF($E467="","Missing movement type. ","") &amp; IF($I467="","Missing make. ","") &amp; IF($L467="","Missing vehicle class. ","") &amp; IF($M467="","Missing agreed value. ","") &amp; IF($N467="","Missing policy type. ","") &amp; IF($Q467="","Missing garaging state. ","") &amp; IF($R467="","Missing garaging ZIP. ","") &amp; IF($S467="","Missing cat zone. ","") &amp; IF($V467="","Missing valuation basis. ","") &amp; IF($W467="","Missing PD deductible. ","") &amp; IF($X467="","Missing liability limit. ","") &amp; IF($AB467="","Missing technical premium. ","") &amp; IF($AF467="","Missing surplus lines tax %. ",""))="","PASS","FAIL: "&amp;TRIM(IF($A467="","Missing certificate ref. ","") &amp; IF($C467="","Missing effective date. ","") &amp; IF($D467="","Missing binding status. ","") &amp; IF($E467="","Missing movement type. ","") &amp; IF($I467="","Missing make. ","") &amp; IF($L467="","Missing vehicle class. ","") &amp; IF($M467="","Missing agreed value. ","") &amp; IF($N467="","Missing policy type. ","") &amp; IF($Q467="","Missing garaging state. ","") &amp; IF($R467="","Missing garaging ZIP. ","") &amp; IF($S467="","Missing cat zone. ","") &amp; IF($V467="","Missing valuation basis. ","") &amp; IF($W467="","Missing PD deductible. ","") &amp; IF($X467="","Missing liability limit. ","") &amp; IF($AB467="","Missing technical premium. ","") &amp; IF($AF467="","Missing surplus lines tax %. ",""))))</f>
      </c>
      <c r="AY467" s="44">
        <f>IF($M467="","",IF(ISNUMBER($M467),IF($M467&gt;=Header!$C$18,"YES — refer","No"),""))</f>
      </c>
      <c r="AZ467" s="44">
        <f>IF($AD467="","",IF(ISNUMBER($AD467),IF($AD467&lt;Header!$C$20,"BELOW MIN PREMIUM","OK"),""))</f>
      </c>
      <c r="BA467" s="32" t="inlineStr">
        <is>
          <t xml:space="preserve">Yes</t>
        </is>
      </c>
      <c r="BB467" s="32" t="inlineStr">
        <is>
          <t xml:space="preserve">Yes</t>
        </is>
      </c>
      <c r="BC467" s="30" t="inlineStr">
        <is>
          <t xml:space="preserve">Synthetic demo data</t>
        </is>
      </c>
      <c r="BE467" s="45">
        <f>IF(OR($A467="",$L467="",$H467=""),"",IF(AND(LEFT($L467,2)="06",$H467&gt;1945),"FAIL - pre-war class, year "&amp;$H467,IF(AND(LEFT($L467,2)="07",OR($H467&lt;1946,$H467&gt;1972)),"FAIL - 1946-72 class, year "&amp;$H467,IF(AND(LEFT($L467,2)="08",OR($H467&lt;1973,$H467&gt;1999)),"FAIL - 1973-99 class, year "&amp;$H467,IF(AND(LEFT($L467,2)="09",OR($H467&lt;2000,$H467&gt;2010)),"FAIL - 2000-10 class, year "&amp;$H467,"OK")))))</f>
      </c>
      <c r="BF467" s="45">
        <f>IF($AD467="","",IF(ROUND($AO467+$AP467+$AQ467-$AD467,2)=0,"OK","FAIL - out by "&amp;TEXT($AO467+$AP467+$AQ467-$AD467,"$0.00")))</f>
      </c>
    </row>
    <row r="468" spans="1:58" ht="18.75" customHeight="1" x14ac:dyDescent="0.25">
      <c r="A468" s="46" t="inlineStr">
        <is>
          <t xml:space="preserve">CANON-202511-002802</t>
        </is>
      </c>
      <c r="B468" s="46" t="inlineStr">
        <is>
          <t xml:space="preserve">Fenwick Underwood</t>
        </is>
      </c>
      <c r="C468" s="47">
        <v>45990</v>
      </c>
      <c r="D468" s="48" t="inlineStr">
        <is>
          <t xml:space="preserve">Bound - within authority</t>
        </is>
      </c>
      <c r="E468" s="48" t="inlineStr">
        <is>
          <t xml:space="preserve">New business</t>
        </is>
      </c>
      <c r="F468" s="46" t="inlineStr">
        <is>
          <t xml:space="preserve">B1234EXOTIC26</t>
        </is>
      </c>
      <c r="G468" s="33">
        <f>IF($A468="","",IF($C468="","",YEAR($C468)))</f>
      </c>
      <c r="H468" s="49">
        <v>1980</v>
      </c>
      <c r="I468" s="46" t="inlineStr">
        <is>
          <t xml:space="preserve">Icon</t>
        </is>
      </c>
      <c r="J468" s="46" t="inlineStr">
        <is>
          <t xml:space="preserve">Derelict</t>
        </is>
      </c>
      <c r="K468" s="46" t="inlineStr">
        <is>
          <t xml:space="preserve">S8VHP22615SAK5LPE</t>
        </is>
      </c>
      <c r="L468" s="48" t="inlineStr">
        <is>
          <t xml:space="preserve">11 - Restomod / Coachbuilt / Bespoke</t>
        </is>
      </c>
      <c r="M468" s="50">
        <v>565000</v>
      </c>
      <c r="N468" s="48" t="inlineStr">
        <is>
          <t xml:space="preserve">Personal</t>
        </is>
      </c>
      <c r="O468" s="46" t="inlineStr">
        <is>
          <t xml:space="preserve">Personal - regular use</t>
        </is>
      </c>
      <c r="P468" s="46" t="inlineStr">
        <is>
          <t xml:space="preserve">1,000 - 2,500</t>
        </is>
      </c>
      <c r="Q468" s="46" t="inlineStr">
        <is>
          <t xml:space="preserve">Nebraska</t>
        </is>
      </c>
      <c r="R468" s="46" t="inlineStr">
        <is>
          <t xml:space="preserve">68102</t>
        </is>
      </c>
      <c r="S468" s="48" t="inlineStr">
        <is>
          <t xml:space="preserve">Severe convective - hail alley (high)</t>
        </is>
      </c>
      <c r="T468" s="36">
        <f>IF($A468="","",IF($S468="","",IFERROR(INDEX('[1]natural catastrophe'!$D$6:$D$17,MATCH($S468,'[1]natural catastrophe'!$B$6:$B$17,0)),"?")))</f>
      </c>
      <c r="U468" s="46" t="inlineStr">
        <is>
          <t xml:space="preserve">$5,000</t>
        </is>
      </c>
      <c r="V468" s="48" t="inlineStr">
        <is>
          <t xml:space="preserve">Agreed Value</t>
        </is>
      </c>
      <c r="W468" s="46" t="inlineStr">
        <is>
          <t xml:space="preserve">$1,000</t>
        </is>
      </c>
      <c r="X468" s="48" t="inlineStr">
        <is>
          <t xml:space="preserve">$1,000,000 CSL</t>
        </is>
      </c>
      <c r="Y468" s="46"/>
      <c r="Z468" s="46"/>
      <c r="AA468" s="48" t="inlineStr">
        <is>
          <t xml:space="preserve">Surplus Lines</t>
        </is>
      </c>
      <c r="AB468" s="50">
        <v>9938.36</v>
      </c>
      <c r="AC468" s="51">
        <v>0</v>
      </c>
      <c r="AD468" s="38">
        <f>IF(ISNUMBER($AB468),$AB468*(1+N($AC468)),"")</f>
      </c>
      <c r="AE468" s="50">
        <v>350</v>
      </c>
      <c r="AF468" s="50">
        <v>0</v>
      </c>
      <c r="AG468" s="51"/>
      <c r="AH468" s="39">
        <f>IF(ISNUMBER($AD468),($AD468+$AE468+$AF468)*$AG468,"")</f>
      </c>
      <c r="AI468" s="50"/>
      <c r="AJ468" s="38">
        <f>IF(ISNUMBER($AD468),SUM($AD468:$AH468),"")</f>
      </c>
      <c r="AK468" s="40">
        <f>IF(AND(ISNUMBER($AB468),ISNUMBER($AD468)),IF($AB468&gt;0,$AD468/$AB468,""),"")</f>
      </c>
      <c r="AL468" s="48" t="inlineStr">
        <is>
          <t xml:space="preserve">At technical</t>
        </is>
      </c>
      <c r="AM468" s="41">
        <f>IF(ISNUMBER($AD468),Header!$I$3,"")</f>
      </c>
      <c r="AN468" s="39">
        <f>IF(ISNUMBER($AD468),$AO468+$AP468,"")</f>
      </c>
      <c r="AO468" s="39">
        <f>IF(ISNUMBER($AD468),ROUND($AD468*Header!$K$3,2),"")</f>
      </c>
      <c r="AP468" s="39">
        <f>IF(ISNUMBER($AD468),ROUND($AD468*Header!$M$3,2),"")</f>
      </c>
      <c r="AQ468" s="38">
        <f>IF(ISNUMBER($AD468),ROUND($AD468,2)-$AO468-$AP468,"")</f>
      </c>
      <c r="AR468" s="39">
        <f>IF(ISNUMBER($AD468),IF(Header!$D$34="","?",$AD468*Header!$D$34),"")</f>
      </c>
      <c r="AS468" s="39">
        <f>IF(ISNUMBER($AB468),IF(Header!$D$34="","?",$AB468*Header!$D$34),"")</f>
      </c>
      <c r="AT468" s="42">
        <f>IF(AND(ISNUMBER($AB468),$M468&gt;0),$AB468/$M468*100,"")</f>
      </c>
      <c r="AU468" s="42">
        <f>IF(AND(ISNUMBER($AD468),$M468&gt;0),$AD468/$M468*100,"")</f>
      </c>
      <c r="AV468" s="40">
        <f>IF(AND(ISNUMBER($AB468),ISNUMBER($AD468),ABS($AB468)&gt;0),$AD468/$AB468,"")</f>
      </c>
      <c r="AW468" s="39">
        <f>IF(ISNUMBER($AD468),MAX(0,(1-0.55-Header!$O$3)*Header!$Q$3*$AQ468),"")</f>
      </c>
      <c r="AX468" s="43">
        <f>IF($A468="","",IF(TRIM(IF($A468="","Missing certificate ref. ","") &amp; IF($C468="","Missing effective date. ","") &amp; IF($D468="","Missing binding status. ","") &amp; IF($E468="","Missing movement type. ","") &amp; IF($I468="","Missing make. ","") &amp; IF($L468="","Missing vehicle class. ","") &amp; IF($M468="","Missing agreed value. ","") &amp; IF($N468="","Missing policy type. ","") &amp; IF($Q468="","Missing garaging state. ","") &amp; IF($R468="","Missing garaging ZIP. ","") &amp; IF($S468="","Missing cat zone. ","") &amp; IF($V468="","Missing valuation basis. ","") &amp; IF($W468="","Missing PD deductible. ","") &amp; IF($X468="","Missing liability limit. ","") &amp; IF($AB468="","Missing technical premium. ","") &amp; IF($AF468="","Missing surplus lines tax %. ",""))="","PASS","FAIL: "&amp;TRIM(IF($A468="","Missing certificate ref. ","") &amp; IF($C468="","Missing effective date. ","") &amp; IF($D468="","Missing binding status. ","") &amp; IF($E468="","Missing movement type. ","") &amp; IF($I468="","Missing make. ","") &amp; IF($L468="","Missing vehicle class. ","") &amp; IF($M468="","Missing agreed value. ","") &amp; IF($N468="","Missing policy type. ","") &amp; IF($Q468="","Missing garaging state. ","") &amp; IF($R468="","Missing garaging ZIP. ","") &amp; IF($S468="","Missing cat zone. ","") &amp; IF($V468="","Missing valuation basis. ","") &amp; IF($W468="","Missing PD deductible. ","") &amp; IF($X468="","Missing liability limit. ","") &amp; IF($AB468="","Missing technical premium. ","") &amp; IF($AF468="","Missing surplus lines tax %. ",""))))</f>
      </c>
      <c r="AY468" s="44">
        <f>IF($M468="","",IF(ISNUMBER($M468),IF($M468&gt;=Header!$C$18,"YES — refer","No"),""))</f>
      </c>
      <c r="AZ468" s="44">
        <f>IF($AD468="","",IF(ISNUMBER($AD468),IF($AD468&lt;Header!$C$20,"BELOW MIN PREMIUM","OK"),""))</f>
      </c>
      <c r="BA468" s="48" t="inlineStr">
        <is>
          <t xml:space="preserve">Yes</t>
        </is>
      </c>
      <c r="BB468" s="48" t="inlineStr">
        <is>
          <t xml:space="preserve">Yes</t>
        </is>
      </c>
      <c r="BC468" s="46" t="inlineStr">
        <is>
          <t xml:space="preserve">Synthetic demo data</t>
        </is>
      </c>
      <c r="BE468" s="45">
        <f>IF(OR($A468="",$L468="",$H468=""),"",IF(AND(LEFT($L468,2)="06",$H468&gt;1945),"FAIL - pre-war class, year "&amp;$H468,IF(AND(LEFT($L468,2)="07",OR($H468&lt;1946,$H468&gt;1972)),"FAIL - 1946-72 class, year "&amp;$H468,IF(AND(LEFT($L468,2)="08",OR($H468&lt;1973,$H468&gt;1999)),"FAIL - 1973-99 class, year "&amp;$H468,IF(AND(LEFT($L468,2)="09",OR($H468&lt;2000,$H468&gt;2010)),"FAIL - 2000-10 class, year "&amp;$H468,"OK")))))</f>
      </c>
      <c r="BF468" s="45">
        <f>IF($AD468="","",IF(ROUND($AO468+$AP468+$AQ468-$AD468,2)=0,"OK","FAIL - out by "&amp;TEXT($AO468+$AP468+$AQ468-$AD468,"$0.00")))</f>
      </c>
    </row>
    <row r="469" spans="1:58" ht="18.75" customHeight="1" x14ac:dyDescent="0.25">
      <c r="A469" s="30" t="inlineStr">
        <is>
          <t xml:space="preserve">CANON-202511-002803</t>
        </is>
      </c>
      <c r="B469" s="30" t="inlineStr">
        <is>
          <t xml:space="preserve">Marisol Vasquez</t>
        </is>
      </c>
      <c r="C469" s="31">
        <v>45991</v>
      </c>
      <c r="D469" s="32" t="inlineStr">
        <is>
          <t xml:space="preserve">Bound - within authority</t>
        </is>
      </c>
      <c r="E469" s="32" t="inlineStr">
        <is>
          <t xml:space="preserve">New business</t>
        </is>
      </c>
      <c r="F469" s="30" t="inlineStr">
        <is>
          <t xml:space="preserve">B1234EXOTIC26</t>
        </is>
      </c>
      <c r="G469" s="33">
        <f>IF($A469="","",IF($C469="","",YEAR($C469)))</f>
      </c>
      <c r="H469" s="34">
        <v>1979</v>
      </c>
      <c r="I469" s="30" t="inlineStr">
        <is>
          <t xml:space="preserve">Maserati</t>
        </is>
      </c>
      <c r="J469" s="30" t="inlineStr">
        <is>
          <t xml:space="preserve">GranTurismo</t>
        </is>
      </c>
      <c r="K469" s="30" t="inlineStr">
        <is>
          <t xml:space="preserve">HAHJL1B95UMGA7G81</t>
        </is>
      </c>
      <c r="L469" s="32" t="inlineStr">
        <is>
          <t xml:space="preserve">02 - Sports / GT</t>
        </is>
      </c>
      <c r="M469" s="35">
        <v>195000</v>
      </c>
      <c r="N469" s="32" t="inlineStr">
        <is>
          <t xml:space="preserve">Personal</t>
        </is>
      </c>
      <c r="O469" s="30" t="inlineStr">
        <is>
          <t xml:space="preserve">Personal - regular use</t>
        </is>
      </c>
      <c r="P469" s="30" t="inlineStr">
        <is>
          <t xml:space="preserve">Under 1,000</t>
        </is>
      </c>
      <c r="Q469" s="30" t="inlineStr">
        <is>
          <t xml:space="preserve">Florida</t>
        </is>
      </c>
      <c r="R469" s="30" t="inlineStr">
        <is>
          <t xml:space="preserve">33139</t>
        </is>
      </c>
      <c r="S469" s="32" t="inlineStr">
        <is>
          <t xml:space="preserve">Tier 2 - Coastal wind (1-25 miles)</t>
        </is>
      </c>
      <c r="T469" s="36">
        <f>IF($A469="","",IF($S469="","",IFERROR(INDEX('[1]natural catastrophe'!$D$6:$D$17,MATCH($S469,'[1]natural catastrophe'!$B$6:$B$17,0)),"?")))</f>
      </c>
      <c r="U469" s="30" t="inlineStr">
        <is>
          <t xml:space="preserve">2% of agreed value, minimum $10,000</t>
        </is>
      </c>
      <c r="V469" s="32" t="inlineStr">
        <is>
          <t xml:space="preserve">Agreed Value</t>
        </is>
      </c>
      <c r="W469" s="30" t="inlineStr">
        <is>
          <t xml:space="preserve">$1,000</t>
        </is>
      </c>
      <c r="X469" s="32" t="inlineStr">
        <is>
          <t xml:space="preserve">$1,000,000 CSL</t>
        </is>
      </c>
      <c r="Y469" s="30"/>
      <c r="Z469" s="30"/>
      <c r="AA469" s="32" t="inlineStr">
        <is>
          <t xml:space="preserve">Surplus Lines</t>
        </is>
      </c>
      <c r="AB469" s="35">
        <v>4419.16</v>
      </c>
      <c r="AC469" s="37">
        <v>0</v>
      </c>
      <c r="AD469" s="38">
        <f>IF(ISNUMBER($AB469),$AB469*(1+N($AC469)),"")</f>
      </c>
      <c r="AE469" s="35">
        <v>350</v>
      </c>
      <c r="AF469" s="35">
        <v>0</v>
      </c>
      <c r="AG469" s="37"/>
      <c r="AH469" s="39">
        <f>IF(ISNUMBER($AD469),($AD469+$AE469+$AF469)*$AG469,"")</f>
      </c>
      <c r="AI469" s="35"/>
      <c r="AJ469" s="38">
        <f>IF(ISNUMBER($AD469),SUM($AD469:$AH469),"")</f>
      </c>
      <c r="AK469" s="40">
        <f>IF(AND(ISNUMBER($AB469),ISNUMBER($AD469)),IF($AB469&gt;0,$AD469/$AB469,""),"")</f>
      </c>
      <c r="AL469" s="32" t="inlineStr">
        <is>
          <t xml:space="preserve">At technical</t>
        </is>
      </c>
      <c r="AM469" s="41">
        <f>IF(ISNUMBER($AD469),Header!$I$3,"")</f>
      </c>
      <c r="AN469" s="39">
        <f>IF(ISNUMBER($AD469),$AO469+$AP469,"")</f>
      </c>
      <c r="AO469" s="39">
        <f>IF(ISNUMBER($AD469),ROUND($AD469*Header!$K$3,2),"")</f>
      </c>
      <c r="AP469" s="39">
        <f>IF(ISNUMBER($AD469),ROUND($AD469*Header!$M$3,2),"")</f>
      </c>
      <c r="AQ469" s="38">
        <f>IF(ISNUMBER($AD469),ROUND($AD469,2)-$AO469-$AP469,"")</f>
      </c>
      <c r="AR469" s="39">
        <f>IF(ISNUMBER($AD469),IF(Header!$D$34="","?",$AD469*Header!$D$34),"")</f>
      </c>
      <c r="AS469" s="39">
        <f>IF(ISNUMBER($AB469),IF(Header!$D$34="","?",$AB469*Header!$D$34),"")</f>
      </c>
      <c r="AT469" s="42">
        <f>IF(AND(ISNUMBER($AB469),$M469&gt;0),$AB469/$M469*100,"")</f>
      </c>
      <c r="AU469" s="42">
        <f>IF(AND(ISNUMBER($AD469),$M469&gt;0),$AD469/$M469*100,"")</f>
      </c>
      <c r="AV469" s="40">
        <f>IF(AND(ISNUMBER($AB469),ISNUMBER($AD469),ABS($AB469)&gt;0),$AD469/$AB469,"")</f>
      </c>
      <c r="AW469" s="39">
        <f>IF(ISNUMBER($AD469),MAX(0,(1-0.55-Header!$O$3)*Header!$Q$3*$AQ469),"")</f>
      </c>
      <c r="AX469" s="43">
        <f>IF($A469="","",IF(TRIM(IF($A469="","Missing certificate ref. ","") &amp; IF($C469="","Missing effective date. ","") &amp; IF($D469="","Missing binding status. ","") &amp; IF($E469="","Missing movement type. ","") &amp; IF($I469="","Missing make. ","") &amp; IF($L469="","Missing vehicle class. ","") &amp; IF($M469="","Missing agreed value. ","") &amp; IF($N469="","Missing policy type. ","") &amp; IF($Q469="","Missing garaging state. ","") &amp; IF($R469="","Missing garaging ZIP. ","") &amp; IF($S469="","Missing cat zone. ","") &amp; IF($V469="","Missing valuation basis. ","") &amp; IF($W469="","Missing PD deductible. ","") &amp; IF($X469="","Missing liability limit. ","") &amp; IF($AB469="","Missing technical premium. ","") &amp; IF($AF469="","Missing surplus lines tax %. ",""))="","PASS","FAIL: "&amp;TRIM(IF($A469="","Missing certificate ref. ","") &amp; IF($C469="","Missing effective date. ","") &amp; IF($D469="","Missing binding status. ","") &amp; IF($E469="","Missing movement type. ","") &amp; IF($I469="","Missing make. ","") &amp; IF($L469="","Missing vehicle class. ","") &amp; IF($M469="","Missing agreed value. ","") &amp; IF($N469="","Missing policy type. ","") &amp; IF($Q469="","Missing garaging state. ","") &amp; IF($R469="","Missing garaging ZIP. ","") &amp; IF($S469="","Missing cat zone. ","") &amp; IF($V469="","Missing valuation basis. ","") &amp; IF($W469="","Missing PD deductible. ","") &amp; IF($X469="","Missing liability limit. ","") &amp; IF($AB469="","Missing technical premium. ","") &amp; IF($AF469="","Missing surplus lines tax %. ",""))))</f>
      </c>
      <c r="AY469" s="44">
        <f>IF($M469="","",IF(ISNUMBER($M469),IF($M469&gt;=Header!$C$18,"YES — refer","No"),""))</f>
      </c>
      <c r="AZ469" s="44">
        <f>IF($AD469="","",IF(ISNUMBER($AD469),IF($AD469&lt;Header!$C$20,"BELOW MIN PREMIUM","OK"),""))</f>
      </c>
      <c r="BA469" s="32" t="inlineStr">
        <is>
          <t xml:space="preserve">Yes</t>
        </is>
      </c>
      <c r="BB469" s="32" t="inlineStr">
        <is>
          <t xml:space="preserve">Yes</t>
        </is>
      </c>
      <c r="BC469" s="30" t="inlineStr">
        <is>
          <t xml:space="preserve">Synthetic demo data</t>
        </is>
      </c>
      <c r="BE469" s="45">
        <f>IF(OR($A469="",$L469="",$H469=""),"",IF(AND(LEFT($L469,2)="06",$H469&gt;1945),"FAIL - pre-war class, year "&amp;$H469,IF(AND(LEFT($L469,2)="07",OR($H469&lt;1946,$H469&gt;1972)),"FAIL - 1946-72 class, year "&amp;$H469,IF(AND(LEFT($L469,2)="08",OR($H469&lt;1973,$H469&gt;1999)),"FAIL - 1973-99 class, year "&amp;$H469,IF(AND(LEFT($L469,2)="09",OR($H469&lt;2000,$H469&gt;2010)),"FAIL - 2000-10 class, year "&amp;$H469,"OK")))))</f>
      </c>
      <c r="BF469" s="45">
        <f>IF($AD469="","",IF(ROUND($AO469+$AP469+$AQ469-$AD469,2)=0,"OK","FAIL - out by "&amp;TEXT($AO469+$AP469+$AQ469-$AD469,"$0.00")))</f>
      </c>
    </row>
    <row r="470" spans="1:58" ht="18.75" customHeight="1" x14ac:dyDescent="0.25">
      <c r="A470" s="46" t="inlineStr">
        <is>
          <t xml:space="preserve">CANON-202511-002806</t>
        </is>
      </c>
      <c r="B470" s="46" t="inlineStr">
        <is>
          <t xml:space="preserve">Ramona Castellanos</t>
        </is>
      </c>
      <c r="C470" s="47">
        <v>45984</v>
      </c>
      <c r="D470" s="48" t="inlineStr">
        <is>
          <t xml:space="preserve">Bound - within authority</t>
        </is>
      </c>
      <c r="E470" s="48" t="inlineStr">
        <is>
          <t xml:space="preserve">New business</t>
        </is>
      </c>
      <c r="F470" s="46" t="inlineStr">
        <is>
          <t xml:space="preserve">B1234EXOTIC26</t>
        </is>
      </c>
      <c r="G470" s="33">
        <f>IF($A470="","",IF($C470="","",YEAR($C470)))</f>
      </c>
      <c r="H470" s="49">
        <v>2014</v>
      </c>
      <c r="I470" s="46" t="inlineStr">
        <is>
          <t xml:space="preserve">Aston Martin</t>
        </is>
      </c>
      <c r="J470" s="46" t="inlineStr">
        <is>
          <t xml:space="preserve">DB5</t>
        </is>
      </c>
      <c r="K470" s="46" t="inlineStr">
        <is>
          <t xml:space="preserve">18T0TNCY18CFKUBV6</t>
        </is>
      </c>
      <c r="L470" s="48" t="inlineStr">
        <is>
          <t xml:space="preserve">02 - Sports / GT</t>
        </is>
      </c>
      <c r="M470" s="50">
        <v>635000</v>
      </c>
      <c r="N470" s="48" t="inlineStr">
        <is>
          <t xml:space="preserve">Personal</t>
        </is>
      </c>
      <c r="O470" s="46" t="inlineStr">
        <is>
          <t xml:space="preserve">Personal - regular use</t>
        </is>
      </c>
      <c r="P470" s="46" t="inlineStr">
        <is>
          <t xml:space="preserve">Under 1,000</t>
        </is>
      </c>
      <c r="Q470" s="46" t="inlineStr">
        <is>
          <t xml:space="preserve">Nebraska</t>
        </is>
      </c>
      <c r="R470" s="46" t="inlineStr">
        <is>
          <t xml:space="preserve">68102</t>
        </is>
      </c>
      <c r="S470" s="48" t="inlineStr">
        <is>
          <t xml:space="preserve">Severe convective - hail alley (high)</t>
        </is>
      </c>
      <c r="T470" s="36">
        <f>IF($A470="","",IF($S470="","",IFERROR(INDEX('[1]natural catastrophe'!$D$6:$D$17,MATCH($S470,'[1]natural catastrophe'!$B$6:$B$17,0)),"?")))</f>
      </c>
      <c r="U470" s="46" t="inlineStr">
        <is>
          <t xml:space="preserve">$5,000</t>
        </is>
      </c>
      <c r="V470" s="48" t="inlineStr">
        <is>
          <t xml:space="preserve">Agreed Value</t>
        </is>
      </c>
      <c r="W470" s="46" t="inlineStr">
        <is>
          <t xml:space="preserve">$1,000</t>
        </is>
      </c>
      <c r="X470" s="48" t="inlineStr">
        <is>
          <t xml:space="preserve">$1,000,000 CSL</t>
        </is>
      </c>
      <c r="Y470" s="46"/>
      <c r="Z470" s="46"/>
      <c r="AA470" s="48" t="inlineStr">
        <is>
          <t xml:space="preserve">Surplus Lines</t>
        </is>
      </c>
      <c r="AB470" s="50">
        <v>6157.64</v>
      </c>
      <c r="AC470" s="51">
        <v>0</v>
      </c>
      <c r="AD470" s="38">
        <f>IF(ISNUMBER($AB470),$AB470*(1+N($AC470)),"")</f>
      </c>
      <c r="AE470" s="50">
        <v>350</v>
      </c>
      <c r="AF470" s="50">
        <v>0</v>
      </c>
      <c r="AG470" s="51"/>
      <c r="AH470" s="39">
        <f>IF(ISNUMBER($AD470),($AD470+$AE470+$AF470)*$AG470,"")</f>
      </c>
      <c r="AI470" s="50"/>
      <c r="AJ470" s="38">
        <f>IF(ISNUMBER($AD470),SUM($AD470:$AH470),"")</f>
      </c>
      <c r="AK470" s="40">
        <f>IF(AND(ISNUMBER($AB470),ISNUMBER($AD470)),IF($AB470&gt;0,$AD470/$AB470,""),"")</f>
      </c>
      <c r="AL470" s="48" t="inlineStr">
        <is>
          <t xml:space="preserve">At technical</t>
        </is>
      </c>
      <c r="AM470" s="41">
        <f>IF(ISNUMBER($AD470),Header!$I$3,"")</f>
      </c>
      <c r="AN470" s="39">
        <f>IF(ISNUMBER($AD470),$AO470+$AP470,"")</f>
      </c>
      <c r="AO470" s="39">
        <f>IF(ISNUMBER($AD470),ROUND($AD470*Header!$K$3,2),"")</f>
      </c>
      <c r="AP470" s="39">
        <f>IF(ISNUMBER($AD470),ROUND($AD470*Header!$M$3,2),"")</f>
      </c>
      <c r="AQ470" s="38">
        <f>IF(ISNUMBER($AD470),ROUND($AD470,2)-$AO470-$AP470,"")</f>
      </c>
      <c r="AR470" s="39">
        <f>IF(ISNUMBER($AD470),IF(Header!$D$34="","?",$AD470*Header!$D$34),"")</f>
      </c>
      <c r="AS470" s="39">
        <f>IF(ISNUMBER($AB470),IF(Header!$D$34="","?",$AB470*Header!$D$34),"")</f>
      </c>
      <c r="AT470" s="42">
        <f>IF(AND(ISNUMBER($AB470),$M470&gt;0),$AB470/$M470*100,"")</f>
      </c>
      <c r="AU470" s="42">
        <f>IF(AND(ISNUMBER($AD470),$M470&gt;0),$AD470/$M470*100,"")</f>
      </c>
      <c r="AV470" s="40">
        <f>IF(AND(ISNUMBER($AB470),ISNUMBER($AD470),ABS($AB470)&gt;0),$AD470/$AB470,"")</f>
      </c>
      <c r="AW470" s="39">
        <f>IF(ISNUMBER($AD470),MAX(0,(1-0.55-Header!$O$3)*Header!$Q$3*$AQ470),"")</f>
      </c>
      <c r="AX470" s="43">
        <f>IF($A470="","",IF(TRIM(IF($A470="","Missing certificate ref. ","") &amp; IF($C470="","Missing effective date. ","") &amp; IF($D470="","Missing binding status. ","") &amp; IF($E470="","Missing movement type. ","") &amp; IF($I470="","Missing make. ","") &amp; IF($L470="","Missing vehicle class. ","") &amp; IF($M470="","Missing agreed value. ","") &amp; IF($N470="","Missing policy type. ","") &amp; IF($Q470="","Missing garaging state. ","") &amp; IF($R470="","Missing garaging ZIP. ","") &amp; IF($S470="","Missing cat zone. ","") &amp; IF($V470="","Missing valuation basis. ","") &amp; IF($W470="","Missing PD deductible. ","") &amp; IF($X470="","Missing liability limit. ","") &amp; IF($AB470="","Missing technical premium. ","") &amp; IF($AF470="","Missing surplus lines tax %. ",""))="","PASS","FAIL: "&amp;TRIM(IF($A470="","Missing certificate ref. ","") &amp; IF($C470="","Missing effective date. ","") &amp; IF($D470="","Missing binding status. ","") &amp; IF($E470="","Missing movement type. ","") &amp; IF($I470="","Missing make. ","") &amp; IF($L470="","Missing vehicle class. ","") &amp; IF($M470="","Missing agreed value. ","") &amp; IF($N470="","Missing policy type. ","") &amp; IF($Q470="","Missing garaging state. ","") &amp; IF($R470="","Missing garaging ZIP. ","") &amp; IF($S470="","Missing cat zone. ","") &amp; IF($V470="","Missing valuation basis. ","") &amp; IF($W470="","Missing PD deductible. ","") &amp; IF($X470="","Missing liability limit. ","") &amp; IF($AB470="","Missing technical premium. ","") &amp; IF($AF470="","Missing surplus lines tax %. ",""))))</f>
      </c>
      <c r="AY470" s="44">
        <f>IF($M470="","",IF(ISNUMBER($M470),IF($M470&gt;=Header!$C$18,"YES — refer","No"),""))</f>
      </c>
      <c r="AZ470" s="44">
        <f>IF($AD470="","",IF(ISNUMBER($AD470),IF($AD470&lt;Header!$C$20,"BELOW MIN PREMIUM","OK"),""))</f>
      </c>
      <c r="BA470" s="48" t="inlineStr">
        <is>
          <t xml:space="preserve">Yes</t>
        </is>
      </c>
      <c r="BB470" s="48" t="inlineStr">
        <is>
          <t xml:space="preserve">Yes</t>
        </is>
      </c>
      <c r="BC470" s="46" t="inlineStr">
        <is>
          <t xml:space="preserve">Synthetic demo data</t>
        </is>
      </c>
      <c r="BE470" s="45">
        <f>IF(OR($A470="",$L470="",$H470=""),"",IF(AND(LEFT($L470,2)="06",$H470&gt;1945),"FAIL - pre-war class, year "&amp;$H470,IF(AND(LEFT($L470,2)="07",OR($H470&lt;1946,$H470&gt;1972)),"FAIL - 1946-72 class, year "&amp;$H470,IF(AND(LEFT($L470,2)="08",OR($H470&lt;1973,$H470&gt;1999)),"FAIL - 1973-99 class, year "&amp;$H470,IF(AND(LEFT($L470,2)="09",OR($H470&lt;2000,$H470&gt;2010)),"FAIL - 2000-10 class, year "&amp;$H470,"OK")))))</f>
      </c>
      <c r="BF470" s="45">
        <f>IF($AD470="","",IF(ROUND($AO470+$AP470+$AQ470-$AD470,2)=0,"OK","FAIL - out by "&amp;TEXT($AO470+$AP470+$AQ470-$AD470,"$0.00")))</f>
      </c>
    </row>
    <row r="471" spans="1:58" ht="18.75" customHeight="1" x14ac:dyDescent="0.25">
      <c r="A471" s="30" t="inlineStr">
        <is>
          <t xml:space="preserve">CANON-202511-002807</t>
        </is>
      </c>
      <c r="B471" s="30" t="inlineStr">
        <is>
          <t xml:space="preserve">Cassius Whitlock</t>
        </is>
      </c>
      <c r="C471" s="31">
        <v>45971</v>
      </c>
      <c r="D471" s="32" t="inlineStr">
        <is>
          <t xml:space="preserve">Bound - within authority</t>
        </is>
      </c>
      <c r="E471" s="32" t="inlineStr">
        <is>
          <t xml:space="preserve">New business</t>
        </is>
      </c>
      <c r="F471" s="30" t="inlineStr">
        <is>
          <t xml:space="preserve">B1234EXOTIC26</t>
        </is>
      </c>
      <c r="G471" s="33">
        <f>IF($A471="","",IF($C471="","",YEAR($C471)))</f>
      </c>
      <c r="H471" s="34">
        <v>1989</v>
      </c>
      <c r="I471" s="30" t="inlineStr">
        <is>
          <t xml:space="preserve">Bentley</t>
        </is>
      </c>
      <c r="J471" s="30" t="inlineStr">
        <is>
          <t xml:space="preserve">Continental GT</t>
        </is>
      </c>
      <c r="K471" s="30" t="inlineStr">
        <is>
          <t xml:space="preserve">VUPJNGMRDBW473DD4</t>
        </is>
      </c>
      <c r="L471" s="32" t="inlineStr">
        <is>
          <t xml:space="preserve">02 - Sports / GT</t>
        </is>
      </c>
      <c r="M471" s="35">
        <v>470000</v>
      </c>
      <c r="N471" s="32" t="inlineStr">
        <is>
          <t xml:space="preserve">Personal</t>
        </is>
      </c>
      <c r="O471" s="30" t="inlineStr">
        <is>
          <t xml:space="preserve">Personal - regular use</t>
        </is>
      </c>
      <c r="P471" s="30" t="inlineStr">
        <is>
          <t xml:space="preserve">1,000 - 2,500</t>
        </is>
      </c>
      <c r="Q471" s="30" t="inlineStr">
        <is>
          <t xml:space="preserve">New York</t>
        </is>
      </c>
      <c r="R471" s="30" t="inlineStr">
        <is>
          <t xml:space="preserve">10022</t>
        </is>
      </c>
      <c r="S471" s="32" t="inlineStr">
        <is>
          <t xml:space="preserve">Tier 3 - Coastal wind (25-100 miles)</t>
        </is>
      </c>
      <c r="T471" s="36">
        <f>IF($A471="","",IF($S471="","",IFERROR(INDEX('[1]natural catastrophe'!$D$6:$D$17,MATCH($S471,'[1]natural catastrophe'!$B$6:$B$17,0)),"?")))</f>
      </c>
      <c r="U471" s="30" t="inlineStr">
        <is>
          <t xml:space="preserve">2% of agreed value, minimum $10,000</t>
        </is>
      </c>
      <c r="V471" s="32" t="inlineStr">
        <is>
          <t xml:space="preserve">Agreed Value</t>
        </is>
      </c>
      <c r="W471" s="30" t="inlineStr">
        <is>
          <t xml:space="preserve">$1,000</t>
        </is>
      </c>
      <c r="X471" s="32" t="inlineStr">
        <is>
          <t xml:space="preserve">$1,000,000 CSL</t>
        </is>
      </c>
      <c r="Y471" s="30"/>
      <c r="Z471" s="30"/>
      <c r="AA471" s="32" t="inlineStr">
        <is>
          <t xml:space="preserve">Surplus Lines</t>
        </is>
      </c>
      <c r="AB471" s="35">
        <v>7827.05</v>
      </c>
      <c r="AC471" s="37">
        <v>0</v>
      </c>
      <c r="AD471" s="38">
        <f>IF(ISNUMBER($AB471),$AB471*(1+N($AC471)),"")</f>
      </c>
      <c r="AE471" s="35">
        <v>350</v>
      </c>
      <c r="AF471" s="35">
        <v>0</v>
      </c>
      <c r="AG471" s="37"/>
      <c r="AH471" s="39">
        <f>IF(ISNUMBER($AD471),($AD471+$AE471+$AF471)*$AG471,"")</f>
      </c>
      <c r="AI471" s="35"/>
      <c r="AJ471" s="38">
        <f>IF(ISNUMBER($AD471),SUM($AD471:$AH471),"")</f>
      </c>
      <c r="AK471" s="40">
        <f>IF(AND(ISNUMBER($AB471),ISNUMBER($AD471)),IF($AB471&gt;0,$AD471/$AB471,""),"")</f>
      </c>
      <c r="AL471" s="32" t="inlineStr">
        <is>
          <t xml:space="preserve">At technical</t>
        </is>
      </c>
      <c r="AM471" s="41">
        <f>IF(ISNUMBER($AD471),Header!$I$3,"")</f>
      </c>
      <c r="AN471" s="39">
        <f>IF(ISNUMBER($AD471),$AO471+$AP471,"")</f>
      </c>
      <c r="AO471" s="39">
        <f>IF(ISNUMBER($AD471),ROUND($AD471*Header!$K$3,2),"")</f>
      </c>
      <c r="AP471" s="39">
        <f>IF(ISNUMBER($AD471),ROUND($AD471*Header!$M$3,2),"")</f>
      </c>
      <c r="AQ471" s="38">
        <f>IF(ISNUMBER($AD471),ROUND($AD471,2)-$AO471-$AP471,"")</f>
      </c>
      <c r="AR471" s="39">
        <f>IF(ISNUMBER($AD471),IF(Header!$D$34="","?",$AD471*Header!$D$34),"")</f>
      </c>
      <c r="AS471" s="39">
        <f>IF(ISNUMBER($AB471),IF(Header!$D$34="","?",$AB471*Header!$D$34),"")</f>
      </c>
      <c r="AT471" s="42">
        <f>IF(AND(ISNUMBER($AB471),$M471&gt;0),$AB471/$M471*100,"")</f>
      </c>
      <c r="AU471" s="42">
        <f>IF(AND(ISNUMBER($AD471),$M471&gt;0),$AD471/$M471*100,"")</f>
      </c>
      <c r="AV471" s="40">
        <f>IF(AND(ISNUMBER($AB471),ISNUMBER($AD471),ABS($AB471)&gt;0),$AD471/$AB471,"")</f>
      </c>
      <c r="AW471" s="39">
        <f>IF(ISNUMBER($AD471),MAX(0,(1-0.55-Header!$O$3)*Header!$Q$3*$AQ471),"")</f>
      </c>
      <c r="AX471" s="43">
        <f>IF($A471="","",IF(TRIM(IF($A471="","Missing certificate ref. ","") &amp; IF($C471="","Missing effective date. ","") &amp; IF($D471="","Missing binding status. ","") &amp; IF($E471="","Missing movement type. ","") &amp; IF($I471="","Missing make. ","") &amp; IF($L471="","Missing vehicle class. ","") &amp; IF($M471="","Missing agreed value. ","") &amp; IF($N471="","Missing policy type. ","") &amp; IF($Q471="","Missing garaging state. ","") &amp; IF($R471="","Missing garaging ZIP. ","") &amp; IF($S471="","Missing cat zone. ","") &amp; IF($V471="","Missing valuation basis. ","") &amp; IF($W471="","Missing PD deductible. ","") &amp; IF($X471="","Missing liability limit. ","") &amp; IF($AB471="","Missing technical premium. ","") &amp; IF($AF471="","Missing surplus lines tax %. ",""))="","PASS","FAIL: "&amp;TRIM(IF($A471="","Missing certificate ref. ","") &amp; IF($C471="","Missing effective date. ","") &amp; IF($D471="","Missing binding status. ","") &amp; IF($E471="","Missing movement type. ","") &amp; IF($I471="","Missing make. ","") &amp; IF($L471="","Missing vehicle class. ","") &amp; IF($M471="","Missing agreed value. ","") &amp; IF($N471="","Missing policy type. ","") &amp; IF($Q471="","Missing garaging state. ","") &amp; IF($R471="","Missing garaging ZIP. ","") &amp; IF($S471="","Missing cat zone. ","") &amp; IF($V471="","Missing valuation basis. ","") &amp; IF($W471="","Missing PD deductible. ","") &amp; IF($X471="","Missing liability limit. ","") &amp; IF($AB471="","Missing technical premium. ","") &amp; IF($AF471="","Missing surplus lines tax %. ",""))))</f>
      </c>
      <c r="AY471" s="44">
        <f>IF($M471="","",IF(ISNUMBER($M471),IF($M471&gt;=Header!$C$18,"YES — refer","No"),""))</f>
      </c>
      <c r="AZ471" s="44">
        <f>IF($AD471="","",IF(ISNUMBER($AD471),IF($AD471&lt;Header!$C$20,"BELOW MIN PREMIUM","OK"),""))</f>
      </c>
      <c r="BA471" s="32" t="inlineStr">
        <is>
          <t xml:space="preserve">Yes</t>
        </is>
      </c>
      <c r="BB471" s="32" t="inlineStr">
        <is>
          <t xml:space="preserve">Yes</t>
        </is>
      </c>
      <c r="BC471" s="30" t="inlineStr">
        <is>
          <t xml:space="preserve">Synthetic demo data</t>
        </is>
      </c>
      <c r="BE471" s="45">
        <f>IF(OR($A471="",$L471="",$H471=""),"",IF(AND(LEFT($L471,2)="06",$H471&gt;1945),"FAIL - pre-war class, year "&amp;$H471,IF(AND(LEFT($L471,2)="07",OR($H471&lt;1946,$H471&gt;1972)),"FAIL - 1946-72 class, year "&amp;$H471,IF(AND(LEFT($L471,2)="08",OR($H471&lt;1973,$H471&gt;1999)),"FAIL - 1973-99 class, year "&amp;$H471,IF(AND(LEFT($L471,2)="09",OR($H471&lt;2000,$H471&gt;2010)),"FAIL - 2000-10 class, year "&amp;$H471,"OK")))))</f>
      </c>
      <c r="BF471" s="45">
        <f>IF($AD471="","",IF(ROUND($AO471+$AP471+$AQ471-$AD471,2)=0,"OK","FAIL - out by "&amp;TEXT($AO471+$AP471+$AQ471-$AD471,"$0.00")))</f>
      </c>
    </row>
    <row r="472" spans="1:58" ht="18.75" customHeight="1" x14ac:dyDescent="0.25">
      <c r="A472" s="46" t="inlineStr">
        <is>
          <t xml:space="preserve">CANON-202511-002810</t>
        </is>
      </c>
      <c r="B472" s="46" t="inlineStr">
        <is>
          <t xml:space="preserve">Saoirse Merriweather</t>
        </is>
      </c>
      <c r="C472" s="47">
        <v>45987</v>
      </c>
      <c r="D472" s="48" t="inlineStr">
        <is>
          <t xml:space="preserve">Bound - within authority</t>
        </is>
      </c>
      <c r="E472" s="48" t="inlineStr">
        <is>
          <t xml:space="preserve">New business</t>
        </is>
      </c>
      <c r="F472" s="46" t="inlineStr">
        <is>
          <t xml:space="preserve">B1234EXOTIC26</t>
        </is>
      </c>
      <c r="G472" s="33">
        <f>IF($A472="","",IF($C472="","",YEAR($C472)))</f>
      </c>
      <c r="H472" s="49">
        <v>2014</v>
      </c>
      <c r="I472" s="46" t="inlineStr">
        <is>
          <t xml:space="preserve">Ferrari</t>
        </is>
      </c>
      <c r="J472" s="46" t="inlineStr">
        <is>
          <t xml:space="preserve">SF90 Stradale</t>
        </is>
      </c>
      <c r="K472" s="46" t="inlineStr">
        <is>
          <t xml:space="preserve">6SPMHUL6ZGGC4PGAP</t>
        </is>
      </c>
      <c r="L472" s="48" t="inlineStr">
        <is>
          <t xml:space="preserve">03 - Supercar</t>
        </is>
      </c>
      <c r="M472" s="50">
        <v>320000</v>
      </c>
      <c r="N472" s="48" t="inlineStr">
        <is>
          <t xml:space="preserve">Personal</t>
        </is>
      </c>
      <c r="O472" s="46" t="inlineStr">
        <is>
          <t xml:space="preserve">Personal - regular use</t>
        </is>
      </c>
      <c r="P472" s="46" t="inlineStr">
        <is>
          <t xml:space="preserve">2,500 - 5,000</t>
        </is>
      </c>
      <c r="Q472" s="46" t="inlineStr">
        <is>
          <t xml:space="preserve">Michigan</t>
        </is>
      </c>
      <c r="R472" s="46" t="inlineStr">
        <is>
          <t xml:space="preserve">48226</t>
        </is>
      </c>
      <c r="S472" s="48" t="inlineStr">
        <is>
          <t xml:space="preserve">Severe convective - hail / tornado (moderate)</t>
        </is>
      </c>
      <c r="T472" s="36">
        <f>IF($A472="","",IF($S472="","",IFERROR(INDEX('[1]natural catastrophe'!$D$6:$D$17,MATCH($S472,'[1]natural catastrophe'!$B$6:$B$17,0)),"?")))</f>
      </c>
      <c r="U472" s="46" t="inlineStr">
        <is>
          <t xml:space="preserve">$5,000</t>
        </is>
      </c>
      <c r="V472" s="48" t="inlineStr">
        <is>
          <t xml:space="preserve">Agreed Value</t>
        </is>
      </c>
      <c r="W472" s="46" t="inlineStr">
        <is>
          <t xml:space="preserve">$1,000</t>
        </is>
      </c>
      <c r="X472" s="48" t="inlineStr">
        <is>
          <t xml:space="preserve">$1,000,000 CSL</t>
        </is>
      </c>
      <c r="Y472" s="46"/>
      <c r="Z472" s="46"/>
      <c r="AA472" s="48" t="inlineStr">
        <is>
          <t xml:space="preserve">Surplus Lines</t>
        </is>
      </c>
      <c r="AB472" s="50">
        <v>9894.82</v>
      </c>
      <c r="AC472" s="51">
        <v>0</v>
      </c>
      <c r="AD472" s="38">
        <f>IF(ISNUMBER($AB472),$AB472*(1+N($AC472)),"")</f>
      </c>
      <c r="AE472" s="50">
        <v>350</v>
      </c>
      <c r="AF472" s="50">
        <v>0</v>
      </c>
      <c r="AG472" s="51"/>
      <c r="AH472" s="39">
        <f>IF(ISNUMBER($AD472),($AD472+$AE472+$AF472)*$AG472,"")</f>
      </c>
      <c r="AI472" s="50"/>
      <c r="AJ472" s="38">
        <f>IF(ISNUMBER($AD472),SUM($AD472:$AH472),"")</f>
      </c>
      <c r="AK472" s="40">
        <f>IF(AND(ISNUMBER($AB472),ISNUMBER($AD472)),IF($AB472&gt;0,$AD472/$AB472,""),"")</f>
      </c>
      <c r="AL472" s="48" t="inlineStr">
        <is>
          <t xml:space="preserve">At technical</t>
        </is>
      </c>
      <c r="AM472" s="41">
        <f>IF(ISNUMBER($AD472),Header!$I$3,"")</f>
      </c>
      <c r="AN472" s="39">
        <f>IF(ISNUMBER($AD472),$AO472+$AP472,"")</f>
      </c>
      <c r="AO472" s="39">
        <f>IF(ISNUMBER($AD472),ROUND($AD472*Header!$K$3,2),"")</f>
      </c>
      <c r="AP472" s="39">
        <f>IF(ISNUMBER($AD472),ROUND($AD472*Header!$M$3,2),"")</f>
      </c>
      <c r="AQ472" s="38">
        <f>IF(ISNUMBER($AD472),ROUND($AD472,2)-$AO472-$AP472,"")</f>
      </c>
      <c r="AR472" s="39">
        <f>IF(ISNUMBER($AD472),IF(Header!$D$34="","?",$AD472*Header!$D$34),"")</f>
      </c>
      <c r="AS472" s="39">
        <f>IF(ISNUMBER($AB472),IF(Header!$D$34="","?",$AB472*Header!$D$34),"")</f>
      </c>
      <c r="AT472" s="42">
        <f>IF(AND(ISNUMBER($AB472),$M472&gt;0),$AB472/$M472*100,"")</f>
      </c>
      <c r="AU472" s="42">
        <f>IF(AND(ISNUMBER($AD472),$M472&gt;0),$AD472/$M472*100,"")</f>
      </c>
      <c r="AV472" s="40">
        <f>IF(AND(ISNUMBER($AB472),ISNUMBER($AD472),ABS($AB472)&gt;0),$AD472/$AB472,"")</f>
      </c>
      <c r="AW472" s="39">
        <f>IF(ISNUMBER($AD472),MAX(0,(1-0.55-Header!$O$3)*Header!$Q$3*$AQ472),"")</f>
      </c>
      <c r="AX472" s="43">
        <f>IF($A472="","",IF(TRIM(IF($A472="","Missing certificate ref. ","") &amp; IF($C472="","Missing effective date. ","") &amp; IF($D472="","Missing binding status. ","") &amp; IF($E472="","Missing movement type. ","") &amp; IF($I472="","Missing make. ","") &amp; IF($L472="","Missing vehicle class. ","") &amp; IF($M472="","Missing agreed value. ","") &amp; IF($N472="","Missing policy type. ","") &amp; IF($Q472="","Missing garaging state. ","") &amp; IF($R472="","Missing garaging ZIP. ","") &amp; IF($S472="","Missing cat zone. ","") &amp; IF($V472="","Missing valuation basis. ","") &amp; IF($W472="","Missing PD deductible. ","") &amp; IF($X472="","Missing liability limit. ","") &amp; IF($AB472="","Missing technical premium. ","") &amp; IF($AF472="","Missing surplus lines tax %. ",""))="","PASS","FAIL: "&amp;TRIM(IF($A472="","Missing certificate ref. ","") &amp; IF($C472="","Missing effective date. ","") &amp; IF($D472="","Missing binding status. ","") &amp; IF($E472="","Missing movement type. ","") &amp; IF($I472="","Missing make. ","") &amp; IF($L472="","Missing vehicle class. ","") &amp; IF($M472="","Missing agreed value. ","") &amp; IF($N472="","Missing policy type. ","") &amp; IF($Q472="","Missing garaging state. ","") &amp; IF($R472="","Missing garaging ZIP. ","") &amp; IF($S472="","Missing cat zone. ","") &amp; IF($V472="","Missing valuation basis. ","") &amp; IF($W472="","Missing PD deductible. ","") &amp; IF($X472="","Missing liability limit. ","") &amp; IF($AB472="","Missing technical premium. ","") &amp; IF($AF472="","Missing surplus lines tax %. ",""))))</f>
      </c>
      <c r="AY472" s="44">
        <f>IF($M472="","",IF(ISNUMBER($M472),IF($M472&gt;=Header!$C$18,"YES — refer","No"),""))</f>
      </c>
      <c r="AZ472" s="44">
        <f>IF($AD472="","",IF(ISNUMBER($AD472),IF($AD472&lt;Header!$C$20,"BELOW MIN PREMIUM","OK"),""))</f>
      </c>
      <c r="BA472" s="48" t="inlineStr">
        <is>
          <t xml:space="preserve">Yes</t>
        </is>
      </c>
      <c r="BB472" s="48" t="inlineStr">
        <is>
          <t xml:space="preserve">Yes</t>
        </is>
      </c>
      <c r="BC472" s="46" t="inlineStr">
        <is>
          <t xml:space="preserve">Synthetic demo data</t>
        </is>
      </c>
      <c r="BE472" s="45">
        <f>IF(OR($A472="",$L472="",$H472=""),"",IF(AND(LEFT($L472,2)="06",$H472&gt;1945),"FAIL - pre-war class, year "&amp;$H472,IF(AND(LEFT($L472,2)="07",OR($H472&lt;1946,$H472&gt;1972)),"FAIL - 1946-72 class, year "&amp;$H472,IF(AND(LEFT($L472,2)="08",OR($H472&lt;1973,$H472&gt;1999)),"FAIL - 1973-99 class, year "&amp;$H472,IF(AND(LEFT($L472,2)="09",OR($H472&lt;2000,$H472&gt;2010)),"FAIL - 2000-10 class, year "&amp;$H472,"OK")))))</f>
      </c>
      <c r="BF472" s="45">
        <f>IF($AD472="","",IF(ROUND($AO472+$AP472+$AQ472-$AD472,2)=0,"OK","FAIL - out by "&amp;TEXT($AO472+$AP472+$AQ472-$AD472,"$0.00")))</f>
      </c>
    </row>
    <row r="473" spans="1:58" ht="18.75" customHeight="1" x14ac:dyDescent="0.25">
      <c r="A473" s="30" t="inlineStr">
        <is>
          <t xml:space="preserve">CANON-202511-002811</t>
        </is>
      </c>
      <c r="B473" s="30" t="inlineStr">
        <is>
          <t xml:space="preserve">Emiliano Chattopadhyay</t>
        </is>
      </c>
      <c r="C473" s="31">
        <v>45972</v>
      </c>
      <c r="D473" s="32" t="inlineStr">
        <is>
          <t xml:space="preserve">Bound - within authority</t>
        </is>
      </c>
      <c r="E473" s="32" t="inlineStr">
        <is>
          <t xml:space="preserve">New business</t>
        </is>
      </c>
      <c r="F473" s="30" t="inlineStr">
        <is>
          <t xml:space="preserve">B1234EXOTIC26</t>
        </is>
      </c>
      <c r="G473" s="33">
        <f>IF($A473="","",IF($C473="","",YEAR($C473)))</f>
      </c>
      <c r="H473" s="34">
        <v>1974</v>
      </c>
      <c r="I473" s="30" t="inlineStr">
        <is>
          <t xml:space="preserve">Maserati</t>
        </is>
      </c>
      <c r="J473" s="30" t="inlineStr">
        <is>
          <t xml:space="preserve">GranTurismo</t>
        </is>
      </c>
      <c r="K473" s="30" t="inlineStr">
        <is>
          <t xml:space="preserve">93L3H7NPCJWYC1JYK</t>
        </is>
      </c>
      <c r="L473" s="32" t="inlineStr">
        <is>
          <t xml:space="preserve">02 - Sports / GT</t>
        </is>
      </c>
      <c r="M473" s="35">
        <v>360000</v>
      </c>
      <c r="N473" s="32" t="inlineStr">
        <is>
          <t xml:space="preserve">Personal</t>
        </is>
      </c>
      <c r="O473" s="30" t="inlineStr">
        <is>
          <t xml:space="preserve">Personal - regular use</t>
        </is>
      </c>
      <c r="P473" s="30" t="inlineStr">
        <is>
          <t xml:space="preserve">2,500 - 5,000</t>
        </is>
      </c>
      <c r="Q473" s="30" t="inlineStr">
        <is>
          <t xml:space="preserve">Nevada</t>
        </is>
      </c>
      <c r="R473" s="30" t="inlineStr">
        <is>
          <t xml:space="preserve">89101</t>
        </is>
      </c>
      <c r="S473" s="32" t="inlineStr">
        <is>
          <t xml:space="preserve">Wildfire - WUI high hazard</t>
        </is>
      </c>
      <c r="T473" s="36">
        <f>IF($A473="","",IF($S473="","",IFERROR(INDEX('[1]natural catastrophe'!$D$6:$D$17,MATCH($S473,'[1]natural catastrophe'!$B$6:$B$17,0)),"?")))</f>
      </c>
      <c r="U473" s="30" t="inlineStr">
        <is>
          <t xml:space="preserve">$5,000</t>
        </is>
      </c>
      <c r="V473" s="32" t="inlineStr">
        <is>
          <t xml:space="preserve">Agreed Value</t>
        </is>
      </c>
      <c r="W473" s="30" t="inlineStr">
        <is>
          <t xml:space="preserve">$1,000</t>
        </is>
      </c>
      <c r="X473" s="32" t="inlineStr">
        <is>
          <t xml:space="preserve">$1,000,000 CSL</t>
        </is>
      </c>
      <c r="Y473" s="30"/>
      <c r="Z473" s="30"/>
      <c r="AA473" s="32" t="inlineStr">
        <is>
          <t xml:space="preserve">Surplus Lines</t>
        </is>
      </c>
      <c r="AB473" s="35">
        <v>5479.97</v>
      </c>
      <c r="AC473" s="37">
        <v>0</v>
      </c>
      <c r="AD473" s="38">
        <f>IF(ISNUMBER($AB473),$AB473*(1+N($AC473)),"")</f>
      </c>
      <c r="AE473" s="35">
        <v>350</v>
      </c>
      <c r="AF473" s="35">
        <v>0</v>
      </c>
      <c r="AG473" s="37"/>
      <c r="AH473" s="39">
        <f>IF(ISNUMBER($AD473),($AD473+$AE473+$AF473)*$AG473,"")</f>
      </c>
      <c r="AI473" s="35"/>
      <c r="AJ473" s="38">
        <f>IF(ISNUMBER($AD473),SUM($AD473:$AH473),"")</f>
      </c>
      <c r="AK473" s="40">
        <f>IF(AND(ISNUMBER($AB473),ISNUMBER($AD473)),IF($AB473&gt;0,$AD473/$AB473,""),"")</f>
      </c>
      <c r="AL473" s="32" t="inlineStr">
        <is>
          <t xml:space="preserve">At technical</t>
        </is>
      </c>
      <c r="AM473" s="41">
        <f>IF(ISNUMBER($AD473),Header!$I$3,"")</f>
      </c>
      <c r="AN473" s="39">
        <f>IF(ISNUMBER($AD473),$AO473+$AP473,"")</f>
      </c>
      <c r="AO473" s="39">
        <f>IF(ISNUMBER($AD473),ROUND($AD473*Header!$K$3,2),"")</f>
      </c>
      <c r="AP473" s="39">
        <f>IF(ISNUMBER($AD473),ROUND($AD473*Header!$M$3,2),"")</f>
      </c>
      <c r="AQ473" s="38">
        <f>IF(ISNUMBER($AD473),ROUND($AD473,2)-$AO473-$AP473,"")</f>
      </c>
      <c r="AR473" s="39">
        <f>IF(ISNUMBER($AD473),IF(Header!$D$34="","?",$AD473*Header!$D$34),"")</f>
      </c>
      <c r="AS473" s="39">
        <f>IF(ISNUMBER($AB473),IF(Header!$D$34="","?",$AB473*Header!$D$34),"")</f>
      </c>
      <c r="AT473" s="42">
        <f>IF(AND(ISNUMBER($AB473),$M473&gt;0),$AB473/$M473*100,"")</f>
      </c>
      <c r="AU473" s="42">
        <f>IF(AND(ISNUMBER($AD473),$M473&gt;0),$AD473/$M473*100,"")</f>
      </c>
      <c r="AV473" s="40">
        <f>IF(AND(ISNUMBER($AB473),ISNUMBER($AD473),ABS($AB473)&gt;0),$AD473/$AB473,"")</f>
      </c>
      <c r="AW473" s="39">
        <f>IF(ISNUMBER($AD473),MAX(0,(1-0.55-Header!$O$3)*Header!$Q$3*$AQ473),"")</f>
      </c>
      <c r="AX473" s="43">
        <f>IF($A473="","",IF(TRIM(IF($A473="","Missing certificate ref. ","") &amp; IF($C473="","Missing effective date. ","") &amp; IF($D473="","Missing binding status. ","") &amp; IF($E473="","Missing movement type. ","") &amp; IF($I473="","Missing make. ","") &amp; IF($L473="","Missing vehicle class. ","") &amp; IF($M473="","Missing agreed value. ","") &amp; IF($N473="","Missing policy type. ","") &amp; IF($Q473="","Missing garaging state. ","") &amp; IF($R473="","Missing garaging ZIP. ","") &amp; IF($S473="","Missing cat zone. ","") &amp; IF($V473="","Missing valuation basis. ","") &amp; IF($W473="","Missing PD deductible. ","") &amp; IF($X473="","Missing liability limit. ","") &amp; IF($AB473="","Missing technical premium. ","") &amp; IF($AF473="","Missing surplus lines tax %. ",""))="","PASS","FAIL: "&amp;TRIM(IF($A473="","Missing certificate ref. ","") &amp; IF($C473="","Missing effective date. ","") &amp; IF($D473="","Missing binding status. ","") &amp; IF($E473="","Missing movement type. ","") &amp; IF($I473="","Missing make. ","") &amp; IF($L473="","Missing vehicle class. ","") &amp; IF($M473="","Missing agreed value. ","") &amp; IF($N473="","Missing policy type. ","") &amp; IF($Q473="","Missing garaging state. ","") &amp; IF($R473="","Missing garaging ZIP. ","") &amp; IF($S473="","Missing cat zone. ","") &amp; IF($V473="","Missing valuation basis. ","") &amp; IF($W473="","Missing PD deductible. ","") &amp; IF($X473="","Missing liability limit. ","") &amp; IF($AB473="","Missing technical premium. ","") &amp; IF($AF473="","Missing surplus lines tax %. ",""))))</f>
      </c>
      <c r="AY473" s="44">
        <f>IF($M473="","",IF(ISNUMBER($M473),IF($M473&gt;=Header!$C$18,"YES — refer","No"),""))</f>
      </c>
      <c r="AZ473" s="44">
        <f>IF($AD473="","",IF(ISNUMBER($AD473),IF($AD473&lt;Header!$C$20,"BELOW MIN PREMIUM","OK"),""))</f>
      </c>
      <c r="BA473" s="32" t="inlineStr">
        <is>
          <t xml:space="preserve">Yes</t>
        </is>
      </c>
      <c r="BB473" s="32" t="inlineStr">
        <is>
          <t xml:space="preserve">Yes</t>
        </is>
      </c>
      <c r="BC473" s="30" t="inlineStr">
        <is>
          <t xml:space="preserve">Synthetic demo data</t>
        </is>
      </c>
      <c r="BE473" s="45">
        <f>IF(OR($A473="",$L473="",$H473=""),"",IF(AND(LEFT($L473,2)="06",$H473&gt;1945),"FAIL - pre-war class, year "&amp;$H473,IF(AND(LEFT($L473,2)="07",OR($H473&lt;1946,$H473&gt;1972)),"FAIL - 1946-72 class, year "&amp;$H473,IF(AND(LEFT($L473,2)="08",OR($H473&lt;1973,$H473&gt;1999)),"FAIL - 1973-99 class, year "&amp;$H473,IF(AND(LEFT($L473,2)="09",OR($H473&lt;2000,$H473&gt;2010)),"FAIL - 2000-10 class, year "&amp;$H473,"OK")))))</f>
      </c>
      <c r="BF473" s="45">
        <f>IF($AD473="","",IF(ROUND($AO473+$AP473+$AQ473-$AD473,2)=0,"OK","FAIL - out by "&amp;TEXT($AO473+$AP473+$AQ473-$AD473,"$0.00")))</f>
      </c>
    </row>
    <row r="474" spans="1:58" ht="18.75" customHeight="1" x14ac:dyDescent="0.25">
      <c r="A474" s="46" t="inlineStr">
        <is>
          <t xml:space="preserve">CANON-202511-002812</t>
        </is>
      </c>
      <c r="B474" s="46" t="inlineStr">
        <is>
          <t xml:space="preserve">Anouk Vandermeer</t>
        </is>
      </c>
      <c r="C474" s="47">
        <v>45991</v>
      </c>
      <c r="D474" s="48" t="inlineStr">
        <is>
          <t xml:space="preserve">Bound - within authority</t>
        </is>
      </c>
      <c r="E474" s="48" t="inlineStr">
        <is>
          <t xml:space="preserve">New business</t>
        </is>
      </c>
      <c r="F474" s="46" t="inlineStr">
        <is>
          <t xml:space="preserve">B1234EXOTIC26</t>
        </is>
      </c>
      <c r="G474" s="33">
        <f>IF($A474="","",IF($C474="","",YEAR($C474)))</f>
      </c>
      <c r="H474" s="49">
        <v>1964</v>
      </c>
      <c r="I474" s="46" t="inlineStr">
        <is>
          <t xml:space="preserve">Mercedes-Benz</t>
        </is>
      </c>
      <c r="J474" s="46" t="inlineStr">
        <is>
          <t xml:space="preserve">AMG GT</t>
        </is>
      </c>
      <c r="K474" s="46" t="inlineStr">
        <is>
          <t xml:space="preserve">PUMEGRA0X0SG2GXL3</t>
        </is>
      </c>
      <c r="L474" s="48" t="inlineStr">
        <is>
          <t xml:space="preserve">02 - Sports / GT</t>
        </is>
      </c>
      <c r="M474" s="50">
        <v>200000</v>
      </c>
      <c r="N474" s="48" t="inlineStr">
        <is>
          <t xml:space="preserve">Personal</t>
        </is>
      </c>
      <c r="O474" s="46" t="inlineStr">
        <is>
          <t xml:space="preserve">Personal - regular use</t>
        </is>
      </c>
      <c r="P474" s="46" t="inlineStr">
        <is>
          <t xml:space="preserve">Under 1,000</t>
        </is>
      </c>
      <c r="Q474" s="46" t="inlineStr">
        <is>
          <t xml:space="preserve">Washington</t>
        </is>
      </c>
      <c r="R474" s="46" t="inlineStr">
        <is>
          <t xml:space="preserve">98101</t>
        </is>
      </c>
      <c r="S474" s="48" t="inlineStr">
        <is>
          <t xml:space="preserve">Earthquake - high (CA, Cascadia, New Madrid)</t>
        </is>
      </c>
      <c r="T474" s="36">
        <f>IF($A474="","",IF($S474="","",IFERROR(INDEX('[1]natural catastrophe'!$D$6:$D$17,MATCH($S474,'[1]natural catastrophe'!$B$6:$B$17,0)),"?")))</f>
      </c>
      <c r="U474" s="46" t="inlineStr">
        <is>
          <t xml:space="preserve">$5,000</t>
        </is>
      </c>
      <c r="V474" s="48" t="inlineStr">
        <is>
          <t xml:space="preserve">Agreed Value</t>
        </is>
      </c>
      <c r="W474" s="46" t="inlineStr">
        <is>
          <t xml:space="preserve">$1,000</t>
        </is>
      </c>
      <c r="X474" s="48" t="inlineStr">
        <is>
          <t xml:space="preserve">$1,000,000 CSL</t>
        </is>
      </c>
      <c r="Y474" s="46"/>
      <c r="Z474" s="46"/>
      <c r="AA474" s="48" t="inlineStr">
        <is>
          <t xml:space="preserve">Surplus Lines</t>
        </is>
      </c>
      <c r="AB474" s="50">
        <v>3064.2</v>
      </c>
      <c r="AC474" s="51">
        <v>0</v>
      </c>
      <c r="AD474" s="38">
        <f>IF(ISNUMBER($AB474),$AB474*(1+N($AC474)),"")</f>
      </c>
      <c r="AE474" s="50">
        <v>350</v>
      </c>
      <c r="AF474" s="50">
        <v>0</v>
      </c>
      <c r="AG474" s="51"/>
      <c r="AH474" s="39">
        <f>IF(ISNUMBER($AD474),($AD474+$AE474+$AF474)*$AG474,"")</f>
      </c>
      <c r="AI474" s="50"/>
      <c r="AJ474" s="38">
        <f>IF(ISNUMBER($AD474),SUM($AD474:$AH474),"")</f>
      </c>
      <c r="AK474" s="40">
        <f>IF(AND(ISNUMBER($AB474),ISNUMBER($AD474)),IF($AB474&gt;0,$AD474/$AB474,""),"")</f>
      </c>
      <c r="AL474" s="48" t="inlineStr">
        <is>
          <t xml:space="preserve">At technical</t>
        </is>
      </c>
      <c r="AM474" s="41">
        <f>IF(ISNUMBER($AD474),Header!$I$3,"")</f>
      </c>
      <c r="AN474" s="39">
        <f>IF(ISNUMBER($AD474),$AO474+$AP474,"")</f>
      </c>
      <c r="AO474" s="39">
        <f>IF(ISNUMBER($AD474),ROUND($AD474*Header!$K$3,2),"")</f>
      </c>
      <c r="AP474" s="39">
        <f>IF(ISNUMBER($AD474),ROUND($AD474*Header!$M$3,2),"")</f>
      </c>
      <c r="AQ474" s="38">
        <f>IF(ISNUMBER($AD474),ROUND($AD474,2)-$AO474-$AP474,"")</f>
      </c>
      <c r="AR474" s="39">
        <f>IF(ISNUMBER($AD474),IF(Header!$D$34="","?",$AD474*Header!$D$34),"")</f>
      </c>
      <c r="AS474" s="39">
        <f>IF(ISNUMBER($AB474),IF(Header!$D$34="","?",$AB474*Header!$D$34),"")</f>
      </c>
      <c r="AT474" s="42">
        <f>IF(AND(ISNUMBER($AB474),$M474&gt;0),$AB474/$M474*100,"")</f>
      </c>
      <c r="AU474" s="42">
        <f>IF(AND(ISNUMBER($AD474),$M474&gt;0),$AD474/$M474*100,"")</f>
      </c>
      <c r="AV474" s="40">
        <f>IF(AND(ISNUMBER($AB474),ISNUMBER($AD474),ABS($AB474)&gt;0),$AD474/$AB474,"")</f>
      </c>
      <c r="AW474" s="39">
        <f>IF(ISNUMBER($AD474),MAX(0,(1-0.55-Header!$O$3)*Header!$Q$3*$AQ474),"")</f>
      </c>
      <c r="AX474" s="43">
        <f>IF($A474="","",IF(TRIM(IF($A474="","Missing certificate ref. ","") &amp; IF($C474="","Missing effective date. ","") &amp; IF($D474="","Missing binding status. ","") &amp; IF($E474="","Missing movement type. ","") &amp; IF($I474="","Missing make. ","") &amp; IF($L474="","Missing vehicle class. ","") &amp; IF($M474="","Missing agreed value. ","") &amp; IF($N474="","Missing policy type. ","") &amp; IF($Q474="","Missing garaging state. ","") &amp; IF($R474="","Missing garaging ZIP. ","") &amp; IF($S474="","Missing cat zone. ","") &amp; IF($V474="","Missing valuation basis. ","") &amp; IF($W474="","Missing PD deductible. ","") &amp; IF($X474="","Missing liability limit. ","") &amp; IF($AB474="","Missing technical premium. ","") &amp; IF($AF474="","Missing surplus lines tax %. ",""))="","PASS","FAIL: "&amp;TRIM(IF($A474="","Missing certificate ref. ","") &amp; IF($C474="","Missing effective date. ","") &amp; IF($D474="","Missing binding status. ","") &amp; IF($E474="","Missing movement type. ","") &amp; IF($I474="","Missing make. ","") &amp; IF($L474="","Missing vehicle class. ","") &amp; IF($M474="","Missing agreed value. ","") &amp; IF($N474="","Missing policy type. ","") &amp; IF($Q474="","Missing garaging state. ","") &amp; IF($R474="","Missing garaging ZIP. ","") &amp; IF($S474="","Missing cat zone. ","") &amp; IF($V474="","Missing valuation basis. ","") &amp; IF($W474="","Missing PD deductible. ","") &amp; IF($X474="","Missing liability limit. ","") &amp; IF($AB474="","Missing technical premium. ","") &amp; IF($AF474="","Missing surplus lines tax %. ",""))))</f>
      </c>
      <c r="AY474" s="44">
        <f>IF($M474="","",IF(ISNUMBER($M474),IF($M474&gt;=Header!$C$18,"YES — refer","No"),""))</f>
      </c>
      <c r="AZ474" s="44">
        <f>IF($AD474="","",IF(ISNUMBER($AD474),IF($AD474&lt;Header!$C$20,"BELOW MIN PREMIUM","OK"),""))</f>
      </c>
      <c r="BA474" s="48" t="inlineStr">
        <is>
          <t xml:space="preserve">Yes</t>
        </is>
      </c>
      <c r="BB474" s="48" t="inlineStr">
        <is>
          <t xml:space="preserve">Yes</t>
        </is>
      </c>
      <c r="BC474" s="46" t="inlineStr">
        <is>
          <t xml:space="preserve">Synthetic demo data</t>
        </is>
      </c>
      <c r="BE474" s="45">
        <f>IF(OR($A474="",$L474="",$H474=""),"",IF(AND(LEFT($L474,2)="06",$H474&gt;1945),"FAIL - pre-war class, year "&amp;$H474,IF(AND(LEFT($L474,2)="07",OR($H474&lt;1946,$H474&gt;1972)),"FAIL - 1946-72 class, year "&amp;$H474,IF(AND(LEFT($L474,2)="08",OR($H474&lt;1973,$H474&gt;1999)),"FAIL - 1973-99 class, year "&amp;$H474,IF(AND(LEFT($L474,2)="09",OR($H474&lt;2000,$H474&gt;2010)),"FAIL - 2000-10 class, year "&amp;$H474,"OK")))))</f>
      </c>
      <c r="BF474" s="45">
        <f>IF($AD474="","",IF(ROUND($AO474+$AP474+$AQ474-$AD474,2)=0,"OK","FAIL - out by "&amp;TEXT($AO474+$AP474+$AQ474-$AD474,"$0.00")))</f>
      </c>
    </row>
    <row r="475" spans="1:58" ht="18.75" customHeight="1" x14ac:dyDescent="0.25">
      <c r="A475" s="30" t="inlineStr">
        <is>
          <t xml:space="preserve">CANON-202511-002813</t>
        </is>
      </c>
      <c r="B475" s="30" t="inlineStr">
        <is>
          <t xml:space="preserve">Anouk Chattopadhyay</t>
        </is>
      </c>
      <c r="C475" s="31">
        <v>45968</v>
      </c>
      <c r="D475" s="32" t="inlineStr">
        <is>
          <t xml:space="preserve">Bound - within authority</t>
        </is>
      </c>
      <c r="E475" s="32" t="inlineStr">
        <is>
          <t xml:space="preserve">New business</t>
        </is>
      </c>
      <c r="F475" s="30" t="inlineStr">
        <is>
          <t xml:space="preserve">B1234EXOTIC26</t>
        </is>
      </c>
      <c r="G475" s="33">
        <f>IF($A475="","",IF($C475="","",YEAR($C475)))</f>
      </c>
      <c r="H475" s="34">
        <v>1955</v>
      </c>
      <c r="I475" s="30" t="inlineStr">
        <is>
          <t xml:space="preserve">McLaren</t>
        </is>
      </c>
      <c r="J475" s="30" t="inlineStr">
        <is>
          <t xml:space="preserve">750S</t>
        </is>
      </c>
      <c r="K475" s="30" t="inlineStr">
        <is>
          <t xml:space="preserve">6Y6GVVJTKFGW72ARP</t>
        </is>
      </c>
      <c r="L475" s="32" t="inlineStr">
        <is>
          <t xml:space="preserve">03 - Supercar</t>
        </is>
      </c>
      <c r="M475" s="35">
        <v>1950000</v>
      </c>
      <c r="N475" s="32" t="inlineStr">
        <is>
          <t xml:space="preserve">Personal</t>
        </is>
      </c>
      <c r="O475" s="30" t="inlineStr">
        <is>
          <t xml:space="preserve">Personal - regular use</t>
        </is>
      </c>
      <c r="P475" s="30" t="inlineStr">
        <is>
          <t xml:space="preserve">2,500 - 5,000</t>
        </is>
      </c>
      <c r="Q475" s="30" t="inlineStr">
        <is>
          <t xml:space="preserve">Maine</t>
        </is>
      </c>
      <c r="R475" s="30" t="inlineStr">
        <is>
          <t xml:space="preserve">04101</t>
        </is>
      </c>
      <c r="S475" s="32" t="inlineStr">
        <is>
          <t xml:space="preserve">Tier 3 - Coastal wind (25-100 miles)</t>
        </is>
      </c>
      <c r="T475" s="36">
        <f>IF($A475="","",IF($S475="","",IFERROR(INDEX('[1]natural catastrophe'!$D$6:$D$17,MATCH($S475,'[1]natural catastrophe'!$B$6:$B$17,0)),"?")))</f>
      </c>
      <c r="U475" s="30" t="inlineStr">
        <is>
          <t xml:space="preserve">2% of agreed value, minimum $10,000</t>
        </is>
      </c>
      <c r="V475" s="32" t="inlineStr">
        <is>
          <t xml:space="preserve">Agreed Value</t>
        </is>
      </c>
      <c r="W475" s="30" t="inlineStr">
        <is>
          <t xml:space="preserve">$1,000</t>
        </is>
      </c>
      <c r="X475" s="32" t="inlineStr">
        <is>
          <t xml:space="preserve">$1,000,000 CSL</t>
        </is>
      </c>
      <c r="Y475" s="30"/>
      <c r="Z475" s="30"/>
      <c r="AA475" s="32" t="inlineStr">
        <is>
          <t xml:space="preserve">Surplus Lines</t>
        </is>
      </c>
      <c r="AB475" s="35">
        <v>29226.51</v>
      </c>
      <c r="AC475" s="37">
        <v>0</v>
      </c>
      <c r="AD475" s="38">
        <f>IF(ISNUMBER($AB475),$AB475*(1+N($AC475)),"")</f>
      </c>
      <c r="AE475" s="35">
        <v>350</v>
      </c>
      <c r="AF475" s="35">
        <v>250</v>
      </c>
      <c r="AG475" s="37"/>
      <c r="AH475" s="39">
        <f>IF(ISNUMBER($AD475),($AD475+$AE475+$AF475)*$AG475,"")</f>
      </c>
      <c r="AI475" s="35"/>
      <c r="AJ475" s="38">
        <f>IF(ISNUMBER($AD475),SUM($AD475:$AH475),"")</f>
      </c>
      <c r="AK475" s="40">
        <f>IF(AND(ISNUMBER($AB475),ISNUMBER($AD475)),IF($AB475&gt;0,$AD475/$AB475,""),"")</f>
      </c>
      <c r="AL475" s="32" t="inlineStr">
        <is>
          <t xml:space="preserve">At technical</t>
        </is>
      </c>
      <c r="AM475" s="41">
        <f>IF(ISNUMBER($AD475),Header!$I$3,"")</f>
      </c>
      <c r="AN475" s="39">
        <f>IF(ISNUMBER($AD475),$AO475+$AP475,"")</f>
      </c>
      <c r="AO475" s="39">
        <f>IF(ISNUMBER($AD475),ROUND($AD475*Header!$K$3,2),"")</f>
      </c>
      <c r="AP475" s="39">
        <f>IF(ISNUMBER($AD475),ROUND($AD475*Header!$M$3,2),"")</f>
      </c>
      <c r="AQ475" s="38">
        <f>IF(ISNUMBER($AD475),ROUND($AD475,2)-$AO475-$AP475,"")</f>
      </c>
      <c r="AR475" s="39">
        <f>IF(ISNUMBER($AD475),IF(Header!$D$34="","?",$AD475*Header!$D$34),"")</f>
      </c>
      <c r="AS475" s="39">
        <f>IF(ISNUMBER($AB475),IF(Header!$D$34="","?",$AB475*Header!$D$34),"")</f>
      </c>
      <c r="AT475" s="42">
        <f>IF(AND(ISNUMBER($AB475),$M475&gt;0),$AB475/$M475*100,"")</f>
      </c>
      <c r="AU475" s="42">
        <f>IF(AND(ISNUMBER($AD475),$M475&gt;0),$AD475/$M475*100,"")</f>
      </c>
      <c r="AV475" s="40">
        <f>IF(AND(ISNUMBER($AB475),ISNUMBER($AD475),ABS($AB475)&gt;0),$AD475/$AB475,"")</f>
      </c>
      <c r="AW475" s="39">
        <f>IF(ISNUMBER($AD475),MAX(0,(1-0.55-Header!$O$3)*Header!$Q$3*$AQ475),"")</f>
      </c>
      <c r="AX475" s="43">
        <f>IF($A475="","",IF(TRIM(IF($A475="","Missing certificate ref. ","") &amp; IF($C475="","Missing effective date. ","") &amp; IF($D475="","Missing binding status. ","") &amp; IF($E475="","Missing movement type. ","") &amp; IF($I475="","Missing make. ","") &amp; IF($L475="","Missing vehicle class. ","") &amp; IF($M475="","Missing agreed value. ","") &amp; IF($N475="","Missing policy type. ","") &amp; IF($Q475="","Missing garaging state. ","") &amp; IF($R475="","Missing garaging ZIP. ","") &amp; IF($S475="","Missing cat zone. ","") &amp; IF($V475="","Missing valuation basis. ","") &amp; IF($W475="","Missing PD deductible. ","") &amp; IF($X475="","Missing liability limit. ","") &amp; IF($AB475="","Missing technical premium. ","") &amp; IF($AF475="","Missing surplus lines tax %. ",""))="","PASS","FAIL: "&amp;TRIM(IF($A475="","Missing certificate ref. ","") &amp; IF($C475="","Missing effective date. ","") &amp; IF($D475="","Missing binding status. ","") &amp; IF($E475="","Missing movement type. ","") &amp; IF($I475="","Missing make. ","") &amp; IF($L475="","Missing vehicle class. ","") &amp; IF($M475="","Missing agreed value. ","") &amp; IF($N475="","Missing policy type. ","") &amp; IF($Q475="","Missing garaging state. ","") &amp; IF($R475="","Missing garaging ZIP. ","") &amp; IF($S475="","Missing cat zone. ","") &amp; IF($V475="","Missing valuation basis. ","") &amp; IF($W475="","Missing PD deductible. ","") &amp; IF($X475="","Missing liability limit. ","") &amp; IF($AB475="","Missing technical premium. ","") &amp; IF($AF475="","Missing surplus lines tax %. ",""))))</f>
      </c>
      <c r="AY475" s="44">
        <f>IF($M475="","",IF(ISNUMBER($M475),IF($M475&gt;=Header!$C$18,"YES — refer","No"),""))</f>
      </c>
      <c r="AZ475" s="44">
        <f>IF($AD475="","",IF(ISNUMBER($AD475),IF($AD475&lt;Header!$C$20,"BELOW MIN PREMIUM","OK"),""))</f>
      </c>
      <c r="BA475" s="32" t="inlineStr">
        <is>
          <t xml:space="preserve">Yes</t>
        </is>
      </c>
      <c r="BB475" s="32" t="inlineStr">
        <is>
          <t xml:space="preserve">Yes</t>
        </is>
      </c>
      <c r="BC475" s="30" t="inlineStr">
        <is>
          <t xml:space="preserve">Synthetic demo data</t>
        </is>
      </c>
      <c r="BE475" s="45">
        <f>IF(OR($A475="",$L475="",$H475=""),"",IF(AND(LEFT($L475,2)="06",$H475&gt;1945),"FAIL - pre-war class, year "&amp;$H475,IF(AND(LEFT($L475,2)="07",OR($H475&lt;1946,$H475&gt;1972)),"FAIL - 1946-72 class, year "&amp;$H475,IF(AND(LEFT($L475,2)="08",OR($H475&lt;1973,$H475&gt;1999)),"FAIL - 1973-99 class, year "&amp;$H475,IF(AND(LEFT($L475,2)="09",OR($H475&lt;2000,$H475&gt;2010)),"FAIL - 2000-10 class, year "&amp;$H475,"OK")))))</f>
      </c>
      <c r="BF475" s="45">
        <f>IF($AD475="","",IF(ROUND($AO475+$AP475+$AQ475-$AD475,2)=0,"OK","FAIL - out by "&amp;TEXT($AO475+$AP475+$AQ475-$AD475,"$0.00")))</f>
      </c>
    </row>
    <row r="476" spans="1:58" ht="18.75" customHeight="1" x14ac:dyDescent="0.25">
      <c r="A476" s="46" t="inlineStr">
        <is>
          <t xml:space="preserve">CANON-202511-002814</t>
        </is>
      </c>
      <c r="B476" s="46" t="inlineStr">
        <is>
          <t xml:space="preserve">Cassius Montoya</t>
        </is>
      </c>
      <c r="C476" s="47">
        <v>45972</v>
      </c>
      <c r="D476" s="48" t="inlineStr">
        <is>
          <t xml:space="preserve">Bound - within authority</t>
        </is>
      </c>
      <c r="E476" s="48" t="inlineStr">
        <is>
          <t xml:space="preserve">New business</t>
        </is>
      </c>
      <c r="F476" s="46" t="inlineStr">
        <is>
          <t xml:space="preserve">B1234EXOTIC26</t>
        </is>
      </c>
      <c r="G476" s="33">
        <f>IF($A476="","",IF($C476="","",YEAR($C476)))</f>
      </c>
      <c r="H476" s="49">
        <v>2006</v>
      </c>
      <c r="I476" s="46" t="inlineStr">
        <is>
          <t xml:space="preserve">Maserati</t>
        </is>
      </c>
      <c r="J476" s="46" t="inlineStr">
        <is>
          <t xml:space="preserve">GranTurismo</t>
        </is>
      </c>
      <c r="K476" s="46" t="inlineStr">
        <is>
          <t xml:space="preserve">XN11FC7HY87R4PSP7</t>
        </is>
      </c>
      <c r="L476" s="48" t="inlineStr">
        <is>
          <t xml:space="preserve">02 - Sports / GT</t>
        </is>
      </c>
      <c r="M476" s="50">
        <v>530000</v>
      </c>
      <c r="N476" s="48" t="inlineStr">
        <is>
          <t xml:space="preserve">Personal</t>
        </is>
      </c>
      <c r="O476" s="46" t="inlineStr">
        <is>
          <t xml:space="preserve">Personal - regular use</t>
        </is>
      </c>
      <c r="P476" s="46" t="inlineStr">
        <is>
          <t xml:space="preserve">1,000 - 2,500</t>
        </is>
      </c>
      <c r="Q476" s="46" t="inlineStr">
        <is>
          <t xml:space="preserve">New York</t>
        </is>
      </c>
      <c r="R476" s="46" t="inlineStr">
        <is>
          <t xml:space="preserve">10022</t>
        </is>
      </c>
      <c r="S476" s="48" t="inlineStr">
        <is>
          <t xml:space="preserve">Tier 3 - Coastal wind (25-100 miles)</t>
        </is>
      </c>
      <c r="T476" s="36">
        <f>IF($A476="","",IF($S476="","",IFERROR(INDEX('[1]natural catastrophe'!$D$6:$D$17,MATCH($S476,'[1]natural catastrophe'!$B$6:$B$17,0)),"?")))</f>
      </c>
      <c r="U476" s="46" t="inlineStr">
        <is>
          <t xml:space="preserve">2% of agreed value, minimum $10,000</t>
        </is>
      </c>
      <c r="V476" s="48" t="inlineStr">
        <is>
          <t xml:space="preserve">Agreed Value</t>
        </is>
      </c>
      <c r="W476" s="46" t="inlineStr">
        <is>
          <t xml:space="preserve">$1,000</t>
        </is>
      </c>
      <c r="X476" s="48" t="inlineStr">
        <is>
          <t xml:space="preserve">$1,000,000 CSL</t>
        </is>
      </c>
      <c r="Y476" s="46"/>
      <c r="Z476" s="46"/>
      <c r="AA476" s="48" t="inlineStr">
        <is>
          <t xml:space="preserve">Surplus Lines</t>
        </is>
      </c>
      <c r="AB476" s="50">
        <v>7649.41</v>
      </c>
      <c r="AC476" s="51">
        <v>0</v>
      </c>
      <c r="AD476" s="38">
        <f>IF(ISNUMBER($AB476),$AB476*(1+N($AC476)),"")</f>
      </c>
      <c r="AE476" s="50">
        <v>350</v>
      </c>
      <c r="AF476" s="50">
        <v>0</v>
      </c>
      <c r="AG476" s="51"/>
      <c r="AH476" s="39">
        <f>IF(ISNUMBER($AD476),($AD476+$AE476+$AF476)*$AG476,"")</f>
      </c>
      <c r="AI476" s="50"/>
      <c r="AJ476" s="38">
        <f>IF(ISNUMBER($AD476),SUM($AD476:$AH476),"")</f>
      </c>
      <c r="AK476" s="40">
        <f>IF(AND(ISNUMBER($AB476),ISNUMBER($AD476)),IF($AB476&gt;0,$AD476/$AB476,""),"")</f>
      </c>
      <c r="AL476" s="48" t="inlineStr">
        <is>
          <t xml:space="preserve">At technical</t>
        </is>
      </c>
      <c r="AM476" s="41">
        <f>IF(ISNUMBER($AD476),Header!$I$3,"")</f>
      </c>
      <c r="AN476" s="39">
        <f>IF(ISNUMBER($AD476),$AO476+$AP476,"")</f>
      </c>
      <c r="AO476" s="39">
        <f>IF(ISNUMBER($AD476),ROUND($AD476*Header!$K$3,2),"")</f>
      </c>
      <c r="AP476" s="39">
        <f>IF(ISNUMBER($AD476),ROUND($AD476*Header!$M$3,2),"")</f>
      </c>
      <c r="AQ476" s="38">
        <f>IF(ISNUMBER($AD476),ROUND($AD476,2)-$AO476-$AP476,"")</f>
      </c>
      <c r="AR476" s="39">
        <f>IF(ISNUMBER($AD476),IF(Header!$D$34="","?",$AD476*Header!$D$34),"")</f>
      </c>
      <c r="AS476" s="39">
        <f>IF(ISNUMBER($AB476),IF(Header!$D$34="","?",$AB476*Header!$D$34),"")</f>
      </c>
      <c r="AT476" s="42">
        <f>IF(AND(ISNUMBER($AB476),$M476&gt;0),$AB476/$M476*100,"")</f>
      </c>
      <c r="AU476" s="42">
        <f>IF(AND(ISNUMBER($AD476),$M476&gt;0),$AD476/$M476*100,"")</f>
      </c>
      <c r="AV476" s="40">
        <f>IF(AND(ISNUMBER($AB476),ISNUMBER($AD476),ABS($AB476)&gt;0),$AD476/$AB476,"")</f>
      </c>
      <c r="AW476" s="39">
        <f>IF(ISNUMBER($AD476),MAX(0,(1-0.55-Header!$O$3)*Header!$Q$3*$AQ476),"")</f>
      </c>
      <c r="AX476" s="43">
        <f>IF($A476="","",IF(TRIM(IF($A476="","Missing certificate ref. ","") &amp; IF($C476="","Missing effective date. ","") &amp; IF($D476="","Missing binding status. ","") &amp; IF($E476="","Missing movement type. ","") &amp; IF($I476="","Missing make. ","") &amp; IF($L476="","Missing vehicle class. ","") &amp; IF($M476="","Missing agreed value. ","") &amp; IF($N476="","Missing policy type. ","") &amp; IF($Q476="","Missing garaging state. ","") &amp; IF($R476="","Missing garaging ZIP. ","") &amp; IF($S476="","Missing cat zone. ","") &amp; IF($V476="","Missing valuation basis. ","") &amp; IF($W476="","Missing PD deductible. ","") &amp; IF($X476="","Missing liability limit. ","") &amp; IF($AB476="","Missing technical premium. ","") &amp; IF($AF476="","Missing surplus lines tax %. ",""))="","PASS","FAIL: "&amp;TRIM(IF($A476="","Missing certificate ref. ","") &amp; IF($C476="","Missing effective date. ","") &amp; IF($D476="","Missing binding status. ","") &amp; IF($E476="","Missing movement type. ","") &amp; IF($I476="","Missing make. ","") &amp; IF($L476="","Missing vehicle class. ","") &amp; IF($M476="","Missing agreed value. ","") &amp; IF($N476="","Missing policy type. ","") &amp; IF($Q476="","Missing garaging state. ","") &amp; IF($R476="","Missing garaging ZIP. ","") &amp; IF($S476="","Missing cat zone. ","") &amp; IF($V476="","Missing valuation basis. ","") &amp; IF($W476="","Missing PD deductible. ","") &amp; IF($X476="","Missing liability limit. ","") &amp; IF($AB476="","Missing technical premium. ","") &amp; IF($AF476="","Missing surplus lines tax %. ",""))))</f>
      </c>
      <c r="AY476" s="44">
        <f>IF($M476="","",IF(ISNUMBER($M476),IF($M476&gt;=Header!$C$18,"YES — refer","No"),""))</f>
      </c>
      <c r="AZ476" s="44">
        <f>IF($AD476="","",IF(ISNUMBER($AD476),IF($AD476&lt;Header!$C$20,"BELOW MIN PREMIUM","OK"),""))</f>
      </c>
      <c r="BA476" s="48" t="inlineStr">
        <is>
          <t xml:space="preserve">Yes</t>
        </is>
      </c>
      <c r="BB476" s="48" t="inlineStr">
        <is>
          <t xml:space="preserve">Yes</t>
        </is>
      </c>
      <c r="BC476" s="46" t="inlineStr">
        <is>
          <t xml:space="preserve">Synthetic demo data</t>
        </is>
      </c>
      <c r="BE476" s="45">
        <f>IF(OR($A476="",$L476="",$H476=""),"",IF(AND(LEFT($L476,2)="06",$H476&gt;1945),"FAIL - pre-war class, year "&amp;$H476,IF(AND(LEFT($L476,2)="07",OR($H476&lt;1946,$H476&gt;1972)),"FAIL - 1946-72 class, year "&amp;$H476,IF(AND(LEFT($L476,2)="08",OR($H476&lt;1973,$H476&gt;1999)),"FAIL - 1973-99 class, year "&amp;$H476,IF(AND(LEFT($L476,2)="09",OR($H476&lt;2000,$H476&gt;2010)),"FAIL - 2000-10 class, year "&amp;$H476,"OK")))))</f>
      </c>
      <c r="BF476" s="45">
        <f>IF($AD476="","",IF(ROUND($AO476+$AP476+$AQ476-$AD476,2)=0,"OK","FAIL - out by "&amp;TEXT($AO476+$AP476+$AQ476-$AD476,"$0.00")))</f>
      </c>
    </row>
    <row r="477" spans="1:58" ht="18.75" customHeight="1" x14ac:dyDescent="0.25">
      <c r="A477" s="30" t="inlineStr">
        <is>
          <t xml:space="preserve">CANON-202511-002815</t>
        </is>
      </c>
      <c r="B477" s="30" t="inlineStr">
        <is>
          <t xml:space="preserve">Beatrix Fairweather</t>
        </is>
      </c>
      <c r="C477" s="31">
        <v>45972</v>
      </c>
      <c r="D477" s="32" t="inlineStr">
        <is>
          <t xml:space="preserve">Bound - within authority</t>
        </is>
      </c>
      <c r="E477" s="32" t="inlineStr">
        <is>
          <t xml:space="preserve">New business</t>
        </is>
      </c>
      <c r="F477" s="30" t="inlineStr">
        <is>
          <t xml:space="preserve">B1234EXOTIC26</t>
        </is>
      </c>
      <c r="G477" s="33">
        <f>IF($A477="","",IF($C477="","",YEAR($C477)))</f>
      </c>
      <c r="H477" s="34">
        <v>1965</v>
      </c>
      <c r="I477" s="30" t="inlineStr">
        <is>
          <t xml:space="preserve">Maserati</t>
        </is>
      </c>
      <c r="J477" s="30" t="inlineStr">
        <is>
          <t xml:space="preserve">GranTurismo</t>
        </is>
      </c>
      <c r="K477" s="30" t="inlineStr">
        <is>
          <t xml:space="preserve">U93V55BFSGD43GK5U</t>
        </is>
      </c>
      <c r="L477" s="32" t="inlineStr">
        <is>
          <t xml:space="preserve">02 - Sports / GT</t>
        </is>
      </c>
      <c r="M477" s="35">
        <v>1075000</v>
      </c>
      <c r="N477" s="32" t="inlineStr">
        <is>
          <t xml:space="preserve">Personal</t>
        </is>
      </c>
      <c r="O477" s="30" t="inlineStr">
        <is>
          <t xml:space="preserve">Personal - regular use</t>
        </is>
      </c>
      <c r="P477" s="30" t="inlineStr">
        <is>
          <t xml:space="preserve">1,000 - 2,500</t>
        </is>
      </c>
      <c r="Q477" s="30" t="inlineStr">
        <is>
          <t xml:space="preserve">Illinois</t>
        </is>
      </c>
      <c r="R477" s="30" t="inlineStr">
        <is>
          <t xml:space="preserve">60601</t>
        </is>
      </c>
      <c r="S477" s="32" t="inlineStr">
        <is>
          <t xml:space="preserve">Severe convective - hail / tornado (moderate)</t>
        </is>
      </c>
      <c r="T477" s="36">
        <f>IF($A477="","",IF($S477="","",IFERROR(INDEX('[1]natural catastrophe'!$D$6:$D$17,MATCH($S477,'[1]natural catastrophe'!$B$6:$B$17,0)),"?")))</f>
      </c>
      <c r="U477" s="30" t="inlineStr">
        <is>
          <t xml:space="preserve">$5,000</t>
        </is>
      </c>
      <c r="V477" s="32" t="inlineStr">
        <is>
          <t xml:space="preserve">Agreed Value</t>
        </is>
      </c>
      <c r="W477" s="30" t="inlineStr">
        <is>
          <t xml:space="preserve">$1,000</t>
        </is>
      </c>
      <c r="X477" s="32" t="inlineStr">
        <is>
          <t xml:space="preserve">$1,000,000 CSL</t>
        </is>
      </c>
      <c r="Y477" s="30"/>
      <c r="Z477" s="30"/>
      <c r="AA477" s="32" t="inlineStr">
        <is>
          <t xml:space="preserve">Surplus Lines</t>
        </is>
      </c>
      <c r="AB477" s="35">
        <v>13948.86</v>
      </c>
      <c r="AC477" s="37">
        <v>0</v>
      </c>
      <c r="AD477" s="38">
        <f>IF(ISNUMBER($AB477),$AB477*(1+N($AC477)),"")</f>
      </c>
      <c r="AE477" s="35">
        <v>350</v>
      </c>
      <c r="AF477" s="35">
        <v>250</v>
      </c>
      <c r="AG477" s="37"/>
      <c r="AH477" s="39">
        <f>IF(ISNUMBER($AD477),($AD477+$AE477+$AF477)*$AG477,"")</f>
      </c>
      <c r="AI477" s="35"/>
      <c r="AJ477" s="38">
        <f>IF(ISNUMBER($AD477),SUM($AD477:$AH477),"")</f>
      </c>
      <c r="AK477" s="40">
        <f>IF(AND(ISNUMBER($AB477),ISNUMBER($AD477)),IF($AB477&gt;0,$AD477/$AB477,""),"")</f>
      </c>
      <c r="AL477" s="32" t="inlineStr">
        <is>
          <t xml:space="preserve">At technical</t>
        </is>
      </c>
      <c r="AM477" s="41">
        <f>IF(ISNUMBER($AD477),Header!$I$3,"")</f>
      </c>
      <c r="AN477" s="39">
        <f>IF(ISNUMBER($AD477),$AO477+$AP477,"")</f>
      </c>
      <c r="AO477" s="39">
        <f>IF(ISNUMBER($AD477),ROUND($AD477*Header!$K$3,2),"")</f>
      </c>
      <c r="AP477" s="39">
        <f>IF(ISNUMBER($AD477),ROUND($AD477*Header!$M$3,2),"")</f>
      </c>
      <c r="AQ477" s="38">
        <f>IF(ISNUMBER($AD477),ROUND($AD477,2)-$AO477-$AP477,"")</f>
      </c>
      <c r="AR477" s="39">
        <f>IF(ISNUMBER($AD477),IF(Header!$D$34="","?",$AD477*Header!$D$34),"")</f>
      </c>
      <c r="AS477" s="39">
        <f>IF(ISNUMBER($AB477),IF(Header!$D$34="","?",$AB477*Header!$D$34),"")</f>
      </c>
      <c r="AT477" s="42">
        <f>IF(AND(ISNUMBER($AB477),$M477&gt;0),$AB477/$M477*100,"")</f>
      </c>
      <c r="AU477" s="42">
        <f>IF(AND(ISNUMBER($AD477),$M477&gt;0),$AD477/$M477*100,"")</f>
      </c>
      <c r="AV477" s="40">
        <f>IF(AND(ISNUMBER($AB477),ISNUMBER($AD477),ABS($AB477)&gt;0),$AD477/$AB477,"")</f>
      </c>
      <c r="AW477" s="39">
        <f>IF(ISNUMBER($AD477),MAX(0,(1-0.55-Header!$O$3)*Header!$Q$3*$AQ477),"")</f>
      </c>
      <c r="AX477" s="43">
        <f>IF($A477="","",IF(TRIM(IF($A477="","Missing certificate ref. ","") &amp; IF($C477="","Missing effective date. ","") &amp; IF($D477="","Missing binding status. ","") &amp; IF($E477="","Missing movement type. ","") &amp; IF($I477="","Missing make. ","") &amp; IF($L477="","Missing vehicle class. ","") &amp; IF($M477="","Missing agreed value. ","") &amp; IF($N477="","Missing policy type. ","") &amp; IF($Q477="","Missing garaging state. ","") &amp; IF($R477="","Missing garaging ZIP. ","") &amp; IF($S477="","Missing cat zone. ","") &amp; IF($V477="","Missing valuation basis. ","") &amp; IF($W477="","Missing PD deductible. ","") &amp; IF($X477="","Missing liability limit. ","") &amp; IF($AB477="","Missing technical premium. ","") &amp; IF($AF477="","Missing surplus lines tax %. ",""))="","PASS","FAIL: "&amp;TRIM(IF($A477="","Missing certificate ref. ","") &amp; IF($C477="","Missing effective date. ","") &amp; IF($D477="","Missing binding status. ","") &amp; IF($E477="","Missing movement type. ","") &amp; IF($I477="","Missing make. ","") &amp; IF($L477="","Missing vehicle class. ","") &amp; IF($M477="","Missing agreed value. ","") &amp; IF($N477="","Missing policy type. ","") &amp; IF($Q477="","Missing garaging state. ","") &amp; IF($R477="","Missing garaging ZIP. ","") &amp; IF($S477="","Missing cat zone. ","") &amp; IF($V477="","Missing valuation basis. ","") &amp; IF($W477="","Missing PD deductible. ","") &amp; IF($X477="","Missing liability limit. ","") &amp; IF($AB477="","Missing technical premium. ","") &amp; IF($AF477="","Missing surplus lines tax %. ",""))))</f>
      </c>
      <c r="AY477" s="44">
        <f>IF($M477="","",IF(ISNUMBER($M477),IF($M477&gt;=Header!$C$18,"YES — refer","No"),""))</f>
      </c>
      <c r="AZ477" s="44">
        <f>IF($AD477="","",IF(ISNUMBER($AD477),IF($AD477&lt;Header!$C$20,"BELOW MIN PREMIUM","OK"),""))</f>
      </c>
      <c r="BA477" s="32" t="inlineStr">
        <is>
          <t xml:space="preserve">Yes</t>
        </is>
      </c>
      <c r="BB477" s="32" t="inlineStr">
        <is>
          <t xml:space="preserve">Yes</t>
        </is>
      </c>
      <c r="BC477" s="30" t="inlineStr">
        <is>
          <t xml:space="preserve">Synthetic demo data</t>
        </is>
      </c>
      <c r="BE477" s="45">
        <f>IF(OR($A477="",$L477="",$H477=""),"",IF(AND(LEFT($L477,2)="06",$H477&gt;1945),"FAIL - pre-war class, year "&amp;$H477,IF(AND(LEFT($L477,2)="07",OR($H477&lt;1946,$H477&gt;1972)),"FAIL - 1946-72 class, year "&amp;$H477,IF(AND(LEFT($L477,2)="08",OR($H477&lt;1973,$H477&gt;1999)),"FAIL - 1973-99 class, year "&amp;$H477,IF(AND(LEFT($L477,2)="09",OR($H477&lt;2000,$H477&gt;2010)),"FAIL - 2000-10 class, year "&amp;$H477,"OK")))))</f>
      </c>
      <c r="BF477" s="45">
        <f>IF($AD477="","",IF(ROUND($AO477+$AP477+$AQ477-$AD477,2)=0,"OK","FAIL - out by "&amp;TEXT($AO477+$AP477+$AQ477-$AD477,"$0.00")))</f>
      </c>
    </row>
    <row r="478" spans="1:58" ht="18.75" customHeight="1" x14ac:dyDescent="0.25">
      <c r="A478" s="46" t="inlineStr">
        <is>
          <t xml:space="preserve">CANON-202511-002817</t>
        </is>
      </c>
      <c r="B478" s="46" t="inlineStr">
        <is>
          <t xml:space="preserve">Ingrid Montoya</t>
        </is>
      </c>
      <c r="C478" s="47">
        <v>45979</v>
      </c>
      <c r="D478" s="48" t="inlineStr">
        <is>
          <t xml:space="preserve">Bound - within authority</t>
        </is>
      </c>
      <c r="E478" s="48" t="inlineStr">
        <is>
          <t xml:space="preserve">New business</t>
        </is>
      </c>
      <c r="F478" s="46" t="inlineStr">
        <is>
          <t xml:space="preserve">B1234EXOTIC26</t>
        </is>
      </c>
      <c r="G478" s="33">
        <f>IF($A478="","",IF($C478="","",YEAR($C478)))</f>
      </c>
      <c r="H478" s="49">
        <v>2014</v>
      </c>
      <c r="I478" s="46" t="inlineStr">
        <is>
          <t xml:space="preserve">Singer</t>
        </is>
      </c>
      <c r="J478" s="46" t="inlineStr">
        <is>
          <t xml:space="preserve">911 Reimagined</t>
        </is>
      </c>
      <c r="K478" s="46" t="inlineStr">
        <is>
          <t xml:space="preserve">J5NRMYS3U70USF2S2</t>
        </is>
      </c>
      <c r="L478" s="48" t="inlineStr">
        <is>
          <t xml:space="preserve">11 - Restomod / Coachbuilt / Bespoke</t>
        </is>
      </c>
      <c r="M478" s="50">
        <v>250000</v>
      </c>
      <c r="N478" s="48" t="inlineStr">
        <is>
          <t xml:space="preserve">Personal</t>
        </is>
      </c>
      <c r="O478" s="46" t="inlineStr">
        <is>
          <t xml:space="preserve">Personal - regular use</t>
        </is>
      </c>
      <c r="P478" s="46" t="inlineStr">
        <is>
          <t xml:space="preserve">2,500 - 5,000</t>
        </is>
      </c>
      <c r="Q478" s="46" t="inlineStr">
        <is>
          <t xml:space="preserve">New Mexico</t>
        </is>
      </c>
      <c r="R478" s="46" t="inlineStr">
        <is>
          <t xml:space="preserve">87501</t>
        </is>
      </c>
      <c r="S478" s="48" t="inlineStr">
        <is>
          <t xml:space="preserve">Wildfire - WUI high hazard</t>
        </is>
      </c>
      <c r="T478" s="36">
        <f>IF($A478="","",IF($S478="","",IFERROR(INDEX('[1]natural catastrophe'!$D$6:$D$17,MATCH($S478,'[1]natural catastrophe'!$B$6:$B$17,0)),"?")))</f>
      </c>
      <c r="U478" s="46" t="inlineStr">
        <is>
          <t xml:space="preserve">$5,000</t>
        </is>
      </c>
      <c r="V478" s="48" t="inlineStr">
        <is>
          <t xml:space="preserve">Agreed Value</t>
        </is>
      </c>
      <c r="W478" s="46" t="inlineStr">
        <is>
          <t xml:space="preserve">$1,000</t>
        </is>
      </c>
      <c r="X478" s="48" t="inlineStr">
        <is>
          <t xml:space="preserve">$1,000,000 CSL</t>
        </is>
      </c>
      <c r="Y478" s="46"/>
      <c r="Z478" s="46"/>
      <c r="AA478" s="48" t="inlineStr">
        <is>
          <t xml:space="preserve">Surplus Lines</t>
        </is>
      </c>
      <c r="AB478" s="50">
        <v>4884.97</v>
      </c>
      <c r="AC478" s="51">
        <v>0</v>
      </c>
      <c r="AD478" s="38">
        <f>IF(ISNUMBER($AB478),$AB478*(1+N($AC478)),"")</f>
      </c>
      <c r="AE478" s="50">
        <v>350</v>
      </c>
      <c r="AF478" s="50">
        <v>0</v>
      </c>
      <c r="AG478" s="51"/>
      <c r="AH478" s="39">
        <f>IF(ISNUMBER($AD478),($AD478+$AE478+$AF478)*$AG478,"")</f>
      </c>
      <c r="AI478" s="50"/>
      <c r="AJ478" s="38">
        <f>IF(ISNUMBER($AD478),SUM($AD478:$AH478),"")</f>
      </c>
      <c r="AK478" s="40">
        <f>IF(AND(ISNUMBER($AB478),ISNUMBER($AD478)),IF($AB478&gt;0,$AD478/$AB478,""),"")</f>
      </c>
      <c r="AL478" s="48" t="inlineStr">
        <is>
          <t xml:space="preserve">At technical</t>
        </is>
      </c>
      <c r="AM478" s="41">
        <f>IF(ISNUMBER($AD478),Header!$I$3,"")</f>
      </c>
      <c r="AN478" s="39">
        <f>IF(ISNUMBER($AD478),$AO478+$AP478,"")</f>
      </c>
      <c r="AO478" s="39">
        <f>IF(ISNUMBER($AD478),ROUND($AD478*Header!$K$3,2),"")</f>
      </c>
      <c r="AP478" s="39">
        <f>IF(ISNUMBER($AD478),ROUND($AD478*Header!$M$3,2),"")</f>
      </c>
      <c r="AQ478" s="38">
        <f>IF(ISNUMBER($AD478),ROUND($AD478,2)-$AO478-$AP478,"")</f>
      </c>
      <c r="AR478" s="39">
        <f>IF(ISNUMBER($AD478),IF(Header!$D$34="","?",$AD478*Header!$D$34),"")</f>
      </c>
      <c r="AS478" s="39">
        <f>IF(ISNUMBER($AB478),IF(Header!$D$34="","?",$AB478*Header!$D$34),"")</f>
      </c>
      <c r="AT478" s="42">
        <f>IF(AND(ISNUMBER($AB478),$M478&gt;0),$AB478/$M478*100,"")</f>
      </c>
      <c r="AU478" s="42">
        <f>IF(AND(ISNUMBER($AD478),$M478&gt;0),$AD478/$M478*100,"")</f>
      </c>
      <c r="AV478" s="40">
        <f>IF(AND(ISNUMBER($AB478),ISNUMBER($AD478),ABS($AB478)&gt;0),$AD478/$AB478,"")</f>
      </c>
      <c r="AW478" s="39">
        <f>IF(ISNUMBER($AD478),MAX(0,(1-0.55-Header!$O$3)*Header!$Q$3*$AQ478),"")</f>
      </c>
      <c r="AX478" s="43">
        <f>IF($A478="","",IF(TRIM(IF($A478="","Missing certificate ref. ","") &amp; IF($C478="","Missing effective date. ","") &amp; IF($D478="","Missing binding status. ","") &amp; IF($E478="","Missing movement type. ","") &amp; IF($I478="","Missing make. ","") &amp; IF($L478="","Missing vehicle class. ","") &amp; IF($M478="","Missing agreed value. ","") &amp; IF($N478="","Missing policy type. ","") &amp; IF($Q478="","Missing garaging state. ","") &amp; IF($R478="","Missing garaging ZIP. ","") &amp; IF($S478="","Missing cat zone. ","") &amp; IF($V478="","Missing valuation basis. ","") &amp; IF($W478="","Missing PD deductible. ","") &amp; IF($X478="","Missing liability limit. ","") &amp; IF($AB478="","Missing technical premium. ","") &amp; IF($AF478="","Missing surplus lines tax %. ",""))="","PASS","FAIL: "&amp;TRIM(IF($A478="","Missing certificate ref. ","") &amp; IF($C478="","Missing effective date. ","") &amp; IF($D478="","Missing binding status. ","") &amp; IF($E478="","Missing movement type. ","") &amp; IF($I478="","Missing make. ","") &amp; IF($L478="","Missing vehicle class. ","") &amp; IF($M478="","Missing agreed value. ","") &amp; IF($N478="","Missing policy type. ","") &amp; IF($Q478="","Missing garaging state. ","") &amp; IF($R478="","Missing garaging ZIP. ","") &amp; IF($S478="","Missing cat zone. ","") &amp; IF($V478="","Missing valuation basis. ","") &amp; IF($W478="","Missing PD deductible. ","") &amp; IF($X478="","Missing liability limit. ","") &amp; IF($AB478="","Missing technical premium. ","") &amp; IF($AF478="","Missing surplus lines tax %. ",""))))</f>
      </c>
      <c r="AY478" s="44">
        <f>IF($M478="","",IF(ISNUMBER($M478),IF($M478&gt;=Header!$C$18,"YES — refer","No"),""))</f>
      </c>
      <c r="AZ478" s="44">
        <f>IF($AD478="","",IF(ISNUMBER($AD478),IF($AD478&lt;Header!$C$20,"BELOW MIN PREMIUM","OK"),""))</f>
      </c>
      <c r="BA478" s="48" t="inlineStr">
        <is>
          <t xml:space="preserve">Yes</t>
        </is>
      </c>
      <c r="BB478" s="48" t="inlineStr">
        <is>
          <t xml:space="preserve">Yes</t>
        </is>
      </c>
      <c r="BC478" s="46" t="inlineStr">
        <is>
          <t xml:space="preserve">Synthetic demo data</t>
        </is>
      </c>
      <c r="BE478" s="45">
        <f>IF(OR($A478="",$L478="",$H478=""),"",IF(AND(LEFT($L478,2)="06",$H478&gt;1945),"FAIL - pre-war class, year "&amp;$H478,IF(AND(LEFT($L478,2)="07",OR($H478&lt;1946,$H478&gt;1972)),"FAIL - 1946-72 class, year "&amp;$H478,IF(AND(LEFT($L478,2)="08",OR($H478&lt;1973,$H478&gt;1999)),"FAIL - 1973-99 class, year "&amp;$H478,IF(AND(LEFT($L478,2)="09",OR($H478&lt;2000,$H478&gt;2010)),"FAIL - 2000-10 class, year "&amp;$H478,"OK")))))</f>
      </c>
      <c r="BF478" s="45">
        <f>IF($AD478="","",IF(ROUND($AO478+$AP478+$AQ478-$AD478,2)=0,"OK","FAIL - out by "&amp;TEXT($AO478+$AP478+$AQ478-$AD478,"$0.00")))</f>
      </c>
    </row>
    <row r="479" spans="1:58" ht="18.75" customHeight="1" x14ac:dyDescent="0.25">
      <c r="A479" s="30" t="inlineStr">
        <is>
          <t xml:space="preserve">CANON-202511-002818</t>
        </is>
      </c>
      <c r="B479" s="30" t="inlineStr">
        <is>
          <t xml:space="preserve">Beatrix Montoya</t>
        </is>
      </c>
      <c r="C479" s="31">
        <v>45985</v>
      </c>
      <c r="D479" s="32" t="inlineStr">
        <is>
          <t xml:space="preserve">Bound - within authority</t>
        </is>
      </c>
      <c r="E479" s="32" t="inlineStr">
        <is>
          <t xml:space="preserve">New business</t>
        </is>
      </c>
      <c r="F479" s="30" t="inlineStr">
        <is>
          <t xml:space="preserve">B1234EXOTIC26</t>
        </is>
      </c>
      <c r="G479" s="33">
        <f>IF($A479="","",IF($C479="","",YEAR($C479)))</f>
      </c>
      <c r="H479" s="34">
        <v>1974</v>
      </c>
      <c r="I479" s="30" t="inlineStr">
        <is>
          <t xml:space="preserve">Mercedes-Benz</t>
        </is>
      </c>
      <c r="J479" s="30" t="inlineStr">
        <is>
          <t xml:space="preserve">AMG GT</t>
        </is>
      </c>
      <c r="K479" s="30" t="inlineStr">
        <is>
          <t xml:space="preserve">X9FJGF6SFDK5VSY6M</t>
        </is>
      </c>
      <c r="L479" s="32" t="inlineStr">
        <is>
          <t xml:space="preserve">02 - Sports / GT</t>
        </is>
      </c>
      <c r="M479" s="35">
        <v>340000</v>
      </c>
      <c r="N479" s="32" t="inlineStr">
        <is>
          <t xml:space="preserve">Personal</t>
        </is>
      </c>
      <c r="O479" s="30" t="inlineStr">
        <is>
          <t xml:space="preserve">Personal - regular use</t>
        </is>
      </c>
      <c r="P479" s="30" t="inlineStr">
        <is>
          <t xml:space="preserve">1,000 - 2,500</t>
        </is>
      </c>
      <c r="Q479" s="30" t="inlineStr">
        <is>
          <t xml:space="preserve">Washington</t>
        </is>
      </c>
      <c r="R479" s="30" t="inlineStr">
        <is>
          <t xml:space="preserve">98101</t>
        </is>
      </c>
      <c r="S479" s="32" t="inlineStr">
        <is>
          <t xml:space="preserve">Earthquake - high (CA, Cascadia, New Madrid)</t>
        </is>
      </c>
      <c r="T479" s="36">
        <f>IF($A479="","",IF($S479="","",IFERROR(INDEX('[1]natural catastrophe'!$D$6:$D$17,MATCH($S479,'[1]natural catastrophe'!$B$6:$B$17,0)),"?")))</f>
      </c>
      <c r="U479" s="30" t="inlineStr">
        <is>
          <t xml:space="preserve">$5,000</t>
        </is>
      </c>
      <c r="V479" s="32" t="inlineStr">
        <is>
          <t xml:space="preserve">Agreed Value</t>
        </is>
      </c>
      <c r="W479" s="30" t="inlineStr">
        <is>
          <t xml:space="preserve">$1,000</t>
        </is>
      </c>
      <c r="X479" s="32" t="inlineStr">
        <is>
          <t xml:space="preserve">$1,000,000 CSL</t>
        </is>
      </c>
      <c r="Y479" s="30"/>
      <c r="Z479" s="30"/>
      <c r="AA479" s="32" t="inlineStr">
        <is>
          <t xml:space="preserve">Surplus Lines</t>
        </is>
      </c>
      <c r="AB479" s="35">
        <v>4246.59</v>
      </c>
      <c r="AC479" s="37">
        <v>0</v>
      </c>
      <c r="AD479" s="38">
        <f>IF(ISNUMBER($AB479),$AB479*(1+N($AC479)),"")</f>
      </c>
      <c r="AE479" s="35">
        <v>350</v>
      </c>
      <c r="AF479" s="35">
        <v>0</v>
      </c>
      <c r="AG479" s="37"/>
      <c r="AH479" s="39">
        <f>IF(ISNUMBER($AD479),($AD479+$AE479+$AF479)*$AG479,"")</f>
      </c>
      <c r="AI479" s="35"/>
      <c r="AJ479" s="38">
        <f>IF(ISNUMBER($AD479),SUM($AD479:$AH479),"")</f>
      </c>
      <c r="AK479" s="40">
        <f>IF(AND(ISNUMBER($AB479),ISNUMBER($AD479)),IF($AB479&gt;0,$AD479/$AB479,""),"")</f>
      </c>
      <c r="AL479" s="32" t="inlineStr">
        <is>
          <t xml:space="preserve">At technical</t>
        </is>
      </c>
      <c r="AM479" s="41">
        <f>IF(ISNUMBER($AD479),Header!$I$3,"")</f>
      </c>
      <c r="AN479" s="39">
        <f>IF(ISNUMBER($AD479),$AO479+$AP479,"")</f>
      </c>
      <c r="AO479" s="39">
        <f>IF(ISNUMBER($AD479),ROUND($AD479*Header!$K$3,2),"")</f>
      </c>
      <c r="AP479" s="39">
        <f>IF(ISNUMBER($AD479),ROUND($AD479*Header!$M$3,2),"")</f>
      </c>
      <c r="AQ479" s="38">
        <f>IF(ISNUMBER($AD479),ROUND($AD479,2)-$AO479-$AP479,"")</f>
      </c>
      <c r="AR479" s="39">
        <f>IF(ISNUMBER($AD479),IF(Header!$D$34="","?",$AD479*Header!$D$34),"")</f>
      </c>
      <c r="AS479" s="39">
        <f>IF(ISNUMBER($AB479),IF(Header!$D$34="","?",$AB479*Header!$D$34),"")</f>
      </c>
      <c r="AT479" s="42">
        <f>IF(AND(ISNUMBER($AB479),$M479&gt;0),$AB479/$M479*100,"")</f>
      </c>
      <c r="AU479" s="42">
        <f>IF(AND(ISNUMBER($AD479),$M479&gt;0),$AD479/$M479*100,"")</f>
      </c>
      <c r="AV479" s="40">
        <f>IF(AND(ISNUMBER($AB479),ISNUMBER($AD479),ABS($AB479)&gt;0),$AD479/$AB479,"")</f>
      </c>
      <c r="AW479" s="39">
        <f>IF(ISNUMBER($AD479),MAX(0,(1-0.55-Header!$O$3)*Header!$Q$3*$AQ479),"")</f>
      </c>
      <c r="AX479" s="43">
        <f>IF($A479="","",IF(TRIM(IF($A479="","Missing certificate ref. ","") &amp; IF($C479="","Missing effective date. ","") &amp; IF($D479="","Missing binding status. ","") &amp; IF($E479="","Missing movement type. ","") &amp; IF($I479="","Missing make. ","") &amp; IF($L479="","Missing vehicle class. ","") &amp; IF($M479="","Missing agreed value. ","") &amp; IF($N479="","Missing policy type. ","") &amp; IF($Q479="","Missing garaging state. ","") &amp; IF($R479="","Missing garaging ZIP. ","") &amp; IF($S479="","Missing cat zone. ","") &amp; IF($V479="","Missing valuation basis. ","") &amp; IF($W479="","Missing PD deductible. ","") &amp; IF($X479="","Missing liability limit. ","") &amp; IF($AB479="","Missing technical premium. ","") &amp; IF($AF479="","Missing surplus lines tax %. ",""))="","PASS","FAIL: "&amp;TRIM(IF($A479="","Missing certificate ref. ","") &amp; IF($C479="","Missing effective date. ","") &amp; IF($D479="","Missing binding status. ","") &amp; IF($E479="","Missing movement type. ","") &amp; IF($I479="","Missing make. ","") &amp; IF($L479="","Missing vehicle class. ","") &amp; IF($M479="","Missing agreed value. ","") &amp; IF($N479="","Missing policy type. ","") &amp; IF($Q479="","Missing garaging state. ","") &amp; IF($R479="","Missing garaging ZIP. ","") &amp; IF($S479="","Missing cat zone. ","") &amp; IF($V479="","Missing valuation basis. ","") &amp; IF($W479="","Missing PD deductible. ","") &amp; IF($X479="","Missing liability limit. ","") &amp; IF($AB479="","Missing technical premium. ","") &amp; IF($AF479="","Missing surplus lines tax %. ",""))))</f>
      </c>
      <c r="AY479" s="44">
        <f>IF($M479="","",IF(ISNUMBER($M479),IF($M479&gt;=Header!$C$18,"YES — refer","No"),""))</f>
      </c>
      <c r="AZ479" s="44">
        <f>IF($AD479="","",IF(ISNUMBER($AD479),IF($AD479&lt;Header!$C$20,"BELOW MIN PREMIUM","OK"),""))</f>
      </c>
      <c r="BA479" s="32" t="inlineStr">
        <is>
          <t xml:space="preserve">Yes</t>
        </is>
      </c>
      <c r="BB479" s="32" t="inlineStr">
        <is>
          <t xml:space="preserve">Yes</t>
        </is>
      </c>
      <c r="BC479" s="30" t="inlineStr">
        <is>
          <t xml:space="preserve">Synthetic demo data</t>
        </is>
      </c>
      <c r="BE479" s="45">
        <f>IF(OR($A479="",$L479="",$H479=""),"",IF(AND(LEFT($L479,2)="06",$H479&gt;1945),"FAIL - pre-war class, year "&amp;$H479,IF(AND(LEFT($L479,2)="07",OR($H479&lt;1946,$H479&gt;1972)),"FAIL - 1946-72 class, year "&amp;$H479,IF(AND(LEFT($L479,2)="08",OR($H479&lt;1973,$H479&gt;1999)),"FAIL - 1973-99 class, year "&amp;$H479,IF(AND(LEFT($L479,2)="09",OR($H479&lt;2000,$H479&gt;2010)),"FAIL - 2000-10 class, year "&amp;$H479,"OK")))))</f>
      </c>
      <c r="BF479" s="45">
        <f>IF($AD479="","",IF(ROUND($AO479+$AP479+$AQ479-$AD479,2)=0,"OK","FAIL - out by "&amp;TEXT($AO479+$AP479+$AQ479-$AD479,"$0.00")))</f>
      </c>
    </row>
    <row r="480" spans="1:58" ht="18.75" customHeight="1" x14ac:dyDescent="0.25">
      <c r="A480" s="46" t="inlineStr">
        <is>
          <t xml:space="preserve">CANON-202511-002821</t>
        </is>
      </c>
      <c r="B480" s="46" t="inlineStr">
        <is>
          <t xml:space="preserve">Leopold Montoya</t>
        </is>
      </c>
      <c r="C480" s="47">
        <v>45964</v>
      </c>
      <c r="D480" s="48" t="inlineStr">
        <is>
          <t xml:space="preserve">Bound - within authority</t>
        </is>
      </c>
      <c r="E480" s="48" t="inlineStr">
        <is>
          <t xml:space="preserve">New business</t>
        </is>
      </c>
      <c r="F480" s="46" t="inlineStr">
        <is>
          <t xml:space="preserve">B1234EXOTIC26</t>
        </is>
      </c>
      <c r="G480" s="33">
        <f>IF($A480="","",IF($C480="","",YEAR($C480)))</f>
      </c>
      <c r="H480" s="49">
        <v>1996</v>
      </c>
      <c r="I480" s="46" t="inlineStr">
        <is>
          <t xml:space="preserve">Porsche</t>
        </is>
      </c>
      <c r="J480" s="46" t="inlineStr">
        <is>
          <t xml:space="preserve">911 Turbo S</t>
        </is>
      </c>
      <c r="K480" s="46" t="inlineStr">
        <is>
          <t xml:space="preserve">F3DDSR30WPD0XCWBE</t>
        </is>
      </c>
      <c r="L480" s="48" t="inlineStr">
        <is>
          <t xml:space="preserve">02 - Sports / GT</t>
        </is>
      </c>
      <c r="M480" s="50">
        <v>520000</v>
      </c>
      <c r="N480" s="48" t="inlineStr">
        <is>
          <t xml:space="preserve">Personal</t>
        </is>
      </c>
      <c r="O480" s="46" t="inlineStr">
        <is>
          <t xml:space="preserve">Personal - regular use</t>
        </is>
      </c>
      <c r="P480" s="46" t="inlineStr">
        <is>
          <t xml:space="preserve">Under 1,000</t>
        </is>
      </c>
      <c r="Q480" s="46" t="inlineStr">
        <is>
          <t xml:space="preserve">Louisiana</t>
        </is>
      </c>
      <c r="R480" s="46" t="inlineStr">
        <is>
          <t xml:space="preserve">70112</t>
        </is>
      </c>
      <c r="S480" s="48" t="inlineStr">
        <is>
          <t xml:space="preserve">Tier 2 - Coastal wind (1-25 miles)</t>
        </is>
      </c>
      <c r="T480" s="36">
        <f>IF($A480="","",IF($S480="","",IFERROR(INDEX('[1]natural catastrophe'!$D$6:$D$17,MATCH($S480,'[1]natural catastrophe'!$B$6:$B$17,0)),"?")))</f>
      </c>
      <c r="U480" s="46" t="inlineStr">
        <is>
          <t xml:space="preserve">2% of agreed value, minimum $10,000</t>
        </is>
      </c>
      <c r="V480" s="48" t="inlineStr">
        <is>
          <t xml:space="preserve">Agreed Value</t>
        </is>
      </c>
      <c r="W480" s="46" t="inlineStr">
        <is>
          <t xml:space="preserve">$1,000</t>
        </is>
      </c>
      <c r="X480" s="48" t="inlineStr">
        <is>
          <t xml:space="preserve">$1,000,000 CSL</t>
        </is>
      </c>
      <c r="Y480" s="46"/>
      <c r="Z480" s="46"/>
      <c r="AA480" s="48" t="inlineStr">
        <is>
          <t xml:space="preserve">Surplus Lines</t>
        </is>
      </c>
      <c r="AB480" s="50">
        <v>7094.64</v>
      </c>
      <c r="AC480" s="51">
        <v>0</v>
      </c>
      <c r="AD480" s="38">
        <f>IF(ISNUMBER($AB480),$AB480*(1+N($AC480)),"")</f>
      </c>
      <c r="AE480" s="50">
        <v>350</v>
      </c>
      <c r="AF480" s="50">
        <v>0</v>
      </c>
      <c r="AG480" s="51"/>
      <c r="AH480" s="39">
        <f>IF(ISNUMBER($AD480),($AD480+$AE480+$AF480)*$AG480,"")</f>
      </c>
      <c r="AI480" s="50"/>
      <c r="AJ480" s="38">
        <f>IF(ISNUMBER($AD480),SUM($AD480:$AH480),"")</f>
      </c>
      <c r="AK480" s="40">
        <f>IF(AND(ISNUMBER($AB480),ISNUMBER($AD480)),IF($AB480&gt;0,$AD480/$AB480,""),"")</f>
      </c>
      <c r="AL480" s="48" t="inlineStr">
        <is>
          <t xml:space="preserve">At technical</t>
        </is>
      </c>
      <c r="AM480" s="41">
        <f>IF(ISNUMBER($AD480),Header!$I$3,"")</f>
      </c>
      <c r="AN480" s="39">
        <f>IF(ISNUMBER($AD480),$AO480+$AP480,"")</f>
      </c>
      <c r="AO480" s="39">
        <f>IF(ISNUMBER($AD480),ROUND($AD480*Header!$K$3,2),"")</f>
      </c>
      <c r="AP480" s="39">
        <f>IF(ISNUMBER($AD480),ROUND($AD480*Header!$M$3,2),"")</f>
      </c>
      <c r="AQ480" s="38">
        <f>IF(ISNUMBER($AD480),ROUND($AD480,2)-$AO480-$AP480,"")</f>
      </c>
      <c r="AR480" s="39">
        <f>IF(ISNUMBER($AD480),IF(Header!$D$34="","?",$AD480*Header!$D$34),"")</f>
      </c>
      <c r="AS480" s="39">
        <f>IF(ISNUMBER($AB480),IF(Header!$D$34="","?",$AB480*Header!$D$34),"")</f>
      </c>
      <c r="AT480" s="42">
        <f>IF(AND(ISNUMBER($AB480),$M480&gt;0),$AB480/$M480*100,"")</f>
      </c>
      <c r="AU480" s="42">
        <f>IF(AND(ISNUMBER($AD480),$M480&gt;0),$AD480/$M480*100,"")</f>
      </c>
      <c r="AV480" s="40">
        <f>IF(AND(ISNUMBER($AB480),ISNUMBER($AD480),ABS($AB480)&gt;0),$AD480/$AB480,"")</f>
      </c>
      <c r="AW480" s="39">
        <f>IF(ISNUMBER($AD480),MAX(0,(1-0.55-Header!$O$3)*Header!$Q$3*$AQ480),"")</f>
      </c>
      <c r="AX480" s="43">
        <f>IF($A480="","",IF(TRIM(IF($A480="","Missing certificate ref. ","") &amp; IF($C480="","Missing effective date. ","") &amp; IF($D480="","Missing binding status. ","") &amp; IF($E480="","Missing movement type. ","") &amp; IF($I480="","Missing make. ","") &amp; IF($L480="","Missing vehicle class. ","") &amp; IF($M480="","Missing agreed value. ","") &amp; IF($N480="","Missing policy type. ","") &amp; IF($Q480="","Missing garaging state. ","") &amp; IF($R480="","Missing garaging ZIP. ","") &amp; IF($S480="","Missing cat zone. ","") &amp; IF($V480="","Missing valuation basis. ","") &amp; IF($W480="","Missing PD deductible. ","") &amp; IF($X480="","Missing liability limit. ","") &amp; IF($AB480="","Missing technical premium. ","") &amp; IF($AF480="","Missing surplus lines tax %. ",""))="","PASS","FAIL: "&amp;TRIM(IF($A480="","Missing certificate ref. ","") &amp; IF($C480="","Missing effective date. ","") &amp; IF($D480="","Missing binding status. ","") &amp; IF($E480="","Missing movement type. ","") &amp; IF($I480="","Missing make. ","") &amp; IF($L480="","Missing vehicle class. ","") &amp; IF($M480="","Missing agreed value. ","") &amp; IF($N480="","Missing policy type. ","") &amp; IF($Q480="","Missing garaging state. ","") &amp; IF($R480="","Missing garaging ZIP. ","") &amp; IF($S480="","Missing cat zone. ","") &amp; IF($V480="","Missing valuation basis. ","") &amp; IF($W480="","Missing PD deductible. ","") &amp; IF($X480="","Missing liability limit. ","") &amp; IF($AB480="","Missing technical premium. ","") &amp; IF($AF480="","Missing surplus lines tax %. ",""))))</f>
      </c>
      <c r="AY480" s="44">
        <f>IF($M480="","",IF(ISNUMBER($M480),IF($M480&gt;=Header!$C$18,"YES — refer","No"),""))</f>
      </c>
      <c r="AZ480" s="44">
        <f>IF($AD480="","",IF(ISNUMBER($AD480),IF($AD480&lt;Header!$C$20,"BELOW MIN PREMIUM","OK"),""))</f>
      </c>
      <c r="BA480" s="48" t="inlineStr">
        <is>
          <t xml:space="preserve">Yes</t>
        </is>
      </c>
      <c r="BB480" s="48" t="inlineStr">
        <is>
          <t xml:space="preserve">Yes</t>
        </is>
      </c>
      <c r="BC480" s="46" t="inlineStr">
        <is>
          <t xml:space="preserve">Synthetic demo data</t>
        </is>
      </c>
      <c r="BE480" s="45">
        <f>IF(OR($A480="",$L480="",$H480=""),"",IF(AND(LEFT($L480,2)="06",$H480&gt;1945),"FAIL - pre-war class, year "&amp;$H480,IF(AND(LEFT($L480,2)="07",OR($H480&lt;1946,$H480&gt;1972)),"FAIL - 1946-72 class, year "&amp;$H480,IF(AND(LEFT($L480,2)="08",OR($H480&lt;1973,$H480&gt;1999)),"FAIL - 1973-99 class, year "&amp;$H480,IF(AND(LEFT($L480,2)="09",OR($H480&lt;2000,$H480&gt;2010)),"FAIL - 2000-10 class, year "&amp;$H480,"OK")))))</f>
      </c>
      <c r="BF480" s="45">
        <f>IF($AD480="","",IF(ROUND($AO480+$AP480+$AQ480-$AD480,2)=0,"OK","FAIL - out by "&amp;TEXT($AO480+$AP480+$AQ480-$AD480,"$0.00")))</f>
      </c>
    </row>
    <row r="481" spans="1:58" ht="18.75" customHeight="1" x14ac:dyDescent="0.25">
      <c r="A481" s="30" t="inlineStr">
        <is>
          <t xml:space="preserve">CANON-202511-002823</t>
        </is>
      </c>
      <c r="B481" s="30" t="inlineStr">
        <is>
          <t xml:space="preserve">Thaddeus Rourke</t>
        </is>
      </c>
      <c r="C481" s="31">
        <v>45981</v>
      </c>
      <c r="D481" s="32" t="inlineStr">
        <is>
          <t xml:space="preserve">Bound - within authority</t>
        </is>
      </c>
      <c r="E481" s="32" t="inlineStr">
        <is>
          <t xml:space="preserve">New business</t>
        </is>
      </c>
      <c r="F481" s="30" t="inlineStr">
        <is>
          <t xml:space="preserve">B1234EXOTIC26</t>
        </is>
      </c>
      <c r="G481" s="33">
        <f>IF($A481="","",IF($C481="","",YEAR($C481)))</f>
      </c>
      <c r="H481" s="34">
        <v>1991</v>
      </c>
      <c r="I481" s="30" t="inlineStr">
        <is>
          <t xml:space="preserve">Ferrari</t>
        </is>
      </c>
      <c r="J481" s="30" t="inlineStr">
        <is>
          <t xml:space="preserve">SF90 Stradale</t>
        </is>
      </c>
      <c r="K481" s="30" t="inlineStr">
        <is>
          <t xml:space="preserve">MZ7EYWC8S4M09VBUU</t>
        </is>
      </c>
      <c r="L481" s="32" t="inlineStr">
        <is>
          <t xml:space="preserve">03 - Supercar</t>
        </is>
      </c>
      <c r="M481" s="35">
        <v>1950000</v>
      </c>
      <c r="N481" s="32" t="inlineStr">
        <is>
          <t xml:space="preserve">Personal</t>
        </is>
      </c>
      <c r="O481" s="30" t="inlineStr">
        <is>
          <t xml:space="preserve">Personal - regular use</t>
        </is>
      </c>
      <c r="P481" s="30" t="inlineStr">
        <is>
          <t xml:space="preserve">2,500 - 5,000</t>
        </is>
      </c>
      <c r="Q481" s="30" t="inlineStr">
        <is>
          <t xml:space="preserve">Ohio</t>
        </is>
      </c>
      <c r="R481" s="30" t="inlineStr">
        <is>
          <t xml:space="preserve">43215</t>
        </is>
      </c>
      <c r="S481" s="32" t="inlineStr">
        <is>
          <t xml:space="preserve">Severe convective - hail / tornado (moderate)</t>
        </is>
      </c>
      <c r="T481" s="36">
        <f>IF($A481="","",IF($S481="","",IFERROR(INDEX('[1]natural catastrophe'!$D$6:$D$17,MATCH($S481,'[1]natural catastrophe'!$B$6:$B$17,0)),"?")))</f>
      </c>
      <c r="U481" s="30" t="inlineStr">
        <is>
          <t xml:space="preserve">$5,000</t>
        </is>
      </c>
      <c r="V481" s="32" t="inlineStr">
        <is>
          <t xml:space="preserve">Agreed Value</t>
        </is>
      </c>
      <c r="W481" s="30" t="inlineStr">
        <is>
          <t xml:space="preserve">$1,000</t>
        </is>
      </c>
      <c r="X481" s="32" t="inlineStr">
        <is>
          <t xml:space="preserve">$1,000,000 CSL</t>
        </is>
      </c>
      <c r="Y481" s="30"/>
      <c r="Z481" s="30"/>
      <c r="AA481" s="32" t="inlineStr">
        <is>
          <t xml:space="preserve">Surplus Lines</t>
        </is>
      </c>
      <c r="AB481" s="35">
        <v>37615.61</v>
      </c>
      <c r="AC481" s="37">
        <v>0</v>
      </c>
      <c r="AD481" s="38">
        <f>IF(ISNUMBER($AB481),$AB481*(1+N($AC481)),"")</f>
      </c>
      <c r="AE481" s="35">
        <v>350</v>
      </c>
      <c r="AF481" s="35">
        <v>250</v>
      </c>
      <c r="AG481" s="37"/>
      <c r="AH481" s="39">
        <f>IF(ISNUMBER($AD481),($AD481+$AE481+$AF481)*$AG481,"")</f>
      </c>
      <c r="AI481" s="35"/>
      <c r="AJ481" s="38">
        <f>IF(ISNUMBER($AD481),SUM($AD481:$AH481),"")</f>
      </c>
      <c r="AK481" s="40">
        <f>IF(AND(ISNUMBER($AB481),ISNUMBER($AD481)),IF($AB481&gt;0,$AD481/$AB481,""),"")</f>
      </c>
      <c r="AL481" s="32" t="inlineStr">
        <is>
          <t xml:space="preserve">At technical</t>
        </is>
      </c>
      <c r="AM481" s="41">
        <f>IF(ISNUMBER($AD481),Header!$I$3,"")</f>
      </c>
      <c r="AN481" s="39">
        <f>IF(ISNUMBER($AD481),$AO481+$AP481,"")</f>
      </c>
      <c r="AO481" s="39">
        <f>IF(ISNUMBER($AD481),ROUND($AD481*Header!$K$3,2),"")</f>
      </c>
      <c r="AP481" s="39">
        <f>IF(ISNUMBER($AD481),ROUND($AD481*Header!$M$3,2),"")</f>
      </c>
      <c r="AQ481" s="38">
        <f>IF(ISNUMBER($AD481),ROUND($AD481,2)-$AO481-$AP481,"")</f>
      </c>
      <c r="AR481" s="39">
        <f>IF(ISNUMBER($AD481),IF(Header!$D$34="","?",$AD481*Header!$D$34),"")</f>
      </c>
      <c r="AS481" s="39">
        <f>IF(ISNUMBER($AB481),IF(Header!$D$34="","?",$AB481*Header!$D$34),"")</f>
      </c>
      <c r="AT481" s="42">
        <f>IF(AND(ISNUMBER($AB481),$M481&gt;0),$AB481/$M481*100,"")</f>
      </c>
      <c r="AU481" s="42">
        <f>IF(AND(ISNUMBER($AD481),$M481&gt;0),$AD481/$M481*100,"")</f>
      </c>
      <c r="AV481" s="40">
        <f>IF(AND(ISNUMBER($AB481),ISNUMBER($AD481),ABS($AB481)&gt;0),$AD481/$AB481,"")</f>
      </c>
      <c r="AW481" s="39">
        <f>IF(ISNUMBER($AD481),MAX(0,(1-0.55-Header!$O$3)*Header!$Q$3*$AQ481),"")</f>
      </c>
      <c r="AX481" s="43">
        <f>IF($A481="","",IF(TRIM(IF($A481="","Missing certificate ref. ","") &amp; IF($C481="","Missing effective date. ","") &amp; IF($D481="","Missing binding status. ","") &amp; IF($E481="","Missing movement type. ","") &amp; IF($I481="","Missing make. ","") &amp; IF($L481="","Missing vehicle class. ","") &amp; IF($M481="","Missing agreed value. ","") &amp; IF($N481="","Missing policy type. ","") &amp; IF($Q481="","Missing garaging state. ","") &amp; IF($R481="","Missing garaging ZIP. ","") &amp; IF($S481="","Missing cat zone. ","") &amp; IF($V481="","Missing valuation basis. ","") &amp; IF($W481="","Missing PD deductible. ","") &amp; IF($X481="","Missing liability limit. ","") &amp; IF($AB481="","Missing technical premium. ","") &amp; IF($AF481="","Missing surplus lines tax %. ",""))="","PASS","FAIL: "&amp;TRIM(IF($A481="","Missing certificate ref. ","") &amp; IF($C481="","Missing effective date. ","") &amp; IF($D481="","Missing binding status. ","") &amp; IF($E481="","Missing movement type. ","") &amp; IF($I481="","Missing make. ","") &amp; IF($L481="","Missing vehicle class. ","") &amp; IF($M481="","Missing agreed value. ","") &amp; IF($N481="","Missing policy type. ","") &amp; IF($Q481="","Missing garaging state. ","") &amp; IF($R481="","Missing garaging ZIP. ","") &amp; IF($S481="","Missing cat zone. ","") &amp; IF($V481="","Missing valuation basis. ","") &amp; IF($W481="","Missing PD deductible. ","") &amp; IF($X481="","Missing liability limit. ","") &amp; IF($AB481="","Missing technical premium. ","") &amp; IF($AF481="","Missing surplus lines tax %. ",""))))</f>
      </c>
      <c r="AY481" s="44">
        <f>IF($M481="","",IF(ISNUMBER($M481),IF($M481&gt;=Header!$C$18,"YES — refer","No"),""))</f>
      </c>
      <c r="AZ481" s="44">
        <f>IF($AD481="","",IF(ISNUMBER($AD481),IF($AD481&lt;Header!$C$20,"BELOW MIN PREMIUM","OK"),""))</f>
      </c>
      <c r="BA481" s="32" t="inlineStr">
        <is>
          <t xml:space="preserve">Yes</t>
        </is>
      </c>
      <c r="BB481" s="32" t="inlineStr">
        <is>
          <t xml:space="preserve">Yes</t>
        </is>
      </c>
      <c r="BC481" s="30" t="inlineStr">
        <is>
          <t xml:space="preserve">Synthetic demo data</t>
        </is>
      </c>
      <c r="BE481" s="45">
        <f>IF(OR($A481="",$L481="",$H481=""),"",IF(AND(LEFT($L481,2)="06",$H481&gt;1945),"FAIL - pre-war class, year "&amp;$H481,IF(AND(LEFT($L481,2)="07",OR($H481&lt;1946,$H481&gt;1972)),"FAIL - 1946-72 class, year "&amp;$H481,IF(AND(LEFT($L481,2)="08",OR($H481&lt;1973,$H481&gt;1999)),"FAIL - 1973-99 class, year "&amp;$H481,IF(AND(LEFT($L481,2)="09",OR($H481&lt;2000,$H481&gt;2010)),"FAIL - 2000-10 class, year "&amp;$H481,"OK")))))</f>
      </c>
      <c r="BF481" s="45">
        <f>IF($AD481="","",IF(ROUND($AO481+$AP481+$AQ481-$AD481,2)=0,"OK","FAIL - out by "&amp;TEXT($AO481+$AP481+$AQ481-$AD481,"$0.00")))</f>
      </c>
    </row>
    <row r="482" spans="1:58" ht="18.75" customHeight="1" x14ac:dyDescent="0.25">
      <c r="A482" s="46" t="inlineStr">
        <is>
          <t xml:space="preserve">CANON-202511-002824</t>
        </is>
      </c>
      <c r="B482" s="46" t="inlineStr">
        <is>
          <t xml:space="preserve">Sunniva Delacroix</t>
        </is>
      </c>
      <c r="C482" s="47">
        <v>45987</v>
      </c>
      <c r="D482" s="48" t="inlineStr">
        <is>
          <t xml:space="preserve">Bound - within authority</t>
        </is>
      </c>
      <c r="E482" s="48" t="inlineStr">
        <is>
          <t xml:space="preserve">New business</t>
        </is>
      </c>
      <c r="F482" s="46" t="inlineStr">
        <is>
          <t xml:space="preserve">B1234EXOTIC26</t>
        </is>
      </c>
      <c r="G482" s="33">
        <f>IF($A482="","",IF($C482="","",YEAR($C482)))</f>
      </c>
      <c r="H482" s="49">
        <v>1990</v>
      </c>
      <c r="I482" s="46" t="inlineStr">
        <is>
          <t xml:space="preserve">Bentley</t>
        </is>
      </c>
      <c r="J482" s="46" t="inlineStr">
        <is>
          <t xml:space="preserve">Continental GT</t>
        </is>
      </c>
      <c r="K482" s="46" t="inlineStr">
        <is>
          <t xml:space="preserve">2CKFT79GAHH4KYLT2</t>
        </is>
      </c>
      <c r="L482" s="48" t="inlineStr">
        <is>
          <t xml:space="preserve">02 - Sports / GT</t>
        </is>
      </c>
      <c r="M482" s="50">
        <v>1070000</v>
      </c>
      <c r="N482" s="48" t="inlineStr">
        <is>
          <t xml:space="preserve">Personal</t>
        </is>
      </c>
      <c r="O482" s="46" t="inlineStr">
        <is>
          <t xml:space="preserve">Personal - regular use</t>
        </is>
      </c>
      <c r="P482" s="46" t="inlineStr">
        <is>
          <t xml:space="preserve">Under 1,000</t>
        </is>
      </c>
      <c r="Q482" s="46" t="inlineStr">
        <is>
          <t xml:space="preserve">Virginia</t>
        </is>
      </c>
      <c r="R482" s="46" t="inlineStr">
        <is>
          <t xml:space="preserve">23219</t>
        </is>
      </c>
      <c r="S482" s="48" t="inlineStr">
        <is>
          <t xml:space="preserve">Tier 3 - Coastal wind (25-100 miles)</t>
        </is>
      </c>
      <c r="T482" s="36">
        <f>IF($A482="","",IF($S482="","",IFERROR(INDEX('[1]natural catastrophe'!$D$6:$D$17,MATCH($S482,'[1]natural catastrophe'!$B$6:$B$17,0)),"?")))</f>
      </c>
      <c r="U482" s="46" t="inlineStr">
        <is>
          <t xml:space="preserve">2% of agreed value, minimum $10,000</t>
        </is>
      </c>
      <c r="V482" s="48" t="inlineStr">
        <is>
          <t xml:space="preserve">Agreed Value</t>
        </is>
      </c>
      <c r="W482" s="46" t="inlineStr">
        <is>
          <t xml:space="preserve">$1,000</t>
        </is>
      </c>
      <c r="X482" s="48" t="inlineStr">
        <is>
          <t xml:space="preserve">$1,000,000 CSL</t>
        </is>
      </c>
      <c r="Y482" s="46"/>
      <c r="Z482" s="46"/>
      <c r="AA482" s="48" t="inlineStr">
        <is>
          <t xml:space="preserve">Surplus Lines</t>
        </is>
      </c>
      <c r="AB482" s="50">
        <v>11127.6</v>
      </c>
      <c r="AC482" s="51">
        <v>0</v>
      </c>
      <c r="AD482" s="38">
        <f>IF(ISNUMBER($AB482),$AB482*(1+N($AC482)),"")</f>
      </c>
      <c r="AE482" s="50">
        <v>350</v>
      </c>
      <c r="AF482" s="50">
        <v>250</v>
      </c>
      <c r="AG482" s="51"/>
      <c r="AH482" s="39">
        <f>IF(ISNUMBER($AD482),($AD482+$AE482+$AF482)*$AG482,"")</f>
      </c>
      <c r="AI482" s="50"/>
      <c r="AJ482" s="38">
        <f>IF(ISNUMBER($AD482),SUM($AD482:$AH482),"")</f>
      </c>
      <c r="AK482" s="40">
        <f>IF(AND(ISNUMBER($AB482),ISNUMBER($AD482)),IF($AB482&gt;0,$AD482/$AB482,""),"")</f>
      </c>
      <c r="AL482" s="48" t="inlineStr">
        <is>
          <t xml:space="preserve">At technical</t>
        </is>
      </c>
      <c r="AM482" s="41">
        <f>IF(ISNUMBER($AD482),Header!$I$3,"")</f>
      </c>
      <c r="AN482" s="39">
        <f>IF(ISNUMBER($AD482),$AO482+$AP482,"")</f>
      </c>
      <c r="AO482" s="39">
        <f>IF(ISNUMBER($AD482),ROUND($AD482*Header!$K$3,2),"")</f>
      </c>
      <c r="AP482" s="39">
        <f>IF(ISNUMBER($AD482),ROUND($AD482*Header!$M$3,2),"")</f>
      </c>
      <c r="AQ482" s="38">
        <f>IF(ISNUMBER($AD482),ROUND($AD482,2)-$AO482-$AP482,"")</f>
      </c>
      <c r="AR482" s="39">
        <f>IF(ISNUMBER($AD482),IF(Header!$D$34="","?",$AD482*Header!$D$34),"")</f>
      </c>
      <c r="AS482" s="39">
        <f>IF(ISNUMBER($AB482),IF(Header!$D$34="","?",$AB482*Header!$D$34),"")</f>
      </c>
      <c r="AT482" s="42">
        <f>IF(AND(ISNUMBER($AB482),$M482&gt;0),$AB482/$M482*100,"")</f>
      </c>
      <c r="AU482" s="42">
        <f>IF(AND(ISNUMBER($AD482),$M482&gt;0),$AD482/$M482*100,"")</f>
      </c>
      <c r="AV482" s="40">
        <f>IF(AND(ISNUMBER($AB482),ISNUMBER($AD482),ABS($AB482)&gt;0),$AD482/$AB482,"")</f>
      </c>
      <c r="AW482" s="39">
        <f>IF(ISNUMBER($AD482),MAX(0,(1-0.55-Header!$O$3)*Header!$Q$3*$AQ482),"")</f>
      </c>
      <c r="AX482" s="43">
        <f>IF($A482="","",IF(TRIM(IF($A482="","Missing certificate ref. ","") &amp; IF($C482="","Missing effective date. ","") &amp; IF($D482="","Missing binding status. ","") &amp; IF($E482="","Missing movement type. ","") &amp; IF($I482="","Missing make. ","") &amp; IF($L482="","Missing vehicle class. ","") &amp; IF($M482="","Missing agreed value. ","") &amp; IF($N482="","Missing policy type. ","") &amp; IF($Q482="","Missing garaging state. ","") &amp; IF($R482="","Missing garaging ZIP. ","") &amp; IF($S482="","Missing cat zone. ","") &amp; IF($V482="","Missing valuation basis. ","") &amp; IF($W482="","Missing PD deductible. ","") &amp; IF($X482="","Missing liability limit. ","") &amp; IF($AB482="","Missing technical premium. ","") &amp; IF($AF482="","Missing surplus lines tax %. ",""))="","PASS","FAIL: "&amp;TRIM(IF($A482="","Missing certificate ref. ","") &amp; IF($C482="","Missing effective date. ","") &amp; IF($D482="","Missing binding status. ","") &amp; IF($E482="","Missing movement type. ","") &amp; IF($I482="","Missing make. ","") &amp; IF($L482="","Missing vehicle class. ","") &amp; IF($M482="","Missing agreed value. ","") &amp; IF($N482="","Missing policy type. ","") &amp; IF($Q482="","Missing garaging state. ","") &amp; IF($R482="","Missing garaging ZIP. ","") &amp; IF($S482="","Missing cat zone. ","") &amp; IF($V482="","Missing valuation basis. ","") &amp; IF($W482="","Missing PD deductible. ","") &amp; IF($X482="","Missing liability limit. ","") &amp; IF($AB482="","Missing technical premium. ","") &amp; IF($AF482="","Missing surplus lines tax %. ",""))))</f>
      </c>
      <c r="AY482" s="44">
        <f>IF($M482="","",IF(ISNUMBER($M482),IF($M482&gt;=Header!$C$18,"YES — refer","No"),""))</f>
      </c>
      <c r="AZ482" s="44">
        <f>IF($AD482="","",IF(ISNUMBER($AD482),IF($AD482&lt;Header!$C$20,"BELOW MIN PREMIUM","OK"),""))</f>
      </c>
      <c r="BA482" s="48" t="inlineStr">
        <is>
          <t xml:space="preserve">Yes</t>
        </is>
      </c>
      <c r="BB482" s="48" t="inlineStr">
        <is>
          <t xml:space="preserve">Yes</t>
        </is>
      </c>
      <c r="BC482" s="46" t="inlineStr">
        <is>
          <t xml:space="preserve">Synthetic demo data</t>
        </is>
      </c>
      <c r="BE482" s="45">
        <f>IF(OR($A482="",$L482="",$H482=""),"",IF(AND(LEFT($L482,2)="06",$H482&gt;1945),"FAIL - pre-war class, year "&amp;$H482,IF(AND(LEFT($L482,2)="07",OR($H482&lt;1946,$H482&gt;1972)),"FAIL - 1946-72 class, year "&amp;$H482,IF(AND(LEFT($L482,2)="08",OR($H482&lt;1973,$H482&gt;1999)),"FAIL - 1973-99 class, year "&amp;$H482,IF(AND(LEFT($L482,2)="09",OR($H482&lt;2000,$H482&gt;2010)),"FAIL - 2000-10 class, year "&amp;$H482,"OK")))))</f>
      </c>
      <c r="BF482" s="45">
        <f>IF($AD482="","",IF(ROUND($AO482+$AP482+$AQ482-$AD482,2)=0,"OK","FAIL - out by "&amp;TEXT($AO482+$AP482+$AQ482-$AD482,"$0.00")))</f>
      </c>
    </row>
    <row r="483" spans="1:58" ht="18.75" customHeight="1" x14ac:dyDescent="0.25">
      <c r="A483" s="30" t="inlineStr">
        <is>
          <t xml:space="preserve">CANON-202511-002825</t>
        </is>
      </c>
      <c r="B483" s="30" t="inlineStr">
        <is>
          <t xml:space="preserve">Fitzgerald Blackwood</t>
        </is>
      </c>
      <c r="C483" s="31">
        <v>45991</v>
      </c>
      <c r="D483" s="32" t="inlineStr">
        <is>
          <t xml:space="preserve">Bound - within authority</t>
        </is>
      </c>
      <c r="E483" s="32" t="inlineStr">
        <is>
          <t xml:space="preserve">New business</t>
        </is>
      </c>
      <c r="F483" s="30" t="inlineStr">
        <is>
          <t xml:space="preserve">B1234EXOTIC26</t>
        </is>
      </c>
      <c r="G483" s="33">
        <f>IF($A483="","",IF($C483="","",YEAR($C483)))</f>
      </c>
      <c r="H483" s="34">
        <v>1957</v>
      </c>
      <c r="I483" s="30" t="inlineStr">
        <is>
          <t xml:space="preserve">Mercedes-Benz</t>
        </is>
      </c>
      <c r="J483" s="30" t="inlineStr">
        <is>
          <t xml:space="preserve">280SL Pagoda</t>
        </is>
      </c>
      <c r="K483" s="30" t="inlineStr">
        <is>
          <t xml:space="preserve">39YM71GEN2ZACEUPR</t>
        </is>
      </c>
      <c r="L483" s="32" t="inlineStr">
        <is>
          <t xml:space="preserve">07 - Post-War Classic (1946-1972)</t>
        </is>
      </c>
      <c r="M483" s="35">
        <v>870000</v>
      </c>
      <c r="N483" s="32" t="inlineStr">
        <is>
          <t xml:space="preserve">Personal</t>
        </is>
      </c>
      <c r="O483" s="30" t="inlineStr">
        <is>
          <t xml:space="preserve">Personal - regular use</t>
        </is>
      </c>
      <c r="P483" s="30" t="inlineStr">
        <is>
          <t xml:space="preserve">2,500 - 5,000</t>
        </is>
      </c>
      <c r="Q483" s="30" t="inlineStr">
        <is>
          <t xml:space="preserve">Delaware</t>
        </is>
      </c>
      <c r="R483" s="30" t="inlineStr">
        <is>
          <t xml:space="preserve">19801</t>
        </is>
      </c>
      <c r="S483" s="32" t="inlineStr">
        <is>
          <t xml:space="preserve">Tier 3 - Coastal wind (25-100 miles)</t>
        </is>
      </c>
      <c r="T483" s="36">
        <f>IF($A483="","",IF($S483="","",IFERROR(INDEX('[1]natural catastrophe'!$D$6:$D$17,MATCH($S483,'[1]natural catastrophe'!$B$6:$B$17,0)),"?")))</f>
      </c>
      <c r="U483" s="30" t="inlineStr">
        <is>
          <t xml:space="preserve">2% of agreed value, minimum $10,000</t>
        </is>
      </c>
      <c r="V483" s="32" t="inlineStr">
        <is>
          <t xml:space="preserve">Agreed Value</t>
        </is>
      </c>
      <c r="W483" s="30" t="inlineStr">
        <is>
          <t xml:space="preserve">$1,000</t>
        </is>
      </c>
      <c r="X483" s="32" t="inlineStr">
        <is>
          <t xml:space="preserve">$1,000,000 CSL</t>
        </is>
      </c>
      <c r="Y483" s="30"/>
      <c r="Z483" s="30"/>
      <c r="AA483" s="32" t="inlineStr">
        <is>
          <t xml:space="preserve">Surplus Lines</t>
        </is>
      </c>
      <c r="AB483" s="35">
        <v>8111.97</v>
      </c>
      <c r="AC483" s="37">
        <v>0</v>
      </c>
      <c r="AD483" s="38">
        <f>IF(ISNUMBER($AB483),$AB483*(1+N($AC483)),"")</f>
      </c>
      <c r="AE483" s="35">
        <v>350</v>
      </c>
      <c r="AF483" s="35">
        <v>0</v>
      </c>
      <c r="AG483" s="37"/>
      <c r="AH483" s="39">
        <f>IF(ISNUMBER($AD483),($AD483+$AE483+$AF483)*$AG483,"")</f>
      </c>
      <c r="AI483" s="35"/>
      <c r="AJ483" s="38">
        <f>IF(ISNUMBER($AD483),SUM($AD483:$AH483),"")</f>
      </c>
      <c r="AK483" s="40">
        <f>IF(AND(ISNUMBER($AB483),ISNUMBER($AD483)),IF($AB483&gt;0,$AD483/$AB483,""),"")</f>
      </c>
      <c r="AL483" s="32" t="inlineStr">
        <is>
          <t xml:space="preserve">At technical</t>
        </is>
      </c>
      <c r="AM483" s="41">
        <f>IF(ISNUMBER($AD483),Header!$I$3,"")</f>
      </c>
      <c r="AN483" s="39">
        <f>IF(ISNUMBER($AD483),$AO483+$AP483,"")</f>
      </c>
      <c r="AO483" s="39">
        <f>IF(ISNUMBER($AD483),ROUND($AD483*Header!$K$3,2),"")</f>
      </c>
      <c r="AP483" s="39">
        <f>IF(ISNUMBER($AD483),ROUND($AD483*Header!$M$3,2),"")</f>
      </c>
      <c r="AQ483" s="38">
        <f>IF(ISNUMBER($AD483),ROUND($AD483,2)-$AO483-$AP483,"")</f>
      </c>
      <c r="AR483" s="39">
        <f>IF(ISNUMBER($AD483),IF(Header!$D$34="","?",$AD483*Header!$D$34),"")</f>
      </c>
      <c r="AS483" s="39">
        <f>IF(ISNUMBER($AB483),IF(Header!$D$34="","?",$AB483*Header!$D$34),"")</f>
      </c>
      <c r="AT483" s="42">
        <f>IF(AND(ISNUMBER($AB483),$M483&gt;0),$AB483/$M483*100,"")</f>
      </c>
      <c r="AU483" s="42">
        <f>IF(AND(ISNUMBER($AD483),$M483&gt;0),$AD483/$M483*100,"")</f>
      </c>
      <c r="AV483" s="40">
        <f>IF(AND(ISNUMBER($AB483),ISNUMBER($AD483),ABS($AB483)&gt;0),$AD483/$AB483,"")</f>
      </c>
      <c r="AW483" s="39">
        <f>IF(ISNUMBER($AD483),MAX(0,(1-0.55-Header!$O$3)*Header!$Q$3*$AQ483),"")</f>
      </c>
      <c r="AX483" s="43">
        <f>IF($A483="","",IF(TRIM(IF($A483="","Missing certificate ref. ","") &amp; IF($C483="","Missing effective date. ","") &amp; IF($D483="","Missing binding status. ","") &amp; IF($E483="","Missing movement type. ","") &amp; IF($I483="","Missing make. ","") &amp; IF($L483="","Missing vehicle class. ","") &amp; IF($M483="","Missing agreed value. ","") &amp; IF($N483="","Missing policy type. ","") &amp; IF($Q483="","Missing garaging state. ","") &amp; IF($R483="","Missing garaging ZIP. ","") &amp; IF($S483="","Missing cat zone. ","") &amp; IF($V483="","Missing valuation basis. ","") &amp; IF($W483="","Missing PD deductible. ","") &amp; IF($X483="","Missing liability limit. ","") &amp; IF($AB483="","Missing technical premium. ","") &amp; IF($AF483="","Missing surplus lines tax %. ",""))="","PASS","FAIL: "&amp;TRIM(IF($A483="","Missing certificate ref. ","") &amp; IF($C483="","Missing effective date. ","") &amp; IF($D483="","Missing binding status. ","") &amp; IF($E483="","Missing movement type. ","") &amp; IF($I483="","Missing make. ","") &amp; IF($L483="","Missing vehicle class. ","") &amp; IF($M483="","Missing agreed value. ","") &amp; IF($N483="","Missing policy type. ","") &amp; IF($Q483="","Missing garaging state. ","") &amp; IF($R483="","Missing garaging ZIP. ","") &amp; IF($S483="","Missing cat zone. ","") &amp; IF($V483="","Missing valuation basis. ","") &amp; IF($W483="","Missing PD deductible. ","") &amp; IF($X483="","Missing liability limit. ","") &amp; IF($AB483="","Missing technical premium. ","") &amp; IF($AF483="","Missing surplus lines tax %. ",""))))</f>
      </c>
      <c r="AY483" s="44">
        <f>IF($M483="","",IF(ISNUMBER($M483),IF($M483&gt;=Header!$C$18,"YES — refer","No"),""))</f>
      </c>
      <c r="AZ483" s="44">
        <f>IF($AD483="","",IF(ISNUMBER($AD483),IF($AD483&lt;Header!$C$20,"BELOW MIN PREMIUM","OK"),""))</f>
      </c>
      <c r="BA483" s="32" t="inlineStr">
        <is>
          <t xml:space="preserve">Yes</t>
        </is>
      </c>
      <c r="BB483" s="32" t="inlineStr">
        <is>
          <t xml:space="preserve">Yes</t>
        </is>
      </c>
      <c r="BC483" s="30" t="inlineStr">
        <is>
          <t xml:space="preserve">Synthetic demo data</t>
        </is>
      </c>
      <c r="BE483" s="45">
        <f>IF(OR($A483="",$L483="",$H483=""),"",IF(AND(LEFT($L483,2)="06",$H483&gt;1945),"FAIL - pre-war class, year "&amp;$H483,IF(AND(LEFT($L483,2)="07",OR($H483&lt;1946,$H483&gt;1972)),"FAIL - 1946-72 class, year "&amp;$H483,IF(AND(LEFT($L483,2)="08",OR($H483&lt;1973,$H483&gt;1999)),"FAIL - 1973-99 class, year "&amp;$H483,IF(AND(LEFT($L483,2)="09",OR($H483&lt;2000,$H483&gt;2010)),"FAIL - 2000-10 class, year "&amp;$H483,"OK")))))</f>
      </c>
      <c r="BF483" s="45">
        <f>IF($AD483="","",IF(ROUND($AO483+$AP483+$AQ483-$AD483,2)=0,"OK","FAIL - out by "&amp;TEXT($AO483+$AP483+$AQ483-$AD483,"$0.00")))</f>
      </c>
    </row>
    <row r="484" spans="1:58" ht="18.75" customHeight="1" x14ac:dyDescent="0.25">
      <c r="A484" s="46" t="inlineStr">
        <is>
          <t xml:space="preserve">CANON-202511-002827</t>
        </is>
      </c>
      <c r="B484" s="46" t="inlineStr">
        <is>
          <t xml:space="preserve">Marisol Blackwood</t>
        </is>
      </c>
      <c r="C484" s="47">
        <v>45968</v>
      </c>
      <c r="D484" s="48" t="inlineStr">
        <is>
          <t xml:space="preserve">Bound - within authority</t>
        </is>
      </c>
      <c r="E484" s="48" t="inlineStr">
        <is>
          <t xml:space="preserve">New business</t>
        </is>
      </c>
      <c r="F484" s="46" t="inlineStr">
        <is>
          <t xml:space="preserve">B1234EXOTIC26</t>
        </is>
      </c>
      <c r="G484" s="33">
        <f>IF($A484="","",IF($C484="","",YEAR($C484)))</f>
      </c>
      <c r="H484" s="49">
        <v>2023</v>
      </c>
      <c r="I484" s="46" t="inlineStr">
        <is>
          <t xml:space="preserve">BMW</t>
        </is>
      </c>
      <c r="J484" s="46" t="inlineStr">
        <is>
          <t xml:space="preserve">M8 Competition</t>
        </is>
      </c>
      <c r="K484" s="46" t="inlineStr">
        <is>
          <t xml:space="preserve">PRNBD51ZV016P6JRP</t>
        </is>
      </c>
      <c r="L484" s="48" t="inlineStr">
        <is>
          <t xml:space="preserve">02 - Sports / GT</t>
        </is>
      </c>
      <c r="M484" s="50">
        <v>820000</v>
      </c>
      <c r="N484" s="48" t="inlineStr">
        <is>
          <t xml:space="preserve">Personal</t>
        </is>
      </c>
      <c r="O484" s="46" t="inlineStr">
        <is>
          <t xml:space="preserve">Personal - regular use</t>
        </is>
      </c>
      <c r="P484" s="46" t="inlineStr">
        <is>
          <t xml:space="preserve">Under 1,000</t>
        </is>
      </c>
      <c r="Q484" s="46" t="inlineStr">
        <is>
          <t xml:space="preserve">Hawaii</t>
        </is>
      </c>
      <c r="R484" s="46" t="inlineStr">
        <is>
          <t xml:space="preserve">96813</t>
        </is>
      </c>
      <c r="S484" s="48" t="inlineStr">
        <is>
          <t xml:space="preserve">Earthquake - high (CA, Cascadia, New Madrid)</t>
        </is>
      </c>
      <c r="T484" s="36">
        <f>IF($A484="","",IF($S484="","",IFERROR(INDEX('[1]natural catastrophe'!$D$6:$D$17,MATCH($S484,'[1]natural catastrophe'!$B$6:$B$17,0)),"?")))</f>
      </c>
      <c r="U484" s="46" t="inlineStr">
        <is>
          <t xml:space="preserve">$5,000</t>
        </is>
      </c>
      <c r="V484" s="48" t="inlineStr">
        <is>
          <t xml:space="preserve">Agreed Value</t>
        </is>
      </c>
      <c r="W484" s="46" t="inlineStr">
        <is>
          <t xml:space="preserve">$1,000</t>
        </is>
      </c>
      <c r="X484" s="48" t="inlineStr">
        <is>
          <t xml:space="preserve">$1,000,000 CSL</t>
        </is>
      </c>
      <c r="Y484" s="46"/>
      <c r="Z484" s="46"/>
      <c r="AA484" s="48" t="inlineStr">
        <is>
          <t xml:space="preserve">Surplus Lines</t>
        </is>
      </c>
      <c r="AB484" s="50">
        <v>12019.85</v>
      </c>
      <c r="AC484" s="51">
        <v>0</v>
      </c>
      <c r="AD484" s="38">
        <f>IF(ISNUMBER($AB484),$AB484*(1+N($AC484)),"")</f>
      </c>
      <c r="AE484" s="50">
        <v>350</v>
      </c>
      <c r="AF484" s="50">
        <v>0</v>
      </c>
      <c r="AG484" s="51"/>
      <c r="AH484" s="39">
        <f>IF(ISNUMBER($AD484),($AD484+$AE484+$AF484)*$AG484,"")</f>
      </c>
      <c r="AI484" s="50"/>
      <c r="AJ484" s="38">
        <f>IF(ISNUMBER($AD484),SUM($AD484:$AH484),"")</f>
      </c>
      <c r="AK484" s="40">
        <f>IF(AND(ISNUMBER($AB484),ISNUMBER($AD484)),IF($AB484&gt;0,$AD484/$AB484,""),"")</f>
      </c>
      <c r="AL484" s="48" t="inlineStr">
        <is>
          <t xml:space="preserve">At technical</t>
        </is>
      </c>
      <c r="AM484" s="41">
        <f>IF(ISNUMBER($AD484),Header!$I$3,"")</f>
      </c>
      <c r="AN484" s="39">
        <f>IF(ISNUMBER($AD484),$AO484+$AP484,"")</f>
      </c>
      <c r="AO484" s="39">
        <f>IF(ISNUMBER($AD484),ROUND($AD484*Header!$K$3,2),"")</f>
      </c>
      <c r="AP484" s="39">
        <f>IF(ISNUMBER($AD484),ROUND($AD484*Header!$M$3,2),"")</f>
      </c>
      <c r="AQ484" s="38">
        <f>IF(ISNUMBER($AD484),ROUND($AD484,2)-$AO484-$AP484,"")</f>
      </c>
      <c r="AR484" s="39">
        <f>IF(ISNUMBER($AD484),IF(Header!$D$34="","?",$AD484*Header!$D$34),"")</f>
      </c>
      <c r="AS484" s="39">
        <f>IF(ISNUMBER($AB484),IF(Header!$D$34="","?",$AB484*Header!$D$34),"")</f>
      </c>
      <c r="AT484" s="42">
        <f>IF(AND(ISNUMBER($AB484),$M484&gt;0),$AB484/$M484*100,"")</f>
      </c>
      <c r="AU484" s="42">
        <f>IF(AND(ISNUMBER($AD484),$M484&gt;0),$AD484/$M484*100,"")</f>
      </c>
      <c r="AV484" s="40">
        <f>IF(AND(ISNUMBER($AB484),ISNUMBER($AD484),ABS($AB484)&gt;0),$AD484/$AB484,"")</f>
      </c>
      <c r="AW484" s="39">
        <f>IF(ISNUMBER($AD484),MAX(0,(1-0.55-Header!$O$3)*Header!$Q$3*$AQ484),"")</f>
      </c>
      <c r="AX484" s="43">
        <f>IF($A484="","",IF(TRIM(IF($A484="","Missing certificate ref. ","") &amp; IF($C484="","Missing effective date. ","") &amp; IF($D484="","Missing binding status. ","") &amp; IF($E484="","Missing movement type. ","") &amp; IF($I484="","Missing make. ","") &amp; IF($L484="","Missing vehicle class. ","") &amp; IF($M484="","Missing agreed value. ","") &amp; IF($N484="","Missing policy type. ","") &amp; IF($Q484="","Missing garaging state. ","") &amp; IF($R484="","Missing garaging ZIP. ","") &amp; IF($S484="","Missing cat zone. ","") &amp; IF($V484="","Missing valuation basis. ","") &amp; IF($W484="","Missing PD deductible. ","") &amp; IF($X484="","Missing liability limit. ","") &amp; IF($AB484="","Missing technical premium. ","") &amp; IF($AF484="","Missing surplus lines tax %. ",""))="","PASS","FAIL: "&amp;TRIM(IF($A484="","Missing certificate ref. ","") &amp; IF($C484="","Missing effective date. ","") &amp; IF($D484="","Missing binding status. ","") &amp; IF($E484="","Missing movement type. ","") &amp; IF($I484="","Missing make. ","") &amp; IF($L484="","Missing vehicle class. ","") &amp; IF($M484="","Missing agreed value. ","") &amp; IF($N484="","Missing policy type. ","") &amp; IF($Q484="","Missing garaging state. ","") &amp; IF($R484="","Missing garaging ZIP. ","") &amp; IF($S484="","Missing cat zone. ","") &amp; IF($V484="","Missing valuation basis. ","") &amp; IF($W484="","Missing PD deductible. ","") &amp; IF($X484="","Missing liability limit. ","") &amp; IF($AB484="","Missing technical premium. ","") &amp; IF($AF484="","Missing surplus lines tax %. ",""))))</f>
      </c>
      <c r="AY484" s="44">
        <f>IF($M484="","",IF(ISNUMBER($M484),IF($M484&gt;=Header!$C$18,"YES — refer","No"),""))</f>
      </c>
      <c r="AZ484" s="44">
        <f>IF($AD484="","",IF(ISNUMBER($AD484),IF($AD484&lt;Header!$C$20,"BELOW MIN PREMIUM","OK"),""))</f>
      </c>
      <c r="BA484" s="48" t="inlineStr">
        <is>
          <t xml:space="preserve">Yes</t>
        </is>
      </c>
      <c r="BB484" s="48" t="inlineStr">
        <is>
          <t xml:space="preserve">Yes</t>
        </is>
      </c>
      <c r="BC484" s="46" t="inlineStr">
        <is>
          <t xml:space="preserve">Synthetic demo data</t>
        </is>
      </c>
      <c r="BE484" s="45">
        <f>IF(OR($A484="",$L484="",$H484=""),"",IF(AND(LEFT($L484,2)="06",$H484&gt;1945),"FAIL - pre-war class, year "&amp;$H484,IF(AND(LEFT($L484,2)="07",OR($H484&lt;1946,$H484&gt;1972)),"FAIL - 1946-72 class, year "&amp;$H484,IF(AND(LEFT($L484,2)="08",OR($H484&lt;1973,$H484&gt;1999)),"FAIL - 1973-99 class, year "&amp;$H484,IF(AND(LEFT($L484,2)="09",OR($H484&lt;2000,$H484&gt;2010)),"FAIL - 2000-10 class, year "&amp;$H484,"OK")))))</f>
      </c>
      <c r="BF484" s="45">
        <f>IF($AD484="","",IF(ROUND($AO484+$AP484+$AQ484-$AD484,2)=0,"OK","FAIL - out by "&amp;TEXT($AO484+$AP484+$AQ484-$AD484,"$0.00")))</f>
      </c>
    </row>
    <row r="485" spans="1:58" ht="18.75" customHeight="1" x14ac:dyDescent="0.25">
      <c r="A485" s="30" t="inlineStr">
        <is>
          <t xml:space="preserve">CANON-202511-002829</t>
        </is>
      </c>
      <c r="B485" s="30" t="inlineStr">
        <is>
          <t xml:space="preserve">Ottilie Merriweather</t>
        </is>
      </c>
      <c r="C485" s="31">
        <v>45965</v>
      </c>
      <c r="D485" s="32" t="inlineStr">
        <is>
          <t xml:space="preserve">Bound - within authority</t>
        </is>
      </c>
      <c r="E485" s="32" t="inlineStr">
        <is>
          <t xml:space="preserve">New business</t>
        </is>
      </c>
      <c r="F485" s="30" t="inlineStr">
        <is>
          <t xml:space="preserve">B1234EXOTIC26</t>
        </is>
      </c>
      <c r="G485" s="33">
        <f>IF($A485="","",IF($C485="","",YEAR($C485)))</f>
      </c>
      <c r="H485" s="34">
        <v>2023</v>
      </c>
      <c r="I485" s="30" t="inlineStr">
        <is>
          <t xml:space="preserve">BMW</t>
        </is>
      </c>
      <c r="J485" s="30" t="inlineStr">
        <is>
          <t xml:space="preserve">M8 Competition</t>
        </is>
      </c>
      <c r="K485" s="30" t="inlineStr">
        <is>
          <t xml:space="preserve">XXD3AVLMLAPEKVJHA</t>
        </is>
      </c>
      <c r="L485" s="32" t="inlineStr">
        <is>
          <t xml:space="preserve">02 - Sports / GT</t>
        </is>
      </c>
      <c r="M485" s="35">
        <v>370000</v>
      </c>
      <c r="N485" s="32" t="inlineStr">
        <is>
          <t xml:space="preserve">Personal</t>
        </is>
      </c>
      <c r="O485" s="30" t="inlineStr">
        <is>
          <t xml:space="preserve">Personal - regular use</t>
        </is>
      </c>
      <c r="P485" s="30" t="inlineStr">
        <is>
          <t xml:space="preserve">1,000 - 2,500</t>
        </is>
      </c>
      <c r="Q485" s="30" t="inlineStr">
        <is>
          <t xml:space="preserve">Louisiana</t>
        </is>
      </c>
      <c r="R485" s="30" t="inlineStr">
        <is>
          <t xml:space="preserve">70112</t>
        </is>
      </c>
      <c r="S485" s="32" t="inlineStr">
        <is>
          <t xml:space="preserve">Tier 2 - Coastal wind (1-25 miles)</t>
        </is>
      </c>
      <c r="T485" s="36">
        <f>IF($A485="","",IF($S485="","",IFERROR(INDEX('[1]natural catastrophe'!$D$6:$D$17,MATCH($S485,'[1]natural catastrophe'!$B$6:$B$17,0)),"?")))</f>
      </c>
      <c r="U485" s="30" t="inlineStr">
        <is>
          <t xml:space="preserve">2% of agreed value, minimum $10,000</t>
        </is>
      </c>
      <c r="V485" s="32" t="inlineStr">
        <is>
          <t xml:space="preserve">Agreed Value</t>
        </is>
      </c>
      <c r="W485" s="30" t="inlineStr">
        <is>
          <t xml:space="preserve">$1,000</t>
        </is>
      </c>
      <c r="X485" s="32" t="inlineStr">
        <is>
          <t xml:space="preserve">$1,000,000 CSL</t>
        </is>
      </c>
      <c r="Y485" s="30"/>
      <c r="Z485" s="30"/>
      <c r="AA485" s="32" t="inlineStr">
        <is>
          <t xml:space="preserve">Surplus Lines</t>
        </is>
      </c>
      <c r="AB485" s="35">
        <v>5824.75</v>
      </c>
      <c r="AC485" s="37">
        <v>0</v>
      </c>
      <c r="AD485" s="38">
        <f>IF(ISNUMBER($AB485),$AB485*(1+N($AC485)),"")</f>
      </c>
      <c r="AE485" s="35">
        <v>350</v>
      </c>
      <c r="AF485" s="35">
        <v>0</v>
      </c>
      <c r="AG485" s="37"/>
      <c r="AH485" s="39">
        <f>IF(ISNUMBER($AD485),($AD485+$AE485+$AF485)*$AG485,"")</f>
      </c>
      <c r="AI485" s="35"/>
      <c r="AJ485" s="38">
        <f>IF(ISNUMBER($AD485),SUM($AD485:$AH485),"")</f>
      </c>
      <c r="AK485" s="40">
        <f>IF(AND(ISNUMBER($AB485),ISNUMBER($AD485)),IF($AB485&gt;0,$AD485/$AB485,""),"")</f>
      </c>
      <c r="AL485" s="32" t="inlineStr">
        <is>
          <t xml:space="preserve">At technical</t>
        </is>
      </c>
      <c r="AM485" s="41">
        <f>IF(ISNUMBER($AD485),Header!$I$3,"")</f>
      </c>
      <c r="AN485" s="39">
        <f>IF(ISNUMBER($AD485),$AO485+$AP485,"")</f>
      </c>
      <c r="AO485" s="39">
        <f>IF(ISNUMBER($AD485),ROUND($AD485*Header!$K$3,2),"")</f>
      </c>
      <c r="AP485" s="39">
        <f>IF(ISNUMBER($AD485),ROUND($AD485*Header!$M$3,2),"")</f>
      </c>
      <c r="AQ485" s="38">
        <f>IF(ISNUMBER($AD485),ROUND($AD485,2)-$AO485-$AP485,"")</f>
      </c>
      <c r="AR485" s="39">
        <f>IF(ISNUMBER($AD485),IF(Header!$D$34="","?",$AD485*Header!$D$34),"")</f>
      </c>
      <c r="AS485" s="39">
        <f>IF(ISNUMBER($AB485),IF(Header!$D$34="","?",$AB485*Header!$D$34),"")</f>
      </c>
      <c r="AT485" s="42">
        <f>IF(AND(ISNUMBER($AB485),$M485&gt;0),$AB485/$M485*100,"")</f>
      </c>
      <c r="AU485" s="42">
        <f>IF(AND(ISNUMBER($AD485),$M485&gt;0),$AD485/$M485*100,"")</f>
      </c>
      <c r="AV485" s="40">
        <f>IF(AND(ISNUMBER($AB485),ISNUMBER($AD485),ABS($AB485)&gt;0),$AD485/$AB485,"")</f>
      </c>
      <c r="AW485" s="39">
        <f>IF(ISNUMBER($AD485),MAX(0,(1-0.55-Header!$O$3)*Header!$Q$3*$AQ485),"")</f>
      </c>
      <c r="AX485" s="43">
        <f>IF($A485="","",IF(TRIM(IF($A485="","Missing certificate ref. ","") &amp; IF($C485="","Missing effective date. ","") &amp; IF($D485="","Missing binding status. ","") &amp; IF($E485="","Missing movement type. ","") &amp; IF($I485="","Missing make. ","") &amp; IF($L485="","Missing vehicle class. ","") &amp; IF($M485="","Missing agreed value. ","") &amp; IF($N485="","Missing policy type. ","") &amp; IF($Q485="","Missing garaging state. ","") &amp; IF($R485="","Missing garaging ZIP. ","") &amp; IF($S485="","Missing cat zone. ","") &amp; IF($V485="","Missing valuation basis. ","") &amp; IF($W485="","Missing PD deductible. ","") &amp; IF($X485="","Missing liability limit. ","") &amp; IF($AB485="","Missing technical premium. ","") &amp; IF($AF485="","Missing surplus lines tax %. ",""))="","PASS","FAIL: "&amp;TRIM(IF($A485="","Missing certificate ref. ","") &amp; IF($C485="","Missing effective date. ","") &amp; IF($D485="","Missing binding status. ","") &amp; IF($E485="","Missing movement type. ","") &amp; IF($I485="","Missing make. ","") &amp; IF($L485="","Missing vehicle class. ","") &amp; IF($M485="","Missing agreed value. ","") &amp; IF($N485="","Missing policy type. ","") &amp; IF($Q485="","Missing garaging state. ","") &amp; IF($R485="","Missing garaging ZIP. ","") &amp; IF($S485="","Missing cat zone. ","") &amp; IF($V485="","Missing valuation basis. ","") &amp; IF($W485="","Missing PD deductible. ","") &amp; IF($X485="","Missing liability limit. ","") &amp; IF($AB485="","Missing technical premium. ","") &amp; IF($AF485="","Missing surplus lines tax %. ",""))))</f>
      </c>
      <c r="AY485" s="44">
        <f>IF($M485="","",IF(ISNUMBER($M485),IF($M485&gt;=Header!$C$18,"YES — refer","No"),""))</f>
      </c>
      <c r="AZ485" s="44">
        <f>IF($AD485="","",IF(ISNUMBER($AD485),IF($AD485&lt;Header!$C$20,"BELOW MIN PREMIUM","OK"),""))</f>
      </c>
      <c r="BA485" s="32" t="inlineStr">
        <is>
          <t xml:space="preserve">Yes</t>
        </is>
      </c>
      <c r="BB485" s="32" t="inlineStr">
        <is>
          <t xml:space="preserve">Yes</t>
        </is>
      </c>
      <c r="BC485" s="30" t="inlineStr">
        <is>
          <t xml:space="preserve">Synthetic demo data</t>
        </is>
      </c>
      <c r="BE485" s="45">
        <f>IF(OR($A485="",$L485="",$H485=""),"",IF(AND(LEFT($L485,2)="06",$H485&gt;1945),"FAIL - pre-war class, year "&amp;$H485,IF(AND(LEFT($L485,2)="07",OR($H485&lt;1946,$H485&gt;1972)),"FAIL - 1946-72 class, year "&amp;$H485,IF(AND(LEFT($L485,2)="08",OR($H485&lt;1973,$H485&gt;1999)),"FAIL - 1973-99 class, year "&amp;$H485,IF(AND(LEFT($L485,2)="09",OR($H485&lt;2000,$H485&gt;2010)),"FAIL - 2000-10 class, year "&amp;$H485,"OK")))))</f>
      </c>
      <c r="BF485" s="45">
        <f>IF($AD485="","",IF(ROUND($AO485+$AP485+$AQ485-$AD485,2)=0,"OK","FAIL - out by "&amp;TEXT($AO485+$AP485+$AQ485-$AD485,"$0.00")))</f>
      </c>
    </row>
    <row r="486" spans="1:58" ht="18.75" customHeight="1" x14ac:dyDescent="0.25">
      <c r="A486" s="46" t="inlineStr">
        <is>
          <t xml:space="preserve">CANON-202511-002830</t>
        </is>
      </c>
      <c r="B486" s="46" t="inlineStr">
        <is>
          <t xml:space="preserve">Horace Thistlewood</t>
        </is>
      </c>
      <c r="C486" s="47">
        <v>45963</v>
      </c>
      <c r="D486" s="48" t="inlineStr">
        <is>
          <t xml:space="preserve">Bound - within authority</t>
        </is>
      </c>
      <c r="E486" s="48" t="inlineStr">
        <is>
          <t xml:space="preserve">New business</t>
        </is>
      </c>
      <c r="F486" s="46" t="inlineStr">
        <is>
          <t xml:space="preserve">B1234EXOTIC26</t>
        </is>
      </c>
      <c r="G486" s="33">
        <f>IF($A486="","",IF($C486="","",YEAR($C486)))</f>
      </c>
      <c r="H486" s="49">
        <v>1972</v>
      </c>
      <c r="I486" s="46" t="inlineStr">
        <is>
          <t xml:space="preserve">Bugatti</t>
        </is>
      </c>
      <c r="J486" s="46" t="inlineStr">
        <is>
          <t xml:space="preserve">Type 57</t>
        </is>
      </c>
      <c r="K486" s="46" t="inlineStr">
        <is>
          <t xml:space="preserve">1A7T6MMZMZ9BU3PDA</t>
        </is>
      </c>
      <c r="L486" s="48" t="inlineStr">
        <is>
          <t xml:space="preserve">07 - Post-War Classic (1946-1972)</t>
        </is>
      </c>
      <c r="M486" s="50">
        <v>1950000</v>
      </c>
      <c r="N486" s="48" t="inlineStr">
        <is>
          <t xml:space="preserve">Personal</t>
        </is>
      </c>
      <c r="O486" s="46" t="inlineStr">
        <is>
          <t xml:space="preserve">Personal - regular use</t>
        </is>
      </c>
      <c r="P486" s="46" t="inlineStr">
        <is>
          <t xml:space="preserve">2,500 - 5,000</t>
        </is>
      </c>
      <c r="Q486" s="46" t="inlineStr">
        <is>
          <t xml:space="preserve">New York</t>
        </is>
      </c>
      <c r="R486" s="46" t="inlineStr">
        <is>
          <t xml:space="preserve">10022</t>
        </is>
      </c>
      <c r="S486" s="48" t="inlineStr">
        <is>
          <t xml:space="preserve">Tier 3 - Coastal wind (25-100 miles)</t>
        </is>
      </c>
      <c r="T486" s="36">
        <f>IF($A486="","",IF($S486="","",IFERROR(INDEX('[1]natural catastrophe'!$D$6:$D$17,MATCH($S486,'[1]natural catastrophe'!$B$6:$B$17,0)),"?")))</f>
      </c>
      <c r="U486" s="46" t="inlineStr">
        <is>
          <t xml:space="preserve">2% of agreed value, minimum $10,000</t>
        </is>
      </c>
      <c r="V486" s="48" t="inlineStr">
        <is>
          <t xml:space="preserve">Agreed Value</t>
        </is>
      </c>
      <c r="W486" s="46" t="inlineStr">
        <is>
          <t xml:space="preserve">$1,000</t>
        </is>
      </c>
      <c r="X486" s="48" t="inlineStr">
        <is>
          <t xml:space="preserve">$1,000,000 CSL</t>
        </is>
      </c>
      <c r="Y486" s="46"/>
      <c r="Z486" s="46"/>
      <c r="AA486" s="48" t="inlineStr">
        <is>
          <t xml:space="preserve">Surplus Lines</t>
        </is>
      </c>
      <c r="AB486" s="50">
        <v>14721.51</v>
      </c>
      <c r="AC486" s="51">
        <v>0</v>
      </c>
      <c r="AD486" s="38">
        <f>IF(ISNUMBER($AB486),$AB486*(1+N($AC486)),"")</f>
      </c>
      <c r="AE486" s="50">
        <v>350</v>
      </c>
      <c r="AF486" s="50">
        <v>250</v>
      </c>
      <c r="AG486" s="51"/>
      <c r="AH486" s="39">
        <f>IF(ISNUMBER($AD486),($AD486+$AE486+$AF486)*$AG486,"")</f>
      </c>
      <c r="AI486" s="50"/>
      <c r="AJ486" s="38">
        <f>IF(ISNUMBER($AD486),SUM($AD486:$AH486),"")</f>
      </c>
      <c r="AK486" s="40">
        <f>IF(AND(ISNUMBER($AB486),ISNUMBER($AD486)),IF($AB486&gt;0,$AD486/$AB486,""),"")</f>
      </c>
      <c r="AL486" s="48" t="inlineStr">
        <is>
          <t xml:space="preserve">At technical</t>
        </is>
      </c>
      <c r="AM486" s="41">
        <f>IF(ISNUMBER($AD486),Header!$I$3,"")</f>
      </c>
      <c r="AN486" s="39">
        <f>IF(ISNUMBER($AD486),$AO486+$AP486,"")</f>
      </c>
      <c r="AO486" s="39">
        <f>IF(ISNUMBER($AD486),ROUND($AD486*Header!$K$3,2),"")</f>
      </c>
      <c r="AP486" s="39">
        <f>IF(ISNUMBER($AD486),ROUND($AD486*Header!$M$3,2),"")</f>
      </c>
      <c r="AQ486" s="38">
        <f>IF(ISNUMBER($AD486),ROUND($AD486,2)-$AO486-$AP486,"")</f>
      </c>
      <c r="AR486" s="39">
        <f>IF(ISNUMBER($AD486),IF(Header!$D$34="","?",$AD486*Header!$D$34),"")</f>
      </c>
      <c r="AS486" s="39">
        <f>IF(ISNUMBER($AB486),IF(Header!$D$34="","?",$AB486*Header!$D$34),"")</f>
      </c>
      <c r="AT486" s="42">
        <f>IF(AND(ISNUMBER($AB486),$M486&gt;0),$AB486/$M486*100,"")</f>
      </c>
      <c r="AU486" s="42">
        <f>IF(AND(ISNUMBER($AD486),$M486&gt;0),$AD486/$M486*100,"")</f>
      </c>
      <c r="AV486" s="40">
        <f>IF(AND(ISNUMBER($AB486),ISNUMBER($AD486),ABS($AB486)&gt;0),$AD486/$AB486,"")</f>
      </c>
      <c r="AW486" s="39">
        <f>IF(ISNUMBER($AD486),MAX(0,(1-0.55-Header!$O$3)*Header!$Q$3*$AQ486),"")</f>
      </c>
      <c r="AX486" s="43">
        <f>IF($A486="","",IF(TRIM(IF($A486="","Missing certificate ref. ","") &amp; IF($C486="","Missing effective date. ","") &amp; IF($D486="","Missing binding status. ","") &amp; IF($E486="","Missing movement type. ","") &amp; IF($I486="","Missing make. ","") &amp; IF($L486="","Missing vehicle class. ","") &amp; IF($M486="","Missing agreed value. ","") &amp; IF($N486="","Missing policy type. ","") &amp; IF($Q486="","Missing garaging state. ","") &amp; IF($R486="","Missing garaging ZIP. ","") &amp; IF($S486="","Missing cat zone. ","") &amp; IF($V486="","Missing valuation basis. ","") &amp; IF($W486="","Missing PD deductible. ","") &amp; IF($X486="","Missing liability limit. ","") &amp; IF($AB486="","Missing technical premium. ","") &amp; IF($AF486="","Missing surplus lines tax %. ",""))="","PASS","FAIL: "&amp;TRIM(IF($A486="","Missing certificate ref. ","") &amp; IF($C486="","Missing effective date. ","") &amp; IF($D486="","Missing binding status. ","") &amp; IF($E486="","Missing movement type. ","") &amp; IF($I486="","Missing make. ","") &amp; IF($L486="","Missing vehicle class. ","") &amp; IF($M486="","Missing agreed value. ","") &amp; IF($N486="","Missing policy type. ","") &amp; IF($Q486="","Missing garaging state. ","") &amp; IF($R486="","Missing garaging ZIP. ","") &amp; IF($S486="","Missing cat zone. ","") &amp; IF($V486="","Missing valuation basis. ","") &amp; IF($W486="","Missing PD deductible. ","") &amp; IF($X486="","Missing liability limit. ","") &amp; IF($AB486="","Missing technical premium. ","") &amp; IF($AF486="","Missing surplus lines tax %. ",""))))</f>
      </c>
      <c r="AY486" s="44">
        <f>IF($M486="","",IF(ISNUMBER($M486),IF($M486&gt;=Header!$C$18,"YES — refer","No"),""))</f>
      </c>
      <c r="AZ486" s="44">
        <f>IF($AD486="","",IF(ISNUMBER($AD486),IF($AD486&lt;Header!$C$20,"BELOW MIN PREMIUM","OK"),""))</f>
      </c>
      <c r="BA486" s="48" t="inlineStr">
        <is>
          <t xml:space="preserve">Yes</t>
        </is>
      </c>
      <c r="BB486" s="48" t="inlineStr">
        <is>
          <t xml:space="preserve">Yes</t>
        </is>
      </c>
      <c r="BC486" s="46" t="inlineStr">
        <is>
          <t xml:space="preserve">Synthetic demo data</t>
        </is>
      </c>
      <c r="BE486" s="45">
        <f>IF(OR($A486="",$L486="",$H486=""),"",IF(AND(LEFT($L486,2)="06",$H486&gt;1945),"FAIL - pre-war class, year "&amp;$H486,IF(AND(LEFT($L486,2)="07",OR($H486&lt;1946,$H486&gt;1972)),"FAIL - 1946-72 class, year "&amp;$H486,IF(AND(LEFT($L486,2)="08",OR($H486&lt;1973,$H486&gt;1999)),"FAIL - 1973-99 class, year "&amp;$H486,IF(AND(LEFT($L486,2)="09",OR($H486&lt;2000,$H486&gt;2010)),"FAIL - 2000-10 class, year "&amp;$H486,"OK")))))</f>
      </c>
      <c r="BF486" s="45">
        <f>IF($AD486="","",IF(ROUND($AO486+$AP486+$AQ486-$AD486,2)=0,"OK","FAIL - out by "&amp;TEXT($AO486+$AP486+$AQ486-$AD486,"$0.00")))</f>
      </c>
    </row>
    <row r="487" spans="1:58" ht="18.75" customHeight="1" x14ac:dyDescent="0.25">
      <c r="A487" s="30" t="inlineStr">
        <is>
          <t xml:space="preserve">CANON-202511-002831</t>
        </is>
      </c>
      <c r="B487" s="30" t="inlineStr">
        <is>
          <t xml:space="preserve">Mireille Ashcombe</t>
        </is>
      </c>
      <c r="C487" s="31">
        <v>45971</v>
      </c>
      <c r="D487" s="32" t="inlineStr">
        <is>
          <t xml:space="preserve">Bound - within authority</t>
        </is>
      </c>
      <c r="E487" s="32" t="inlineStr">
        <is>
          <t xml:space="preserve">New business</t>
        </is>
      </c>
      <c r="F487" s="30" t="inlineStr">
        <is>
          <t xml:space="preserve">B1234EXOTIC26</t>
        </is>
      </c>
      <c r="G487" s="33">
        <f>IF($A487="","",IF($C487="","",YEAR($C487)))</f>
      </c>
      <c r="H487" s="34">
        <v>1956</v>
      </c>
      <c r="I487" s="30" t="inlineStr">
        <is>
          <t xml:space="preserve">BMW</t>
        </is>
      </c>
      <c r="J487" s="30" t="inlineStr">
        <is>
          <t xml:space="preserve">M8 Competition</t>
        </is>
      </c>
      <c r="K487" s="30" t="inlineStr">
        <is>
          <t xml:space="preserve">3BVRE2NG6BFAKF100</t>
        </is>
      </c>
      <c r="L487" s="32" t="inlineStr">
        <is>
          <t xml:space="preserve">02 - Sports / GT</t>
        </is>
      </c>
      <c r="M487" s="35">
        <v>225000</v>
      </c>
      <c r="N487" s="32" t="inlineStr">
        <is>
          <t xml:space="preserve">Personal</t>
        </is>
      </c>
      <c r="O487" s="30" t="inlineStr">
        <is>
          <t xml:space="preserve">Personal - regular use</t>
        </is>
      </c>
      <c r="P487" s="30" t="inlineStr">
        <is>
          <t xml:space="preserve">Under 1,000</t>
        </is>
      </c>
      <c r="Q487" s="30" t="inlineStr">
        <is>
          <t xml:space="preserve">New Jersey</t>
        </is>
      </c>
      <c r="R487" s="30" t="inlineStr">
        <is>
          <t xml:space="preserve">07102</t>
        </is>
      </c>
      <c r="S487" s="32" t="inlineStr">
        <is>
          <t xml:space="preserve">Tier 3 - Coastal wind (25-100 miles)</t>
        </is>
      </c>
      <c r="T487" s="36">
        <f>IF($A487="","",IF($S487="","",IFERROR(INDEX('[1]natural catastrophe'!$D$6:$D$17,MATCH($S487,'[1]natural catastrophe'!$B$6:$B$17,0)),"?")))</f>
      </c>
      <c r="U487" s="30" t="inlineStr">
        <is>
          <t xml:space="preserve">2% of agreed value, minimum $10,000</t>
        </is>
      </c>
      <c r="V487" s="32" t="inlineStr">
        <is>
          <t xml:space="preserve">Agreed Value</t>
        </is>
      </c>
      <c r="W487" s="30" t="inlineStr">
        <is>
          <t xml:space="preserve">$1,000</t>
        </is>
      </c>
      <c r="X487" s="32" t="inlineStr">
        <is>
          <t xml:space="preserve">$1,000,000 CSL</t>
        </is>
      </c>
      <c r="Y487" s="30"/>
      <c r="Z487" s="30"/>
      <c r="AA487" s="32" t="inlineStr">
        <is>
          <t xml:space="preserve">Surplus Lines</t>
        </is>
      </c>
      <c r="AB487" s="35">
        <v>3267.69</v>
      </c>
      <c r="AC487" s="37">
        <v>0</v>
      </c>
      <c r="AD487" s="38">
        <f>IF(ISNUMBER($AB487),$AB487*(1+N($AC487)),"")</f>
      </c>
      <c r="AE487" s="35">
        <v>350</v>
      </c>
      <c r="AF487" s="35">
        <v>0</v>
      </c>
      <c r="AG487" s="37"/>
      <c r="AH487" s="39">
        <f>IF(ISNUMBER($AD487),($AD487+$AE487+$AF487)*$AG487,"")</f>
      </c>
      <c r="AI487" s="35"/>
      <c r="AJ487" s="38">
        <f>IF(ISNUMBER($AD487),SUM($AD487:$AH487),"")</f>
      </c>
      <c r="AK487" s="40">
        <f>IF(AND(ISNUMBER($AB487),ISNUMBER($AD487)),IF($AB487&gt;0,$AD487/$AB487,""),"")</f>
      </c>
      <c r="AL487" s="32" t="inlineStr">
        <is>
          <t xml:space="preserve">At technical</t>
        </is>
      </c>
      <c r="AM487" s="41">
        <f>IF(ISNUMBER($AD487),Header!$I$3,"")</f>
      </c>
      <c r="AN487" s="39">
        <f>IF(ISNUMBER($AD487),$AO487+$AP487,"")</f>
      </c>
      <c r="AO487" s="39">
        <f>IF(ISNUMBER($AD487),ROUND($AD487*Header!$K$3,2),"")</f>
      </c>
      <c r="AP487" s="39">
        <f>IF(ISNUMBER($AD487),ROUND($AD487*Header!$M$3,2),"")</f>
      </c>
      <c r="AQ487" s="38">
        <f>IF(ISNUMBER($AD487),ROUND($AD487,2)-$AO487-$AP487,"")</f>
      </c>
      <c r="AR487" s="39">
        <f>IF(ISNUMBER($AD487),IF(Header!$D$34="","?",$AD487*Header!$D$34),"")</f>
      </c>
      <c r="AS487" s="39">
        <f>IF(ISNUMBER($AB487),IF(Header!$D$34="","?",$AB487*Header!$D$34),"")</f>
      </c>
      <c r="AT487" s="42">
        <f>IF(AND(ISNUMBER($AB487),$M487&gt;0),$AB487/$M487*100,"")</f>
      </c>
      <c r="AU487" s="42">
        <f>IF(AND(ISNUMBER($AD487),$M487&gt;0),$AD487/$M487*100,"")</f>
      </c>
      <c r="AV487" s="40">
        <f>IF(AND(ISNUMBER($AB487),ISNUMBER($AD487),ABS($AB487)&gt;0),$AD487/$AB487,"")</f>
      </c>
      <c r="AW487" s="39">
        <f>IF(ISNUMBER($AD487),MAX(0,(1-0.55-Header!$O$3)*Header!$Q$3*$AQ487),"")</f>
      </c>
      <c r="AX487" s="43">
        <f>IF($A487="","",IF(TRIM(IF($A487="","Missing certificate ref. ","") &amp; IF($C487="","Missing effective date. ","") &amp; IF($D487="","Missing binding status. ","") &amp; IF($E487="","Missing movement type. ","") &amp; IF($I487="","Missing make. ","") &amp; IF($L487="","Missing vehicle class. ","") &amp; IF($M487="","Missing agreed value. ","") &amp; IF($N487="","Missing policy type. ","") &amp; IF($Q487="","Missing garaging state. ","") &amp; IF($R487="","Missing garaging ZIP. ","") &amp; IF($S487="","Missing cat zone. ","") &amp; IF($V487="","Missing valuation basis. ","") &amp; IF($W487="","Missing PD deductible. ","") &amp; IF($X487="","Missing liability limit. ","") &amp; IF($AB487="","Missing technical premium. ","") &amp; IF($AF487="","Missing surplus lines tax %. ",""))="","PASS","FAIL: "&amp;TRIM(IF($A487="","Missing certificate ref. ","") &amp; IF($C487="","Missing effective date. ","") &amp; IF($D487="","Missing binding status. ","") &amp; IF($E487="","Missing movement type. ","") &amp; IF($I487="","Missing make. ","") &amp; IF($L487="","Missing vehicle class. ","") &amp; IF($M487="","Missing agreed value. ","") &amp; IF($N487="","Missing policy type. ","") &amp; IF($Q487="","Missing garaging state. ","") &amp; IF($R487="","Missing garaging ZIP. ","") &amp; IF($S487="","Missing cat zone. ","") &amp; IF($V487="","Missing valuation basis. ","") &amp; IF($W487="","Missing PD deductible. ","") &amp; IF($X487="","Missing liability limit. ","") &amp; IF($AB487="","Missing technical premium. ","") &amp; IF($AF487="","Missing surplus lines tax %. ",""))))</f>
      </c>
      <c r="AY487" s="44">
        <f>IF($M487="","",IF(ISNUMBER($M487),IF($M487&gt;=Header!$C$18,"YES — refer","No"),""))</f>
      </c>
      <c r="AZ487" s="44">
        <f>IF($AD487="","",IF(ISNUMBER($AD487),IF($AD487&lt;Header!$C$20,"BELOW MIN PREMIUM","OK"),""))</f>
      </c>
      <c r="BA487" s="32" t="inlineStr">
        <is>
          <t xml:space="preserve">Yes</t>
        </is>
      </c>
      <c r="BB487" s="32" t="inlineStr">
        <is>
          <t xml:space="preserve">Yes</t>
        </is>
      </c>
      <c r="BC487" s="30" t="inlineStr">
        <is>
          <t xml:space="preserve">Synthetic demo data</t>
        </is>
      </c>
      <c r="BE487" s="45">
        <f>IF(OR($A487="",$L487="",$H487=""),"",IF(AND(LEFT($L487,2)="06",$H487&gt;1945),"FAIL - pre-war class, year "&amp;$H487,IF(AND(LEFT($L487,2)="07",OR($H487&lt;1946,$H487&gt;1972)),"FAIL - 1946-72 class, year "&amp;$H487,IF(AND(LEFT($L487,2)="08",OR($H487&lt;1973,$H487&gt;1999)),"FAIL - 1973-99 class, year "&amp;$H487,IF(AND(LEFT($L487,2)="09",OR($H487&lt;2000,$H487&gt;2010)),"FAIL - 2000-10 class, year "&amp;$H487,"OK")))))</f>
      </c>
      <c r="BF487" s="45">
        <f>IF($AD487="","",IF(ROUND($AO487+$AP487+$AQ487-$AD487,2)=0,"OK","FAIL - out by "&amp;TEXT($AO487+$AP487+$AQ487-$AD487,"$0.00")))</f>
      </c>
    </row>
    <row r="488" spans="1:58" ht="18.75" customHeight="1" x14ac:dyDescent="0.25">
      <c r="A488" s="46" t="inlineStr">
        <is>
          <t xml:space="preserve">CANON-202511-002832</t>
        </is>
      </c>
      <c r="B488" s="46" t="inlineStr">
        <is>
          <t xml:space="preserve">Ingrid Fairweather</t>
        </is>
      </c>
      <c r="C488" s="47">
        <v>45982</v>
      </c>
      <c r="D488" s="48" t="inlineStr">
        <is>
          <t xml:space="preserve">Bound - within authority</t>
        </is>
      </c>
      <c r="E488" s="48" t="inlineStr">
        <is>
          <t xml:space="preserve">New business</t>
        </is>
      </c>
      <c r="F488" s="46" t="inlineStr">
        <is>
          <t xml:space="preserve">B1234EXOTIC26</t>
        </is>
      </c>
      <c r="G488" s="33">
        <f>IF($A488="","",IF($C488="","",YEAR($C488)))</f>
      </c>
      <c r="H488" s="49">
        <v>2013</v>
      </c>
      <c r="I488" s="46" t="inlineStr">
        <is>
          <t xml:space="preserve">Maserati</t>
        </is>
      </c>
      <c r="J488" s="46" t="inlineStr">
        <is>
          <t xml:space="preserve">GranTurismo</t>
        </is>
      </c>
      <c r="K488" s="46" t="inlineStr">
        <is>
          <t xml:space="preserve">YFMAGS0SEB2ZRGZVC</t>
        </is>
      </c>
      <c r="L488" s="48" t="inlineStr">
        <is>
          <t xml:space="preserve">02 - Sports / GT</t>
        </is>
      </c>
      <c r="M488" s="50">
        <v>290000</v>
      </c>
      <c r="N488" s="48" t="inlineStr">
        <is>
          <t xml:space="preserve">Personal</t>
        </is>
      </c>
      <c r="O488" s="46" t="inlineStr">
        <is>
          <t xml:space="preserve">Personal - regular use</t>
        </is>
      </c>
      <c r="P488" s="46" t="inlineStr">
        <is>
          <t xml:space="preserve">2,500 - 5,000</t>
        </is>
      </c>
      <c r="Q488" s="46" t="inlineStr">
        <is>
          <t xml:space="preserve">North Dakota</t>
        </is>
      </c>
      <c r="R488" s="46" t="inlineStr">
        <is>
          <t xml:space="preserve">58501</t>
        </is>
      </c>
      <c r="S488" s="48" t="inlineStr">
        <is>
          <t xml:space="preserve">Severe convective - hail alley (high)</t>
        </is>
      </c>
      <c r="T488" s="36">
        <f>IF($A488="","",IF($S488="","",IFERROR(INDEX('[1]natural catastrophe'!$D$6:$D$17,MATCH($S488,'[1]natural catastrophe'!$B$6:$B$17,0)),"?")))</f>
      </c>
      <c r="U488" s="46" t="inlineStr">
        <is>
          <t xml:space="preserve">$5,000</t>
        </is>
      </c>
      <c r="V488" s="48" t="inlineStr">
        <is>
          <t xml:space="preserve">Agreed Value</t>
        </is>
      </c>
      <c r="W488" s="46" t="inlineStr">
        <is>
          <t xml:space="preserve">$1,000</t>
        </is>
      </c>
      <c r="X488" s="48" t="inlineStr">
        <is>
          <t xml:space="preserve">$1,000,000 CSL</t>
        </is>
      </c>
      <c r="Y488" s="46"/>
      <c r="Z488" s="46"/>
      <c r="AA488" s="48" t="inlineStr">
        <is>
          <t xml:space="preserve">Surplus Lines</t>
        </is>
      </c>
      <c r="AB488" s="50">
        <v>3848.47</v>
      </c>
      <c r="AC488" s="51">
        <v>0</v>
      </c>
      <c r="AD488" s="38">
        <f>IF(ISNUMBER($AB488),$AB488*(1+N($AC488)),"")</f>
      </c>
      <c r="AE488" s="50">
        <v>350</v>
      </c>
      <c r="AF488" s="50">
        <v>0</v>
      </c>
      <c r="AG488" s="51"/>
      <c r="AH488" s="39">
        <f>IF(ISNUMBER($AD488),($AD488+$AE488+$AF488)*$AG488,"")</f>
      </c>
      <c r="AI488" s="50"/>
      <c r="AJ488" s="38">
        <f>IF(ISNUMBER($AD488),SUM($AD488:$AH488),"")</f>
      </c>
      <c r="AK488" s="40">
        <f>IF(AND(ISNUMBER($AB488),ISNUMBER($AD488)),IF($AB488&gt;0,$AD488/$AB488,""),"")</f>
      </c>
      <c r="AL488" s="48" t="inlineStr">
        <is>
          <t xml:space="preserve">At technical</t>
        </is>
      </c>
      <c r="AM488" s="41">
        <f>IF(ISNUMBER($AD488),Header!$I$3,"")</f>
      </c>
      <c r="AN488" s="39">
        <f>IF(ISNUMBER($AD488),$AO488+$AP488,"")</f>
      </c>
      <c r="AO488" s="39">
        <f>IF(ISNUMBER($AD488),ROUND($AD488*Header!$K$3,2),"")</f>
      </c>
      <c r="AP488" s="39">
        <f>IF(ISNUMBER($AD488),ROUND($AD488*Header!$M$3,2),"")</f>
      </c>
      <c r="AQ488" s="38">
        <f>IF(ISNUMBER($AD488),ROUND($AD488,2)-$AO488-$AP488,"")</f>
      </c>
      <c r="AR488" s="39">
        <f>IF(ISNUMBER($AD488),IF(Header!$D$34="","?",$AD488*Header!$D$34),"")</f>
      </c>
      <c r="AS488" s="39">
        <f>IF(ISNUMBER($AB488),IF(Header!$D$34="","?",$AB488*Header!$D$34),"")</f>
      </c>
      <c r="AT488" s="42">
        <f>IF(AND(ISNUMBER($AB488),$M488&gt;0),$AB488/$M488*100,"")</f>
      </c>
      <c r="AU488" s="42">
        <f>IF(AND(ISNUMBER($AD488),$M488&gt;0),$AD488/$M488*100,"")</f>
      </c>
      <c r="AV488" s="40">
        <f>IF(AND(ISNUMBER($AB488),ISNUMBER($AD488),ABS($AB488)&gt;0),$AD488/$AB488,"")</f>
      </c>
      <c r="AW488" s="39">
        <f>IF(ISNUMBER($AD488),MAX(0,(1-0.55-Header!$O$3)*Header!$Q$3*$AQ488),"")</f>
      </c>
      <c r="AX488" s="43">
        <f>IF($A488="","",IF(TRIM(IF($A488="","Missing certificate ref. ","") &amp; IF($C488="","Missing effective date. ","") &amp; IF($D488="","Missing binding status. ","") &amp; IF($E488="","Missing movement type. ","") &amp; IF($I488="","Missing make. ","") &amp; IF($L488="","Missing vehicle class. ","") &amp; IF($M488="","Missing agreed value. ","") &amp; IF($N488="","Missing policy type. ","") &amp; IF($Q488="","Missing garaging state. ","") &amp; IF($R488="","Missing garaging ZIP. ","") &amp; IF($S488="","Missing cat zone. ","") &amp; IF($V488="","Missing valuation basis. ","") &amp; IF($W488="","Missing PD deductible. ","") &amp; IF($X488="","Missing liability limit. ","") &amp; IF($AB488="","Missing technical premium. ","") &amp; IF($AF488="","Missing surplus lines tax %. ",""))="","PASS","FAIL: "&amp;TRIM(IF($A488="","Missing certificate ref. ","") &amp; IF($C488="","Missing effective date. ","") &amp; IF($D488="","Missing binding status. ","") &amp; IF($E488="","Missing movement type. ","") &amp; IF($I488="","Missing make. ","") &amp; IF($L488="","Missing vehicle class. ","") &amp; IF($M488="","Missing agreed value. ","") &amp; IF($N488="","Missing policy type. ","") &amp; IF($Q488="","Missing garaging state. ","") &amp; IF($R488="","Missing garaging ZIP. ","") &amp; IF($S488="","Missing cat zone. ","") &amp; IF($V488="","Missing valuation basis. ","") &amp; IF($W488="","Missing PD deductible. ","") &amp; IF($X488="","Missing liability limit. ","") &amp; IF($AB488="","Missing technical premium. ","") &amp; IF($AF488="","Missing surplus lines tax %. ",""))))</f>
      </c>
      <c r="AY488" s="44">
        <f>IF($M488="","",IF(ISNUMBER($M488),IF($M488&gt;=Header!$C$18,"YES — refer","No"),""))</f>
      </c>
      <c r="AZ488" s="44">
        <f>IF($AD488="","",IF(ISNUMBER($AD488),IF($AD488&lt;Header!$C$20,"BELOW MIN PREMIUM","OK"),""))</f>
      </c>
      <c r="BA488" s="48" t="inlineStr">
        <is>
          <t xml:space="preserve">Yes</t>
        </is>
      </c>
      <c r="BB488" s="48" t="inlineStr">
        <is>
          <t xml:space="preserve">Yes</t>
        </is>
      </c>
      <c r="BC488" s="46" t="inlineStr">
        <is>
          <t xml:space="preserve">Synthetic demo data</t>
        </is>
      </c>
      <c r="BE488" s="45">
        <f>IF(OR($A488="",$L488="",$H488=""),"",IF(AND(LEFT($L488,2)="06",$H488&gt;1945),"FAIL - pre-war class, year "&amp;$H488,IF(AND(LEFT($L488,2)="07",OR($H488&lt;1946,$H488&gt;1972)),"FAIL - 1946-72 class, year "&amp;$H488,IF(AND(LEFT($L488,2)="08",OR($H488&lt;1973,$H488&gt;1999)),"FAIL - 1973-99 class, year "&amp;$H488,IF(AND(LEFT($L488,2)="09",OR($H488&lt;2000,$H488&gt;2010)),"FAIL - 2000-10 class, year "&amp;$H488,"OK")))))</f>
      </c>
      <c r="BF488" s="45">
        <f>IF($AD488="","",IF(ROUND($AO488+$AP488+$AQ488-$AD488,2)=0,"OK","FAIL - out by "&amp;TEXT($AO488+$AP488+$AQ488-$AD488,"$0.00")))</f>
      </c>
    </row>
    <row r="489" spans="1:58" ht="18.75" customHeight="1" x14ac:dyDescent="0.25">
      <c r="A489" s="30" t="inlineStr">
        <is>
          <t xml:space="preserve">CANON-202511-002833</t>
        </is>
      </c>
      <c r="B489" s="30" t="inlineStr">
        <is>
          <t xml:space="preserve">Emiliano Delacroix</t>
        </is>
      </c>
      <c r="C489" s="31">
        <v>45966</v>
      </c>
      <c r="D489" s="32" t="inlineStr">
        <is>
          <t xml:space="preserve">Bound - within authority</t>
        </is>
      </c>
      <c r="E489" s="32" t="inlineStr">
        <is>
          <t xml:space="preserve">New business</t>
        </is>
      </c>
      <c r="F489" s="30" t="inlineStr">
        <is>
          <t xml:space="preserve">B1234EXOTIC26</t>
        </is>
      </c>
      <c r="G489" s="33">
        <f>IF($A489="","",IF($C489="","",YEAR($C489)))</f>
      </c>
      <c r="H489" s="34">
        <v>2004</v>
      </c>
      <c r="I489" s="30" t="inlineStr">
        <is>
          <t xml:space="preserve">Ferrari</t>
        </is>
      </c>
      <c r="J489" s="30" t="inlineStr">
        <is>
          <t xml:space="preserve">275 GTB/4</t>
        </is>
      </c>
      <c r="K489" s="30" t="inlineStr">
        <is>
          <t xml:space="preserve">18NBCD926L8M0WGBR</t>
        </is>
      </c>
      <c r="L489" s="32" t="inlineStr">
        <is>
          <t xml:space="preserve">09 - Youngtimer / Collectible (2000-2010)</t>
        </is>
      </c>
      <c r="M489" s="35">
        <v>280000</v>
      </c>
      <c r="N489" s="32" t="inlineStr">
        <is>
          <t xml:space="preserve">Personal</t>
        </is>
      </c>
      <c r="O489" s="30" t="inlineStr">
        <is>
          <t xml:space="preserve">Personal - regular use</t>
        </is>
      </c>
      <c r="P489" s="30" t="inlineStr">
        <is>
          <t xml:space="preserve">Under 1,000</t>
        </is>
      </c>
      <c r="Q489" s="30" t="inlineStr">
        <is>
          <t xml:space="preserve">New Jersey</t>
        </is>
      </c>
      <c r="R489" s="30" t="inlineStr">
        <is>
          <t xml:space="preserve">07102</t>
        </is>
      </c>
      <c r="S489" s="32" t="inlineStr">
        <is>
          <t xml:space="preserve">Tier 3 - Coastal wind (25-100 miles)</t>
        </is>
      </c>
      <c r="T489" s="36">
        <f>IF($A489="","",IF($S489="","",IFERROR(INDEX('[1]natural catastrophe'!$D$6:$D$17,MATCH($S489,'[1]natural catastrophe'!$B$6:$B$17,0)),"?")))</f>
      </c>
      <c r="U489" s="30" t="inlineStr">
        <is>
          <t xml:space="preserve">2% of agreed value, minimum $10,000</t>
        </is>
      </c>
      <c r="V489" s="32" t="inlineStr">
        <is>
          <t xml:space="preserve">Agreed Value</t>
        </is>
      </c>
      <c r="W489" s="30" t="inlineStr">
        <is>
          <t xml:space="preserve">$1,000</t>
        </is>
      </c>
      <c r="X489" s="32" t="inlineStr">
        <is>
          <t xml:space="preserve">$1,000,000 CSL</t>
        </is>
      </c>
      <c r="Y489" s="30"/>
      <c r="Z489" s="30"/>
      <c r="AA489" s="32" t="inlineStr">
        <is>
          <t xml:space="preserve">Surplus Lines</t>
        </is>
      </c>
      <c r="AB489" s="35">
        <v>2121.63</v>
      </c>
      <c r="AC489" s="37">
        <v>0</v>
      </c>
      <c r="AD489" s="38">
        <f>IF(ISNUMBER($AB489),$AB489*(1+N($AC489)),"")</f>
      </c>
      <c r="AE489" s="35">
        <v>350</v>
      </c>
      <c r="AF489" s="35">
        <v>0</v>
      </c>
      <c r="AG489" s="37"/>
      <c r="AH489" s="39">
        <f>IF(ISNUMBER($AD489),($AD489+$AE489+$AF489)*$AG489,"")</f>
      </c>
      <c r="AI489" s="35"/>
      <c r="AJ489" s="38">
        <f>IF(ISNUMBER($AD489),SUM($AD489:$AH489),"")</f>
      </c>
      <c r="AK489" s="40">
        <f>IF(AND(ISNUMBER($AB489),ISNUMBER($AD489)),IF($AB489&gt;0,$AD489/$AB489,""),"")</f>
      </c>
      <c r="AL489" s="32" t="inlineStr">
        <is>
          <t xml:space="preserve">At technical</t>
        </is>
      </c>
      <c r="AM489" s="41">
        <f>IF(ISNUMBER($AD489),Header!$I$3,"")</f>
      </c>
      <c r="AN489" s="39">
        <f>IF(ISNUMBER($AD489),$AO489+$AP489,"")</f>
      </c>
      <c r="AO489" s="39">
        <f>IF(ISNUMBER($AD489),ROUND($AD489*Header!$K$3,2),"")</f>
      </c>
      <c r="AP489" s="39">
        <f>IF(ISNUMBER($AD489),ROUND($AD489*Header!$M$3,2),"")</f>
      </c>
      <c r="AQ489" s="38">
        <f>IF(ISNUMBER($AD489),ROUND($AD489,2)-$AO489-$AP489,"")</f>
      </c>
      <c r="AR489" s="39">
        <f>IF(ISNUMBER($AD489),IF(Header!$D$34="","?",$AD489*Header!$D$34),"")</f>
      </c>
      <c r="AS489" s="39">
        <f>IF(ISNUMBER($AB489),IF(Header!$D$34="","?",$AB489*Header!$D$34),"")</f>
      </c>
      <c r="AT489" s="42">
        <f>IF(AND(ISNUMBER($AB489),$M489&gt;0),$AB489/$M489*100,"")</f>
      </c>
      <c r="AU489" s="42">
        <f>IF(AND(ISNUMBER($AD489),$M489&gt;0),$AD489/$M489*100,"")</f>
      </c>
      <c r="AV489" s="40">
        <f>IF(AND(ISNUMBER($AB489),ISNUMBER($AD489),ABS($AB489)&gt;0),$AD489/$AB489,"")</f>
      </c>
      <c r="AW489" s="39">
        <f>IF(ISNUMBER($AD489),MAX(0,(1-0.55-Header!$O$3)*Header!$Q$3*$AQ489),"")</f>
      </c>
      <c r="AX489" s="43">
        <f>IF($A489="","",IF(TRIM(IF($A489="","Missing certificate ref. ","") &amp; IF($C489="","Missing effective date. ","") &amp; IF($D489="","Missing binding status. ","") &amp; IF($E489="","Missing movement type. ","") &amp; IF($I489="","Missing make. ","") &amp; IF($L489="","Missing vehicle class. ","") &amp; IF($M489="","Missing agreed value. ","") &amp; IF($N489="","Missing policy type. ","") &amp; IF($Q489="","Missing garaging state. ","") &amp; IF($R489="","Missing garaging ZIP. ","") &amp; IF($S489="","Missing cat zone. ","") &amp; IF($V489="","Missing valuation basis. ","") &amp; IF($W489="","Missing PD deductible. ","") &amp; IF($X489="","Missing liability limit. ","") &amp; IF($AB489="","Missing technical premium. ","") &amp; IF($AF489="","Missing surplus lines tax %. ",""))="","PASS","FAIL: "&amp;TRIM(IF($A489="","Missing certificate ref. ","") &amp; IF($C489="","Missing effective date. ","") &amp; IF($D489="","Missing binding status. ","") &amp; IF($E489="","Missing movement type. ","") &amp; IF($I489="","Missing make. ","") &amp; IF($L489="","Missing vehicle class. ","") &amp; IF($M489="","Missing agreed value. ","") &amp; IF($N489="","Missing policy type. ","") &amp; IF($Q489="","Missing garaging state. ","") &amp; IF($R489="","Missing garaging ZIP. ","") &amp; IF($S489="","Missing cat zone. ","") &amp; IF($V489="","Missing valuation basis. ","") &amp; IF($W489="","Missing PD deductible. ","") &amp; IF($X489="","Missing liability limit. ","") &amp; IF($AB489="","Missing technical premium. ","") &amp; IF($AF489="","Missing surplus lines tax %. ",""))))</f>
      </c>
      <c r="AY489" s="44">
        <f>IF($M489="","",IF(ISNUMBER($M489),IF($M489&gt;=Header!$C$18,"YES — refer","No"),""))</f>
      </c>
      <c r="AZ489" s="44">
        <f>IF($AD489="","",IF(ISNUMBER($AD489),IF($AD489&lt;Header!$C$20,"BELOW MIN PREMIUM","OK"),""))</f>
      </c>
      <c r="BA489" s="32" t="inlineStr">
        <is>
          <t xml:space="preserve">Yes</t>
        </is>
      </c>
      <c r="BB489" s="32" t="inlineStr">
        <is>
          <t xml:space="preserve">Yes</t>
        </is>
      </c>
      <c r="BC489" s="30" t="inlineStr">
        <is>
          <t xml:space="preserve">Synthetic demo data</t>
        </is>
      </c>
      <c r="BE489" s="45">
        <f>IF(OR($A489="",$L489="",$H489=""),"",IF(AND(LEFT($L489,2)="06",$H489&gt;1945),"FAIL - pre-war class, year "&amp;$H489,IF(AND(LEFT($L489,2)="07",OR($H489&lt;1946,$H489&gt;1972)),"FAIL - 1946-72 class, year "&amp;$H489,IF(AND(LEFT($L489,2)="08",OR($H489&lt;1973,$H489&gt;1999)),"FAIL - 1973-99 class, year "&amp;$H489,IF(AND(LEFT($L489,2)="09",OR($H489&lt;2000,$H489&gt;2010)),"FAIL - 2000-10 class, year "&amp;$H489,"OK")))))</f>
      </c>
      <c r="BF489" s="45">
        <f>IF($AD489="","",IF(ROUND($AO489+$AP489+$AQ489-$AD489,2)=0,"OK","FAIL - out by "&amp;TEXT($AO489+$AP489+$AQ489-$AD489,"$0.00")))</f>
      </c>
    </row>
    <row r="490" spans="1:58" ht="18.75" customHeight="1" x14ac:dyDescent="0.25">
      <c r="A490" s="46" t="inlineStr">
        <is>
          <t xml:space="preserve">CANON-202511-002834</t>
        </is>
      </c>
      <c r="B490" s="46" t="inlineStr">
        <is>
          <t xml:space="preserve">Lorenzo Castellanos</t>
        </is>
      </c>
      <c r="C490" s="47">
        <v>45970</v>
      </c>
      <c r="D490" s="48" t="inlineStr">
        <is>
          <t xml:space="preserve">Bound - within authority</t>
        </is>
      </c>
      <c r="E490" s="48" t="inlineStr">
        <is>
          <t xml:space="preserve">New business</t>
        </is>
      </c>
      <c r="F490" s="46" t="inlineStr">
        <is>
          <t xml:space="preserve">B1234EXOTIC26</t>
        </is>
      </c>
      <c r="G490" s="33">
        <f>IF($A490="","",IF($C490="","",YEAR($C490)))</f>
      </c>
      <c r="H490" s="49">
        <v>1988</v>
      </c>
      <c r="I490" s="46" t="inlineStr">
        <is>
          <t xml:space="preserve">Mercedes-Benz</t>
        </is>
      </c>
      <c r="J490" s="46" t="inlineStr">
        <is>
          <t xml:space="preserve">AMG GT</t>
        </is>
      </c>
      <c r="K490" s="46" t="inlineStr">
        <is>
          <t xml:space="preserve">NYYKR29FPHMMX0X8F</t>
        </is>
      </c>
      <c r="L490" s="48" t="inlineStr">
        <is>
          <t xml:space="preserve">02 - Sports / GT</t>
        </is>
      </c>
      <c r="M490" s="50">
        <v>800000</v>
      </c>
      <c r="N490" s="48" t="inlineStr">
        <is>
          <t xml:space="preserve">Personal</t>
        </is>
      </c>
      <c r="O490" s="46" t="inlineStr">
        <is>
          <t xml:space="preserve">Personal - regular use</t>
        </is>
      </c>
      <c r="P490" s="46" t="inlineStr">
        <is>
          <t xml:space="preserve">1,000 - 2,500</t>
        </is>
      </c>
      <c r="Q490" s="46" t="inlineStr">
        <is>
          <t xml:space="preserve">Florida</t>
        </is>
      </c>
      <c r="R490" s="46" t="inlineStr">
        <is>
          <t xml:space="preserve">33139</t>
        </is>
      </c>
      <c r="S490" s="48" t="inlineStr">
        <is>
          <t xml:space="preserve">Tier 2 - Coastal wind (1-25 miles)</t>
        </is>
      </c>
      <c r="T490" s="36">
        <f>IF($A490="","",IF($S490="","",IFERROR(INDEX('[1]natural catastrophe'!$D$6:$D$17,MATCH($S490,'[1]natural catastrophe'!$B$6:$B$17,0)),"?")))</f>
      </c>
      <c r="U490" s="46" t="inlineStr">
        <is>
          <t xml:space="preserve">2% of agreed value, minimum $10,000</t>
        </is>
      </c>
      <c r="V490" s="48" t="inlineStr">
        <is>
          <t xml:space="preserve">Agreed Value</t>
        </is>
      </c>
      <c r="W490" s="46" t="inlineStr">
        <is>
          <t xml:space="preserve">$1,000</t>
        </is>
      </c>
      <c r="X490" s="48" t="inlineStr">
        <is>
          <t xml:space="preserve">$1,000,000 CSL</t>
        </is>
      </c>
      <c r="Y490" s="46"/>
      <c r="Z490" s="46"/>
      <c r="AA490" s="48" t="inlineStr">
        <is>
          <t xml:space="preserve">Surplus Lines</t>
        </is>
      </c>
      <c r="AB490" s="50">
        <v>12809.15</v>
      </c>
      <c r="AC490" s="51">
        <v>0</v>
      </c>
      <c r="AD490" s="38">
        <f>IF(ISNUMBER($AB490),$AB490*(1+N($AC490)),"")</f>
      </c>
      <c r="AE490" s="50">
        <v>350</v>
      </c>
      <c r="AF490" s="50">
        <v>0</v>
      </c>
      <c r="AG490" s="51"/>
      <c r="AH490" s="39">
        <f>IF(ISNUMBER($AD490),($AD490+$AE490+$AF490)*$AG490,"")</f>
      </c>
      <c r="AI490" s="50"/>
      <c r="AJ490" s="38">
        <f>IF(ISNUMBER($AD490),SUM($AD490:$AH490),"")</f>
      </c>
      <c r="AK490" s="40">
        <f>IF(AND(ISNUMBER($AB490),ISNUMBER($AD490)),IF($AB490&gt;0,$AD490/$AB490,""),"")</f>
      </c>
      <c r="AL490" s="48" t="inlineStr">
        <is>
          <t xml:space="preserve">At technical</t>
        </is>
      </c>
      <c r="AM490" s="41">
        <f>IF(ISNUMBER($AD490),Header!$I$3,"")</f>
      </c>
      <c r="AN490" s="39">
        <f>IF(ISNUMBER($AD490),$AO490+$AP490,"")</f>
      </c>
      <c r="AO490" s="39">
        <f>IF(ISNUMBER($AD490),ROUND($AD490*Header!$K$3,2),"")</f>
      </c>
      <c r="AP490" s="39">
        <f>IF(ISNUMBER($AD490),ROUND($AD490*Header!$M$3,2),"")</f>
      </c>
      <c r="AQ490" s="38">
        <f>IF(ISNUMBER($AD490),ROUND($AD490,2)-$AO490-$AP490,"")</f>
      </c>
      <c r="AR490" s="39">
        <f>IF(ISNUMBER($AD490),IF(Header!$D$34="","?",$AD490*Header!$D$34),"")</f>
      </c>
      <c r="AS490" s="39">
        <f>IF(ISNUMBER($AB490),IF(Header!$D$34="","?",$AB490*Header!$D$34),"")</f>
      </c>
      <c r="AT490" s="42">
        <f>IF(AND(ISNUMBER($AB490),$M490&gt;0),$AB490/$M490*100,"")</f>
      </c>
      <c r="AU490" s="42">
        <f>IF(AND(ISNUMBER($AD490),$M490&gt;0),$AD490/$M490*100,"")</f>
      </c>
      <c r="AV490" s="40">
        <f>IF(AND(ISNUMBER($AB490),ISNUMBER($AD490),ABS($AB490)&gt;0),$AD490/$AB490,"")</f>
      </c>
      <c r="AW490" s="39">
        <f>IF(ISNUMBER($AD490),MAX(0,(1-0.55-Header!$O$3)*Header!$Q$3*$AQ490),"")</f>
      </c>
      <c r="AX490" s="43">
        <f>IF($A490="","",IF(TRIM(IF($A490="","Missing certificate ref. ","") &amp; IF($C490="","Missing effective date. ","") &amp; IF($D490="","Missing binding status. ","") &amp; IF($E490="","Missing movement type. ","") &amp; IF($I490="","Missing make. ","") &amp; IF($L490="","Missing vehicle class. ","") &amp; IF($M490="","Missing agreed value. ","") &amp; IF($N490="","Missing policy type. ","") &amp; IF($Q490="","Missing garaging state. ","") &amp; IF($R490="","Missing garaging ZIP. ","") &amp; IF($S490="","Missing cat zone. ","") &amp; IF($V490="","Missing valuation basis. ","") &amp; IF($W490="","Missing PD deductible. ","") &amp; IF($X490="","Missing liability limit. ","") &amp; IF($AB490="","Missing technical premium. ","") &amp; IF($AF490="","Missing surplus lines tax %. ",""))="","PASS","FAIL: "&amp;TRIM(IF($A490="","Missing certificate ref. ","") &amp; IF($C490="","Missing effective date. ","") &amp; IF($D490="","Missing binding status. ","") &amp; IF($E490="","Missing movement type. ","") &amp; IF($I490="","Missing make. ","") &amp; IF($L490="","Missing vehicle class. ","") &amp; IF($M490="","Missing agreed value. ","") &amp; IF($N490="","Missing policy type. ","") &amp; IF($Q490="","Missing garaging state. ","") &amp; IF($R490="","Missing garaging ZIP. ","") &amp; IF($S490="","Missing cat zone. ","") &amp; IF($V490="","Missing valuation basis. ","") &amp; IF($W490="","Missing PD deductible. ","") &amp; IF($X490="","Missing liability limit. ","") &amp; IF($AB490="","Missing technical premium. ","") &amp; IF($AF490="","Missing surplus lines tax %. ",""))))</f>
      </c>
      <c r="AY490" s="44">
        <f>IF($M490="","",IF(ISNUMBER($M490),IF($M490&gt;=Header!$C$18,"YES — refer","No"),""))</f>
      </c>
      <c r="AZ490" s="44">
        <f>IF($AD490="","",IF(ISNUMBER($AD490),IF($AD490&lt;Header!$C$20,"BELOW MIN PREMIUM","OK"),""))</f>
      </c>
      <c r="BA490" s="48" t="inlineStr">
        <is>
          <t xml:space="preserve">Yes</t>
        </is>
      </c>
      <c r="BB490" s="48" t="inlineStr">
        <is>
          <t xml:space="preserve">Yes</t>
        </is>
      </c>
      <c r="BC490" s="46" t="inlineStr">
        <is>
          <t xml:space="preserve">Synthetic demo data</t>
        </is>
      </c>
      <c r="BE490" s="45">
        <f>IF(OR($A490="",$L490="",$H490=""),"",IF(AND(LEFT($L490,2)="06",$H490&gt;1945),"FAIL - pre-war class, year "&amp;$H490,IF(AND(LEFT($L490,2)="07",OR($H490&lt;1946,$H490&gt;1972)),"FAIL - 1946-72 class, year "&amp;$H490,IF(AND(LEFT($L490,2)="08",OR($H490&lt;1973,$H490&gt;1999)),"FAIL - 1973-99 class, year "&amp;$H490,IF(AND(LEFT($L490,2)="09",OR($H490&lt;2000,$H490&gt;2010)),"FAIL - 2000-10 class, year "&amp;$H490,"OK")))))</f>
      </c>
      <c r="BF490" s="45">
        <f>IF($AD490="","",IF(ROUND($AO490+$AP490+$AQ490-$AD490,2)=0,"OK","FAIL - out by "&amp;TEXT($AO490+$AP490+$AQ490-$AD490,"$0.00")))</f>
      </c>
    </row>
    <row r="491" spans="1:58" ht="18.75" customHeight="1" x14ac:dyDescent="0.25">
      <c r="A491" s="30" t="inlineStr">
        <is>
          <t xml:space="preserve">CANON-202511-002835</t>
        </is>
      </c>
      <c r="B491" s="30" t="inlineStr">
        <is>
          <t xml:space="preserve">Fitzgerald Ashcombe</t>
        </is>
      </c>
      <c r="C491" s="31">
        <v>45979</v>
      </c>
      <c r="D491" s="32" t="inlineStr">
        <is>
          <t xml:space="preserve">Bound - within authority</t>
        </is>
      </c>
      <c r="E491" s="32" t="inlineStr">
        <is>
          <t xml:space="preserve">New business</t>
        </is>
      </c>
      <c r="F491" s="30" t="inlineStr">
        <is>
          <t xml:space="preserve">B1234EXOTIC26</t>
        </is>
      </c>
      <c r="G491" s="33">
        <f>IF($A491="","",IF($C491="","",YEAR($C491)))</f>
      </c>
      <c r="H491" s="34">
        <v>1963</v>
      </c>
      <c r="I491" s="30" t="inlineStr">
        <is>
          <t xml:space="preserve">BMW</t>
        </is>
      </c>
      <c r="J491" s="30" t="inlineStr">
        <is>
          <t xml:space="preserve">M8 Competition</t>
        </is>
      </c>
      <c r="K491" s="30" t="inlineStr">
        <is>
          <t xml:space="preserve">YTLBERPRNZKUG5YR0</t>
        </is>
      </c>
      <c r="L491" s="32" t="inlineStr">
        <is>
          <t xml:space="preserve">02 - Sports / GT</t>
        </is>
      </c>
      <c r="M491" s="35">
        <v>390000</v>
      </c>
      <c r="N491" s="32" t="inlineStr">
        <is>
          <t xml:space="preserve">Personal</t>
        </is>
      </c>
      <c r="O491" s="30" t="inlineStr">
        <is>
          <t xml:space="preserve">Personal - regular use</t>
        </is>
      </c>
      <c r="P491" s="30" t="inlineStr">
        <is>
          <t xml:space="preserve">Under 1,000</t>
        </is>
      </c>
      <c r="Q491" s="30" t="inlineStr">
        <is>
          <t xml:space="preserve">Texas</t>
        </is>
      </c>
      <c r="R491" s="30" t="inlineStr">
        <is>
          <t xml:space="preserve">75201</t>
        </is>
      </c>
      <c r="S491" s="32" t="inlineStr">
        <is>
          <t xml:space="preserve">Tier 2 - Coastal wind (1-25 miles)</t>
        </is>
      </c>
      <c r="T491" s="36">
        <f>IF($A491="","",IF($S491="","",IFERROR(INDEX('[1]natural catastrophe'!$D$6:$D$17,MATCH($S491,'[1]natural catastrophe'!$B$6:$B$17,0)),"?")))</f>
      </c>
      <c r="U491" s="30" t="inlineStr">
        <is>
          <t xml:space="preserve">2% of agreed value, minimum $10,000</t>
        </is>
      </c>
      <c r="V491" s="32" t="inlineStr">
        <is>
          <t xml:space="preserve">Agreed Value</t>
        </is>
      </c>
      <c r="W491" s="30" t="inlineStr">
        <is>
          <t xml:space="preserve">$1,000</t>
        </is>
      </c>
      <c r="X491" s="32" t="inlineStr">
        <is>
          <t xml:space="preserve">$1,000,000 CSL</t>
        </is>
      </c>
      <c r="Y491" s="30"/>
      <c r="Z491" s="30"/>
      <c r="AA491" s="32" t="inlineStr">
        <is>
          <t xml:space="preserve">Surplus Lines</t>
        </is>
      </c>
      <c r="AB491" s="35">
        <v>5835.16</v>
      </c>
      <c r="AC491" s="37">
        <v>0</v>
      </c>
      <c r="AD491" s="38">
        <f>IF(ISNUMBER($AB491),$AB491*(1+N($AC491)),"")</f>
      </c>
      <c r="AE491" s="35">
        <v>350</v>
      </c>
      <c r="AF491" s="35">
        <v>0</v>
      </c>
      <c r="AG491" s="37"/>
      <c r="AH491" s="39">
        <f>IF(ISNUMBER($AD491),($AD491+$AE491+$AF491)*$AG491,"")</f>
      </c>
      <c r="AI491" s="35"/>
      <c r="AJ491" s="38">
        <f>IF(ISNUMBER($AD491),SUM($AD491:$AH491),"")</f>
      </c>
      <c r="AK491" s="40">
        <f>IF(AND(ISNUMBER($AB491),ISNUMBER($AD491)),IF($AB491&gt;0,$AD491/$AB491,""),"")</f>
      </c>
      <c r="AL491" s="32" t="inlineStr">
        <is>
          <t xml:space="preserve">At technical</t>
        </is>
      </c>
      <c r="AM491" s="41">
        <f>IF(ISNUMBER($AD491),Header!$I$3,"")</f>
      </c>
      <c r="AN491" s="39">
        <f>IF(ISNUMBER($AD491),$AO491+$AP491,"")</f>
      </c>
      <c r="AO491" s="39">
        <f>IF(ISNUMBER($AD491),ROUND($AD491*Header!$K$3,2),"")</f>
      </c>
      <c r="AP491" s="39">
        <f>IF(ISNUMBER($AD491),ROUND($AD491*Header!$M$3,2),"")</f>
      </c>
      <c r="AQ491" s="38">
        <f>IF(ISNUMBER($AD491),ROUND($AD491,2)-$AO491-$AP491,"")</f>
      </c>
      <c r="AR491" s="39">
        <f>IF(ISNUMBER($AD491),IF(Header!$D$34="","?",$AD491*Header!$D$34),"")</f>
      </c>
      <c r="AS491" s="39">
        <f>IF(ISNUMBER($AB491),IF(Header!$D$34="","?",$AB491*Header!$D$34),"")</f>
      </c>
      <c r="AT491" s="42">
        <f>IF(AND(ISNUMBER($AB491),$M491&gt;0),$AB491/$M491*100,"")</f>
      </c>
      <c r="AU491" s="42">
        <f>IF(AND(ISNUMBER($AD491),$M491&gt;0),$AD491/$M491*100,"")</f>
      </c>
      <c r="AV491" s="40">
        <f>IF(AND(ISNUMBER($AB491),ISNUMBER($AD491),ABS($AB491)&gt;0),$AD491/$AB491,"")</f>
      </c>
      <c r="AW491" s="39">
        <f>IF(ISNUMBER($AD491),MAX(0,(1-0.55-Header!$O$3)*Header!$Q$3*$AQ491),"")</f>
      </c>
      <c r="AX491" s="43">
        <f>IF($A491="","",IF(TRIM(IF($A491="","Missing certificate ref. ","") &amp; IF($C491="","Missing effective date. ","") &amp; IF($D491="","Missing binding status. ","") &amp; IF($E491="","Missing movement type. ","") &amp; IF($I491="","Missing make. ","") &amp; IF($L491="","Missing vehicle class. ","") &amp; IF($M491="","Missing agreed value. ","") &amp; IF($N491="","Missing policy type. ","") &amp; IF($Q491="","Missing garaging state. ","") &amp; IF($R491="","Missing garaging ZIP. ","") &amp; IF($S491="","Missing cat zone. ","") &amp; IF($V491="","Missing valuation basis. ","") &amp; IF($W491="","Missing PD deductible. ","") &amp; IF($X491="","Missing liability limit. ","") &amp; IF($AB491="","Missing technical premium. ","") &amp; IF($AF491="","Missing surplus lines tax %. ",""))="","PASS","FAIL: "&amp;TRIM(IF($A491="","Missing certificate ref. ","") &amp; IF($C491="","Missing effective date. ","") &amp; IF($D491="","Missing binding status. ","") &amp; IF($E491="","Missing movement type. ","") &amp; IF($I491="","Missing make. ","") &amp; IF($L491="","Missing vehicle class. ","") &amp; IF($M491="","Missing agreed value. ","") &amp; IF($N491="","Missing policy type. ","") &amp; IF($Q491="","Missing garaging state. ","") &amp; IF($R491="","Missing garaging ZIP. ","") &amp; IF($S491="","Missing cat zone. ","") &amp; IF($V491="","Missing valuation basis. ","") &amp; IF($W491="","Missing PD deductible. ","") &amp; IF($X491="","Missing liability limit. ","") &amp; IF($AB491="","Missing technical premium. ","") &amp; IF($AF491="","Missing surplus lines tax %. ",""))))</f>
      </c>
      <c r="AY491" s="44">
        <f>IF($M491="","",IF(ISNUMBER($M491),IF($M491&gt;=Header!$C$18,"YES — refer","No"),""))</f>
      </c>
      <c r="AZ491" s="44">
        <f>IF($AD491="","",IF(ISNUMBER($AD491),IF($AD491&lt;Header!$C$20,"BELOW MIN PREMIUM","OK"),""))</f>
      </c>
      <c r="BA491" s="32" t="inlineStr">
        <is>
          <t xml:space="preserve">Yes</t>
        </is>
      </c>
      <c r="BB491" s="32" t="inlineStr">
        <is>
          <t xml:space="preserve">Yes</t>
        </is>
      </c>
      <c r="BC491" s="30" t="inlineStr">
        <is>
          <t xml:space="preserve">Synthetic demo data</t>
        </is>
      </c>
      <c r="BE491" s="45">
        <f>IF(OR($A491="",$L491="",$H491=""),"",IF(AND(LEFT($L491,2)="06",$H491&gt;1945),"FAIL - pre-war class, year "&amp;$H491,IF(AND(LEFT($L491,2)="07",OR($H491&lt;1946,$H491&gt;1972)),"FAIL - 1946-72 class, year "&amp;$H491,IF(AND(LEFT($L491,2)="08",OR($H491&lt;1973,$H491&gt;1999)),"FAIL - 1973-99 class, year "&amp;$H491,IF(AND(LEFT($L491,2)="09",OR($H491&lt;2000,$H491&gt;2010)),"FAIL - 2000-10 class, year "&amp;$H491,"OK")))))</f>
      </c>
      <c r="BF491" s="45">
        <f>IF($AD491="","",IF(ROUND($AO491+$AP491+$AQ491-$AD491,2)=0,"OK","FAIL - out by "&amp;TEXT($AO491+$AP491+$AQ491-$AD491,"$0.00")))</f>
      </c>
    </row>
    <row r="492" spans="1:58" ht="18.75" customHeight="1" x14ac:dyDescent="0.25">
      <c r="A492" s="46" t="inlineStr">
        <is>
          <t xml:space="preserve">CANON-202511-002836</t>
        </is>
      </c>
      <c r="B492" s="46" t="inlineStr">
        <is>
          <t xml:space="preserve">Desmond Fairweather</t>
        </is>
      </c>
      <c r="C492" s="47">
        <v>45982</v>
      </c>
      <c r="D492" s="48" t="inlineStr">
        <is>
          <t xml:space="preserve">Bound - within authority</t>
        </is>
      </c>
      <c r="E492" s="48" t="inlineStr">
        <is>
          <t xml:space="preserve">New business</t>
        </is>
      </c>
      <c r="F492" s="46" t="inlineStr">
        <is>
          <t xml:space="preserve">B1234EXOTIC26</t>
        </is>
      </c>
      <c r="G492" s="33">
        <f>IF($A492="","",IF($C492="","",YEAR($C492)))</f>
      </c>
      <c r="H492" s="49">
        <v>2023</v>
      </c>
      <c r="I492" s="46" t="inlineStr">
        <is>
          <t xml:space="preserve">Aston Martin</t>
        </is>
      </c>
      <c r="J492" s="46" t="inlineStr">
        <is>
          <t xml:space="preserve">DB12</t>
        </is>
      </c>
      <c r="K492" s="46" t="inlineStr">
        <is>
          <t xml:space="preserve">GBFTNF99RNNT68YLT</t>
        </is>
      </c>
      <c r="L492" s="48" t="inlineStr">
        <is>
          <t xml:space="preserve">02 - Sports / GT</t>
        </is>
      </c>
      <c r="M492" s="50">
        <v>520000</v>
      </c>
      <c r="N492" s="48" t="inlineStr">
        <is>
          <t xml:space="preserve">Personal</t>
        </is>
      </c>
      <c r="O492" s="46" t="inlineStr">
        <is>
          <t xml:space="preserve">Personal - regular use</t>
        </is>
      </c>
      <c r="P492" s="46" t="inlineStr">
        <is>
          <t xml:space="preserve">2,500 - 5,000</t>
        </is>
      </c>
      <c r="Q492" s="46" t="inlineStr">
        <is>
          <t xml:space="preserve">Kentucky</t>
        </is>
      </c>
      <c r="R492" s="46" t="inlineStr">
        <is>
          <t xml:space="preserve">40202</t>
        </is>
      </c>
      <c r="S492" s="48" t="inlineStr">
        <is>
          <t xml:space="preserve">Severe convective - hail / tornado (moderate)</t>
        </is>
      </c>
      <c r="T492" s="36">
        <f>IF($A492="","",IF($S492="","",IFERROR(INDEX('[1]natural catastrophe'!$D$6:$D$17,MATCH($S492,'[1]natural catastrophe'!$B$6:$B$17,0)),"?")))</f>
      </c>
      <c r="U492" s="46" t="inlineStr">
        <is>
          <t xml:space="preserve">$5,000</t>
        </is>
      </c>
      <c r="V492" s="48" t="inlineStr">
        <is>
          <t xml:space="preserve">Agreed Value</t>
        </is>
      </c>
      <c r="W492" s="46" t="inlineStr">
        <is>
          <t xml:space="preserve">$1,000</t>
        </is>
      </c>
      <c r="X492" s="48" t="inlineStr">
        <is>
          <t xml:space="preserve">$1,000,000 CSL</t>
        </is>
      </c>
      <c r="Y492" s="46"/>
      <c r="Z492" s="46"/>
      <c r="AA492" s="48" t="inlineStr">
        <is>
          <t xml:space="preserve">Surplus Lines</t>
        </is>
      </c>
      <c r="AB492" s="50">
        <v>7856.88</v>
      </c>
      <c r="AC492" s="51">
        <v>0</v>
      </c>
      <c r="AD492" s="38">
        <f>IF(ISNUMBER($AB492),$AB492*(1+N($AC492)),"")</f>
      </c>
      <c r="AE492" s="50">
        <v>350</v>
      </c>
      <c r="AF492" s="50">
        <v>0</v>
      </c>
      <c r="AG492" s="51"/>
      <c r="AH492" s="39">
        <f>IF(ISNUMBER($AD492),($AD492+$AE492+$AF492)*$AG492,"")</f>
      </c>
      <c r="AI492" s="50"/>
      <c r="AJ492" s="38">
        <f>IF(ISNUMBER($AD492),SUM($AD492:$AH492),"")</f>
      </c>
      <c r="AK492" s="40">
        <f>IF(AND(ISNUMBER($AB492),ISNUMBER($AD492)),IF($AB492&gt;0,$AD492/$AB492,""),"")</f>
      </c>
      <c r="AL492" s="48" t="inlineStr">
        <is>
          <t xml:space="preserve">At technical</t>
        </is>
      </c>
      <c r="AM492" s="41">
        <f>IF(ISNUMBER($AD492),Header!$I$3,"")</f>
      </c>
      <c r="AN492" s="39">
        <f>IF(ISNUMBER($AD492),$AO492+$AP492,"")</f>
      </c>
      <c r="AO492" s="39">
        <f>IF(ISNUMBER($AD492),ROUND($AD492*Header!$K$3,2),"")</f>
      </c>
      <c r="AP492" s="39">
        <f>IF(ISNUMBER($AD492),ROUND($AD492*Header!$M$3,2),"")</f>
      </c>
      <c r="AQ492" s="38">
        <f>IF(ISNUMBER($AD492),ROUND($AD492,2)-$AO492-$AP492,"")</f>
      </c>
      <c r="AR492" s="39">
        <f>IF(ISNUMBER($AD492),IF(Header!$D$34="","?",$AD492*Header!$D$34),"")</f>
      </c>
      <c r="AS492" s="39">
        <f>IF(ISNUMBER($AB492),IF(Header!$D$34="","?",$AB492*Header!$D$34),"")</f>
      </c>
      <c r="AT492" s="42">
        <f>IF(AND(ISNUMBER($AB492),$M492&gt;0),$AB492/$M492*100,"")</f>
      </c>
      <c r="AU492" s="42">
        <f>IF(AND(ISNUMBER($AD492),$M492&gt;0),$AD492/$M492*100,"")</f>
      </c>
      <c r="AV492" s="40">
        <f>IF(AND(ISNUMBER($AB492),ISNUMBER($AD492),ABS($AB492)&gt;0),$AD492/$AB492,"")</f>
      </c>
      <c r="AW492" s="39">
        <f>IF(ISNUMBER($AD492),MAX(0,(1-0.55-Header!$O$3)*Header!$Q$3*$AQ492),"")</f>
      </c>
      <c r="AX492" s="43">
        <f>IF($A492="","",IF(TRIM(IF($A492="","Missing certificate ref. ","") &amp; IF($C492="","Missing effective date. ","") &amp; IF($D492="","Missing binding status. ","") &amp; IF($E492="","Missing movement type. ","") &amp; IF($I492="","Missing make. ","") &amp; IF($L492="","Missing vehicle class. ","") &amp; IF($M492="","Missing agreed value. ","") &amp; IF($N492="","Missing policy type. ","") &amp; IF($Q492="","Missing garaging state. ","") &amp; IF($R492="","Missing garaging ZIP. ","") &amp; IF($S492="","Missing cat zone. ","") &amp; IF($V492="","Missing valuation basis. ","") &amp; IF($W492="","Missing PD deductible. ","") &amp; IF($X492="","Missing liability limit. ","") &amp; IF($AB492="","Missing technical premium. ","") &amp; IF($AF492="","Missing surplus lines tax %. ",""))="","PASS","FAIL: "&amp;TRIM(IF($A492="","Missing certificate ref. ","") &amp; IF($C492="","Missing effective date. ","") &amp; IF($D492="","Missing binding status. ","") &amp; IF($E492="","Missing movement type. ","") &amp; IF($I492="","Missing make. ","") &amp; IF($L492="","Missing vehicle class. ","") &amp; IF($M492="","Missing agreed value. ","") &amp; IF($N492="","Missing policy type. ","") &amp; IF($Q492="","Missing garaging state. ","") &amp; IF($R492="","Missing garaging ZIP. ","") &amp; IF($S492="","Missing cat zone. ","") &amp; IF($V492="","Missing valuation basis. ","") &amp; IF($W492="","Missing PD deductible. ","") &amp; IF($X492="","Missing liability limit. ","") &amp; IF($AB492="","Missing technical premium. ","") &amp; IF($AF492="","Missing surplus lines tax %. ",""))))</f>
      </c>
      <c r="AY492" s="44">
        <f>IF($M492="","",IF(ISNUMBER($M492),IF($M492&gt;=Header!$C$18,"YES — refer","No"),""))</f>
      </c>
      <c r="AZ492" s="44">
        <f>IF($AD492="","",IF(ISNUMBER($AD492),IF($AD492&lt;Header!$C$20,"BELOW MIN PREMIUM","OK"),""))</f>
      </c>
      <c r="BA492" s="48" t="inlineStr">
        <is>
          <t xml:space="preserve">Yes</t>
        </is>
      </c>
      <c r="BB492" s="48" t="inlineStr">
        <is>
          <t xml:space="preserve">Yes</t>
        </is>
      </c>
      <c r="BC492" s="46" t="inlineStr">
        <is>
          <t xml:space="preserve">Synthetic demo data</t>
        </is>
      </c>
      <c r="BE492" s="45">
        <f>IF(OR($A492="",$L492="",$H492=""),"",IF(AND(LEFT($L492,2)="06",$H492&gt;1945),"FAIL - pre-war class, year "&amp;$H492,IF(AND(LEFT($L492,2)="07",OR($H492&lt;1946,$H492&gt;1972)),"FAIL - 1946-72 class, year "&amp;$H492,IF(AND(LEFT($L492,2)="08",OR($H492&lt;1973,$H492&gt;1999)),"FAIL - 1973-99 class, year "&amp;$H492,IF(AND(LEFT($L492,2)="09",OR($H492&lt;2000,$H492&gt;2010)),"FAIL - 2000-10 class, year "&amp;$H492,"OK")))))</f>
      </c>
      <c r="BF492" s="45">
        <f>IF($AD492="","",IF(ROUND($AO492+$AP492+$AQ492-$AD492,2)=0,"OK","FAIL - out by "&amp;TEXT($AO492+$AP492+$AQ492-$AD492,"$0.00")))</f>
      </c>
    </row>
    <row r="493" spans="1:58" ht="18.75" customHeight="1" x14ac:dyDescent="0.25">
      <c r="A493" s="30" t="inlineStr">
        <is>
          <t xml:space="preserve">CANON-202511-002838</t>
        </is>
      </c>
      <c r="B493" s="30" t="inlineStr">
        <is>
          <t xml:space="preserve">Ramona Castellanos</t>
        </is>
      </c>
      <c r="C493" s="31">
        <v>45967</v>
      </c>
      <c r="D493" s="32" t="inlineStr">
        <is>
          <t xml:space="preserve">Bound - within authority</t>
        </is>
      </c>
      <c r="E493" s="32" t="inlineStr">
        <is>
          <t xml:space="preserve">New business</t>
        </is>
      </c>
      <c r="F493" s="30" t="inlineStr">
        <is>
          <t xml:space="preserve">B1234EXOTIC26</t>
        </is>
      </c>
      <c r="G493" s="33">
        <f>IF($A493="","",IF($C493="","",YEAR($C493)))</f>
      </c>
      <c r="H493" s="34">
        <v>1990</v>
      </c>
      <c r="I493" s="30" t="inlineStr">
        <is>
          <t xml:space="preserve">Porsche</t>
        </is>
      </c>
      <c r="J493" s="30" t="inlineStr">
        <is>
          <t xml:space="preserve">911 Turbo S</t>
        </is>
      </c>
      <c r="K493" s="30" t="inlineStr">
        <is>
          <t xml:space="preserve">XKLHH94TC8K9W3KXJ</t>
        </is>
      </c>
      <c r="L493" s="32" t="inlineStr">
        <is>
          <t xml:space="preserve">02 - Sports / GT</t>
        </is>
      </c>
      <c r="M493" s="35">
        <v>505000</v>
      </c>
      <c r="N493" s="32" t="inlineStr">
        <is>
          <t xml:space="preserve">Personal</t>
        </is>
      </c>
      <c r="O493" s="30" t="inlineStr">
        <is>
          <t xml:space="preserve">Personal - regular use</t>
        </is>
      </c>
      <c r="P493" s="30" t="inlineStr">
        <is>
          <t xml:space="preserve">2,500 - 5,000</t>
        </is>
      </c>
      <c r="Q493" s="30" t="inlineStr">
        <is>
          <t xml:space="preserve">Texas</t>
        </is>
      </c>
      <c r="R493" s="30" t="inlineStr">
        <is>
          <t xml:space="preserve">75201</t>
        </is>
      </c>
      <c r="S493" s="32" t="inlineStr">
        <is>
          <t xml:space="preserve">Tier 2 - Coastal wind (1-25 miles)</t>
        </is>
      </c>
      <c r="T493" s="36">
        <f>IF($A493="","",IF($S493="","",IFERROR(INDEX('[1]natural catastrophe'!$D$6:$D$17,MATCH($S493,'[1]natural catastrophe'!$B$6:$B$17,0)),"?")))</f>
      </c>
      <c r="U493" s="30" t="inlineStr">
        <is>
          <t xml:space="preserve">2% of agreed value, minimum $10,000</t>
        </is>
      </c>
      <c r="V493" s="32" t="inlineStr">
        <is>
          <t xml:space="preserve">Agreed Value</t>
        </is>
      </c>
      <c r="W493" s="30" t="inlineStr">
        <is>
          <t xml:space="preserve">$1,000</t>
        </is>
      </c>
      <c r="X493" s="32" t="inlineStr">
        <is>
          <t xml:space="preserve">$1,000,000 CSL</t>
        </is>
      </c>
      <c r="Y493" s="30"/>
      <c r="Z493" s="30"/>
      <c r="AA493" s="32" t="inlineStr">
        <is>
          <t xml:space="preserve">Surplus Lines</t>
        </is>
      </c>
      <c r="AB493" s="35">
        <v>6548.34</v>
      </c>
      <c r="AC493" s="37">
        <v>0</v>
      </c>
      <c r="AD493" s="38">
        <f>IF(ISNUMBER($AB493),$AB493*(1+N($AC493)),"")</f>
      </c>
      <c r="AE493" s="35">
        <v>350</v>
      </c>
      <c r="AF493" s="35">
        <v>0</v>
      </c>
      <c r="AG493" s="37"/>
      <c r="AH493" s="39">
        <f>IF(ISNUMBER($AD493),($AD493+$AE493+$AF493)*$AG493,"")</f>
      </c>
      <c r="AI493" s="35"/>
      <c r="AJ493" s="38">
        <f>IF(ISNUMBER($AD493),SUM($AD493:$AH493),"")</f>
      </c>
      <c r="AK493" s="40">
        <f>IF(AND(ISNUMBER($AB493),ISNUMBER($AD493)),IF($AB493&gt;0,$AD493/$AB493,""),"")</f>
      </c>
      <c r="AL493" s="32" t="inlineStr">
        <is>
          <t xml:space="preserve">At technical</t>
        </is>
      </c>
      <c r="AM493" s="41">
        <f>IF(ISNUMBER($AD493),Header!$I$3,"")</f>
      </c>
      <c r="AN493" s="39">
        <f>IF(ISNUMBER($AD493),$AO493+$AP493,"")</f>
      </c>
      <c r="AO493" s="39">
        <f>IF(ISNUMBER($AD493),ROUND($AD493*Header!$K$3,2),"")</f>
      </c>
      <c r="AP493" s="39">
        <f>IF(ISNUMBER($AD493),ROUND($AD493*Header!$M$3,2),"")</f>
      </c>
      <c r="AQ493" s="38">
        <f>IF(ISNUMBER($AD493),ROUND($AD493,2)-$AO493-$AP493,"")</f>
      </c>
      <c r="AR493" s="39">
        <f>IF(ISNUMBER($AD493),IF(Header!$D$34="","?",$AD493*Header!$D$34),"")</f>
      </c>
      <c r="AS493" s="39">
        <f>IF(ISNUMBER($AB493),IF(Header!$D$34="","?",$AB493*Header!$D$34),"")</f>
      </c>
      <c r="AT493" s="42">
        <f>IF(AND(ISNUMBER($AB493),$M493&gt;0),$AB493/$M493*100,"")</f>
      </c>
      <c r="AU493" s="42">
        <f>IF(AND(ISNUMBER($AD493),$M493&gt;0),$AD493/$M493*100,"")</f>
      </c>
      <c r="AV493" s="40">
        <f>IF(AND(ISNUMBER($AB493),ISNUMBER($AD493),ABS($AB493)&gt;0),$AD493/$AB493,"")</f>
      </c>
      <c r="AW493" s="39">
        <f>IF(ISNUMBER($AD493),MAX(0,(1-0.55-Header!$O$3)*Header!$Q$3*$AQ493),"")</f>
      </c>
      <c r="AX493" s="43">
        <f>IF($A493="","",IF(TRIM(IF($A493="","Missing certificate ref. ","") &amp; IF($C493="","Missing effective date. ","") &amp; IF($D493="","Missing binding status. ","") &amp; IF($E493="","Missing movement type. ","") &amp; IF($I493="","Missing make. ","") &amp; IF($L493="","Missing vehicle class. ","") &amp; IF($M493="","Missing agreed value. ","") &amp; IF($N493="","Missing policy type. ","") &amp; IF($Q493="","Missing garaging state. ","") &amp; IF($R493="","Missing garaging ZIP. ","") &amp; IF($S493="","Missing cat zone. ","") &amp; IF($V493="","Missing valuation basis. ","") &amp; IF($W493="","Missing PD deductible. ","") &amp; IF($X493="","Missing liability limit. ","") &amp; IF($AB493="","Missing technical premium. ","") &amp; IF($AF493="","Missing surplus lines tax %. ",""))="","PASS","FAIL: "&amp;TRIM(IF($A493="","Missing certificate ref. ","") &amp; IF($C493="","Missing effective date. ","") &amp; IF($D493="","Missing binding status. ","") &amp; IF($E493="","Missing movement type. ","") &amp; IF($I493="","Missing make. ","") &amp; IF($L493="","Missing vehicle class. ","") &amp; IF($M493="","Missing agreed value. ","") &amp; IF($N493="","Missing policy type. ","") &amp; IF($Q493="","Missing garaging state. ","") &amp; IF($R493="","Missing garaging ZIP. ","") &amp; IF($S493="","Missing cat zone. ","") &amp; IF($V493="","Missing valuation basis. ","") &amp; IF($W493="","Missing PD deductible. ","") &amp; IF($X493="","Missing liability limit. ","") &amp; IF($AB493="","Missing technical premium. ","") &amp; IF($AF493="","Missing surplus lines tax %. ",""))))</f>
      </c>
      <c r="AY493" s="44">
        <f>IF($M493="","",IF(ISNUMBER($M493),IF($M493&gt;=Header!$C$18,"YES — refer","No"),""))</f>
      </c>
      <c r="AZ493" s="44">
        <f>IF($AD493="","",IF(ISNUMBER($AD493),IF($AD493&lt;Header!$C$20,"BELOW MIN PREMIUM","OK"),""))</f>
      </c>
      <c r="BA493" s="32" t="inlineStr">
        <is>
          <t xml:space="preserve">Yes</t>
        </is>
      </c>
      <c r="BB493" s="32" t="inlineStr">
        <is>
          <t xml:space="preserve">Yes</t>
        </is>
      </c>
      <c r="BC493" s="30" t="inlineStr">
        <is>
          <t xml:space="preserve">Synthetic demo data</t>
        </is>
      </c>
      <c r="BE493" s="45">
        <f>IF(OR($A493="",$L493="",$H493=""),"",IF(AND(LEFT($L493,2)="06",$H493&gt;1945),"FAIL - pre-war class, year "&amp;$H493,IF(AND(LEFT($L493,2)="07",OR($H493&lt;1946,$H493&gt;1972)),"FAIL - 1946-72 class, year "&amp;$H493,IF(AND(LEFT($L493,2)="08",OR($H493&lt;1973,$H493&gt;1999)),"FAIL - 1973-99 class, year "&amp;$H493,IF(AND(LEFT($L493,2)="09",OR($H493&lt;2000,$H493&gt;2010)),"FAIL - 2000-10 class, year "&amp;$H493,"OK")))))</f>
      </c>
      <c r="BF493" s="45">
        <f>IF($AD493="","",IF(ROUND($AO493+$AP493+$AQ493-$AD493,2)=0,"OK","FAIL - out by "&amp;TEXT($AO493+$AP493+$AQ493-$AD493,"$0.00")))</f>
      </c>
    </row>
    <row r="494" spans="1:58" ht="18.75" customHeight="1" x14ac:dyDescent="0.25">
      <c r="A494" s="46" t="inlineStr">
        <is>
          <t xml:space="preserve">CANON-202511-002839</t>
        </is>
      </c>
      <c r="B494" s="46" t="inlineStr">
        <is>
          <t xml:space="preserve">Fitzgerald Thistlewood</t>
        </is>
      </c>
      <c r="C494" s="47">
        <v>45990</v>
      </c>
      <c r="D494" s="48" t="inlineStr">
        <is>
          <t xml:space="preserve">Bound - within authority</t>
        </is>
      </c>
      <c r="E494" s="48" t="inlineStr">
        <is>
          <t xml:space="preserve">New business</t>
        </is>
      </c>
      <c r="F494" s="46" t="inlineStr">
        <is>
          <t xml:space="preserve">B1234EXOTIC26</t>
        </is>
      </c>
      <c r="G494" s="33">
        <f>IF($A494="","",IF($C494="","",YEAR($C494)))</f>
      </c>
      <c r="H494" s="49">
        <v>1984</v>
      </c>
      <c r="I494" s="46" t="inlineStr">
        <is>
          <t xml:space="preserve">Lamborghini</t>
        </is>
      </c>
      <c r="J494" s="46" t="inlineStr">
        <is>
          <t xml:space="preserve">Huracan EVO</t>
        </is>
      </c>
      <c r="K494" s="46" t="inlineStr">
        <is>
          <t xml:space="preserve">TAZUK5DU68BJCEEK9</t>
        </is>
      </c>
      <c r="L494" s="48" t="inlineStr">
        <is>
          <t xml:space="preserve">03 - Supercar</t>
        </is>
      </c>
      <c r="M494" s="50">
        <v>885000</v>
      </c>
      <c r="N494" s="48" t="inlineStr">
        <is>
          <t xml:space="preserve">Personal</t>
        </is>
      </c>
      <c r="O494" s="46" t="inlineStr">
        <is>
          <t xml:space="preserve">Personal - regular use</t>
        </is>
      </c>
      <c r="P494" s="46" t="inlineStr">
        <is>
          <t xml:space="preserve">2,500 - 5,000</t>
        </is>
      </c>
      <c r="Q494" s="46" t="inlineStr">
        <is>
          <t xml:space="preserve">Illinois</t>
        </is>
      </c>
      <c r="R494" s="46" t="inlineStr">
        <is>
          <t xml:space="preserve">60601</t>
        </is>
      </c>
      <c r="S494" s="48" t="inlineStr">
        <is>
          <t xml:space="preserve">Severe convective - hail / tornado (moderate)</t>
        </is>
      </c>
      <c r="T494" s="36">
        <f>IF($A494="","",IF($S494="","",IFERROR(INDEX('[1]natural catastrophe'!$D$6:$D$17,MATCH($S494,'[1]natural catastrophe'!$B$6:$B$17,0)),"?")))</f>
      </c>
      <c r="U494" s="46" t="inlineStr">
        <is>
          <t xml:space="preserve">$5,000</t>
        </is>
      </c>
      <c r="V494" s="48" t="inlineStr">
        <is>
          <t xml:space="preserve">Agreed Value</t>
        </is>
      </c>
      <c r="W494" s="46" t="inlineStr">
        <is>
          <t xml:space="preserve">$1,000</t>
        </is>
      </c>
      <c r="X494" s="48" t="inlineStr">
        <is>
          <t xml:space="preserve">$1,000,000 CSL</t>
        </is>
      </c>
      <c r="Y494" s="46"/>
      <c r="Z494" s="46"/>
      <c r="AA494" s="48" t="inlineStr">
        <is>
          <t xml:space="preserve">Surplus Lines</t>
        </is>
      </c>
      <c r="AB494" s="50">
        <v>19835.1</v>
      </c>
      <c r="AC494" s="51">
        <v>0</v>
      </c>
      <c r="AD494" s="38">
        <f>IF(ISNUMBER($AB494),$AB494*(1+N($AC494)),"")</f>
      </c>
      <c r="AE494" s="50">
        <v>350</v>
      </c>
      <c r="AF494" s="50">
        <v>0</v>
      </c>
      <c r="AG494" s="51"/>
      <c r="AH494" s="39">
        <f>IF(ISNUMBER($AD494),($AD494+$AE494+$AF494)*$AG494,"")</f>
      </c>
      <c r="AI494" s="50"/>
      <c r="AJ494" s="38">
        <f>IF(ISNUMBER($AD494),SUM($AD494:$AH494),"")</f>
      </c>
      <c r="AK494" s="40">
        <f>IF(AND(ISNUMBER($AB494),ISNUMBER($AD494)),IF($AB494&gt;0,$AD494/$AB494,""),"")</f>
      </c>
      <c r="AL494" s="48" t="inlineStr">
        <is>
          <t xml:space="preserve">At technical</t>
        </is>
      </c>
      <c r="AM494" s="41">
        <f>IF(ISNUMBER($AD494),Header!$I$3,"")</f>
      </c>
      <c r="AN494" s="39">
        <f>IF(ISNUMBER($AD494),$AO494+$AP494,"")</f>
      </c>
      <c r="AO494" s="39">
        <f>IF(ISNUMBER($AD494),ROUND($AD494*Header!$K$3,2),"")</f>
      </c>
      <c r="AP494" s="39">
        <f>IF(ISNUMBER($AD494),ROUND($AD494*Header!$M$3,2),"")</f>
      </c>
      <c r="AQ494" s="38">
        <f>IF(ISNUMBER($AD494),ROUND($AD494,2)-$AO494-$AP494,"")</f>
      </c>
      <c r="AR494" s="39">
        <f>IF(ISNUMBER($AD494),IF(Header!$D$34="","?",$AD494*Header!$D$34),"")</f>
      </c>
      <c r="AS494" s="39">
        <f>IF(ISNUMBER($AB494),IF(Header!$D$34="","?",$AB494*Header!$D$34),"")</f>
      </c>
      <c r="AT494" s="42">
        <f>IF(AND(ISNUMBER($AB494),$M494&gt;0),$AB494/$M494*100,"")</f>
      </c>
      <c r="AU494" s="42">
        <f>IF(AND(ISNUMBER($AD494),$M494&gt;0),$AD494/$M494*100,"")</f>
      </c>
      <c r="AV494" s="40">
        <f>IF(AND(ISNUMBER($AB494),ISNUMBER($AD494),ABS($AB494)&gt;0),$AD494/$AB494,"")</f>
      </c>
      <c r="AW494" s="39">
        <f>IF(ISNUMBER($AD494),MAX(0,(1-0.55-Header!$O$3)*Header!$Q$3*$AQ494),"")</f>
      </c>
      <c r="AX494" s="43">
        <f>IF($A494="","",IF(TRIM(IF($A494="","Missing certificate ref. ","") &amp; IF($C494="","Missing effective date. ","") &amp; IF($D494="","Missing binding status. ","") &amp; IF($E494="","Missing movement type. ","") &amp; IF($I494="","Missing make. ","") &amp; IF($L494="","Missing vehicle class. ","") &amp; IF($M494="","Missing agreed value. ","") &amp; IF($N494="","Missing policy type. ","") &amp; IF($Q494="","Missing garaging state. ","") &amp; IF($R494="","Missing garaging ZIP. ","") &amp; IF($S494="","Missing cat zone. ","") &amp; IF($V494="","Missing valuation basis. ","") &amp; IF($W494="","Missing PD deductible. ","") &amp; IF($X494="","Missing liability limit. ","") &amp; IF($AB494="","Missing technical premium. ","") &amp; IF($AF494="","Missing surplus lines tax %. ",""))="","PASS","FAIL: "&amp;TRIM(IF($A494="","Missing certificate ref. ","") &amp; IF($C494="","Missing effective date. ","") &amp; IF($D494="","Missing binding status. ","") &amp; IF($E494="","Missing movement type. ","") &amp; IF($I494="","Missing make. ","") &amp; IF($L494="","Missing vehicle class. ","") &amp; IF($M494="","Missing agreed value. ","") &amp; IF($N494="","Missing policy type. ","") &amp; IF($Q494="","Missing garaging state. ","") &amp; IF($R494="","Missing garaging ZIP. ","") &amp; IF($S494="","Missing cat zone. ","") &amp; IF($V494="","Missing valuation basis. ","") &amp; IF($W494="","Missing PD deductible. ","") &amp; IF($X494="","Missing liability limit. ","") &amp; IF($AB494="","Missing technical premium. ","") &amp; IF($AF494="","Missing surplus lines tax %. ",""))))</f>
      </c>
      <c r="AY494" s="44">
        <f>IF($M494="","",IF(ISNUMBER($M494),IF($M494&gt;=Header!$C$18,"YES — refer","No"),""))</f>
      </c>
      <c r="AZ494" s="44">
        <f>IF($AD494="","",IF(ISNUMBER($AD494),IF($AD494&lt;Header!$C$20,"BELOW MIN PREMIUM","OK"),""))</f>
      </c>
      <c r="BA494" s="48" t="inlineStr">
        <is>
          <t xml:space="preserve">Yes</t>
        </is>
      </c>
      <c r="BB494" s="48" t="inlineStr">
        <is>
          <t xml:space="preserve">Yes</t>
        </is>
      </c>
      <c r="BC494" s="46" t="inlineStr">
        <is>
          <t xml:space="preserve">Synthetic demo data</t>
        </is>
      </c>
      <c r="BE494" s="45">
        <f>IF(OR($A494="",$L494="",$H494=""),"",IF(AND(LEFT($L494,2)="06",$H494&gt;1945),"FAIL - pre-war class, year "&amp;$H494,IF(AND(LEFT($L494,2)="07",OR($H494&lt;1946,$H494&gt;1972)),"FAIL - 1946-72 class, year "&amp;$H494,IF(AND(LEFT($L494,2)="08",OR($H494&lt;1973,$H494&gt;1999)),"FAIL - 1973-99 class, year "&amp;$H494,IF(AND(LEFT($L494,2)="09",OR($H494&lt;2000,$H494&gt;2010)),"FAIL - 2000-10 class, year "&amp;$H494,"OK")))))</f>
      </c>
      <c r="BF494" s="45">
        <f>IF($AD494="","",IF(ROUND($AO494+$AP494+$AQ494-$AD494,2)=0,"OK","FAIL - out by "&amp;TEXT($AO494+$AP494+$AQ494-$AD494,"$0.00")))</f>
      </c>
    </row>
    <row r="495" spans="1:58" ht="18.75" customHeight="1" x14ac:dyDescent="0.25">
      <c r="A495" s="30" t="inlineStr">
        <is>
          <t xml:space="preserve">CANON-202511-002841</t>
        </is>
      </c>
      <c r="B495" s="30" t="inlineStr">
        <is>
          <t xml:space="preserve">Ramona Harrington</t>
        </is>
      </c>
      <c r="C495" s="31">
        <v>45970</v>
      </c>
      <c r="D495" s="32" t="inlineStr">
        <is>
          <t xml:space="preserve">Bound - within authority</t>
        </is>
      </c>
      <c r="E495" s="32" t="inlineStr">
        <is>
          <t xml:space="preserve">New business</t>
        </is>
      </c>
      <c r="F495" s="30" t="inlineStr">
        <is>
          <t xml:space="preserve">B1234EXOTIC26</t>
        </is>
      </c>
      <c r="G495" s="33">
        <f>IF($A495="","",IF($C495="","",YEAR($C495)))</f>
      </c>
      <c r="H495" s="34">
        <v>1998</v>
      </c>
      <c r="I495" s="30" t="inlineStr">
        <is>
          <t xml:space="preserve">Lamborghini</t>
        </is>
      </c>
      <c r="J495" s="30" t="inlineStr">
        <is>
          <t xml:space="preserve">Huracan EVO</t>
        </is>
      </c>
      <c r="K495" s="30" t="inlineStr">
        <is>
          <t xml:space="preserve">CEDGXCE2H1RC9ZBZC</t>
        </is>
      </c>
      <c r="L495" s="32" t="inlineStr">
        <is>
          <t xml:space="preserve">03 - Supercar</t>
        </is>
      </c>
      <c r="M495" s="35">
        <v>1950000</v>
      </c>
      <c r="N495" s="32" t="inlineStr">
        <is>
          <t xml:space="preserve">Personal</t>
        </is>
      </c>
      <c r="O495" s="30" t="inlineStr">
        <is>
          <t xml:space="preserve">Personal - regular use</t>
        </is>
      </c>
      <c r="P495" s="30" t="inlineStr">
        <is>
          <t xml:space="preserve">2,500 - 5,000</t>
        </is>
      </c>
      <c r="Q495" s="30" t="inlineStr">
        <is>
          <t xml:space="preserve">Florida</t>
        </is>
      </c>
      <c r="R495" s="30" t="inlineStr">
        <is>
          <t xml:space="preserve">33139</t>
        </is>
      </c>
      <c r="S495" s="32" t="inlineStr">
        <is>
          <t xml:space="preserve">Tier 2 - Coastal wind (1-25 miles)</t>
        </is>
      </c>
      <c r="T495" s="36">
        <f>IF($A495="","",IF($S495="","",IFERROR(INDEX('[1]natural catastrophe'!$D$6:$D$17,MATCH($S495,'[1]natural catastrophe'!$B$6:$B$17,0)),"?")))</f>
      </c>
      <c r="U495" s="30" t="inlineStr">
        <is>
          <t xml:space="preserve">2% of agreed value, minimum $10,000</t>
        </is>
      </c>
      <c r="V495" s="32" t="inlineStr">
        <is>
          <t xml:space="preserve">Agreed Value</t>
        </is>
      </c>
      <c r="W495" s="30" t="inlineStr">
        <is>
          <t xml:space="preserve">$1,000</t>
        </is>
      </c>
      <c r="X495" s="32" t="inlineStr">
        <is>
          <t xml:space="preserve">$1,000,000 CSL</t>
        </is>
      </c>
      <c r="Y495" s="30"/>
      <c r="Z495" s="30"/>
      <c r="AA495" s="32" t="inlineStr">
        <is>
          <t xml:space="preserve">Surplus Lines</t>
        </is>
      </c>
      <c r="AB495" s="35">
        <v>38427.45</v>
      </c>
      <c r="AC495" s="37">
        <v>0</v>
      </c>
      <c r="AD495" s="38">
        <f>IF(ISNUMBER($AB495),$AB495*(1+N($AC495)),"")</f>
      </c>
      <c r="AE495" s="35">
        <v>350</v>
      </c>
      <c r="AF495" s="35">
        <v>250</v>
      </c>
      <c r="AG495" s="37"/>
      <c r="AH495" s="39">
        <f>IF(ISNUMBER($AD495),($AD495+$AE495+$AF495)*$AG495,"")</f>
      </c>
      <c r="AI495" s="35"/>
      <c r="AJ495" s="38">
        <f>IF(ISNUMBER($AD495),SUM($AD495:$AH495),"")</f>
      </c>
      <c r="AK495" s="40">
        <f>IF(AND(ISNUMBER($AB495),ISNUMBER($AD495)),IF($AB495&gt;0,$AD495/$AB495,""),"")</f>
      </c>
      <c r="AL495" s="32" t="inlineStr">
        <is>
          <t xml:space="preserve">At technical</t>
        </is>
      </c>
      <c r="AM495" s="41">
        <f>IF(ISNUMBER($AD495),Header!$I$3,"")</f>
      </c>
      <c r="AN495" s="39">
        <f>IF(ISNUMBER($AD495),$AO495+$AP495,"")</f>
      </c>
      <c r="AO495" s="39">
        <f>IF(ISNUMBER($AD495),ROUND($AD495*Header!$K$3,2),"")</f>
      </c>
      <c r="AP495" s="39">
        <f>IF(ISNUMBER($AD495),ROUND($AD495*Header!$M$3,2),"")</f>
      </c>
      <c r="AQ495" s="38">
        <f>IF(ISNUMBER($AD495),ROUND($AD495,2)-$AO495-$AP495,"")</f>
      </c>
      <c r="AR495" s="39">
        <f>IF(ISNUMBER($AD495),IF(Header!$D$34="","?",$AD495*Header!$D$34),"")</f>
      </c>
      <c r="AS495" s="39">
        <f>IF(ISNUMBER($AB495),IF(Header!$D$34="","?",$AB495*Header!$D$34),"")</f>
      </c>
      <c r="AT495" s="42">
        <f>IF(AND(ISNUMBER($AB495),$M495&gt;0),$AB495/$M495*100,"")</f>
      </c>
      <c r="AU495" s="42">
        <f>IF(AND(ISNUMBER($AD495),$M495&gt;0),$AD495/$M495*100,"")</f>
      </c>
      <c r="AV495" s="40">
        <f>IF(AND(ISNUMBER($AB495),ISNUMBER($AD495),ABS($AB495)&gt;0),$AD495/$AB495,"")</f>
      </c>
      <c r="AW495" s="39">
        <f>IF(ISNUMBER($AD495),MAX(0,(1-0.55-Header!$O$3)*Header!$Q$3*$AQ495),"")</f>
      </c>
      <c r="AX495" s="43">
        <f>IF($A495="","",IF(TRIM(IF($A495="","Missing certificate ref. ","") &amp; IF($C495="","Missing effective date. ","") &amp; IF($D495="","Missing binding status. ","") &amp; IF($E495="","Missing movement type. ","") &amp; IF($I495="","Missing make. ","") &amp; IF($L495="","Missing vehicle class. ","") &amp; IF($M495="","Missing agreed value. ","") &amp; IF($N495="","Missing policy type. ","") &amp; IF($Q495="","Missing garaging state. ","") &amp; IF($R495="","Missing garaging ZIP. ","") &amp; IF($S495="","Missing cat zone. ","") &amp; IF($V495="","Missing valuation basis. ","") &amp; IF($W495="","Missing PD deductible. ","") &amp; IF($X495="","Missing liability limit. ","") &amp; IF($AB495="","Missing technical premium. ","") &amp; IF($AF495="","Missing surplus lines tax %. ",""))="","PASS","FAIL: "&amp;TRIM(IF($A495="","Missing certificate ref. ","") &amp; IF($C495="","Missing effective date. ","") &amp; IF($D495="","Missing binding status. ","") &amp; IF($E495="","Missing movement type. ","") &amp; IF($I495="","Missing make. ","") &amp; IF($L495="","Missing vehicle class. ","") &amp; IF($M495="","Missing agreed value. ","") &amp; IF($N495="","Missing policy type. ","") &amp; IF($Q495="","Missing garaging state. ","") &amp; IF($R495="","Missing garaging ZIP. ","") &amp; IF($S495="","Missing cat zone. ","") &amp; IF($V495="","Missing valuation basis. ","") &amp; IF($W495="","Missing PD deductible. ","") &amp; IF($X495="","Missing liability limit. ","") &amp; IF($AB495="","Missing technical premium. ","") &amp; IF($AF495="","Missing surplus lines tax %. ",""))))</f>
      </c>
      <c r="AY495" s="44">
        <f>IF($M495="","",IF(ISNUMBER($M495),IF($M495&gt;=Header!$C$18,"YES — refer","No"),""))</f>
      </c>
      <c r="AZ495" s="44">
        <f>IF($AD495="","",IF(ISNUMBER($AD495),IF($AD495&lt;Header!$C$20,"BELOW MIN PREMIUM","OK"),""))</f>
      </c>
      <c r="BA495" s="32" t="inlineStr">
        <is>
          <t xml:space="preserve">Yes</t>
        </is>
      </c>
      <c r="BB495" s="32" t="inlineStr">
        <is>
          <t xml:space="preserve">Yes</t>
        </is>
      </c>
      <c r="BC495" s="30" t="inlineStr">
        <is>
          <t xml:space="preserve">Synthetic demo data</t>
        </is>
      </c>
      <c r="BE495" s="45">
        <f>IF(OR($A495="",$L495="",$H495=""),"",IF(AND(LEFT($L495,2)="06",$H495&gt;1945),"FAIL - pre-war class, year "&amp;$H495,IF(AND(LEFT($L495,2)="07",OR($H495&lt;1946,$H495&gt;1972)),"FAIL - 1946-72 class, year "&amp;$H495,IF(AND(LEFT($L495,2)="08",OR($H495&lt;1973,$H495&gt;1999)),"FAIL - 1973-99 class, year "&amp;$H495,IF(AND(LEFT($L495,2)="09",OR($H495&lt;2000,$H495&gt;2010)),"FAIL - 2000-10 class, year "&amp;$H495,"OK")))))</f>
      </c>
      <c r="BF495" s="45">
        <f>IF($AD495="","",IF(ROUND($AO495+$AP495+$AQ495-$AD495,2)=0,"OK","FAIL - out by "&amp;TEXT($AO495+$AP495+$AQ495-$AD495,"$0.00")))</f>
      </c>
    </row>
    <row r="496" spans="1:58" ht="18.75" customHeight="1" x14ac:dyDescent="0.25">
      <c r="A496" s="46" t="inlineStr">
        <is>
          <t xml:space="preserve">CANON-202511-002842</t>
        </is>
      </c>
      <c r="B496" s="46" t="inlineStr">
        <is>
          <t xml:space="preserve">Everett Vandermeer</t>
        </is>
      </c>
      <c r="C496" s="47">
        <v>45964</v>
      </c>
      <c r="D496" s="48" t="inlineStr">
        <is>
          <t xml:space="preserve">Bound - within authority</t>
        </is>
      </c>
      <c r="E496" s="48" t="inlineStr">
        <is>
          <t xml:space="preserve">New business</t>
        </is>
      </c>
      <c r="F496" s="46" t="inlineStr">
        <is>
          <t xml:space="preserve">B1234EXOTIC26</t>
        </is>
      </c>
      <c r="G496" s="33">
        <f>IF($A496="","",IF($C496="","",YEAR($C496)))</f>
      </c>
      <c r="H496" s="49">
        <v>1961</v>
      </c>
      <c r="I496" s="46" t="inlineStr">
        <is>
          <t xml:space="preserve">Bentley</t>
        </is>
      </c>
      <c r="J496" s="46" t="inlineStr">
        <is>
          <t xml:space="preserve">4.5 Litre</t>
        </is>
      </c>
      <c r="K496" s="46" t="inlineStr">
        <is>
          <t xml:space="preserve">M5BYF4RNL7P1878LS</t>
        </is>
      </c>
      <c r="L496" s="48" t="inlineStr">
        <is>
          <t xml:space="preserve">07 - Post-War Classic (1946-1972)</t>
        </is>
      </c>
      <c r="M496" s="50">
        <v>995000</v>
      </c>
      <c r="N496" s="48" t="inlineStr">
        <is>
          <t xml:space="preserve">Personal</t>
        </is>
      </c>
      <c r="O496" s="46" t="inlineStr">
        <is>
          <t xml:space="preserve">Personal - regular use</t>
        </is>
      </c>
      <c r="P496" s="46" t="inlineStr">
        <is>
          <t xml:space="preserve">Under 1,000</t>
        </is>
      </c>
      <c r="Q496" s="46" t="inlineStr">
        <is>
          <t xml:space="preserve">Kentucky</t>
        </is>
      </c>
      <c r="R496" s="46" t="inlineStr">
        <is>
          <t xml:space="preserve">40202</t>
        </is>
      </c>
      <c r="S496" s="48" t="inlineStr">
        <is>
          <t xml:space="preserve">Severe convective - hail / tornado (moderate)</t>
        </is>
      </c>
      <c r="T496" s="36">
        <f>IF($A496="","",IF($S496="","",IFERROR(INDEX('[1]natural catastrophe'!$D$6:$D$17,MATCH($S496,'[1]natural catastrophe'!$B$6:$B$17,0)),"?")))</f>
      </c>
      <c r="U496" s="46" t="inlineStr">
        <is>
          <t xml:space="preserve">$5,000</t>
        </is>
      </c>
      <c r="V496" s="48" t="inlineStr">
        <is>
          <t xml:space="preserve">Agreed Value</t>
        </is>
      </c>
      <c r="W496" s="46" t="inlineStr">
        <is>
          <t xml:space="preserve">$1,000</t>
        </is>
      </c>
      <c r="X496" s="48" t="inlineStr">
        <is>
          <t xml:space="preserve">$1,000,000 CSL</t>
        </is>
      </c>
      <c r="Y496" s="46"/>
      <c r="Z496" s="46"/>
      <c r="AA496" s="48" t="inlineStr">
        <is>
          <t xml:space="preserve">Surplus Lines</t>
        </is>
      </c>
      <c r="AB496" s="50">
        <v>8789.01</v>
      </c>
      <c r="AC496" s="51">
        <v>0</v>
      </c>
      <c r="AD496" s="38">
        <f>IF(ISNUMBER($AB496),$AB496*(1+N($AC496)),"")</f>
      </c>
      <c r="AE496" s="50">
        <v>350</v>
      </c>
      <c r="AF496" s="50">
        <v>0</v>
      </c>
      <c r="AG496" s="51"/>
      <c r="AH496" s="39">
        <f>IF(ISNUMBER($AD496),($AD496+$AE496+$AF496)*$AG496,"")</f>
      </c>
      <c r="AI496" s="50"/>
      <c r="AJ496" s="38">
        <f>IF(ISNUMBER($AD496),SUM($AD496:$AH496),"")</f>
      </c>
      <c r="AK496" s="40">
        <f>IF(AND(ISNUMBER($AB496),ISNUMBER($AD496)),IF($AB496&gt;0,$AD496/$AB496,""),"")</f>
      </c>
      <c r="AL496" s="48" t="inlineStr">
        <is>
          <t xml:space="preserve">At technical</t>
        </is>
      </c>
      <c r="AM496" s="41">
        <f>IF(ISNUMBER($AD496),Header!$I$3,"")</f>
      </c>
      <c r="AN496" s="39">
        <f>IF(ISNUMBER($AD496),$AO496+$AP496,"")</f>
      </c>
      <c r="AO496" s="39">
        <f>IF(ISNUMBER($AD496),ROUND($AD496*Header!$K$3,2),"")</f>
      </c>
      <c r="AP496" s="39">
        <f>IF(ISNUMBER($AD496),ROUND($AD496*Header!$M$3,2),"")</f>
      </c>
      <c r="AQ496" s="38">
        <f>IF(ISNUMBER($AD496),ROUND($AD496,2)-$AO496-$AP496,"")</f>
      </c>
      <c r="AR496" s="39">
        <f>IF(ISNUMBER($AD496),IF(Header!$D$34="","?",$AD496*Header!$D$34),"")</f>
      </c>
      <c r="AS496" s="39">
        <f>IF(ISNUMBER($AB496),IF(Header!$D$34="","?",$AB496*Header!$D$34),"")</f>
      </c>
      <c r="AT496" s="42">
        <f>IF(AND(ISNUMBER($AB496),$M496&gt;0),$AB496/$M496*100,"")</f>
      </c>
      <c r="AU496" s="42">
        <f>IF(AND(ISNUMBER($AD496),$M496&gt;0),$AD496/$M496*100,"")</f>
      </c>
      <c r="AV496" s="40">
        <f>IF(AND(ISNUMBER($AB496),ISNUMBER($AD496),ABS($AB496)&gt;0),$AD496/$AB496,"")</f>
      </c>
      <c r="AW496" s="39">
        <f>IF(ISNUMBER($AD496),MAX(0,(1-0.55-Header!$O$3)*Header!$Q$3*$AQ496),"")</f>
      </c>
      <c r="AX496" s="43">
        <f>IF($A496="","",IF(TRIM(IF($A496="","Missing certificate ref. ","") &amp; IF($C496="","Missing effective date. ","") &amp; IF($D496="","Missing binding status. ","") &amp; IF($E496="","Missing movement type. ","") &amp; IF($I496="","Missing make. ","") &amp; IF($L496="","Missing vehicle class. ","") &amp; IF($M496="","Missing agreed value. ","") &amp; IF($N496="","Missing policy type. ","") &amp; IF($Q496="","Missing garaging state. ","") &amp; IF($R496="","Missing garaging ZIP. ","") &amp; IF($S496="","Missing cat zone. ","") &amp; IF($V496="","Missing valuation basis. ","") &amp; IF($W496="","Missing PD deductible. ","") &amp; IF($X496="","Missing liability limit. ","") &amp; IF($AB496="","Missing technical premium. ","") &amp; IF($AF496="","Missing surplus lines tax %. ",""))="","PASS","FAIL: "&amp;TRIM(IF($A496="","Missing certificate ref. ","") &amp; IF($C496="","Missing effective date. ","") &amp; IF($D496="","Missing binding status. ","") &amp; IF($E496="","Missing movement type. ","") &amp; IF($I496="","Missing make. ","") &amp; IF($L496="","Missing vehicle class. ","") &amp; IF($M496="","Missing agreed value. ","") &amp; IF($N496="","Missing policy type. ","") &amp; IF($Q496="","Missing garaging state. ","") &amp; IF($R496="","Missing garaging ZIP. ","") &amp; IF($S496="","Missing cat zone. ","") &amp; IF($V496="","Missing valuation basis. ","") &amp; IF($W496="","Missing PD deductible. ","") &amp; IF($X496="","Missing liability limit. ","") &amp; IF($AB496="","Missing technical premium. ","") &amp; IF($AF496="","Missing surplus lines tax %. ",""))))</f>
      </c>
      <c r="AY496" s="44">
        <f>IF($M496="","",IF(ISNUMBER($M496),IF($M496&gt;=Header!$C$18,"YES — refer","No"),""))</f>
      </c>
      <c r="AZ496" s="44">
        <f>IF($AD496="","",IF(ISNUMBER($AD496),IF($AD496&lt;Header!$C$20,"BELOW MIN PREMIUM","OK"),""))</f>
      </c>
      <c r="BA496" s="48" t="inlineStr">
        <is>
          <t xml:space="preserve">Yes</t>
        </is>
      </c>
      <c r="BB496" s="48" t="inlineStr">
        <is>
          <t xml:space="preserve">Yes</t>
        </is>
      </c>
      <c r="BC496" s="46" t="inlineStr">
        <is>
          <t xml:space="preserve">Synthetic demo data</t>
        </is>
      </c>
      <c r="BE496" s="45">
        <f>IF(OR($A496="",$L496="",$H496=""),"",IF(AND(LEFT($L496,2)="06",$H496&gt;1945),"FAIL - pre-war class, year "&amp;$H496,IF(AND(LEFT($L496,2)="07",OR($H496&lt;1946,$H496&gt;1972)),"FAIL - 1946-72 class, year "&amp;$H496,IF(AND(LEFT($L496,2)="08",OR($H496&lt;1973,$H496&gt;1999)),"FAIL - 1973-99 class, year "&amp;$H496,IF(AND(LEFT($L496,2)="09",OR($H496&lt;2000,$H496&gt;2010)),"FAIL - 2000-10 class, year "&amp;$H496,"OK")))))</f>
      </c>
      <c r="BF496" s="45">
        <f>IF($AD496="","",IF(ROUND($AO496+$AP496+$AQ496-$AD496,2)=0,"OK","FAIL - out by "&amp;TEXT($AO496+$AP496+$AQ496-$AD496,"$0.00")))</f>
      </c>
    </row>
    <row r="497" spans="1:58" ht="18.75" customHeight="1" x14ac:dyDescent="0.25">
      <c r="A497" s="30" t="inlineStr">
        <is>
          <t xml:space="preserve">CANON-202511-002843</t>
        </is>
      </c>
      <c r="B497" s="30" t="inlineStr">
        <is>
          <t xml:space="preserve">Cassius Nakashima</t>
        </is>
      </c>
      <c r="C497" s="31">
        <v>45977</v>
      </c>
      <c r="D497" s="32" t="inlineStr">
        <is>
          <t xml:space="preserve">Bound - within authority</t>
        </is>
      </c>
      <c r="E497" s="32" t="inlineStr">
        <is>
          <t xml:space="preserve">New business</t>
        </is>
      </c>
      <c r="F497" s="30" t="inlineStr">
        <is>
          <t xml:space="preserve">B1234EXOTIC26</t>
        </is>
      </c>
      <c r="G497" s="33">
        <f>IF($A497="","",IF($C497="","",YEAR($C497)))</f>
      </c>
      <c r="H497" s="34">
        <v>2005</v>
      </c>
      <c r="I497" s="30" t="inlineStr">
        <is>
          <t xml:space="preserve">Porsche</t>
        </is>
      </c>
      <c r="J497" s="30" t="inlineStr">
        <is>
          <t xml:space="preserve">911 Turbo S</t>
        </is>
      </c>
      <c r="K497" s="30" t="inlineStr">
        <is>
          <t xml:space="preserve">VHCU2T9JYDXXVASJM</t>
        </is>
      </c>
      <c r="L497" s="32" t="inlineStr">
        <is>
          <t xml:space="preserve">02 - Sports / GT</t>
        </is>
      </c>
      <c r="M497" s="35">
        <v>805000</v>
      </c>
      <c r="N497" s="32" t="inlineStr">
        <is>
          <t xml:space="preserve">Personal</t>
        </is>
      </c>
      <c r="O497" s="30" t="inlineStr">
        <is>
          <t xml:space="preserve">Personal - regular use</t>
        </is>
      </c>
      <c r="P497" s="30" t="inlineStr">
        <is>
          <t xml:space="preserve">2,500 - 5,000</t>
        </is>
      </c>
      <c r="Q497" s="30" t="inlineStr">
        <is>
          <t xml:space="preserve">New York</t>
        </is>
      </c>
      <c r="R497" s="30" t="inlineStr">
        <is>
          <t xml:space="preserve">10022</t>
        </is>
      </c>
      <c r="S497" s="32" t="inlineStr">
        <is>
          <t xml:space="preserve">Tier 3 - Coastal wind (25-100 miles)</t>
        </is>
      </c>
      <c r="T497" s="36">
        <f>IF($A497="","",IF($S497="","",IFERROR(INDEX('[1]natural catastrophe'!$D$6:$D$17,MATCH($S497,'[1]natural catastrophe'!$B$6:$B$17,0)),"?")))</f>
      </c>
      <c r="U497" s="30" t="inlineStr">
        <is>
          <t xml:space="preserve">2% of agreed value, minimum $10,000</t>
        </is>
      </c>
      <c r="V497" s="32" t="inlineStr">
        <is>
          <t xml:space="preserve">Agreed Value</t>
        </is>
      </c>
      <c r="W497" s="30" t="inlineStr">
        <is>
          <t xml:space="preserve">$1,000</t>
        </is>
      </c>
      <c r="X497" s="32" t="inlineStr">
        <is>
          <t xml:space="preserve">$1,000,000 CSL</t>
        </is>
      </c>
      <c r="Y497" s="30"/>
      <c r="Z497" s="30"/>
      <c r="AA497" s="32" t="inlineStr">
        <is>
          <t xml:space="preserve">Surplus Lines</t>
        </is>
      </c>
      <c r="AB497" s="35">
        <v>11618.44</v>
      </c>
      <c r="AC497" s="37">
        <v>0</v>
      </c>
      <c r="AD497" s="38">
        <f>IF(ISNUMBER($AB497),$AB497*(1+N($AC497)),"")</f>
      </c>
      <c r="AE497" s="35">
        <v>350</v>
      </c>
      <c r="AF497" s="35">
        <v>0</v>
      </c>
      <c r="AG497" s="37"/>
      <c r="AH497" s="39">
        <f>IF(ISNUMBER($AD497),($AD497+$AE497+$AF497)*$AG497,"")</f>
      </c>
      <c r="AI497" s="35"/>
      <c r="AJ497" s="38">
        <f>IF(ISNUMBER($AD497),SUM($AD497:$AH497),"")</f>
      </c>
      <c r="AK497" s="40">
        <f>IF(AND(ISNUMBER($AB497),ISNUMBER($AD497)),IF($AB497&gt;0,$AD497/$AB497,""),"")</f>
      </c>
      <c r="AL497" s="32" t="inlineStr">
        <is>
          <t xml:space="preserve">At technical</t>
        </is>
      </c>
      <c r="AM497" s="41">
        <f>IF(ISNUMBER($AD497),Header!$I$3,"")</f>
      </c>
      <c r="AN497" s="39">
        <f>IF(ISNUMBER($AD497),$AO497+$AP497,"")</f>
      </c>
      <c r="AO497" s="39">
        <f>IF(ISNUMBER($AD497),ROUND($AD497*Header!$K$3,2),"")</f>
      </c>
      <c r="AP497" s="39">
        <f>IF(ISNUMBER($AD497),ROUND($AD497*Header!$M$3,2),"")</f>
      </c>
      <c r="AQ497" s="38">
        <f>IF(ISNUMBER($AD497),ROUND($AD497,2)-$AO497-$AP497,"")</f>
      </c>
      <c r="AR497" s="39">
        <f>IF(ISNUMBER($AD497),IF(Header!$D$34="","?",$AD497*Header!$D$34),"")</f>
      </c>
      <c r="AS497" s="39">
        <f>IF(ISNUMBER($AB497),IF(Header!$D$34="","?",$AB497*Header!$D$34),"")</f>
      </c>
      <c r="AT497" s="42">
        <f>IF(AND(ISNUMBER($AB497),$M497&gt;0),$AB497/$M497*100,"")</f>
      </c>
      <c r="AU497" s="42">
        <f>IF(AND(ISNUMBER($AD497),$M497&gt;0),$AD497/$M497*100,"")</f>
      </c>
      <c r="AV497" s="40">
        <f>IF(AND(ISNUMBER($AB497),ISNUMBER($AD497),ABS($AB497)&gt;0),$AD497/$AB497,"")</f>
      </c>
      <c r="AW497" s="39">
        <f>IF(ISNUMBER($AD497),MAX(0,(1-0.55-Header!$O$3)*Header!$Q$3*$AQ497),"")</f>
      </c>
      <c r="AX497" s="43">
        <f>IF($A497="","",IF(TRIM(IF($A497="","Missing certificate ref. ","") &amp; IF($C497="","Missing effective date. ","") &amp; IF($D497="","Missing binding status. ","") &amp; IF($E497="","Missing movement type. ","") &amp; IF($I497="","Missing make. ","") &amp; IF($L497="","Missing vehicle class. ","") &amp; IF($M497="","Missing agreed value. ","") &amp; IF($N497="","Missing policy type. ","") &amp; IF($Q497="","Missing garaging state. ","") &amp; IF($R497="","Missing garaging ZIP. ","") &amp; IF($S497="","Missing cat zone. ","") &amp; IF($V497="","Missing valuation basis. ","") &amp; IF($W497="","Missing PD deductible. ","") &amp; IF($X497="","Missing liability limit. ","") &amp; IF($AB497="","Missing technical premium. ","") &amp; IF($AF497="","Missing surplus lines tax %. ",""))="","PASS","FAIL: "&amp;TRIM(IF($A497="","Missing certificate ref. ","") &amp; IF($C497="","Missing effective date. ","") &amp; IF($D497="","Missing binding status. ","") &amp; IF($E497="","Missing movement type. ","") &amp; IF($I497="","Missing make. ","") &amp; IF($L497="","Missing vehicle class. ","") &amp; IF($M497="","Missing agreed value. ","") &amp; IF($N497="","Missing policy type. ","") &amp; IF($Q497="","Missing garaging state. ","") &amp; IF($R497="","Missing garaging ZIP. ","") &amp; IF($S497="","Missing cat zone. ","") &amp; IF($V497="","Missing valuation basis. ","") &amp; IF($W497="","Missing PD deductible. ","") &amp; IF($X497="","Missing liability limit. ","") &amp; IF($AB497="","Missing technical premium. ","") &amp; IF($AF497="","Missing surplus lines tax %. ",""))))</f>
      </c>
      <c r="AY497" s="44">
        <f>IF($M497="","",IF(ISNUMBER($M497),IF($M497&gt;=Header!$C$18,"YES — refer","No"),""))</f>
      </c>
      <c r="AZ497" s="44">
        <f>IF($AD497="","",IF(ISNUMBER($AD497),IF($AD497&lt;Header!$C$20,"BELOW MIN PREMIUM","OK"),""))</f>
      </c>
      <c r="BA497" s="32" t="inlineStr">
        <is>
          <t xml:space="preserve">Yes</t>
        </is>
      </c>
      <c r="BB497" s="32" t="inlineStr">
        <is>
          <t xml:space="preserve">Yes</t>
        </is>
      </c>
      <c r="BC497" s="30" t="inlineStr">
        <is>
          <t xml:space="preserve">Synthetic demo data</t>
        </is>
      </c>
      <c r="BE497" s="45">
        <f>IF(OR($A497="",$L497="",$H497=""),"",IF(AND(LEFT($L497,2)="06",$H497&gt;1945),"FAIL - pre-war class, year "&amp;$H497,IF(AND(LEFT($L497,2)="07",OR($H497&lt;1946,$H497&gt;1972)),"FAIL - 1946-72 class, year "&amp;$H497,IF(AND(LEFT($L497,2)="08",OR($H497&lt;1973,$H497&gt;1999)),"FAIL - 1973-99 class, year "&amp;$H497,IF(AND(LEFT($L497,2)="09",OR($H497&lt;2000,$H497&gt;2010)),"FAIL - 2000-10 class, year "&amp;$H497,"OK")))))</f>
      </c>
      <c r="BF497" s="45">
        <f>IF($AD497="","",IF(ROUND($AO497+$AP497+$AQ497-$AD497,2)=0,"OK","FAIL - out by "&amp;TEXT($AO497+$AP497+$AQ497-$AD497,"$0.00")))</f>
      </c>
    </row>
    <row r="498" spans="1:58" ht="18.75" customHeight="1" x14ac:dyDescent="0.25">
      <c r="A498" s="46" t="inlineStr">
        <is>
          <t xml:space="preserve">CANON-202511-002844</t>
        </is>
      </c>
      <c r="B498" s="46" t="inlineStr">
        <is>
          <t xml:space="preserve">Aurelio Fairweather</t>
        </is>
      </c>
      <c r="C498" s="47">
        <v>45976</v>
      </c>
      <c r="D498" s="48" t="inlineStr">
        <is>
          <t xml:space="preserve">Bound - within authority</t>
        </is>
      </c>
      <c r="E498" s="48" t="inlineStr">
        <is>
          <t xml:space="preserve">New business</t>
        </is>
      </c>
      <c r="F498" s="46" t="inlineStr">
        <is>
          <t xml:space="preserve">B1234EXOTIC26</t>
        </is>
      </c>
      <c r="G498" s="33">
        <f>IF($A498="","",IF($C498="","",YEAR($C498)))</f>
      </c>
      <c r="H498" s="49">
        <v>2009</v>
      </c>
      <c r="I498" s="46" t="inlineStr">
        <is>
          <t xml:space="preserve">Aston Martin</t>
        </is>
      </c>
      <c r="J498" s="46" t="inlineStr">
        <is>
          <t xml:space="preserve">DB12</t>
        </is>
      </c>
      <c r="K498" s="46" t="inlineStr">
        <is>
          <t xml:space="preserve">G2FWJ4SM7V3YUWWG3</t>
        </is>
      </c>
      <c r="L498" s="48" t="inlineStr">
        <is>
          <t xml:space="preserve">02 - Sports / GT</t>
        </is>
      </c>
      <c r="M498" s="50">
        <v>650000</v>
      </c>
      <c r="N498" s="48" t="inlineStr">
        <is>
          <t xml:space="preserve">Personal</t>
        </is>
      </c>
      <c r="O498" s="46" t="inlineStr">
        <is>
          <t xml:space="preserve">Personal - regular use</t>
        </is>
      </c>
      <c r="P498" s="46" t="inlineStr">
        <is>
          <t xml:space="preserve">Under 1,000</t>
        </is>
      </c>
      <c r="Q498" s="46" t="inlineStr">
        <is>
          <t xml:space="preserve">Wisconsin</t>
        </is>
      </c>
      <c r="R498" s="46" t="inlineStr">
        <is>
          <t xml:space="preserve">53202</t>
        </is>
      </c>
      <c r="S498" s="48" t="inlineStr">
        <is>
          <t xml:space="preserve">Severe convective - hail / tornado (moderate)</t>
        </is>
      </c>
      <c r="T498" s="36">
        <f>IF($A498="","",IF($S498="","",IFERROR(INDEX('[1]natural catastrophe'!$D$6:$D$17,MATCH($S498,'[1]natural catastrophe'!$B$6:$B$17,0)),"?")))</f>
      </c>
      <c r="U498" s="46" t="inlineStr">
        <is>
          <t xml:space="preserve">$5,000</t>
        </is>
      </c>
      <c r="V498" s="48" t="inlineStr">
        <is>
          <t xml:space="preserve">Agreed Value</t>
        </is>
      </c>
      <c r="W498" s="46" t="inlineStr">
        <is>
          <t xml:space="preserve">$1,000</t>
        </is>
      </c>
      <c r="X498" s="48" t="inlineStr">
        <is>
          <t xml:space="preserve">$1,000,000 CSL</t>
        </is>
      </c>
      <c r="Y498" s="46"/>
      <c r="Z498" s="46"/>
      <c r="AA498" s="48" t="inlineStr">
        <is>
          <t xml:space="preserve">Surplus Lines</t>
        </is>
      </c>
      <c r="AB498" s="50">
        <v>8795.02</v>
      </c>
      <c r="AC498" s="51">
        <v>0</v>
      </c>
      <c r="AD498" s="38">
        <f>IF(ISNUMBER($AB498),$AB498*(1+N($AC498)),"")</f>
      </c>
      <c r="AE498" s="50">
        <v>350</v>
      </c>
      <c r="AF498" s="50">
        <v>0</v>
      </c>
      <c r="AG498" s="51"/>
      <c r="AH498" s="39">
        <f>IF(ISNUMBER($AD498),($AD498+$AE498+$AF498)*$AG498,"")</f>
      </c>
      <c r="AI498" s="50"/>
      <c r="AJ498" s="38">
        <f>IF(ISNUMBER($AD498),SUM($AD498:$AH498),"")</f>
      </c>
      <c r="AK498" s="40">
        <f>IF(AND(ISNUMBER($AB498),ISNUMBER($AD498)),IF($AB498&gt;0,$AD498/$AB498,""),"")</f>
      </c>
      <c r="AL498" s="48" t="inlineStr">
        <is>
          <t xml:space="preserve">At technical</t>
        </is>
      </c>
      <c r="AM498" s="41">
        <f>IF(ISNUMBER($AD498),Header!$I$3,"")</f>
      </c>
      <c r="AN498" s="39">
        <f>IF(ISNUMBER($AD498),$AO498+$AP498,"")</f>
      </c>
      <c r="AO498" s="39">
        <f>IF(ISNUMBER($AD498),ROUND($AD498*Header!$K$3,2),"")</f>
      </c>
      <c r="AP498" s="39">
        <f>IF(ISNUMBER($AD498),ROUND($AD498*Header!$M$3,2),"")</f>
      </c>
      <c r="AQ498" s="38">
        <f>IF(ISNUMBER($AD498),ROUND($AD498,2)-$AO498-$AP498,"")</f>
      </c>
      <c r="AR498" s="39">
        <f>IF(ISNUMBER($AD498),IF(Header!$D$34="","?",$AD498*Header!$D$34),"")</f>
      </c>
      <c r="AS498" s="39">
        <f>IF(ISNUMBER($AB498),IF(Header!$D$34="","?",$AB498*Header!$D$34),"")</f>
      </c>
      <c r="AT498" s="42">
        <f>IF(AND(ISNUMBER($AB498),$M498&gt;0),$AB498/$M498*100,"")</f>
      </c>
      <c r="AU498" s="42">
        <f>IF(AND(ISNUMBER($AD498),$M498&gt;0),$AD498/$M498*100,"")</f>
      </c>
      <c r="AV498" s="40">
        <f>IF(AND(ISNUMBER($AB498),ISNUMBER($AD498),ABS($AB498)&gt;0),$AD498/$AB498,"")</f>
      </c>
      <c r="AW498" s="39">
        <f>IF(ISNUMBER($AD498),MAX(0,(1-0.55-Header!$O$3)*Header!$Q$3*$AQ498),"")</f>
      </c>
      <c r="AX498" s="43">
        <f>IF($A498="","",IF(TRIM(IF($A498="","Missing certificate ref. ","") &amp; IF($C498="","Missing effective date. ","") &amp; IF($D498="","Missing binding status. ","") &amp; IF($E498="","Missing movement type. ","") &amp; IF($I498="","Missing make. ","") &amp; IF($L498="","Missing vehicle class. ","") &amp; IF($M498="","Missing agreed value. ","") &amp; IF($N498="","Missing policy type. ","") &amp; IF($Q498="","Missing garaging state. ","") &amp; IF($R498="","Missing garaging ZIP. ","") &amp; IF($S498="","Missing cat zone. ","") &amp; IF($V498="","Missing valuation basis. ","") &amp; IF($W498="","Missing PD deductible. ","") &amp; IF($X498="","Missing liability limit. ","") &amp; IF($AB498="","Missing technical premium. ","") &amp; IF($AF498="","Missing surplus lines tax %. ",""))="","PASS","FAIL: "&amp;TRIM(IF($A498="","Missing certificate ref. ","") &amp; IF($C498="","Missing effective date. ","") &amp; IF($D498="","Missing binding status. ","") &amp; IF($E498="","Missing movement type. ","") &amp; IF($I498="","Missing make. ","") &amp; IF($L498="","Missing vehicle class. ","") &amp; IF($M498="","Missing agreed value. ","") &amp; IF($N498="","Missing policy type. ","") &amp; IF($Q498="","Missing garaging state. ","") &amp; IF($R498="","Missing garaging ZIP. ","") &amp; IF($S498="","Missing cat zone. ","") &amp; IF($V498="","Missing valuation basis. ","") &amp; IF($W498="","Missing PD deductible. ","") &amp; IF($X498="","Missing liability limit. ","") &amp; IF($AB498="","Missing technical premium. ","") &amp; IF($AF498="","Missing surplus lines tax %. ",""))))</f>
      </c>
      <c r="AY498" s="44">
        <f>IF($M498="","",IF(ISNUMBER($M498),IF($M498&gt;=Header!$C$18,"YES — refer","No"),""))</f>
      </c>
      <c r="AZ498" s="44">
        <f>IF($AD498="","",IF(ISNUMBER($AD498),IF($AD498&lt;Header!$C$20,"BELOW MIN PREMIUM","OK"),""))</f>
      </c>
      <c r="BA498" s="48" t="inlineStr">
        <is>
          <t xml:space="preserve">Yes</t>
        </is>
      </c>
      <c r="BB498" s="48" t="inlineStr">
        <is>
          <t xml:space="preserve">Yes</t>
        </is>
      </c>
      <c r="BC498" s="46" t="inlineStr">
        <is>
          <t xml:space="preserve">Synthetic demo data</t>
        </is>
      </c>
      <c r="BE498" s="45">
        <f>IF(OR($A498="",$L498="",$H498=""),"",IF(AND(LEFT($L498,2)="06",$H498&gt;1945),"FAIL - pre-war class, year "&amp;$H498,IF(AND(LEFT($L498,2)="07",OR($H498&lt;1946,$H498&gt;1972)),"FAIL - 1946-72 class, year "&amp;$H498,IF(AND(LEFT($L498,2)="08",OR($H498&lt;1973,$H498&gt;1999)),"FAIL - 1973-99 class, year "&amp;$H498,IF(AND(LEFT($L498,2)="09",OR($H498&lt;2000,$H498&gt;2010)),"FAIL - 2000-10 class, year "&amp;$H498,"OK")))))</f>
      </c>
      <c r="BF498" s="45">
        <f>IF($AD498="","",IF(ROUND($AO498+$AP498+$AQ498-$AD498,2)=0,"OK","FAIL - out by "&amp;TEXT($AO498+$AP498+$AQ498-$AD498,"$0.00")))</f>
      </c>
    </row>
    <row r="499" spans="1:58" ht="18.75" customHeight="1" x14ac:dyDescent="0.25">
      <c r="A499" s="30" t="inlineStr">
        <is>
          <t xml:space="preserve">CANON-202511-002846</t>
        </is>
      </c>
      <c r="B499" s="30" t="inlineStr">
        <is>
          <t xml:space="preserve">Emiliano Fairweather</t>
        </is>
      </c>
      <c r="C499" s="31">
        <v>45975</v>
      </c>
      <c r="D499" s="32" t="inlineStr">
        <is>
          <t xml:space="preserve">Bound - within authority</t>
        </is>
      </c>
      <c r="E499" s="32" t="inlineStr">
        <is>
          <t xml:space="preserve">New business</t>
        </is>
      </c>
      <c r="F499" s="30" t="inlineStr">
        <is>
          <t xml:space="preserve">B1234EXOTIC26</t>
        </is>
      </c>
      <c r="G499" s="33">
        <f>IF($A499="","",IF($C499="","",YEAR($C499)))</f>
      </c>
      <c r="H499" s="34">
        <v>1958</v>
      </c>
      <c r="I499" s="30" t="inlineStr">
        <is>
          <t xml:space="preserve">Aston Martin</t>
        </is>
      </c>
      <c r="J499" s="30" t="inlineStr">
        <is>
          <t xml:space="preserve">DB12</t>
        </is>
      </c>
      <c r="K499" s="30" t="inlineStr">
        <is>
          <t xml:space="preserve">V6SVKM5Y0E5SVV0XE</t>
        </is>
      </c>
      <c r="L499" s="32" t="inlineStr">
        <is>
          <t xml:space="preserve">02 - Sports / GT</t>
        </is>
      </c>
      <c r="M499" s="35">
        <v>1045000</v>
      </c>
      <c r="N499" s="32" t="inlineStr">
        <is>
          <t xml:space="preserve">Personal</t>
        </is>
      </c>
      <c r="O499" s="30" t="inlineStr">
        <is>
          <t xml:space="preserve">Personal - regular use</t>
        </is>
      </c>
      <c r="P499" s="30" t="inlineStr">
        <is>
          <t xml:space="preserve">2,500 - 5,000</t>
        </is>
      </c>
      <c r="Q499" s="30" t="inlineStr">
        <is>
          <t xml:space="preserve">Idaho</t>
        </is>
      </c>
      <c r="R499" s="30" t="inlineStr">
        <is>
          <t xml:space="preserve">83702</t>
        </is>
      </c>
      <c r="S499" s="32" t="inlineStr">
        <is>
          <t xml:space="preserve">Wildfire - WUI high hazard</t>
        </is>
      </c>
      <c r="T499" s="36">
        <f>IF($A499="","",IF($S499="","",IFERROR(INDEX('[1]natural catastrophe'!$D$6:$D$17,MATCH($S499,'[1]natural catastrophe'!$B$6:$B$17,0)),"?")))</f>
      </c>
      <c r="U499" s="30" t="inlineStr">
        <is>
          <t xml:space="preserve">$5,000</t>
        </is>
      </c>
      <c r="V499" s="32" t="inlineStr">
        <is>
          <t xml:space="preserve">Agreed Value</t>
        </is>
      </c>
      <c r="W499" s="30" t="inlineStr">
        <is>
          <t xml:space="preserve">$1,000</t>
        </is>
      </c>
      <c r="X499" s="32" t="inlineStr">
        <is>
          <t xml:space="preserve">$1,000,000 CSL</t>
        </is>
      </c>
      <c r="Y499" s="30"/>
      <c r="Z499" s="30"/>
      <c r="AA499" s="32" t="inlineStr">
        <is>
          <t xml:space="preserve">Surplus Lines</t>
        </is>
      </c>
      <c r="AB499" s="35">
        <v>9870.59</v>
      </c>
      <c r="AC499" s="37">
        <v>0</v>
      </c>
      <c r="AD499" s="38">
        <f>IF(ISNUMBER($AB499),$AB499*(1+N($AC499)),"")</f>
      </c>
      <c r="AE499" s="35">
        <v>350</v>
      </c>
      <c r="AF499" s="35">
        <v>250</v>
      </c>
      <c r="AG499" s="37"/>
      <c r="AH499" s="39">
        <f>IF(ISNUMBER($AD499),($AD499+$AE499+$AF499)*$AG499,"")</f>
      </c>
      <c r="AI499" s="35"/>
      <c r="AJ499" s="38">
        <f>IF(ISNUMBER($AD499),SUM($AD499:$AH499),"")</f>
      </c>
      <c r="AK499" s="40">
        <f>IF(AND(ISNUMBER($AB499),ISNUMBER($AD499)),IF($AB499&gt;0,$AD499/$AB499,""),"")</f>
      </c>
      <c r="AL499" s="32" t="inlineStr">
        <is>
          <t xml:space="preserve">At technical</t>
        </is>
      </c>
      <c r="AM499" s="41">
        <f>IF(ISNUMBER($AD499),Header!$I$3,"")</f>
      </c>
      <c r="AN499" s="39">
        <f>IF(ISNUMBER($AD499),$AO499+$AP499,"")</f>
      </c>
      <c r="AO499" s="39">
        <f>IF(ISNUMBER($AD499),ROUND($AD499*Header!$K$3,2),"")</f>
      </c>
      <c r="AP499" s="39">
        <f>IF(ISNUMBER($AD499),ROUND($AD499*Header!$M$3,2),"")</f>
      </c>
      <c r="AQ499" s="38">
        <f>IF(ISNUMBER($AD499),ROUND($AD499,2)-$AO499-$AP499,"")</f>
      </c>
      <c r="AR499" s="39">
        <f>IF(ISNUMBER($AD499),IF(Header!$D$34="","?",$AD499*Header!$D$34),"")</f>
      </c>
      <c r="AS499" s="39">
        <f>IF(ISNUMBER($AB499),IF(Header!$D$34="","?",$AB499*Header!$D$34),"")</f>
      </c>
      <c r="AT499" s="42">
        <f>IF(AND(ISNUMBER($AB499),$M499&gt;0),$AB499/$M499*100,"")</f>
      </c>
      <c r="AU499" s="42">
        <f>IF(AND(ISNUMBER($AD499),$M499&gt;0),$AD499/$M499*100,"")</f>
      </c>
      <c r="AV499" s="40">
        <f>IF(AND(ISNUMBER($AB499),ISNUMBER($AD499),ABS($AB499)&gt;0),$AD499/$AB499,"")</f>
      </c>
      <c r="AW499" s="39">
        <f>IF(ISNUMBER($AD499),MAX(0,(1-0.55-Header!$O$3)*Header!$Q$3*$AQ499),"")</f>
      </c>
      <c r="AX499" s="43">
        <f>IF($A499="","",IF(TRIM(IF($A499="","Missing certificate ref. ","") &amp; IF($C499="","Missing effective date. ","") &amp; IF($D499="","Missing binding status. ","") &amp; IF($E499="","Missing movement type. ","") &amp; IF($I499="","Missing make. ","") &amp; IF($L499="","Missing vehicle class. ","") &amp; IF($M499="","Missing agreed value. ","") &amp; IF($N499="","Missing policy type. ","") &amp; IF($Q499="","Missing garaging state. ","") &amp; IF($R499="","Missing garaging ZIP. ","") &amp; IF($S499="","Missing cat zone. ","") &amp; IF($V499="","Missing valuation basis. ","") &amp; IF($W499="","Missing PD deductible. ","") &amp; IF($X499="","Missing liability limit. ","") &amp; IF($AB499="","Missing technical premium. ","") &amp; IF($AF499="","Missing surplus lines tax %. ",""))="","PASS","FAIL: "&amp;TRIM(IF($A499="","Missing certificate ref. ","") &amp; IF($C499="","Missing effective date. ","") &amp; IF($D499="","Missing binding status. ","") &amp; IF($E499="","Missing movement type. ","") &amp; IF($I499="","Missing make. ","") &amp; IF($L499="","Missing vehicle class. ","") &amp; IF($M499="","Missing agreed value. ","") &amp; IF($N499="","Missing policy type. ","") &amp; IF($Q499="","Missing garaging state. ","") &amp; IF($R499="","Missing garaging ZIP. ","") &amp; IF($S499="","Missing cat zone. ","") &amp; IF($V499="","Missing valuation basis. ","") &amp; IF($W499="","Missing PD deductible. ","") &amp; IF($X499="","Missing liability limit. ","") &amp; IF($AB499="","Missing technical premium. ","") &amp; IF($AF499="","Missing surplus lines tax %. ",""))))</f>
      </c>
      <c r="AY499" s="44">
        <f>IF($M499="","",IF(ISNUMBER($M499),IF($M499&gt;=Header!$C$18,"YES — refer","No"),""))</f>
      </c>
      <c r="AZ499" s="44">
        <f>IF($AD499="","",IF(ISNUMBER($AD499),IF($AD499&lt;Header!$C$20,"BELOW MIN PREMIUM","OK"),""))</f>
      </c>
      <c r="BA499" s="32" t="inlineStr">
        <is>
          <t xml:space="preserve">Yes</t>
        </is>
      </c>
      <c r="BB499" s="32" t="inlineStr">
        <is>
          <t xml:space="preserve">Yes</t>
        </is>
      </c>
      <c r="BC499" s="30" t="inlineStr">
        <is>
          <t xml:space="preserve">Synthetic demo data</t>
        </is>
      </c>
      <c r="BE499" s="45">
        <f>IF(OR($A499="",$L499="",$H499=""),"",IF(AND(LEFT($L499,2)="06",$H499&gt;1945),"FAIL - pre-war class, year "&amp;$H499,IF(AND(LEFT($L499,2)="07",OR($H499&lt;1946,$H499&gt;1972)),"FAIL - 1946-72 class, year "&amp;$H499,IF(AND(LEFT($L499,2)="08",OR($H499&lt;1973,$H499&gt;1999)),"FAIL - 1973-99 class, year "&amp;$H499,IF(AND(LEFT($L499,2)="09",OR($H499&lt;2000,$H499&gt;2010)),"FAIL - 2000-10 class, year "&amp;$H499,"OK")))))</f>
      </c>
      <c r="BF499" s="45">
        <f>IF($AD499="","",IF(ROUND($AO499+$AP499+$AQ499-$AD499,2)=0,"OK","FAIL - out by "&amp;TEXT($AO499+$AP499+$AQ499-$AD499,"$0.00")))</f>
      </c>
    </row>
    <row r="500" spans="1:58" ht="18.75" customHeight="1" x14ac:dyDescent="0.25">
      <c r="A500" s="46" t="inlineStr">
        <is>
          <t xml:space="preserve">CANON-202511-002847</t>
        </is>
      </c>
      <c r="B500" s="46" t="inlineStr">
        <is>
          <t xml:space="preserve">Ramona Rourke</t>
        </is>
      </c>
      <c r="C500" s="47">
        <v>45986</v>
      </c>
      <c r="D500" s="48" t="inlineStr">
        <is>
          <t xml:space="preserve">Bound - within authority</t>
        </is>
      </c>
      <c r="E500" s="48" t="inlineStr">
        <is>
          <t xml:space="preserve">New business</t>
        </is>
      </c>
      <c r="F500" s="46" t="inlineStr">
        <is>
          <t xml:space="preserve">B1234EXOTIC26</t>
        </is>
      </c>
      <c r="G500" s="33">
        <f>IF($A500="","",IF($C500="","",YEAR($C500)))</f>
      </c>
      <c r="H500" s="49">
        <v>1993</v>
      </c>
      <c r="I500" s="46" t="inlineStr">
        <is>
          <t xml:space="preserve">Maserati</t>
        </is>
      </c>
      <c r="J500" s="46" t="inlineStr">
        <is>
          <t xml:space="preserve">GranTurismo</t>
        </is>
      </c>
      <c r="K500" s="46" t="inlineStr">
        <is>
          <t xml:space="preserve">8051JPMN6JRLL4JRV</t>
        </is>
      </c>
      <c r="L500" s="48" t="inlineStr">
        <is>
          <t xml:space="preserve">02 - Sports / GT</t>
        </is>
      </c>
      <c r="M500" s="50">
        <v>315000</v>
      </c>
      <c r="N500" s="48" t="inlineStr">
        <is>
          <t xml:space="preserve">Personal</t>
        </is>
      </c>
      <c r="O500" s="46" t="inlineStr">
        <is>
          <t xml:space="preserve">Personal - regular use</t>
        </is>
      </c>
      <c r="P500" s="46" t="inlineStr">
        <is>
          <t xml:space="preserve">Under 1,000</t>
        </is>
      </c>
      <c r="Q500" s="46" t="inlineStr">
        <is>
          <t xml:space="preserve">Washington</t>
        </is>
      </c>
      <c r="R500" s="46" t="inlineStr">
        <is>
          <t xml:space="preserve">98101</t>
        </is>
      </c>
      <c r="S500" s="48" t="inlineStr">
        <is>
          <t xml:space="preserve">Earthquake - high (CA, Cascadia, New Madrid)</t>
        </is>
      </c>
      <c r="T500" s="36">
        <f>IF($A500="","",IF($S500="","",IFERROR(INDEX('[1]natural catastrophe'!$D$6:$D$17,MATCH($S500,'[1]natural catastrophe'!$B$6:$B$17,0)),"?")))</f>
      </c>
      <c r="U500" s="46" t="inlineStr">
        <is>
          <t xml:space="preserve">$5,000</t>
        </is>
      </c>
      <c r="V500" s="48" t="inlineStr">
        <is>
          <t xml:space="preserve">Agreed Value</t>
        </is>
      </c>
      <c r="W500" s="46" t="inlineStr">
        <is>
          <t xml:space="preserve">$1,000</t>
        </is>
      </c>
      <c r="X500" s="48" t="inlineStr">
        <is>
          <t xml:space="preserve">$1,000,000 CSL</t>
        </is>
      </c>
      <c r="Y500" s="46"/>
      <c r="Z500" s="46"/>
      <c r="AA500" s="48" t="inlineStr">
        <is>
          <t xml:space="preserve">Surplus Lines</t>
        </is>
      </c>
      <c r="AB500" s="50">
        <v>3934.34</v>
      </c>
      <c r="AC500" s="51">
        <v>0</v>
      </c>
      <c r="AD500" s="38">
        <f>IF(ISNUMBER($AB500),$AB500*(1+N($AC500)),"")</f>
      </c>
      <c r="AE500" s="50">
        <v>350</v>
      </c>
      <c r="AF500" s="50">
        <v>0</v>
      </c>
      <c r="AG500" s="51"/>
      <c r="AH500" s="39">
        <f>IF(ISNUMBER($AD500),($AD500+$AE500+$AF500)*$AG500,"")</f>
      </c>
      <c r="AI500" s="50"/>
      <c r="AJ500" s="38">
        <f>IF(ISNUMBER($AD500),SUM($AD500:$AH500),"")</f>
      </c>
      <c r="AK500" s="40">
        <f>IF(AND(ISNUMBER($AB500),ISNUMBER($AD500)),IF($AB500&gt;0,$AD500/$AB500,""),"")</f>
      </c>
      <c r="AL500" s="48" t="inlineStr">
        <is>
          <t xml:space="preserve">At technical</t>
        </is>
      </c>
      <c r="AM500" s="41">
        <f>IF(ISNUMBER($AD500),Header!$I$3,"")</f>
      </c>
      <c r="AN500" s="39">
        <f>IF(ISNUMBER($AD500),$AO500+$AP500,"")</f>
      </c>
      <c r="AO500" s="39">
        <f>IF(ISNUMBER($AD500),ROUND($AD500*Header!$K$3,2),"")</f>
      </c>
      <c r="AP500" s="39">
        <f>IF(ISNUMBER($AD500),ROUND($AD500*Header!$M$3,2),"")</f>
      </c>
      <c r="AQ500" s="38">
        <f>IF(ISNUMBER($AD500),ROUND($AD500,2)-$AO500-$AP500,"")</f>
      </c>
      <c r="AR500" s="39">
        <f>IF(ISNUMBER($AD500),IF(Header!$D$34="","?",$AD500*Header!$D$34),"")</f>
      </c>
      <c r="AS500" s="39">
        <f>IF(ISNUMBER($AB500),IF(Header!$D$34="","?",$AB500*Header!$D$34),"")</f>
      </c>
      <c r="AT500" s="42">
        <f>IF(AND(ISNUMBER($AB500),$M500&gt;0),$AB500/$M500*100,"")</f>
      </c>
      <c r="AU500" s="42">
        <f>IF(AND(ISNUMBER($AD500),$M500&gt;0),$AD500/$M500*100,"")</f>
      </c>
      <c r="AV500" s="40">
        <f>IF(AND(ISNUMBER($AB500),ISNUMBER($AD500),ABS($AB500)&gt;0),$AD500/$AB500,"")</f>
      </c>
      <c r="AW500" s="39">
        <f>IF(ISNUMBER($AD500),MAX(0,(1-0.55-Header!$O$3)*Header!$Q$3*$AQ500),"")</f>
      </c>
      <c r="AX500" s="43">
        <f>IF($A500="","",IF(TRIM(IF($A500="","Missing certificate ref. ","") &amp; IF($C500="","Missing effective date. ","") &amp; IF($D500="","Missing binding status. ","") &amp; IF($E500="","Missing movement type. ","") &amp; IF($I500="","Missing make. ","") &amp; IF($L500="","Missing vehicle class. ","") &amp; IF($M500="","Missing agreed value. ","") &amp; IF($N500="","Missing policy type. ","") &amp; IF($Q500="","Missing garaging state. ","") &amp; IF($R500="","Missing garaging ZIP. ","") &amp; IF($S500="","Missing cat zone. ","") &amp; IF($V500="","Missing valuation basis. ","") &amp; IF($W500="","Missing PD deductible. ","") &amp; IF($X500="","Missing liability limit. ","") &amp; IF($AB500="","Missing technical premium. ","") &amp; IF($AF500="","Missing surplus lines tax %. ",""))="","PASS","FAIL: "&amp;TRIM(IF($A500="","Missing certificate ref. ","") &amp; IF($C500="","Missing effective date. ","") &amp; IF($D500="","Missing binding status. ","") &amp; IF($E500="","Missing movement type. ","") &amp; IF($I500="","Missing make. ","") &amp; IF($L500="","Missing vehicle class. ","") &amp; IF($M500="","Missing agreed value. ","") &amp; IF($N500="","Missing policy type. ","") &amp; IF($Q500="","Missing garaging state. ","") &amp; IF($R500="","Missing garaging ZIP. ","") &amp; IF($S500="","Missing cat zone. ","") &amp; IF($V500="","Missing valuation basis. ","") &amp; IF($W500="","Missing PD deductible. ","") &amp; IF($X500="","Missing liability limit. ","") &amp; IF($AB500="","Missing technical premium. ","") &amp; IF($AF500="","Missing surplus lines tax %. ",""))))</f>
      </c>
      <c r="AY500" s="44">
        <f>IF($M500="","",IF(ISNUMBER($M500),IF($M500&gt;=Header!$C$18,"YES — refer","No"),""))</f>
      </c>
      <c r="AZ500" s="44">
        <f>IF($AD500="","",IF(ISNUMBER($AD500),IF($AD500&lt;Header!$C$20,"BELOW MIN PREMIUM","OK"),""))</f>
      </c>
      <c r="BA500" s="48" t="inlineStr">
        <is>
          <t xml:space="preserve">Yes</t>
        </is>
      </c>
      <c r="BB500" s="48" t="inlineStr">
        <is>
          <t xml:space="preserve">Yes</t>
        </is>
      </c>
      <c r="BC500" s="46" t="inlineStr">
        <is>
          <t xml:space="preserve">Synthetic demo data</t>
        </is>
      </c>
      <c r="BE500" s="45">
        <f>IF(OR($A500="",$L500="",$H500=""),"",IF(AND(LEFT($L500,2)="06",$H500&gt;1945),"FAIL - pre-war class, year "&amp;$H500,IF(AND(LEFT($L500,2)="07",OR($H500&lt;1946,$H500&gt;1972)),"FAIL - 1946-72 class, year "&amp;$H500,IF(AND(LEFT($L500,2)="08",OR($H500&lt;1973,$H500&gt;1999)),"FAIL - 1973-99 class, year "&amp;$H500,IF(AND(LEFT($L500,2)="09",OR($H500&lt;2000,$H500&gt;2010)),"FAIL - 2000-10 class, year "&amp;$H500,"OK")))))</f>
      </c>
      <c r="BF500" s="45">
        <f>IF($AD500="","",IF(ROUND($AO500+$AP500+$AQ500-$AD500,2)=0,"OK","FAIL - out by "&amp;TEXT($AO500+$AP500+$AQ500-$AD500,"$0.00")))</f>
      </c>
    </row>
    <row r="501" spans="1:58" ht="18.75" customHeight="1" x14ac:dyDescent="0.25">
      <c r="A501" s="30" t="inlineStr">
        <is>
          <t xml:space="preserve">CANON-202511-002848</t>
        </is>
      </c>
      <c r="B501" s="30" t="inlineStr">
        <is>
          <t xml:space="preserve">Ramona Castellanos</t>
        </is>
      </c>
      <c r="C501" s="31">
        <v>45991</v>
      </c>
      <c r="D501" s="32" t="inlineStr">
        <is>
          <t xml:space="preserve">Bound - within authority</t>
        </is>
      </c>
      <c r="E501" s="32" t="inlineStr">
        <is>
          <t xml:space="preserve">New business</t>
        </is>
      </c>
      <c r="F501" s="30" t="inlineStr">
        <is>
          <t xml:space="preserve">B1234EXOTIC26</t>
        </is>
      </c>
      <c r="G501" s="33">
        <f>IF($A501="","",IF($C501="","",YEAR($C501)))</f>
      </c>
      <c r="H501" s="34">
        <v>2021</v>
      </c>
      <c r="I501" s="30" t="inlineStr">
        <is>
          <t xml:space="preserve">Aston Martin</t>
        </is>
      </c>
      <c r="J501" s="30" t="inlineStr">
        <is>
          <t xml:space="preserve">DB12</t>
        </is>
      </c>
      <c r="K501" s="30" t="inlineStr">
        <is>
          <t xml:space="preserve">RNJSRKJUU3EX2BEF8</t>
        </is>
      </c>
      <c r="L501" s="32" t="inlineStr">
        <is>
          <t xml:space="preserve">02 - Sports / GT</t>
        </is>
      </c>
      <c r="M501" s="35">
        <v>965000</v>
      </c>
      <c r="N501" s="32" t="inlineStr">
        <is>
          <t xml:space="preserve">Personal</t>
        </is>
      </c>
      <c r="O501" s="30" t="inlineStr">
        <is>
          <t xml:space="preserve">Personal - regular use</t>
        </is>
      </c>
      <c r="P501" s="30" t="inlineStr">
        <is>
          <t xml:space="preserve">1,000 - 2,500</t>
        </is>
      </c>
      <c r="Q501" s="30" t="inlineStr">
        <is>
          <t xml:space="preserve">South Dakota</t>
        </is>
      </c>
      <c r="R501" s="30" t="inlineStr">
        <is>
          <t xml:space="preserve">57501</t>
        </is>
      </c>
      <c r="S501" s="32" t="inlineStr">
        <is>
          <t xml:space="preserve">Severe convective - hail alley (high)</t>
        </is>
      </c>
      <c r="T501" s="36">
        <f>IF($A501="","",IF($S501="","",IFERROR(INDEX('[1]natural catastrophe'!$D$6:$D$17,MATCH($S501,'[1]natural catastrophe'!$B$6:$B$17,0)),"?")))</f>
      </c>
      <c r="U501" s="30" t="inlineStr">
        <is>
          <t xml:space="preserve">$5,000</t>
        </is>
      </c>
      <c r="V501" s="32" t="inlineStr">
        <is>
          <t xml:space="preserve">Agreed Value</t>
        </is>
      </c>
      <c r="W501" s="30" t="inlineStr">
        <is>
          <t xml:space="preserve">$1,000</t>
        </is>
      </c>
      <c r="X501" s="32" t="inlineStr">
        <is>
          <t xml:space="preserve">$1,000,000 CSL</t>
        </is>
      </c>
      <c r="Y501" s="30"/>
      <c r="Z501" s="30"/>
      <c r="AA501" s="32" t="inlineStr">
        <is>
          <t xml:space="preserve">Surplus Lines</t>
        </is>
      </c>
      <c r="AB501" s="35">
        <v>12077.93</v>
      </c>
      <c r="AC501" s="37">
        <v>0</v>
      </c>
      <c r="AD501" s="38">
        <f>IF(ISNUMBER($AB501),$AB501*(1+N($AC501)),"")</f>
      </c>
      <c r="AE501" s="35">
        <v>350</v>
      </c>
      <c r="AF501" s="35">
        <v>0</v>
      </c>
      <c r="AG501" s="37"/>
      <c r="AH501" s="39">
        <f>IF(ISNUMBER($AD501),($AD501+$AE501+$AF501)*$AG501,"")</f>
      </c>
      <c r="AI501" s="35"/>
      <c r="AJ501" s="38">
        <f>IF(ISNUMBER($AD501),SUM($AD501:$AH501),"")</f>
      </c>
      <c r="AK501" s="40">
        <f>IF(AND(ISNUMBER($AB501),ISNUMBER($AD501)),IF($AB501&gt;0,$AD501/$AB501,""),"")</f>
      </c>
      <c r="AL501" s="32" t="inlineStr">
        <is>
          <t xml:space="preserve">At technical</t>
        </is>
      </c>
      <c r="AM501" s="41">
        <f>IF(ISNUMBER($AD501),Header!$I$3,"")</f>
      </c>
      <c r="AN501" s="39">
        <f>IF(ISNUMBER($AD501),$AO501+$AP501,"")</f>
      </c>
      <c r="AO501" s="39">
        <f>IF(ISNUMBER($AD501),ROUND($AD501*Header!$K$3,2),"")</f>
      </c>
      <c r="AP501" s="39">
        <f>IF(ISNUMBER($AD501),ROUND($AD501*Header!$M$3,2),"")</f>
      </c>
      <c r="AQ501" s="38">
        <f>IF(ISNUMBER($AD501),ROUND($AD501,2)-$AO501-$AP501,"")</f>
      </c>
      <c r="AR501" s="39">
        <f>IF(ISNUMBER($AD501),IF(Header!$D$34="","?",$AD501*Header!$D$34),"")</f>
      </c>
      <c r="AS501" s="39">
        <f>IF(ISNUMBER($AB501),IF(Header!$D$34="","?",$AB501*Header!$D$34),"")</f>
      </c>
      <c r="AT501" s="42">
        <f>IF(AND(ISNUMBER($AB501),$M501&gt;0),$AB501/$M501*100,"")</f>
      </c>
      <c r="AU501" s="42">
        <f>IF(AND(ISNUMBER($AD501),$M501&gt;0),$AD501/$M501*100,"")</f>
      </c>
      <c r="AV501" s="40">
        <f>IF(AND(ISNUMBER($AB501),ISNUMBER($AD501),ABS($AB501)&gt;0),$AD501/$AB501,"")</f>
      </c>
      <c r="AW501" s="39">
        <f>IF(ISNUMBER($AD501),MAX(0,(1-0.55-Header!$O$3)*Header!$Q$3*$AQ501),"")</f>
      </c>
      <c r="AX501" s="43">
        <f>IF($A501="","",IF(TRIM(IF($A501="","Missing certificate ref. ","") &amp; IF($C501="","Missing effective date. ","") &amp; IF($D501="","Missing binding status. ","") &amp; IF($E501="","Missing movement type. ","") &amp; IF($I501="","Missing make. ","") &amp; IF($L501="","Missing vehicle class. ","") &amp; IF($M501="","Missing agreed value. ","") &amp; IF($N501="","Missing policy type. ","") &amp; IF($Q501="","Missing garaging state. ","") &amp; IF($R501="","Missing garaging ZIP. ","") &amp; IF($S501="","Missing cat zone. ","") &amp; IF($V501="","Missing valuation basis. ","") &amp; IF($W501="","Missing PD deductible. ","") &amp; IF($X501="","Missing liability limit. ","") &amp; IF($AB501="","Missing technical premium. ","") &amp; IF($AF501="","Missing surplus lines tax %. ",""))="","PASS","FAIL: "&amp;TRIM(IF($A501="","Missing certificate ref. ","") &amp; IF($C501="","Missing effective date. ","") &amp; IF($D501="","Missing binding status. ","") &amp; IF($E501="","Missing movement type. ","") &amp; IF($I501="","Missing make. ","") &amp; IF($L501="","Missing vehicle class. ","") &amp; IF($M501="","Missing agreed value. ","") &amp; IF($N501="","Missing policy type. ","") &amp; IF($Q501="","Missing garaging state. ","") &amp; IF($R501="","Missing garaging ZIP. ","") &amp; IF($S501="","Missing cat zone. ","") &amp; IF($V501="","Missing valuation basis. ","") &amp; IF($W501="","Missing PD deductible. ","") &amp; IF($X501="","Missing liability limit. ","") &amp; IF($AB501="","Missing technical premium. ","") &amp; IF($AF501="","Missing surplus lines tax %. ",""))))</f>
      </c>
      <c r="AY501" s="44">
        <f>IF($M501="","",IF(ISNUMBER($M501),IF($M501&gt;=Header!$C$18,"YES — refer","No"),""))</f>
      </c>
      <c r="AZ501" s="44">
        <f>IF($AD501="","",IF(ISNUMBER($AD501),IF($AD501&lt;Header!$C$20,"BELOW MIN PREMIUM","OK"),""))</f>
      </c>
      <c r="BA501" s="32" t="inlineStr">
        <is>
          <t xml:space="preserve">Yes</t>
        </is>
      </c>
      <c r="BB501" s="32" t="inlineStr">
        <is>
          <t xml:space="preserve">Yes</t>
        </is>
      </c>
      <c r="BC501" s="30" t="inlineStr">
        <is>
          <t xml:space="preserve">Synthetic demo data</t>
        </is>
      </c>
      <c r="BE501" s="45">
        <f>IF(OR($A501="",$L501="",$H501=""),"",IF(AND(LEFT($L501,2)="06",$H501&gt;1945),"FAIL - pre-war class, year "&amp;$H501,IF(AND(LEFT($L501,2)="07",OR($H501&lt;1946,$H501&gt;1972)),"FAIL - 1946-72 class, year "&amp;$H501,IF(AND(LEFT($L501,2)="08",OR($H501&lt;1973,$H501&gt;1999)),"FAIL - 1973-99 class, year "&amp;$H501,IF(AND(LEFT($L501,2)="09",OR($H501&lt;2000,$H501&gt;2010)),"FAIL - 2000-10 class, year "&amp;$H501,"OK")))))</f>
      </c>
      <c r="BF501" s="45">
        <f>IF($AD501="","",IF(ROUND($AO501+$AP501+$AQ501-$AD501,2)=0,"OK","FAIL - out by "&amp;TEXT($AO501+$AP501+$AQ501-$AD501,"$0.00")))</f>
      </c>
    </row>
    <row r="502" spans="1:58" ht="18.75" customHeight="1" x14ac:dyDescent="0.25">
      <c r="A502" s="46" t="inlineStr">
        <is>
          <t xml:space="preserve">CANON-202511-002849</t>
        </is>
      </c>
      <c r="B502" s="46" t="inlineStr">
        <is>
          <t xml:space="preserve">Cassius Farkas</t>
        </is>
      </c>
      <c r="C502" s="47">
        <v>45980</v>
      </c>
      <c r="D502" s="48" t="inlineStr">
        <is>
          <t xml:space="preserve">Bound - within authority</t>
        </is>
      </c>
      <c r="E502" s="48" t="inlineStr">
        <is>
          <t xml:space="preserve">New business</t>
        </is>
      </c>
      <c r="F502" s="46" t="inlineStr">
        <is>
          <t xml:space="preserve">B1234EXOTIC26</t>
        </is>
      </c>
      <c r="G502" s="33">
        <f>IF($A502="","",IF($C502="","",YEAR($C502)))</f>
      </c>
      <c r="H502" s="49">
        <v>1966</v>
      </c>
      <c r="I502" s="46" t="inlineStr">
        <is>
          <t xml:space="preserve">Ferrari</t>
        </is>
      </c>
      <c r="J502" s="46" t="inlineStr">
        <is>
          <t xml:space="preserve">SF90 Stradale</t>
        </is>
      </c>
      <c r="K502" s="46" t="inlineStr">
        <is>
          <t xml:space="preserve">7WFZM472BUTURXLTG</t>
        </is>
      </c>
      <c r="L502" s="48" t="inlineStr">
        <is>
          <t xml:space="preserve">03 - Supercar</t>
        </is>
      </c>
      <c r="M502" s="50">
        <v>605000</v>
      </c>
      <c r="N502" s="48" t="inlineStr">
        <is>
          <t xml:space="preserve">Personal</t>
        </is>
      </c>
      <c r="O502" s="46" t="inlineStr">
        <is>
          <t xml:space="preserve">Personal - regular use</t>
        </is>
      </c>
      <c r="P502" s="46" t="inlineStr">
        <is>
          <t xml:space="preserve">1,000 - 2,500</t>
        </is>
      </c>
      <c r="Q502" s="46" t="inlineStr">
        <is>
          <t xml:space="preserve">Colorado</t>
        </is>
      </c>
      <c r="R502" s="46" t="inlineStr">
        <is>
          <t xml:space="preserve">80202</t>
        </is>
      </c>
      <c r="S502" s="48" t="inlineStr">
        <is>
          <t xml:space="preserve">Severe convective - hail alley (high)</t>
        </is>
      </c>
      <c r="T502" s="36">
        <f>IF($A502="","",IF($S502="","",IFERROR(INDEX('[1]natural catastrophe'!$D$6:$D$17,MATCH($S502,'[1]natural catastrophe'!$B$6:$B$17,0)),"?")))</f>
      </c>
      <c r="U502" s="46" t="inlineStr">
        <is>
          <t xml:space="preserve">$5,000</t>
        </is>
      </c>
      <c r="V502" s="48" t="inlineStr">
        <is>
          <t xml:space="preserve">Agreed Value</t>
        </is>
      </c>
      <c r="W502" s="46" t="inlineStr">
        <is>
          <t xml:space="preserve">$1,000</t>
        </is>
      </c>
      <c r="X502" s="48" t="inlineStr">
        <is>
          <t xml:space="preserve">$1,000,000 CSL</t>
        </is>
      </c>
      <c r="Y502" s="46"/>
      <c r="Z502" s="46"/>
      <c r="AA502" s="48" t="inlineStr">
        <is>
          <t xml:space="preserve">Surplus Lines</t>
        </is>
      </c>
      <c r="AB502" s="50">
        <v>10967.31</v>
      </c>
      <c r="AC502" s="51">
        <v>0</v>
      </c>
      <c r="AD502" s="38">
        <f>IF(ISNUMBER($AB502),$AB502*(1+N($AC502)),"")</f>
      </c>
      <c r="AE502" s="50">
        <v>350</v>
      </c>
      <c r="AF502" s="50">
        <v>0</v>
      </c>
      <c r="AG502" s="51"/>
      <c r="AH502" s="39">
        <f>IF(ISNUMBER($AD502),($AD502+$AE502+$AF502)*$AG502,"")</f>
      </c>
      <c r="AI502" s="50"/>
      <c r="AJ502" s="38">
        <f>IF(ISNUMBER($AD502),SUM($AD502:$AH502),"")</f>
      </c>
      <c r="AK502" s="40">
        <f>IF(AND(ISNUMBER($AB502),ISNUMBER($AD502)),IF($AB502&gt;0,$AD502/$AB502,""),"")</f>
      </c>
      <c r="AL502" s="48" t="inlineStr">
        <is>
          <t xml:space="preserve">At technical</t>
        </is>
      </c>
      <c r="AM502" s="41">
        <f>IF(ISNUMBER($AD502),Header!$I$3,"")</f>
      </c>
      <c r="AN502" s="39">
        <f>IF(ISNUMBER($AD502),$AO502+$AP502,"")</f>
      </c>
      <c r="AO502" s="39">
        <f>IF(ISNUMBER($AD502),ROUND($AD502*Header!$K$3,2),"")</f>
      </c>
      <c r="AP502" s="39">
        <f>IF(ISNUMBER($AD502),ROUND($AD502*Header!$M$3,2),"")</f>
      </c>
      <c r="AQ502" s="38">
        <f>IF(ISNUMBER($AD502),ROUND($AD502,2)-$AO502-$AP502,"")</f>
      </c>
      <c r="AR502" s="39">
        <f>IF(ISNUMBER($AD502),IF(Header!$D$34="","?",$AD502*Header!$D$34),"")</f>
      </c>
      <c r="AS502" s="39">
        <f>IF(ISNUMBER($AB502),IF(Header!$D$34="","?",$AB502*Header!$D$34),"")</f>
      </c>
      <c r="AT502" s="42">
        <f>IF(AND(ISNUMBER($AB502),$M502&gt;0),$AB502/$M502*100,"")</f>
      </c>
      <c r="AU502" s="42">
        <f>IF(AND(ISNUMBER($AD502),$M502&gt;0),$AD502/$M502*100,"")</f>
      </c>
      <c r="AV502" s="40">
        <f>IF(AND(ISNUMBER($AB502),ISNUMBER($AD502),ABS($AB502)&gt;0),$AD502/$AB502,"")</f>
      </c>
      <c r="AW502" s="39">
        <f>IF(ISNUMBER($AD502),MAX(0,(1-0.55-Header!$O$3)*Header!$Q$3*$AQ502),"")</f>
      </c>
      <c r="AX502" s="43">
        <f>IF($A502="","",IF(TRIM(IF($A502="","Missing certificate ref. ","") &amp; IF($C502="","Missing effective date. ","") &amp; IF($D502="","Missing binding status. ","") &amp; IF($E502="","Missing movement type. ","") &amp; IF($I502="","Missing make. ","") &amp; IF($L502="","Missing vehicle class. ","") &amp; IF($M502="","Missing agreed value. ","") &amp; IF($N502="","Missing policy type. ","") &amp; IF($Q502="","Missing garaging state. ","") &amp; IF($R502="","Missing garaging ZIP. ","") &amp; IF($S502="","Missing cat zone. ","") &amp; IF($V502="","Missing valuation basis. ","") &amp; IF($W502="","Missing PD deductible. ","") &amp; IF($X502="","Missing liability limit. ","") &amp; IF($AB502="","Missing technical premium. ","") &amp; IF($AF502="","Missing surplus lines tax %. ",""))="","PASS","FAIL: "&amp;TRIM(IF($A502="","Missing certificate ref. ","") &amp; IF($C502="","Missing effective date. ","") &amp; IF($D502="","Missing binding status. ","") &amp; IF($E502="","Missing movement type. ","") &amp; IF($I502="","Missing make. ","") &amp; IF($L502="","Missing vehicle class. ","") &amp; IF($M502="","Missing agreed value. ","") &amp; IF($N502="","Missing policy type. ","") &amp; IF($Q502="","Missing garaging state. ","") &amp; IF($R502="","Missing garaging ZIP. ","") &amp; IF($S502="","Missing cat zone. ","") &amp; IF($V502="","Missing valuation basis. ","") &amp; IF($W502="","Missing PD deductible. ","") &amp; IF($X502="","Missing liability limit. ","") &amp; IF($AB502="","Missing technical premium. ","") &amp; IF($AF502="","Missing surplus lines tax %. ",""))))</f>
      </c>
      <c r="AY502" s="44">
        <f>IF($M502="","",IF(ISNUMBER($M502),IF($M502&gt;=Header!$C$18,"YES — refer","No"),""))</f>
      </c>
      <c r="AZ502" s="44">
        <f>IF($AD502="","",IF(ISNUMBER($AD502),IF($AD502&lt;Header!$C$20,"BELOW MIN PREMIUM","OK"),""))</f>
      </c>
      <c r="BA502" s="48" t="inlineStr">
        <is>
          <t xml:space="preserve">Yes</t>
        </is>
      </c>
      <c r="BB502" s="48" t="inlineStr">
        <is>
          <t xml:space="preserve">Yes</t>
        </is>
      </c>
      <c r="BC502" s="46" t="inlineStr">
        <is>
          <t xml:space="preserve">Synthetic demo data</t>
        </is>
      </c>
      <c r="BE502" s="45">
        <f>IF(OR($A502="",$L502="",$H502=""),"",IF(AND(LEFT($L502,2)="06",$H502&gt;1945),"FAIL - pre-war class, year "&amp;$H502,IF(AND(LEFT($L502,2)="07",OR($H502&lt;1946,$H502&gt;1972)),"FAIL - 1946-72 class, year "&amp;$H502,IF(AND(LEFT($L502,2)="08",OR($H502&lt;1973,$H502&gt;1999)),"FAIL - 1973-99 class, year "&amp;$H502,IF(AND(LEFT($L502,2)="09",OR($H502&lt;2000,$H502&gt;2010)),"FAIL - 2000-10 class, year "&amp;$H502,"OK")))))</f>
      </c>
      <c r="BF502" s="45">
        <f>IF($AD502="","",IF(ROUND($AO502+$AP502+$AQ502-$AD502,2)=0,"OK","FAIL - out by "&amp;TEXT($AO502+$AP502+$AQ502-$AD502,"$0.00")))</f>
      </c>
    </row>
    <row r="503" spans="1:58" ht="18.75" customHeight="1" x14ac:dyDescent="0.25">
      <c r="A503" s="30" t="inlineStr">
        <is>
          <t xml:space="preserve">CANON-202511-002851</t>
        </is>
      </c>
      <c r="B503" s="30" t="inlineStr">
        <is>
          <t xml:space="preserve">Wilhelmina Whitlock</t>
        </is>
      </c>
      <c r="C503" s="31">
        <v>45966</v>
      </c>
      <c r="D503" s="32" t="inlineStr">
        <is>
          <t xml:space="preserve">Bound - within authority</t>
        </is>
      </c>
      <c r="E503" s="32" t="inlineStr">
        <is>
          <t xml:space="preserve">New business</t>
        </is>
      </c>
      <c r="F503" s="30" t="inlineStr">
        <is>
          <t xml:space="preserve">B1234EXOTIC26</t>
        </is>
      </c>
      <c r="G503" s="33">
        <f>IF($A503="","",IF($C503="","",YEAR($C503)))</f>
      </c>
      <c r="H503" s="34">
        <v>1992</v>
      </c>
      <c r="I503" s="30" t="inlineStr">
        <is>
          <t xml:space="preserve">Bentley</t>
        </is>
      </c>
      <c r="J503" s="30" t="inlineStr">
        <is>
          <t xml:space="preserve">Continental GT</t>
        </is>
      </c>
      <c r="K503" s="30" t="inlineStr">
        <is>
          <t xml:space="preserve">FKYJG0RCZ2LUWMSB2</t>
        </is>
      </c>
      <c r="L503" s="32" t="inlineStr">
        <is>
          <t xml:space="preserve">02 - Sports / GT</t>
        </is>
      </c>
      <c r="M503" s="35">
        <v>590000</v>
      </c>
      <c r="N503" s="32" t="inlineStr">
        <is>
          <t xml:space="preserve">Personal</t>
        </is>
      </c>
      <c r="O503" s="30" t="inlineStr">
        <is>
          <t xml:space="preserve">Personal - regular use</t>
        </is>
      </c>
      <c r="P503" s="30" t="inlineStr">
        <is>
          <t xml:space="preserve">Under 1,000</t>
        </is>
      </c>
      <c r="Q503" s="30" t="inlineStr">
        <is>
          <t xml:space="preserve">New York</t>
        </is>
      </c>
      <c r="R503" s="30" t="inlineStr">
        <is>
          <t xml:space="preserve">10022</t>
        </is>
      </c>
      <c r="S503" s="32" t="inlineStr">
        <is>
          <t xml:space="preserve">Tier 3 - Coastal wind (25-100 miles)</t>
        </is>
      </c>
      <c r="T503" s="36">
        <f>IF($A503="","",IF($S503="","",IFERROR(INDEX('[1]natural catastrophe'!$D$6:$D$17,MATCH($S503,'[1]natural catastrophe'!$B$6:$B$17,0)),"?")))</f>
      </c>
      <c r="U503" s="30" t="inlineStr">
        <is>
          <t xml:space="preserve">2% of agreed value, minimum $10,000</t>
        </is>
      </c>
      <c r="V503" s="32" t="inlineStr">
        <is>
          <t xml:space="preserve">Agreed Value</t>
        </is>
      </c>
      <c r="W503" s="30" t="inlineStr">
        <is>
          <t xml:space="preserve">$1,000</t>
        </is>
      </c>
      <c r="X503" s="32" t="inlineStr">
        <is>
          <t xml:space="preserve">$1,000,000 CSL</t>
        </is>
      </c>
      <c r="Y503" s="30"/>
      <c r="Z503" s="30"/>
      <c r="AA503" s="32" t="inlineStr">
        <is>
          <t xml:space="preserve">Surplus Lines</t>
        </is>
      </c>
      <c r="AB503" s="35">
        <v>8515.38</v>
      </c>
      <c r="AC503" s="37">
        <v>0</v>
      </c>
      <c r="AD503" s="38">
        <f>IF(ISNUMBER($AB503),$AB503*(1+N($AC503)),"")</f>
      </c>
      <c r="AE503" s="35">
        <v>350</v>
      </c>
      <c r="AF503" s="35">
        <v>0</v>
      </c>
      <c r="AG503" s="37"/>
      <c r="AH503" s="39">
        <f>IF(ISNUMBER($AD503),($AD503+$AE503+$AF503)*$AG503,"")</f>
      </c>
      <c r="AI503" s="35"/>
      <c r="AJ503" s="38">
        <f>IF(ISNUMBER($AD503),SUM($AD503:$AH503),"")</f>
      </c>
      <c r="AK503" s="40">
        <f>IF(AND(ISNUMBER($AB503),ISNUMBER($AD503)),IF($AB503&gt;0,$AD503/$AB503,""),"")</f>
      </c>
      <c r="AL503" s="32" t="inlineStr">
        <is>
          <t xml:space="preserve">At technical</t>
        </is>
      </c>
      <c r="AM503" s="41">
        <f>IF(ISNUMBER($AD503),Header!$I$3,"")</f>
      </c>
      <c r="AN503" s="39">
        <f>IF(ISNUMBER($AD503),$AO503+$AP503,"")</f>
      </c>
      <c r="AO503" s="39">
        <f>IF(ISNUMBER($AD503),ROUND($AD503*Header!$K$3,2),"")</f>
      </c>
      <c r="AP503" s="39">
        <f>IF(ISNUMBER($AD503),ROUND($AD503*Header!$M$3,2),"")</f>
      </c>
      <c r="AQ503" s="38">
        <f>IF(ISNUMBER($AD503),ROUND($AD503,2)-$AO503-$AP503,"")</f>
      </c>
      <c r="AR503" s="39">
        <f>IF(ISNUMBER($AD503),IF(Header!$D$34="","?",$AD503*Header!$D$34),"")</f>
      </c>
      <c r="AS503" s="39">
        <f>IF(ISNUMBER($AB503),IF(Header!$D$34="","?",$AB503*Header!$D$34),"")</f>
      </c>
      <c r="AT503" s="42">
        <f>IF(AND(ISNUMBER($AB503),$M503&gt;0),$AB503/$M503*100,"")</f>
      </c>
      <c r="AU503" s="42">
        <f>IF(AND(ISNUMBER($AD503),$M503&gt;0),$AD503/$M503*100,"")</f>
      </c>
      <c r="AV503" s="40">
        <f>IF(AND(ISNUMBER($AB503),ISNUMBER($AD503),ABS($AB503)&gt;0),$AD503/$AB503,"")</f>
      </c>
      <c r="AW503" s="39">
        <f>IF(ISNUMBER($AD503),MAX(0,(1-0.55-Header!$O$3)*Header!$Q$3*$AQ503),"")</f>
      </c>
      <c r="AX503" s="43">
        <f>IF($A503="","",IF(TRIM(IF($A503="","Missing certificate ref. ","") &amp; IF($C503="","Missing effective date. ","") &amp; IF($D503="","Missing binding status. ","") &amp; IF($E503="","Missing movement type. ","") &amp; IF($I503="","Missing make. ","") &amp; IF($L503="","Missing vehicle class. ","") &amp; IF($M503="","Missing agreed value. ","") &amp; IF($N503="","Missing policy type. ","") &amp; IF($Q503="","Missing garaging state. ","") &amp; IF($R503="","Missing garaging ZIP. ","") &amp; IF($S503="","Missing cat zone. ","") &amp; IF($V503="","Missing valuation basis. ","") &amp; IF($W503="","Missing PD deductible. ","") &amp; IF($X503="","Missing liability limit. ","") &amp; IF($AB503="","Missing technical premium. ","") &amp; IF($AF503="","Missing surplus lines tax %. ",""))="","PASS","FAIL: "&amp;TRIM(IF($A503="","Missing certificate ref. ","") &amp; IF($C503="","Missing effective date. ","") &amp; IF($D503="","Missing binding status. ","") &amp; IF($E503="","Missing movement type. ","") &amp; IF($I503="","Missing make. ","") &amp; IF($L503="","Missing vehicle class. ","") &amp; IF($M503="","Missing agreed value. ","") &amp; IF($N503="","Missing policy type. ","") &amp; IF($Q503="","Missing garaging state. ","") &amp; IF($R503="","Missing garaging ZIP. ","") &amp; IF($S503="","Missing cat zone. ","") &amp; IF($V503="","Missing valuation basis. ","") &amp; IF($W503="","Missing PD deductible. ","") &amp; IF($X503="","Missing liability limit. ","") &amp; IF($AB503="","Missing technical premium. ","") &amp; IF($AF503="","Missing surplus lines tax %. ",""))))</f>
      </c>
      <c r="AY503" s="44">
        <f>IF($M503="","",IF(ISNUMBER($M503),IF($M503&gt;=Header!$C$18,"YES — refer","No"),""))</f>
      </c>
      <c r="AZ503" s="44">
        <f>IF($AD503="","",IF(ISNUMBER($AD503),IF($AD503&lt;Header!$C$20,"BELOW MIN PREMIUM","OK"),""))</f>
      </c>
      <c r="BA503" s="32" t="inlineStr">
        <is>
          <t xml:space="preserve">Yes</t>
        </is>
      </c>
      <c r="BB503" s="32" t="inlineStr">
        <is>
          <t xml:space="preserve">Yes</t>
        </is>
      </c>
      <c r="BC503" s="30" t="inlineStr">
        <is>
          <t xml:space="preserve">Synthetic demo data</t>
        </is>
      </c>
      <c r="BE503" s="45">
        <f>IF(OR($A503="",$L503="",$H503=""),"",IF(AND(LEFT($L503,2)="06",$H503&gt;1945),"FAIL - pre-war class, year "&amp;$H503,IF(AND(LEFT($L503,2)="07",OR($H503&lt;1946,$H503&gt;1972)),"FAIL - 1946-72 class, year "&amp;$H503,IF(AND(LEFT($L503,2)="08",OR($H503&lt;1973,$H503&gt;1999)),"FAIL - 1973-99 class, year "&amp;$H503,IF(AND(LEFT($L503,2)="09",OR($H503&lt;2000,$H503&gt;2010)),"FAIL - 2000-10 class, year "&amp;$H503,"OK")))))</f>
      </c>
      <c r="BF503" s="45">
        <f>IF($AD503="","",IF(ROUND($AO503+$AP503+$AQ503-$AD503,2)=0,"OK","FAIL - out by "&amp;TEXT($AO503+$AP503+$AQ503-$AD503,"$0.00")))</f>
      </c>
    </row>
    <row r="504" spans="1:58" ht="18.75" customHeight="1" x14ac:dyDescent="0.25">
      <c r="A504" s="46" t="inlineStr">
        <is>
          <t xml:space="preserve">CANON-202511-002852</t>
        </is>
      </c>
      <c r="B504" s="46" t="inlineStr">
        <is>
          <t xml:space="preserve">Fitzgerald Thistlewood</t>
        </is>
      </c>
      <c r="C504" s="47">
        <v>45989</v>
      </c>
      <c r="D504" s="48" t="inlineStr">
        <is>
          <t xml:space="preserve">Bound - within authority</t>
        </is>
      </c>
      <c r="E504" s="48" t="inlineStr">
        <is>
          <t xml:space="preserve">New business</t>
        </is>
      </c>
      <c r="F504" s="46" t="inlineStr">
        <is>
          <t xml:space="preserve">B1234EXOTIC26</t>
        </is>
      </c>
      <c r="G504" s="33">
        <f>IF($A504="","",IF($C504="","",YEAR($C504)))</f>
      </c>
      <c r="H504" s="49">
        <v>1968</v>
      </c>
      <c r="I504" s="46" t="inlineStr">
        <is>
          <t xml:space="preserve">Mercedes-Benz</t>
        </is>
      </c>
      <c r="J504" s="46" t="inlineStr">
        <is>
          <t xml:space="preserve">AMG GT</t>
        </is>
      </c>
      <c r="K504" s="46" t="inlineStr">
        <is>
          <t xml:space="preserve">DG0BBJSL4BW5J2GRD</t>
        </is>
      </c>
      <c r="L504" s="48" t="inlineStr">
        <is>
          <t xml:space="preserve">02 - Sports / GT</t>
        </is>
      </c>
      <c r="M504" s="50">
        <v>680000</v>
      </c>
      <c r="N504" s="48" t="inlineStr">
        <is>
          <t xml:space="preserve">Personal</t>
        </is>
      </c>
      <c r="O504" s="46" t="inlineStr">
        <is>
          <t xml:space="preserve">Personal - regular use</t>
        </is>
      </c>
      <c r="P504" s="46" t="inlineStr">
        <is>
          <t xml:space="preserve">1,000 - 2,500</t>
        </is>
      </c>
      <c r="Q504" s="46" t="inlineStr">
        <is>
          <t xml:space="preserve">New York</t>
        </is>
      </c>
      <c r="R504" s="46" t="inlineStr">
        <is>
          <t xml:space="preserve">10022</t>
        </is>
      </c>
      <c r="S504" s="48" t="inlineStr">
        <is>
          <t xml:space="preserve">Tier 3 - Coastal wind (25-100 miles)</t>
        </is>
      </c>
      <c r="T504" s="36">
        <f>IF($A504="","",IF($S504="","",IFERROR(INDEX('[1]natural catastrophe'!$D$6:$D$17,MATCH($S504,'[1]natural catastrophe'!$B$6:$B$17,0)),"?")))</f>
      </c>
      <c r="U504" s="46" t="inlineStr">
        <is>
          <t xml:space="preserve">2% of agreed value, minimum $10,000</t>
        </is>
      </c>
      <c r="V504" s="48" t="inlineStr">
        <is>
          <t xml:space="preserve">Agreed Value</t>
        </is>
      </c>
      <c r="W504" s="46" t="inlineStr">
        <is>
          <t xml:space="preserve">$1,000</t>
        </is>
      </c>
      <c r="X504" s="48" t="inlineStr">
        <is>
          <t xml:space="preserve">$1,000,000 CSL</t>
        </is>
      </c>
      <c r="Y504" s="46"/>
      <c r="Z504" s="46"/>
      <c r="AA504" s="48" t="inlineStr">
        <is>
          <t xml:space="preserve">Surplus Lines</t>
        </is>
      </c>
      <c r="AB504" s="50">
        <v>9814.34</v>
      </c>
      <c r="AC504" s="51">
        <v>0</v>
      </c>
      <c r="AD504" s="38">
        <f>IF(ISNUMBER($AB504),$AB504*(1+N($AC504)),"")</f>
      </c>
      <c r="AE504" s="50">
        <v>350</v>
      </c>
      <c r="AF504" s="50">
        <v>0</v>
      </c>
      <c r="AG504" s="51"/>
      <c r="AH504" s="39">
        <f>IF(ISNUMBER($AD504),($AD504+$AE504+$AF504)*$AG504,"")</f>
      </c>
      <c r="AI504" s="50"/>
      <c r="AJ504" s="38">
        <f>IF(ISNUMBER($AD504),SUM($AD504:$AH504),"")</f>
      </c>
      <c r="AK504" s="40">
        <f>IF(AND(ISNUMBER($AB504),ISNUMBER($AD504)),IF($AB504&gt;0,$AD504/$AB504,""),"")</f>
      </c>
      <c r="AL504" s="48" t="inlineStr">
        <is>
          <t xml:space="preserve">At technical</t>
        </is>
      </c>
      <c r="AM504" s="41">
        <f>IF(ISNUMBER($AD504),Header!$I$3,"")</f>
      </c>
      <c r="AN504" s="39">
        <f>IF(ISNUMBER($AD504),$AO504+$AP504,"")</f>
      </c>
      <c r="AO504" s="39">
        <f>IF(ISNUMBER($AD504),ROUND($AD504*Header!$K$3,2),"")</f>
      </c>
      <c r="AP504" s="39">
        <f>IF(ISNUMBER($AD504),ROUND($AD504*Header!$M$3,2),"")</f>
      </c>
      <c r="AQ504" s="38">
        <f>IF(ISNUMBER($AD504),ROUND($AD504,2)-$AO504-$AP504,"")</f>
      </c>
      <c r="AR504" s="39">
        <f>IF(ISNUMBER($AD504),IF(Header!$D$34="","?",$AD504*Header!$D$34),"")</f>
      </c>
      <c r="AS504" s="39">
        <f>IF(ISNUMBER($AB504),IF(Header!$D$34="","?",$AB504*Header!$D$34),"")</f>
      </c>
      <c r="AT504" s="42">
        <f>IF(AND(ISNUMBER($AB504),$M504&gt;0),$AB504/$M504*100,"")</f>
      </c>
      <c r="AU504" s="42">
        <f>IF(AND(ISNUMBER($AD504),$M504&gt;0),$AD504/$M504*100,"")</f>
      </c>
      <c r="AV504" s="40">
        <f>IF(AND(ISNUMBER($AB504),ISNUMBER($AD504),ABS($AB504)&gt;0),$AD504/$AB504,"")</f>
      </c>
      <c r="AW504" s="39">
        <f>IF(ISNUMBER($AD504),MAX(0,(1-0.55-Header!$O$3)*Header!$Q$3*$AQ504),"")</f>
      </c>
      <c r="AX504" s="43">
        <f>IF($A504="","",IF(TRIM(IF($A504="","Missing certificate ref. ","") &amp; IF($C504="","Missing effective date. ","") &amp; IF($D504="","Missing binding status. ","") &amp; IF($E504="","Missing movement type. ","") &amp; IF($I504="","Missing make. ","") &amp; IF($L504="","Missing vehicle class. ","") &amp; IF($M504="","Missing agreed value. ","") &amp; IF($N504="","Missing policy type. ","") &amp; IF($Q504="","Missing garaging state. ","") &amp; IF($R504="","Missing garaging ZIP. ","") &amp; IF($S504="","Missing cat zone. ","") &amp; IF($V504="","Missing valuation basis. ","") &amp; IF($W504="","Missing PD deductible. ","") &amp; IF($X504="","Missing liability limit. ","") &amp; IF($AB504="","Missing technical premium. ","") &amp; IF($AF504="","Missing surplus lines tax %. ",""))="","PASS","FAIL: "&amp;TRIM(IF($A504="","Missing certificate ref. ","") &amp; IF($C504="","Missing effective date. ","") &amp; IF($D504="","Missing binding status. ","") &amp; IF($E504="","Missing movement type. ","") &amp; IF($I504="","Missing make. ","") &amp; IF($L504="","Missing vehicle class. ","") &amp; IF($M504="","Missing agreed value. ","") &amp; IF($N504="","Missing policy type. ","") &amp; IF($Q504="","Missing garaging state. ","") &amp; IF($R504="","Missing garaging ZIP. ","") &amp; IF($S504="","Missing cat zone. ","") &amp; IF($V504="","Missing valuation basis. ","") &amp; IF($W504="","Missing PD deductible. ","") &amp; IF($X504="","Missing liability limit. ","") &amp; IF($AB504="","Missing technical premium. ","") &amp; IF($AF504="","Missing surplus lines tax %. ",""))))</f>
      </c>
      <c r="AY504" s="44">
        <f>IF($M504="","",IF(ISNUMBER($M504),IF($M504&gt;=Header!$C$18,"YES — refer","No"),""))</f>
      </c>
      <c r="AZ504" s="44">
        <f>IF($AD504="","",IF(ISNUMBER($AD504),IF($AD504&lt;Header!$C$20,"BELOW MIN PREMIUM","OK"),""))</f>
      </c>
      <c r="BA504" s="48" t="inlineStr">
        <is>
          <t xml:space="preserve">Yes</t>
        </is>
      </c>
      <c r="BB504" s="48" t="inlineStr">
        <is>
          <t xml:space="preserve">Yes</t>
        </is>
      </c>
      <c r="BC504" s="46" t="inlineStr">
        <is>
          <t xml:space="preserve">Synthetic demo data</t>
        </is>
      </c>
      <c r="BE504" s="45">
        <f>IF(OR($A504="",$L504="",$H504=""),"",IF(AND(LEFT($L504,2)="06",$H504&gt;1945),"FAIL - pre-war class, year "&amp;$H504,IF(AND(LEFT($L504,2)="07",OR($H504&lt;1946,$H504&gt;1972)),"FAIL - 1946-72 class, year "&amp;$H504,IF(AND(LEFT($L504,2)="08",OR($H504&lt;1973,$H504&gt;1999)),"FAIL - 1973-99 class, year "&amp;$H504,IF(AND(LEFT($L504,2)="09",OR($H504&lt;2000,$H504&gt;2010)),"FAIL - 2000-10 class, year "&amp;$H504,"OK")))))</f>
      </c>
      <c r="BF504" s="45">
        <f>IF($AD504="","",IF(ROUND($AO504+$AP504+$AQ504-$AD504,2)=0,"OK","FAIL - out by "&amp;TEXT($AO504+$AP504+$AQ504-$AD504,"$0.00")))</f>
      </c>
    </row>
    <row r="505" spans="1:58" ht="18.75" customHeight="1" x14ac:dyDescent="0.25">
      <c r="A505" s="30" t="inlineStr">
        <is>
          <t xml:space="preserve">CANON-202511-002853</t>
        </is>
      </c>
      <c r="B505" s="30" t="inlineStr">
        <is>
          <t xml:space="preserve">Horace Ashcombe</t>
        </is>
      </c>
      <c r="C505" s="31">
        <v>45987</v>
      </c>
      <c r="D505" s="32" t="inlineStr">
        <is>
          <t xml:space="preserve">Bound - within authority</t>
        </is>
      </c>
      <c r="E505" s="32" t="inlineStr">
        <is>
          <t xml:space="preserve">New business</t>
        </is>
      </c>
      <c r="F505" s="30" t="inlineStr">
        <is>
          <t xml:space="preserve">B1234EXOTIC26</t>
        </is>
      </c>
      <c r="G505" s="33">
        <f>IF($A505="","",IF($C505="","",YEAR($C505)))</f>
      </c>
      <c r="H505" s="34">
        <v>1958</v>
      </c>
      <c r="I505" s="30" t="inlineStr">
        <is>
          <t xml:space="preserve">Porsche</t>
        </is>
      </c>
      <c r="J505" s="30" t="inlineStr">
        <is>
          <t xml:space="preserve">911 Turbo S</t>
        </is>
      </c>
      <c r="K505" s="30" t="inlineStr">
        <is>
          <t xml:space="preserve">LLNYVECCGA0FWTNFU</t>
        </is>
      </c>
      <c r="L505" s="32" t="inlineStr">
        <is>
          <t xml:space="preserve">02 - Sports / GT</t>
        </is>
      </c>
      <c r="M505" s="35">
        <v>335000</v>
      </c>
      <c r="N505" s="32" t="inlineStr">
        <is>
          <t xml:space="preserve">Personal</t>
        </is>
      </c>
      <c r="O505" s="30" t="inlineStr">
        <is>
          <t xml:space="preserve">Personal - regular use</t>
        </is>
      </c>
      <c r="P505" s="30" t="inlineStr">
        <is>
          <t xml:space="preserve">1,000 - 2,500</t>
        </is>
      </c>
      <c r="Q505" s="30" t="inlineStr">
        <is>
          <t xml:space="preserve">New York</t>
        </is>
      </c>
      <c r="R505" s="30" t="inlineStr">
        <is>
          <t xml:space="preserve">10022</t>
        </is>
      </c>
      <c r="S505" s="32" t="inlineStr">
        <is>
          <t xml:space="preserve">Tier 3 - Coastal wind (25-100 miles)</t>
        </is>
      </c>
      <c r="T505" s="36">
        <f>IF($A505="","",IF($S505="","",IFERROR(INDEX('[1]natural catastrophe'!$D$6:$D$17,MATCH($S505,'[1]natural catastrophe'!$B$6:$B$17,0)),"?")))</f>
      </c>
      <c r="U505" s="30" t="inlineStr">
        <is>
          <t xml:space="preserve">2% of agreed value, minimum $10,000</t>
        </is>
      </c>
      <c r="V505" s="32" t="inlineStr">
        <is>
          <t xml:space="preserve">Agreed Value</t>
        </is>
      </c>
      <c r="W505" s="30" t="inlineStr">
        <is>
          <t xml:space="preserve">$1,000</t>
        </is>
      </c>
      <c r="X505" s="32" t="inlineStr">
        <is>
          <t xml:space="preserve">$1,000,000 CSL</t>
        </is>
      </c>
      <c r="Y505" s="30"/>
      <c r="Z505" s="30"/>
      <c r="AA505" s="32" t="inlineStr">
        <is>
          <t xml:space="preserve">Surplus Lines</t>
        </is>
      </c>
      <c r="AB505" s="35">
        <v>5578.85</v>
      </c>
      <c r="AC505" s="37">
        <v>0</v>
      </c>
      <c r="AD505" s="38">
        <f>IF(ISNUMBER($AB505),$AB505*(1+N($AC505)),"")</f>
      </c>
      <c r="AE505" s="35">
        <v>350</v>
      </c>
      <c r="AF505" s="35">
        <v>0</v>
      </c>
      <c r="AG505" s="37"/>
      <c r="AH505" s="39">
        <f>IF(ISNUMBER($AD505),($AD505+$AE505+$AF505)*$AG505,"")</f>
      </c>
      <c r="AI505" s="35"/>
      <c r="AJ505" s="38">
        <f>IF(ISNUMBER($AD505),SUM($AD505:$AH505),"")</f>
      </c>
      <c r="AK505" s="40">
        <f>IF(AND(ISNUMBER($AB505),ISNUMBER($AD505)),IF($AB505&gt;0,$AD505/$AB505,""),"")</f>
      </c>
      <c r="AL505" s="32" t="inlineStr">
        <is>
          <t xml:space="preserve">At technical</t>
        </is>
      </c>
      <c r="AM505" s="41">
        <f>IF(ISNUMBER($AD505),Header!$I$3,"")</f>
      </c>
      <c r="AN505" s="39">
        <f>IF(ISNUMBER($AD505),$AO505+$AP505,"")</f>
      </c>
      <c r="AO505" s="39">
        <f>IF(ISNUMBER($AD505),ROUND($AD505*Header!$K$3,2),"")</f>
      </c>
      <c r="AP505" s="39">
        <f>IF(ISNUMBER($AD505),ROUND($AD505*Header!$M$3,2),"")</f>
      </c>
      <c r="AQ505" s="38">
        <f>IF(ISNUMBER($AD505),ROUND($AD505,2)-$AO505-$AP505,"")</f>
      </c>
      <c r="AR505" s="39">
        <f>IF(ISNUMBER($AD505),IF(Header!$D$34="","?",$AD505*Header!$D$34),"")</f>
      </c>
      <c r="AS505" s="39">
        <f>IF(ISNUMBER($AB505),IF(Header!$D$34="","?",$AB505*Header!$D$34),"")</f>
      </c>
      <c r="AT505" s="42">
        <f>IF(AND(ISNUMBER($AB505),$M505&gt;0),$AB505/$M505*100,"")</f>
      </c>
      <c r="AU505" s="42">
        <f>IF(AND(ISNUMBER($AD505),$M505&gt;0),$AD505/$M505*100,"")</f>
      </c>
      <c r="AV505" s="40">
        <f>IF(AND(ISNUMBER($AB505),ISNUMBER($AD505),ABS($AB505)&gt;0),$AD505/$AB505,"")</f>
      </c>
      <c r="AW505" s="39">
        <f>IF(ISNUMBER($AD505),MAX(0,(1-0.55-Header!$O$3)*Header!$Q$3*$AQ505),"")</f>
      </c>
      <c r="AX505" s="43">
        <f>IF($A505="","",IF(TRIM(IF($A505="","Missing certificate ref. ","") &amp; IF($C505="","Missing effective date. ","") &amp; IF($D505="","Missing binding status. ","") &amp; IF($E505="","Missing movement type. ","") &amp; IF($I505="","Missing make. ","") &amp; IF($L505="","Missing vehicle class. ","") &amp; IF($M505="","Missing agreed value. ","") &amp; IF($N505="","Missing policy type. ","") &amp; IF($Q505="","Missing garaging state. ","") &amp; IF($R505="","Missing garaging ZIP. ","") &amp; IF($S505="","Missing cat zone. ","") &amp; IF($V505="","Missing valuation basis. ","") &amp; IF($W505="","Missing PD deductible. ","") &amp; IF($X505="","Missing liability limit. ","") &amp; IF($AB505="","Missing technical premium. ","") &amp; IF($AF505="","Missing surplus lines tax %. ",""))="","PASS","FAIL: "&amp;TRIM(IF($A505="","Missing certificate ref. ","") &amp; IF($C505="","Missing effective date. ","") &amp; IF($D505="","Missing binding status. ","") &amp; IF($E505="","Missing movement type. ","") &amp; IF($I505="","Missing make. ","") &amp; IF($L505="","Missing vehicle class. ","") &amp; IF($M505="","Missing agreed value. ","") &amp; IF($N505="","Missing policy type. ","") &amp; IF($Q505="","Missing garaging state. ","") &amp; IF($R505="","Missing garaging ZIP. ","") &amp; IF($S505="","Missing cat zone. ","") &amp; IF($V505="","Missing valuation basis. ","") &amp; IF($W505="","Missing PD deductible. ","") &amp; IF($X505="","Missing liability limit. ","") &amp; IF($AB505="","Missing technical premium. ","") &amp; IF($AF505="","Missing surplus lines tax %. ",""))))</f>
      </c>
      <c r="AY505" s="44">
        <f>IF($M505="","",IF(ISNUMBER($M505),IF($M505&gt;=Header!$C$18,"YES — refer","No"),""))</f>
      </c>
      <c r="AZ505" s="44">
        <f>IF($AD505="","",IF(ISNUMBER($AD505),IF($AD505&lt;Header!$C$20,"BELOW MIN PREMIUM","OK"),""))</f>
      </c>
      <c r="BA505" s="32" t="inlineStr">
        <is>
          <t xml:space="preserve">Yes</t>
        </is>
      </c>
      <c r="BB505" s="32" t="inlineStr">
        <is>
          <t xml:space="preserve">Yes</t>
        </is>
      </c>
      <c r="BC505" s="30" t="inlineStr">
        <is>
          <t xml:space="preserve">Synthetic demo data</t>
        </is>
      </c>
      <c r="BE505" s="45">
        <f>IF(OR($A505="",$L505="",$H505=""),"",IF(AND(LEFT($L505,2)="06",$H505&gt;1945),"FAIL - pre-war class, year "&amp;$H505,IF(AND(LEFT($L505,2)="07",OR($H505&lt;1946,$H505&gt;1972)),"FAIL - 1946-72 class, year "&amp;$H505,IF(AND(LEFT($L505,2)="08",OR($H505&lt;1973,$H505&gt;1999)),"FAIL - 1973-99 class, year "&amp;$H505,IF(AND(LEFT($L505,2)="09",OR($H505&lt;2000,$H505&gt;2010)),"FAIL - 2000-10 class, year "&amp;$H505,"OK")))))</f>
      </c>
      <c r="BF505" s="45">
        <f>IF($AD505="","",IF(ROUND($AO505+$AP505+$AQ505-$AD505,2)=0,"OK","FAIL - out by "&amp;TEXT($AO505+$AP505+$AQ505-$AD505,"$0.00")))</f>
      </c>
    </row>
    <row r="506" spans="1:58" ht="18.75" customHeight="1" x14ac:dyDescent="0.25">
      <c r="A506" s="46" t="inlineStr">
        <is>
          <t xml:space="preserve">CANON-202511-002855</t>
        </is>
      </c>
      <c r="B506" s="46" t="inlineStr">
        <is>
          <t xml:space="preserve">Desmond Thistlewood</t>
        </is>
      </c>
      <c r="C506" s="47">
        <v>45976</v>
      </c>
      <c r="D506" s="48" t="inlineStr">
        <is>
          <t xml:space="preserve">Bound - within authority</t>
        </is>
      </c>
      <c r="E506" s="48" t="inlineStr">
        <is>
          <t xml:space="preserve">New business</t>
        </is>
      </c>
      <c r="F506" s="46" t="inlineStr">
        <is>
          <t xml:space="preserve">B1234EXOTIC26</t>
        </is>
      </c>
      <c r="G506" s="33">
        <f>IF($A506="","",IF($C506="","",YEAR($C506)))</f>
      </c>
      <c r="H506" s="49">
        <v>1965</v>
      </c>
      <c r="I506" s="46" t="inlineStr">
        <is>
          <t xml:space="preserve">Maserati</t>
        </is>
      </c>
      <c r="J506" s="46" t="inlineStr">
        <is>
          <t xml:space="preserve">GranTurismo</t>
        </is>
      </c>
      <c r="K506" s="46" t="inlineStr">
        <is>
          <t xml:space="preserve">FAK946WEES6LG2LWR</t>
        </is>
      </c>
      <c r="L506" s="48" t="inlineStr">
        <is>
          <t xml:space="preserve">02 - Sports / GT</t>
        </is>
      </c>
      <c r="M506" s="50">
        <v>340000</v>
      </c>
      <c r="N506" s="48" t="inlineStr">
        <is>
          <t xml:space="preserve">Personal</t>
        </is>
      </c>
      <c r="O506" s="46" t="inlineStr">
        <is>
          <t xml:space="preserve">Personal - regular use</t>
        </is>
      </c>
      <c r="P506" s="46" t="inlineStr">
        <is>
          <t xml:space="preserve">Under 1,000</t>
        </is>
      </c>
      <c r="Q506" s="46" t="inlineStr">
        <is>
          <t xml:space="preserve">New Jersey</t>
        </is>
      </c>
      <c r="R506" s="46" t="inlineStr">
        <is>
          <t xml:space="preserve">07102</t>
        </is>
      </c>
      <c r="S506" s="48" t="inlineStr">
        <is>
          <t xml:space="preserve">Tier 3 - Coastal wind (25-100 miles)</t>
        </is>
      </c>
      <c r="T506" s="36">
        <f>IF($A506="","",IF($S506="","",IFERROR(INDEX('[1]natural catastrophe'!$D$6:$D$17,MATCH($S506,'[1]natural catastrophe'!$B$6:$B$17,0)),"?")))</f>
      </c>
      <c r="U506" s="46" t="inlineStr">
        <is>
          <t xml:space="preserve">2% of agreed value, minimum $10,000</t>
        </is>
      </c>
      <c r="V506" s="48" t="inlineStr">
        <is>
          <t xml:space="preserve">Agreed Value</t>
        </is>
      </c>
      <c r="W506" s="46" t="inlineStr">
        <is>
          <t xml:space="preserve">$1,000</t>
        </is>
      </c>
      <c r="X506" s="48" t="inlineStr">
        <is>
          <t xml:space="preserve">$1,000,000 CSL</t>
        </is>
      </c>
      <c r="Y506" s="46"/>
      <c r="Z506" s="46"/>
      <c r="AA506" s="48" t="inlineStr">
        <is>
          <t xml:space="preserve">Surplus Lines</t>
        </is>
      </c>
      <c r="AB506" s="50">
        <v>4025.41</v>
      </c>
      <c r="AC506" s="51">
        <v>0</v>
      </c>
      <c r="AD506" s="38">
        <f>IF(ISNUMBER($AB506),$AB506*(1+N($AC506)),"")</f>
      </c>
      <c r="AE506" s="50">
        <v>350</v>
      </c>
      <c r="AF506" s="50">
        <v>0</v>
      </c>
      <c r="AG506" s="51"/>
      <c r="AH506" s="39">
        <f>IF(ISNUMBER($AD506),($AD506+$AE506+$AF506)*$AG506,"")</f>
      </c>
      <c r="AI506" s="50"/>
      <c r="AJ506" s="38">
        <f>IF(ISNUMBER($AD506),SUM($AD506:$AH506),"")</f>
      </c>
      <c r="AK506" s="40">
        <f>IF(AND(ISNUMBER($AB506),ISNUMBER($AD506)),IF($AB506&gt;0,$AD506/$AB506,""),"")</f>
      </c>
      <c r="AL506" s="48" t="inlineStr">
        <is>
          <t xml:space="preserve">At technical</t>
        </is>
      </c>
      <c r="AM506" s="41">
        <f>IF(ISNUMBER($AD506),Header!$I$3,"")</f>
      </c>
      <c r="AN506" s="39">
        <f>IF(ISNUMBER($AD506),$AO506+$AP506,"")</f>
      </c>
      <c r="AO506" s="39">
        <f>IF(ISNUMBER($AD506),ROUND($AD506*Header!$K$3,2),"")</f>
      </c>
      <c r="AP506" s="39">
        <f>IF(ISNUMBER($AD506),ROUND($AD506*Header!$M$3,2),"")</f>
      </c>
      <c r="AQ506" s="38">
        <f>IF(ISNUMBER($AD506),ROUND($AD506,2)-$AO506-$AP506,"")</f>
      </c>
      <c r="AR506" s="39">
        <f>IF(ISNUMBER($AD506),IF(Header!$D$34="","?",$AD506*Header!$D$34),"")</f>
      </c>
      <c r="AS506" s="39">
        <f>IF(ISNUMBER($AB506),IF(Header!$D$34="","?",$AB506*Header!$D$34),"")</f>
      </c>
      <c r="AT506" s="42">
        <f>IF(AND(ISNUMBER($AB506),$M506&gt;0),$AB506/$M506*100,"")</f>
      </c>
      <c r="AU506" s="42">
        <f>IF(AND(ISNUMBER($AD506),$M506&gt;0),$AD506/$M506*100,"")</f>
      </c>
      <c r="AV506" s="40">
        <f>IF(AND(ISNUMBER($AB506),ISNUMBER($AD506),ABS($AB506)&gt;0),$AD506/$AB506,"")</f>
      </c>
      <c r="AW506" s="39">
        <f>IF(ISNUMBER($AD506),MAX(0,(1-0.55-Header!$O$3)*Header!$Q$3*$AQ506),"")</f>
      </c>
      <c r="AX506" s="43">
        <f>IF($A506="","",IF(TRIM(IF($A506="","Missing certificate ref. ","") &amp; IF($C506="","Missing effective date. ","") &amp; IF($D506="","Missing binding status. ","") &amp; IF($E506="","Missing movement type. ","") &amp; IF($I506="","Missing make. ","") &amp; IF($L506="","Missing vehicle class. ","") &amp; IF($M506="","Missing agreed value. ","") &amp; IF($N506="","Missing policy type. ","") &amp; IF($Q506="","Missing garaging state. ","") &amp; IF($R506="","Missing garaging ZIP. ","") &amp; IF($S506="","Missing cat zone. ","") &amp; IF($V506="","Missing valuation basis. ","") &amp; IF($W506="","Missing PD deductible. ","") &amp; IF($X506="","Missing liability limit. ","") &amp; IF($AB506="","Missing technical premium. ","") &amp; IF($AF506="","Missing surplus lines tax %. ",""))="","PASS","FAIL: "&amp;TRIM(IF($A506="","Missing certificate ref. ","") &amp; IF($C506="","Missing effective date. ","") &amp; IF($D506="","Missing binding status. ","") &amp; IF($E506="","Missing movement type. ","") &amp; IF($I506="","Missing make. ","") &amp; IF($L506="","Missing vehicle class. ","") &amp; IF($M506="","Missing agreed value. ","") &amp; IF($N506="","Missing policy type. ","") &amp; IF($Q506="","Missing garaging state. ","") &amp; IF($R506="","Missing garaging ZIP. ","") &amp; IF($S506="","Missing cat zone. ","") &amp; IF($V506="","Missing valuation basis. ","") &amp; IF($W506="","Missing PD deductible. ","") &amp; IF($X506="","Missing liability limit. ","") &amp; IF($AB506="","Missing technical premium. ","") &amp; IF($AF506="","Missing surplus lines tax %. ",""))))</f>
      </c>
      <c r="AY506" s="44">
        <f>IF($M506="","",IF(ISNUMBER($M506),IF($M506&gt;=Header!$C$18,"YES — refer","No"),""))</f>
      </c>
      <c r="AZ506" s="44">
        <f>IF($AD506="","",IF(ISNUMBER($AD506),IF($AD506&lt;Header!$C$20,"BELOW MIN PREMIUM","OK"),""))</f>
      </c>
      <c r="BA506" s="48" t="inlineStr">
        <is>
          <t xml:space="preserve">Yes</t>
        </is>
      </c>
      <c r="BB506" s="48" t="inlineStr">
        <is>
          <t xml:space="preserve">Yes</t>
        </is>
      </c>
      <c r="BC506" s="46" t="inlineStr">
        <is>
          <t xml:space="preserve">Synthetic demo data</t>
        </is>
      </c>
      <c r="BE506" s="45">
        <f>IF(OR($A506="",$L506="",$H506=""),"",IF(AND(LEFT($L506,2)="06",$H506&gt;1945),"FAIL - pre-war class, year "&amp;$H506,IF(AND(LEFT($L506,2)="07",OR($H506&lt;1946,$H506&gt;1972)),"FAIL - 1946-72 class, year "&amp;$H506,IF(AND(LEFT($L506,2)="08",OR($H506&lt;1973,$H506&gt;1999)),"FAIL - 1973-99 class, year "&amp;$H506,IF(AND(LEFT($L506,2)="09",OR($H506&lt;2000,$H506&gt;2010)),"FAIL - 2000-10 class, year "&amp;$H506,"OK")))))</f>
      </c>
      <c r="BF506" s="45">
        <f>IF($AD506="","",IF(ROUND($AO506+$AP506+$AQ506-$AD506,2)=0,"OK","FAIL - out by "&amp;TEXT($AO506+$AP506+$AQ506-$AD506,"$0.00")))</f>
      </c>
    </row>
    <row r="507" spans="1:58" ht="18.75" customHeight="1" x14ac:dyDescent="0.25">
      <c r="A507" s="30" t="inlineStr">
        <is>
          <t xml:space="preserve">CANON-202511-002856</t>
        </is>
      </c>
      <c r="B507" s="30" t="inlineStr">
        <is>
          <t xml:space="preserve">Marisol Farkas</t>
        </is>
      </c>
      <c r="C507" s="31">
        <v>45984</v>
      </c>
      <c r="D507" s="32" t="inlineStr">
        <is>
          <t xml:space="preserve">Bound - within authority</t>
        </is>
      </c>
      <c r="E507" s="32" t="inlineStr">
        <is>
          <t xml:space="preserve">New business</t>
        </is>
      </c>
      <c r="F507" s="30" t="inlineStr">
        <is>
          <t xml:space="preserve">B1234EXOTIC26</t>
        </is>
      </c>
      <c r="G507" s="33">
        <f>IF($A507="","",IF($C507="","",YEAR($C507)))</f>
      </c>
      <c r="H507" s="34">
        <v>1970</v>
      </c>
      <c r="I507" s="30" t="inlineStr">
        <is>
          <t xml:space="preserve">Aston Martin</t>
        </is>
      </c>
      <c r="J507" s="30" t="inlineStr">
        <is>
          <t xml:space="preserve">DB12</t>
        </is>
      </c>
      <c r="K507" s="30" t="inlineStr">
        <is>
          <t xml:space="preserve">WXLE1KN95HGPABBMK</t>
        </is>
      </c>
      <c r="L507" s="32" t="inlineStr">
        <is>
          <t xml:space="preserve">02 - Sports / GT</t>
        </is>
      </c>
      <c r="M507" s="35">
        <v>285000</v>
      </c>
      <c r="N507" s="32" t="inlineStr">
        <is>
          <t xml:space="preserve">Personal</t>
        </is>
      </c>
      <c r="O507" s="30" t="inlineStr">
        <is>
          <t xml:space="preserve">Personal - regular use</t>
        </is>
      </c>
      <c r="P507" s="30" t="inlineStr">
        <is>
          <t xml:space="preserve">Under 1,000</t>
        </is>
      </c>
      <c r="Q507" s="30" t="inlineStr">
        <is>
          <t xml:space="preserve">Rhode Island</t>
        </is>
      </c>
      <c r="R507" s="30" t="inlineStr">
        <is>
          <t xml:space="preserve">02903</t>
        </is>
      </c>
      <c r="S507" s="32" t="inlineStr">
        <is>
          <t xml:space="preserve">Tier 3 - Coastal wind (25-100 miles)</t>
        </is>
      </c>
      <c r="T507" s="36">
        <f>IF($A507="","",IF($S507="","",IFERROR(INDEX('[1]natural catastrophe'!$D$6:$D$17,MATCH($S507,'[1]natural catastrophe'!$B$6:$B$17,0)),"?")))</f>
      </c>
      <c r="U507" s="30" t="inlineStr">
        <is>
          <t xml:space="preserve">2% of agreed value, minimum $10,000</t>
        </is>
      </c>
      <c r="V507" s="32" t="inlineStr">
        <is>
          <t xml:space="preserve">Agreed Value</t>
        </is>
      </c>
      <c r="W507" s="30" t="inlineStr">
        <is>
          <t xml:space="preserve">$1,000</t>
        </is>
      </c>
      <c r="X507" s="32" t="inlineStr">
        <is>
          <t xml:space="preserve">$1,000,000 CSL</t>
        </is>
      </c>
      <c r="Y507" s="30"/>
      <c r="Z507" s="30"/>
      <c r="AA507" s="32" t="inlineStr">
        <is>
          <t xml:space="preserve">Surplus Lines</t>
        </is>
      </c>
      <c r="AB507" s="35">
        <v>5079.91</v>
      </c>
      <c r="AC507" s="37">
        <v>0</v>
      </c>
      <c r="AD507" s="38">
        <f>IF(ISNUMBER($AB507),$AB507*(1+N($AC507)),"")</f>
      </c>
      <c r="AE507" s="35">
        <v>350</v>
      </c>
      <c r="AF507" s="35">
        <v>0</v>
      </c>
      <c r="AG507" s="37"/>
      <c r="AH507" s="39">
        <f>IF(ISNUMBER($AD507),($AD507+$AE507+$AF507)*$AG507,"")</f>
      </c>
      <c r="AI507" s="35"/>
      <c r="AJ507" s="38">
        <f>IF(ISNUMBER($AD507),SUM($AD507:$AH507),"")</f>
      </c>
      <c r="AK507" s="40">
        <f>IF(AND(ISNUMBER($AB507),ISNUMBER($AD507)),IF($AB507&gt;0,$AD507/$AB507,""),"")</f>
      </c>
      <c r="AL507" s="32" t="inlineStr">
        <is>
          <t xml:space="preserve">At technical</t>
        </is>
      </c>
      <c r="AM507" s="41">
        <f>IF(ISNUMBER($AD507),Header!$I$3,"")</f>
      </c>
      <c r="AN507" s="39">
        <f>IF(ISNUMBER($AD507),$AO507+$AP507,"")</f>
      </c>
      <c r="AO507" s="39">
        <f>IF(ISNUMBER($AD507),ROUND($AD507*Header!$K$3,2),"")</f>
      </c>
      <c r="AP507" s="39">
        <f>IF(ISNUMBER($AD507),ROUND($AD507*Header!$M$3,2),"")</f>
      </c>
      <c r="AQ507" s="38">
        <f>IF(ISNUMBER($AD507),ROUND($AD507,2)-$AO507-$AP507,"")</f>
      </c>
      <c r="AR507" s="39">
        <f>IF(ISNUMBER($AD507),IF(Header!$D$34="","?",$AD507*Header!$D$34),"")</f>
      </c>
      <c r="AS507" s="39">
        <f>IF(ISNUMBER($AB507),IF(Header!$D$34="","?",$AB507*Header!$D$34),"")</f>
      </c>
      <c r="AT507" s="42">
        <f>IF(AND(ISNUMBER($AB507),$M507&gt;0),$AB507/$M507*100,"")</f>
      </c>
      <c r="AU507" s="42">
        <f>IF(AND(ISNUMBER($AD507),$M507&gt;0),$AD507/$M507*100,"")</f>
      </c>
      <c r="AV507" s="40">
        <f>IF(AND(ISNUMBER($AB507),ISNUMBER($AD507),ABS($AB507)&gt;0),$AD507/$AB507,"")</f>
      </c>
      <c r="AW507" s="39">
        <f>IF(ISNUMBER($AD507),MAX(0,(1-0.55-Header!$O$3)*Header!$Q$3*$AQ507),"")</f>
      </c>
      <c r="AX507" s="43">
        <f>IF($A507="","",IF(TRIM(IF($A507="","Missing certificate ref. ","") &amp; IF($C507="","Missing effective date. ","") &amp; IF($D507="","Missing binding status. ","") &amp; IF($E507="","Missing movement type. ","") &amp; IF($I507="","Missing make. ","") &amp; IF($L507="","Missing vehicle class. ","") &amp; IF($M507="","Missing agreed value. ","") &amp; IF($N507="","Missing policy type. ","") &amp; IF($Q507="","Missing garaging state. ","") &amp; IF($R507="","Missing garaging ZIP. ","") &amp; IF($S507="","Missing cat zone. ","") &amp; IF($V507="","Missing valuation basis. ","") &amp; IF($W507="","Missing PD deductible. ","") &amp; IF($X507="","Missing liability limit. ","") &amp; IF($AB507="","Missing technical premium. ","") &amp; IF($AF507="","Missing surplus lines tax %. ",""))="","PASS","FAIL: "&amp;TRIM(IF($A507="","Missing certificate ref. ","") &amp; IF($C507="","Missing effective date. ","") &amp; IF($D507="","Missing binding status. ","") &amp; IF($E507="","Missing movement type. ","") &amp; IF($I507="","Missing make. ","") &amp; IF($L507="","Missing vehicle class. ","") &amp; IF($M507="","Missing agreed value. ","") &amp; IF($N507="","Missing policy type. ","") &amp; IF($Q507="","Missing garaging state. ","") &amp; IF($R507="","Missing garaging ZIP. ","") &amp; IF($S507="","Missing cat zone. ","") &amp; IF($V507="","Missing valuation basis. ","") &amp; IF($W507="","Missing PD deductible. ","") &amp; IF($X507="","Missing liability limit. ","") &amp; IF($AB507="","Missing technical premium. ","") &amp; IF($AF507="","Missing surplus lines tax %. ",""))))</f>
      </c>
      <c r="AY507" s="44">
        <f>IF($M507="","",IF(ISNUMBER($M507),IF($M507&gt;=Header!$C$18,"YES — refer","No"),""))</f>
      </c>
      <c r="AZ507" s="44">
        <f>IF($AD507="","",IF(ISNUMBER($AD507),IF($AD507&lt;Header!$C$20,"BELOW MIN PREMIUM","OK"),""))</f>
      </c>
      <c r="BA507" s="32" t="inlineStr">
        <is>
          <t xml:space="preserve">Yes</t>
        </is>
      </c>
      <c r="BB507" s="32" t="inlineStr">
        <is>
          <t xml:space="preserve">Yes</t>
        </is>
      </c>
      <c r="BC507" s="30" t="inlineStr">
        <is>
          <t xml:space="preserve">Synthetic demo data</t>
        </is>
      </c>
      <c r="BE507" s="45">
        <f>IF(OR($A507="",$L507="",$H507=""),"",IF(AND(LEFT($L507,2)="06",$H507&gt;1945),"FAIL - pre-war class, year "&amp;$H507,IF(AND(LEFT($L507,2)="07",OR($H507&lt;1946,$H507&gt;1972)),"FAIL - 1946-72 class, year "&amp;$H507,IF(AND(LEFT($L507,2)="08",OR($H507&lt;1973,$H507&gt;1999)),"FAIL - 1973-99 class, year "&amp;$H507,IF(AND(LEFT($L507,2)="09",OR($H507&lt;2000,$H507&gt;2010)),"FAIL - 2000-10 class, year "&amp;$H507,"OK")))))</f>
      </c>
      <c r="BF507" s="45">
        <f>IF($AD507="","",IF(ROUND($AO507+$AP507+$AQ507-$AD507,2)=0,"OK","FAIL - out by "&amp;TEXT($AO507+$AP507+$AQ507-$AD507,"$0.00")))</f>
      </c>
    </row>
    <row r="508" spans="1:58" ht="18.75" customHeight="1" x14ac:dyDescent="0.25">
      <c r="A508" s="46" t="inlineStr">
        <is>
          <t xml:space="preserve">CANON-202511-002860</t>
        </is>
      </c>
      <c r="B508" s="46" t="inlineStr">
        <is>
          <t xml:space="preserve">Emiliano Chattopadhyay</t>
        </is>
      </c>
      <c r="C508" s="47">
        <v>45964</v>
      </c>
      <c r="D508" s="48" t="inlineStr">
        <is>
          <t xml:space="preserve">Bound - within authority</t>
        </is>
      </c>
      <c r="E508" s="48" t="inlineStr">
        <is>
          <t xml:space="preserve">New business</t>
        </is>
      </c>
      <c r="F508" s="46" t="inlineStr">
        <is>
          <t xml:space="preserve">B1234EXOTIC26</t>
        </is>
      </c>
      <c r="G508" s="33">
        <f>IF($A508="","",IF($C508="","",YEAR($C508)))</f>
      </c>
      <c r="H508" s="49">
        <v>2019</v>
      </c>
      <c r="I508" s="46" t="inlineStr">
        <is>
          <t xml:space="preserve">Ferrari</t>
        </is>
      </c>
      <c r="J508" s="46" t="inlineStr">
        <is>
          <t xml:space="preserve">275 GTB/4</t>
        </is>
      </c>
      <c r="K508" s="46" t="inlineStr">
        <is>
          <t xml:space="preserve">BKSBTJYMCFZBXSN6E</t>
        </is>
      </c>
      <c r="L508" s="48" t="inlineStr">
        <is>
          <t xml:space="preserve">02 - Sports / GT</t>
        </is>
      </c>
      <c r="M508" s="50">
        <v>615000</v>
      </c>
      <c r="N508" s="48" t="inlineStr">
        <is>
          <t xml:space="preserve">Personal</t>
        </is>
      </c>
      <c r="O508" s="46" t="inlineStr">
        <is>
          <t xml:space="preserve">Personal - regular use</t>
        </is>
      </c>
      <c r="P508" s="46" t="inlineStr">
        <is>
          <t xml:space="preserve">2,500 - 5,000</t>
        </is>
      </c>
      <c r="Q508" s="46" t="inlineStr">
        <is>
          <t xml:space="preserve">Arkansas</t>
        </is>
      </c>
      <c r="R508" s="46" t="inlineStr">
        <is>
          <t xml:space="preserve">72201</t>
        </is>
      </c>
      <c r="S508" s="48" t="inlineStr">
        <is>
          <t xml:space="preserve">Severe convective - hail / tornado (moderate)</t>
        </is>
      </c>
      <c r="T508" s="36">
        <f>IF($A508="","",IF($S508="","",IFERROR(INDEX('[1]natural catastrophe'!$D$6:$D$17,MATCH($S508,'[1]natural catastrophe'!$B$6:$B$17,0)),"?")))</f>
      </c>
      <c r="U508" s="46" t="inlineStr">
        <is>
          <t xml:space="preserve">$5,000</t>
        </is>
      </c>
      <c r="V508" s="48" t="inlineStr">
        <is>
          <t xml:space="preserve">Agreed Value</t>
        </is>
      </c>
      <c r="W508" s="46" t="inlineStr">
        <is>
          <t xml:space="preserve">$1,000</t>
        </is>
      </c>
      <c r="X508" s="48" t="inlineStr">
        <is>
          <t xml:space="preserve">$1,000,000 CSL</t>
        </is>
      </c>
      <c r="Y508" s="46"/>
      <c r="Z508" s="46"/>
      <c r="AA508" s="48" t="inlineStr">
        <is>
          <t xml:space="preserve">Surplus Lines</t>
        </is>
      </c>
      <c r="AB508" s="50">
        <v>6330.69</v>
      </c>
      <c r="AC508" s="51">
        <v>0</v>
      </c>
      <c r="AD508" s="38">
        <f>IF(ISNUMBER($AB508),$AB508*(1+N($AC508)),"")</f>
      </c>
      <c r="AE508" s="50">
        <v>350</v>
      </c>
      <c r="AF508" s="50">
        <v>0</v>
      </c>
      <c r="AG508" s="51"/>
      <c r="AH508" s="39">
        <f>IF(ISNUMBER($AD508),($AD508+$AE508+$AF508)*$AG508,"")</f>
      </c>
      <c r="AI508" s="50"/>
      <c r="AJ508" s="38">
        <f>IF(ISNUMBER($AD508),SUM($AD508:$AH508),"")</f>
      </c>
      <c r="AK508" s="40">
        <f>IF(AND(ISNUMBER($AB508),ISNUMBER($AD508)),IF($AB508&gt;0,$AD508/$AB508,""),"")</f>
      </c>
      <c r="AL508" s="48" t="inlineStr">
        <is>
          <t xml:space="preserve">At technical</t>
        </is>
      </c>
      <c r="AM508" s="41">
        <f>IF(ISNUMBER($AD508),Header!$I$3,"")</f>
      </c>
      <c r="AN508" s="39">
        <f>IF(ISNUMBER($AD508),$AO508+$AP508,"")</f>
      </c>
      <c r="AO508" s="39">
        <f>IF(ISNUMBER($AD508),ROUND($AD508*Header!$K$3,2),"")</f>
      </c>
      <c r="AP508" s="39">
        <f>IF(ISNUMBER($AD508),ROUND($AD508*Header!$M$3,2),"")</f>
      </c>
      <c r="AQ508" s="38">
        <f>IF(ISNUMBER($AD508),ROUND($AD508,2)-$AO508-$AP508,"")</f>
      </c>
      <c r="AR508" s="39">
        <f>IF(ISNUMBER($AD508),IF(Header!$D$34="","?",$AD508*Header!$D$34),"")</f>
      </c>
      <c r="AS508" s="39">
        <f>IF(ISNUMBER($AB508),IF(Header!$D$34="","?",$AB508*Header!$D$34),"")</f>
      </c>
      <c r="AT508" s="42">
        <f>IF(AND(ISNUMBER($AB508),$M508&gt;0),$AB508/$M508*100,"")</f>
      </c>
      <c r="AU508" s="42">
        <f>IF(AND(ISNUMBER($AD508),$M508&gt;0),$AD508/$M508*100,"")</f>
      </c>
      <c r="AV508" s="40">
        <f>IF(AND(ISNUMBER($AB508),ISNUMBER($AD508),ABS($AB508)&gt;0),$AD508/$AB508,"")</f>
      </c>
      <c r="AW508" s="39">
        <f>IF(ISNUMBER($AD508),MAX(0,(1-0.55-Header!$O$3)*Header!$Q$3*$AQ508),"")</f>
      </c>
      <c r="AX508" s="43">
        <f>IF($A508="","",IF(TRIM(IF($A508="","Missing certificate ref. ","") &amp; IF($C508="","Missing effective date. ","") &amp; IF($D508="","Missing binding status. ","") &amp; IF($E508="","Missing movement type. ","") &amp; IF($I508="","Missing make. ","") &amp; IF($L508="","Missing vehicle class. ","") &amp; IF($M508="","Missing agreed value. ","") &amp; IF($N508="","Missing policy type. ","") &amp; IF($Q508="","Missing garaging state. ","") &amp; IF($R508="","Missing garaging ZIP. ","") &amp; IF($S508="","Missing cat zone. ","") &amp; IF($V508="","Missing valuation basis. ","") &amp; IF($W508="","Missing PD deductible. ","") &amp; IF($X508="","Missing liability limit. ","") &amp; IF($AB508="","Missing technical premium. ","") &amp; IF($AF508="","Missing surplus lines tax %. ",""))="","PASS","FAIL: "&amp;TRIM(IF($A508="","Missing certificate ref. ","") &amp; IF($C508="","Missing effective date. ","") &amp; IF($D508="","Missing binding status. ","") &amp; IF($E508="","Missing movement type. ","") &amp; IF($I508="","Missing make. ","") &amp; IF($L508="","Missing vehicle class. ","") &amp; IF($M508="","Missing agreed value. ","") &amp; IF($N508="","Missing policy type. ","") &amp; IF($Q508="","Missing garaging state. ","") &amp; IF($R508="","Missing garaging ZIP. ","") &amp; IF($S508="","Missing cat zone. ","") &amp; IF($V508="","Missing valuation basis. ","") &amp; IF($W508="","Missing PD deductible. ","") &amp; IF($X508="","Missing liability limit. ","") &amp; IF($AB508="","Missing technical premium. ","") &amp; IF($AF508="","Missing surplus lines tax %. ",""))))</f>
      </c>
      <c r="AY508" s="44">
        <f>IF($M508="","",IF(ISNUMBER($M508),IF($M508&gt;=Header!$C$18,"YES — refer","No"),""))</f>
      </c>
      <c r="AZ508" s="44">
        <f>IF($AD508="","",IF(ISNUMBER($AD508),IF($AD508&lt;Header!$C$20,"BELOW MIN PREMIUM","OK"),""))</f>
      </c>
      <c r="BA508" s="48" t="inlineStr">
        <is>
          <t xml:space="preserve">Yes</t>
        </is>
      </c>
      <c r="BB508" s="48" t="inlineStr">
        <is>
          <t xml:space="preserve">Yes</t>
        </is>
      </c>
      <c r="BC508" s="46" t="inlineStr">
        <is>
          <t xml:space="preserve">Synthetic demo data</t>
        </is>
      </c>
      <c r="BE508" s="45">
        <f>IF(OR($A508="",$L508="",$H508=""),"",IF(AND(LEFT($L508,2)="06",$H508&gt;1945),"FAIL - pre-war class, year "&amp;$H508,IF(AND(LEFT($L508,2)="07",OR($H508&lt;1946,$H508&gt;1972)),"FAIL - 1946-72 class, year "&amp;$H508,IF(AND(LEFT($L508,2)="08",OR($H508&lt;1973,$H508&gt;1999)),"FAIL - 1973-99 class, year "&amp;$H508,IF(AND(LEFT($L508,2)="09",OR($H508&lt;2000,$H508&gt;2010)),"FAIL - 2000-10 class, year "&amp;$H508,"OK")))))</f>
      </c>
      <c r="BF508" s="45">
        <f>IF($AD508="","",IF(ROUND($AO508+$AP508+$AQ508-$AD508,2)=0,"OK","FAIL - out by "&amp;TEXT($AO508+$AP508+$AQ508-$AD508,"$0.00")))</f>
      </c>
    </row>
    <row r="509" spans="1:58" ht="18.75" customHeight="1" x14ac:dyDescent="0.25">
      <c r="A509" s="30" t="inlineStr">
        <is>
          <t xml:space="preserve">CANON-202511-002862</t>
        </is>
      </c>
      <c r="B509" s="30" t="inlineStr">
        <is>
          <t xml:space="preserve">Noor Okonkwo</t>
        </is>
      </c>
      <c r="C509" s="31">
        <v>45988</v>
      </c>
      <c r="D509" s="32" t="inlineStr">
        <is>
          <t xml:space="preserve">Bound - within authority</t>
        </is>
      </c>
      <c r="E509" s="32" t="inlineStr">
        <is>
          <t xml:space="preserve">New business</t>
        </is>
      </c>
      <c r="F509" s="30" t="inlineStr">
        <is>
          <t xml:space="preserve">B1234EXOTIC26</t>
        </is>
      </c>
      <c r="G509" s="33">
        <f>IF($A509="","",IF($C509="","",YEAR($C509)))</f>
      </c>
      <c r="H509" s="34">
        <v>2014</v>
      </c>
      <c r="I509" s="30" t="inlineStr">
        <is>
          <t xml:space="preserve">Bentley</t>
        </is>
      </c>
      <c r="J509" s="30" t="inlineStr">
        <is>
          <t xml:space="preserve">Continental GT</t>
        </is>
      </c>
      <c r="K509" s="30" t="inlineStr">
        <is>
          <t xml:space="preserve">732Y9NYK4ZXECJGKR</t>
        </is>
      </c>
      <c r="L509" s="32" t="inlineStr">
        <is>
          <t xml:space="preserve">02 - Sports / GT</t>
        </is>
      </c>
      <c r="M509" s="35">
        <v>615000</v>
      </c>
      <c r="N509" s="32" t="inlineStr">
        <is>
          <t xml:space="preserve">Personal</t>
        </is>
      </c>
      <c r="O509" s="30" t="inlineStr">
        <is>
          <t xml:space="preserve">Personal - regular use</t>
        </is>
      </c>
      <c r="P509" s="30" t="inlineStr">
        <is>
          <t xml:space="preserve">1,000 - 2,500</t>
        </is>
      </c>
      <c r="Q509" s="30" t="inlineStr">
        <is>
          <t xml:space="preserve">California</t>
        </is>
      </c>
      <c r="R509" s="30" t="inlineStr">
        <is>
          <t xml:space="preserve">90012</t>
        </is>
      </c>
      <c r="S509" s="32" t="inlineStr">
        <is>
          <t xml:space="preserve">Earthquake - high (CA, Cascadia, New Madrid)</t>
        </is>
      </c>
      <c r="T509" s="36">
        <f>IF($A509="","",IF($S509="","",IFERROR(INDEX('[1]natural catastrophe'!$D$6:$D$17,MATCH($S509,'[1]natural catastrophe'!$B$6:$B$17,0)),"?")))</f>
      </c>
      <c r="U509" s="30" t="inlineStr">
        <is>
          <t xml:space="preserve">$5,000</t>
        </is>
      </c>
      <c r="V509" s="32" t="inlineStr">
        <is>
          <t xml:space="preserve">Agreed Value</t>
        </is>
      </c>
      <c r="W509" s="30" t="inlineStr">
        <is>
          <t xml:space="preserve">$1,000</t>
        </is>
      </c>
      <c r="X509" s="32" t="inlineStr">
        <is>
          <t xml:space="preserve">$1,000,000 CSL</t>
        </is>
      </c>
      <c r="Y509" s="30"/>
      <c r="Z509" s="30"/>
      <c r="AA509" s="32" t="inlineStr">
        <is>
          <t xml:space="preserve">Surplus Lines</t>
        </is>
      </c>
      <c r="AB509" s="35">
        <v>9361.62</v>
      </c>
      <c r="AC509" s="37">
        <v>0</v>
      </c>
      <c r="AD509" s="38">
        <f>IF(ISNUMBER($AB509),$AB509*(1+N($AC509)),"")</f>
      </c>
      <c r="AE509" s="35">
        <v>350</v>
      </c>
      <c r="AF509" s="35">
        <v>0</v>
      </c>
      <c r="AG509" s="37"/>
      <c r="AH509" s="39">
        <f>IF(ISNUMBER($AD509),($AD509+$AE509+$AF509)*$AG509,"")</f>
      </c>
      <c r="AI509" s="35"/>
      <c r="AJ509" s="38">
        <f>IF(ISNUMBER($AD509),SUM($AD509:$AH509),"")</f>
      </c>
      <c r="AK509" s="40">
        <f>IF(AND(ISNUMBER($AB509),ISNUMBER($AD509)),IF($AB509&gt;0,$AD509/$AB509,""),"")</f>
      </c>
      <c r="AL509" s="32" t="inlineStr">
        <is>
          <t xml:space="preserve">At technical</t>
        </is>
      </c>
      <c r="AM509" s="41">
        <f>IF(ISNUMBER($AD509),Header!$I$3,"")</f>
      </c>
      <c r="AN509" s="39">
        <f>IF(ISNUMBER($AD509),$AO509+$AP509,"")</f>
      </c>
      <c r="AO509" s="39">
        <f>IF(ISNUMBER($AD509),ROUND($AD509*Header!$K$3,2),"")</f>
      </c>
      <c r="AP509" s="39">
        <f>IF(ISNUMBER($AD509),ROUND($AD509*Header!$M$3,2),"")</f>
      </c>
      <c r="AQ509" s="38">
        <f>IF(ISNUMBER($AD509),ROUND($AD509,2)-$AO509-$AP509,"")</f>
      </c>
      <c r="AR509" s="39">
        <f>IF(ISNUMBER($AD509),IF(Header!$D$34="","?",$AD509*Header!$D$34),"")</f>
      </c>
      <c r="AS509" s="39">
        <f>IF(ISNUMBER($AB509),IF(Header!$D$34="","?",$AB509*Header!$D$34),"")</f>
      </c>
      <c r="AT509" s="42">
        <f>IF(AND(ISNUMBER($AB509),$M509&gt;0),$AB509/$M509*100,"")</f>
      </c>
      <c r="AU509" s="42">
        <f>IF(AND(ISNUMBER($AD509),$M509&gt;0),$AD509/$M509*100,"")</f>
      </c>
      <c r="AV509" s="40">
        <f>IF(AND(ISNUMBER($AB509),ISNUMBER($AD509),ABS($AB509)&gt;0),$AD509/$AB509,"")</f>
      </c>
      <c r="AW509" s="39">
        <f>IF(ISNUMBER($AD509),MAX(0,(1-0.55-Header!$O$3)*Header!$Q$3*$AQ509),"")</f>
      </c>
      <c r="AX509" s="43">
        <f>IF($A509="","",IF(TRIM(IF($A509="","Missing certificate ref. ","") &amp; IF($C509="","Missing effective date. ","") &amp; IF($D509="","Missing binding status. ","") &amp; IF($E509="","Missing movement type. ","") &amp; IF($I509="","Missing make. ","") &amp; IF($L509="","Missing vehicle class. ","") &amp; IF($M509="","Missing agreed value. ","") &amp; IF($N509="","Missing policy type. ","") &amp; IF($Q509="","Missing garaging state. ","") &amp; IF($R509="","Missing garaging ZIP. ","") &amp; IF($S509="","Missing cat zone. ","") &amp; IF($V509="","Missing valuation basis. ","") &amp; IF($W509="","Missing PD deductible. ","") &amp; IF($X509="","Missing liability limit. ","") &amp; IF($AB509="","Missing technical premium. ","") &amp; IF($AF509="","Missing surplus lines tax %. ",""))="","PASS","FAIL: "&amp;TRIM(IF($A509="","Missing certificate ref. ","") &amp; IF($C509="","Missing effective date. ","") &amp; IF($D509="","Missing binding status. ","") &amp; IF($E509="","Missing movement type. ","") &amp; IF($I509="","Missing make. ","") &amp; IF($L509="","Missing vehicle class. ","") &amp; IF($M509="","Missing agreed value. ","") &amp; IF($N509="","Missing policy type. ","") &amp; IF($Q509="","Missing garaging state. ","") &amp; IF($R509="","Missing garaging ZIP. ","") &amp; IF($S509="","Missing cat zone. ","") &amp; IF($V509="","Missing valuation basis. ","") &amp; IF($W509="","Missing PD deductible. ","") &amp; IF($X509="","Missing liability limit. ","") &amp; IF($AB509="","Missing technical premium. ","") &amp; IF($AF509="","Missing surplus lines tax %. ",""))))</f>
      </c>
      <c r="AY509" s="44">
        <f>IF($M509="","",IF(ISNUMBER($M509),IF($M509&gt;=Header!$C$18,"YES — refer","No"),""))</f>
      </c>
      <c r="AZ509" s="44">
        <f>IF($AD509="","",IF(ISNUMBER($AD509),IF($AD509&lt;Header!$C$20,"BELOW MIN PREMIUM","OK"),""))</f>
      </c>
      <c r="BA509" s="32" t="inlineStr">
        <is>
          <t xml:space="preserve">Yes</t>
        </is>
      </c>
      <c r="BB509" s="32" t="inlineStr">
        <is>
          <t xml:space="preserve">Yes</t>
        </is>
      </c>
      <c r="BC509" s="30" t="inlineStr">
        <is>
          <t xml:space="preserve">Synthetic demo data</t>
        </is>
      </c>
      <c r="BE509" s="45">
        <f>IF(OR($A509="",$L509="",$H509=""),"",IF(AND(LEFT($L509,2)="06",$H509&gt;1945),"FAIL - pre-war class, year "&amp;$H509,IF(AND(LEFT($L509,2)="07",OR($H509&lt;1946,$H509&gt;1972)),"FAIL - 1946-72 class, year "&amp;$H509,IF(AND(LEFT($L509,2)="08",OR($H509&lt;1973,$H509&gt;1999)),"FAIL - 1973-99 class, year "&amp;$H509,IF(AND(LEFT($L509,2)="09",OR($H509&lt;2000,$H509&gt;2010)),"FAIL - 2000-10 class, year "&amp;$H509,"OK")))))</f>
      </c>
      <c r="BF509" s="45">
        <f>IF($AD509="","",IF(ROUND($AO509+$AP509+$AQ509-$AD509,2)=0,"OK","FAIL - out by "&amp;TEXT($AO509+$AP509+$AQ509-$AD509,"$0.00")))</f>
      </c>
    </row>
    <row r="510" spans="1:58" ht="18.75" customHeight="1" x14ac:dyDescent="0.25">
      <c r="A510" s="46" t="inlineStr">
        <is>
          <t xml:space="preserve">CANON-202511-002864</t>
        </is>
      </c>
      <c r="B510" s="46" t="inlineStr">
        <is>
          <t xml:space="preserve">Everett Underwood</t>
        </is>
      </c>
      <c r="C510" s="47">
        <v>45963</v>
      </c>
      <c r="D510" s="48" t="inlineStr">
        <is>
          <t xml:space="preserve">Bound - within authority</t>
        </is>
      </c>
      <c r="E510" s="48" t="inlineStr">
        <is>
          <t xml:space="preserve">New business</t>
        </is>
      </c>
      <c r="F510" s="46" t="inlineStr">
        <is>
          <t xml:space="preserve">B1234EXOTIC26</t>
        </is>
      </c>
      <c r="G510" s="33">
        <f>IF($A510="","",IF($C510="","",YEAR($C510)))</f>
      </c>
      <c r="H510" s="49">
        <v>1966</v>
      </c>
      <c r="I510" s="46" t="inlineStr">
        <is>
          <t xml:space="preserve">Ferrari</t>
        </is>
      </c>
      <c r="J510" s="46" t="inlineStr">
        <is>
          <t xml:space="preserve">SF90 Stradale</t>
        </is>
      </c>
      <c r="K510" s="46" t="inlineStr">
        <is>
          <t xml:space="preserve">PY73FZW142D129Z5B</t>
        </is>
      </c>
      <c r="L510" s="48" t="inlineStr">
        <is>
          <t xml:space="preserve">03 - Supercar</t>
        </is>
      </c>
      <c r="M510" s="50">
        <v>765000</v>
      </c>
      <c r="N510" s="48" t="inlineStr">
        <is>
          <t xml:space="preserve">Personal</t>
        </is>
      </c>
      <c r="O510" s="46" t="inlineStr">
        <is>
          <t xml:space="preserve">Personal - regular use</t>
        </is>
      </c>
      <c r="P510" s="46" t="inlineStr">
        <is>
          <t xml:space="preserve">2,500 - 5,000</t>
        </is>
      </c>
      <c r="Q510" s="46" t="inlineStr">
        <is>
          <t xml:space="preserve">Idaho</t>
        </is>
      </c>
      <c r="R510" s="46" t="inlineStr">
        <is>
          <t xml:space="preserve">83702</t>
        </is>
      </c>
      <c r="S510" s="48" t="inlineStr">
        <is>
          <t xml:space="preserve">Wildfire - WUI high hazard</t>
        </is>
      </c>
      <c r="T510" s="36">
        <f>IF($A510="","",IF($S510="","",IFERROR(INDEX('[1]natural catastrophe'!$D$6:$D$17,MATCH($S510,'[1]natural catastrophe'!$B$6:$B$17,0)),"?")))</f>
      </c>
      <c r="U510" s="46" t="inlineStr">
        <is>
          <t xml:space="preserve">$5,000</t>
        </is>
      </c>
      <c r="V510" s="48" t="inlineStr">
        <is>
          <t xml:space="preserve">Agreed Value</t>
        </is>
      </c>
      <c r="W510" s="46" t="inlineStr">
        <is>
          <t xml:space="preserve">$1,000</t>
        </is>
      </c>
      <c r="X510" s="48" t="inlineStr">
        <is>
          <t xml:space="preserve">$1,000,000 CSL</t>
        </is>
      </c>
      <c r="Y510" s="46"/>
      <c r="Z510" s="46"/>
      <c r="AA510" s="48" t="inlineStr">
        <is>
          <t xml:space="preserve">Surplus Lines</t>
        </is>
      </c>
      <c r="AB510" s="50">
        <v>12480.98</v>
      </c>
      <c r="AC510" s="51">
        <v>0</v>
      </c>
      <c r="AD510" s="38">
        <f>IF(ISNUMBER($AB510),$AB510*(1+N($AC510)),"")</f>
      </c>
      <c r="AE510" s="50">
        <v>350</v>
      </c>
      <c r="AF510" s="50">
        <v>0</v>
      </c>
      <c r="AG510" s="51"/>
      <c r="AH510" s="39">
        <f>IF(ISNUMBER($AD510),($AD510+$AE510+$AF510)*$AG510,"")</f>
      </c>
      <c r="AI510" s="50"/>
      <c r="AJ510" s="38">
        <f>IF(ISNUMBER($AD510),SUM($AD510:$AH510),"")</f>
      </c>
      <c r="AK510" s="40">
        <f>IF(AND(ISNUMBER($AB510),ISNUMBER($AD510)),IF($AB510&gt;0,$AD510/$AB510,""),"")</f>
      </c>
      <c r="AL510" s="48" t="inlineStr">
        <is>
          <t xml:space="preserve">At technical</t>
        </is>
      </c>
      <c r="AM510" s="41">
        <f>IF(ISNUMBER($AD510),Header!$I$3,"")</f>
      </c>
      <c r="AN510" s="39">
        <f>IF(ISNUMBER($AD510),$AO510+$AP510,"")</f>
      </c>
      <c r="AO510" s="39">
        <f>IF(ISNUMBER($AD510),ROUND($AD510*Header!$K$3,2),"")</f>
      </c>
      <c r="AP510" s="39">
        <f>IF(ISNUMBER($AD510),ROUND($AD510*Header!$M$3,2),"")</f>
      </c>
      <c r="AQ510" s="38">
        <f>IF(ISNUMBER($AD510),ROUND($AD510,2)-$AO510-$AP510,"")</f>
      </c>
      <c r="AR510" s="39">
        <f>IF(ISNUMBER($AD510),IF(Header!$D$34="","?",$AD510*Header!$D$34),"")</f>
      </c>
      <c r="AS510" s="39">
        <f>IF(ISNUMBER($AB510),IF(Header!$D$34="","?",$AB510*Header!$D$34),"")</f>
      </c>
      <c r="AT510" s="42">
        <f>IF(AND(ISNUMBER($AB510),$M510&gt;0),$AB510/$M510*100,"")</f>
      </c>
      <c r="AU510" s="42">
        <f>IF(AND(ISNUMBER($AD510),$M510&gt;0),$AD510/$M510*100,"")</f>
      </c>
      <c r="AV510" s="40">
        <f>IF(AND(ISNUMBER($AB510),ISNUMBER($AD510),ABS($AB510)&gt;0),$AD510/$AB510,"")</f>
      </c>
      <c r="AW510" s="39">
        <f>IF(ISNUMBER($AD510),MAX(0,(1-0.55-Header!$O$3)*Header!$Q$3*$AQ510),"")</f>
      </c>
      <c r="AX510" s="43">
        <f>IF($A510="","",IF(TRIM(IF($A510="","Missing certificate ref. ","") &amp; IF($C510="","Missing effective date. ","") &amp; IF($D510="","Missing binding status. ","") &amp; IF($E510="","Missing movement type. ","") &amp; IF($I510="","Missing make. ","") &amp; IF($L510="","Missing vehicle class. ","") &amp; IF($M510="","Missing agreed value. ","") &amp; IF($N510="","Missing policy type. ","") &amp; IF($Q510="","Missing garaging state. ","") &amp; IF($R510="","Missing garaging ZIP. ","") &amp; IF($S510="","Missing cat zone. ","") &amp; IF($V510="","Missing valuation basis. ","") &amp; IF($W510="","Missing PD deductible. ","") &amp; IF($X510="","Missing liability limit. ","") &amp; IF($AB510="","Missing technical premium. ","") &amp; IF($AF510="","Missing surplus lines tax %. ",""))="","PASS","FAIL: "&amp;TRIM(IF($A510="","Missing certificate ref. ","") &amp; IF($C510="","Missing effective date. ","") &amp; IF($D510="","Missing binding status. ","") &amp; IF($E510="","Missing movement type. ","") &amp; IF($I510="","Missing make. ","") &amp; IF($L510="","Missing vehicle class. ","") &amp; IF($M510="","Missing agreed value. ","") &amp; IF($N510="","Missing policy type. ","") &amp; IF($Q510="","Missing garaging state. ","") &amp; IF($R510="","Missing garaging ZIP. ","") &amp; IF($S510="","Missing cat zone. ","") &amp; IF($V510="","Missing valuation basis. ","") &amp; IF($W510="","Missing PD deductible. ","") &amp; IF($X510="","Missing liability limit. ","") &amp; IF($AB510="","Missing technical premium. ","") &amp; IF($AF510="","Missing surplus lines tax %. ",""))))</f>
      </c>
      <c r="AY510" s="44">
        <f>IF($M510="","",IF(ISNUMBER($M510),IF($M510&gt;=Header!$C$18,"YES — refer","No"),""))</f>
      </c>
      <c r="AZ510" s="44">
        <f>IF($AD510="","",IF(ISNUMBER($AD510),IF($AD510&lt;Header!$C$20,"BELOW MIN PREMIUM","OK"),""))</f>
      </c>
      <c r="BA510" s="48" t="inlineStr">
        <is>
          <t xml:space="preserve">Yes</t>
        </is>
      </c>
      <c r="BB510" s="48" t="inlineStr">
        <is>
          <t xml:space="preserve">Yes</t>
        </is>
      </c>
      <c r="BC510" s="46" t="inlineStr">
        <is>
          <t xml:space="preserve">Synthetic demo data</t>
        </is>
      </c>
      <c r="BE510" s="45">
        <f>IF(OR($A510="",$L510="",$H510=""),"",IF(AND(LEFT($L510,2)="06",$H510&gt;1945),"FAIL - pre-war class, year "&amp;$H510,IF(AND(LEFT($L510,2)="07",OR($H510&lt;1946,$H510&gt;1972)),"FAIL - 1946-72 class, year "&amp;$H510,IF(AND(LEFT($L510,2)="08",OR($H510&lt;1973,$H510&gt;1999)),"FAIL - 1973-99 class, year "&amp;$H510,IF(AND(LEFT($L510,2)="09",OR($H510&lt;2000,$H510&gt;2010)),"FAIL - 2000-10 class, year "&amp;$H510,"OK")))))</f>
      </c>
      <c r="BF510" s="45">
        <f>IF($AD510="","",IF(ROUND($AO510+$AP510+$AQ510-$AD510,2)=0,"OK","FAIL - out by "&amp;TEXT($AO510+$AP510+$AQ510-$AD510,"$0.00")))</f>
      </c>
    </row>
    <row r="511" spans="1:58" ht="18.75" customHeight="1" x14ac:dyDescent="0.25">
      <c r="A511" s="30" t="inlineStr">
        <is>
          <t xml:space="preserve">CANON-202511-002866</t>
        </is>
      </c>
      <c r="B511" s="30" t="inlineStr">
        <is>
          <t xml:space="preserve">Callum Blackwood</t>
        </is>
      </c>
      <c r="C511" s="31">
        <v>45966</v>
      </c>
      <c r="D511" s="32" t="inlineStr">
        <is>
          <t xml:space="preserve">Bound - within authority</t>
        </is>
      </c>
      <c r="E511" s="32" t="inlineStr">
        <is>
          <t xml:space="preserve">New business</t>
        </is>
      </c>
      <c r="F511" s="30" t="inlineStr">
        <is>
          <t xml:space="preserve">B1234EXOTIC26</t>
        </is>
      </c>
      <c r="G511" s="33">
        <f>IF($A511="","",IF($C511="","",YEAR($C511)))</f>
      </c>
      <c r="H511" s="34">
        <v>1959</v>
      </c>
      <c r="I511" s="30" t="inlineStr">
        <is>
          <t xml:space="preserve">BMW</t>
        </is>
      </c>
      <c r="J511" s="30" t="inlineStr">
        <is>
          <t xml:space="preserve">M8 Competition</t>
        </is>
      </c>
      <c r="K511" s="30" t="inlineStr">
        <is>
          <t xml:space="preserve">NGYHU9DG6D8GB6P3K</t>
        </is>
      </c>
      <c r="L511" s="32" t="inlineStr">
        <is>
          <t xml:space="preserve">02 - Sports / GT</t>
        </is>
      </c>
      <c r="M511" s="35">
        <v>190000</v>
      </c>
      <c r="N511" s="32" t="inlineStr">
        <is>
          <t xml:space="preserve">Personal</t>
        </is>
      </c>
      <c r="O511" s="30" t="inlineStr">
        <is>
          <t xml:space="preserve">Personal - regular use</t>
        </is>
      </c>
      <c r="P511" s="30" t="inlineStr">
        <is>
          <t xml:space="preserve">1,000 - 2,500</t>
        </is>
      </c>
      <c r="Q511" s="30" t="inlineStr">
        <is>
          <t xml:space="preserve">Colorado</t>
        </is>
      </c>
      <c r="R511" s="30" t="inlineStr">
        <is>
          <t xml:space="preserve">80202</t>
        </is>
      </c>
      <c r="S511" s="32" t="inlineStr">
        <is>
          <t xml:space="preserve">Severe convective - hail alley (high)</t>
        </is>
      </c>
      <c r="T511" s="36">
        <f>IF($A511="","",IF($S511="","",IFERROR(INDEX('[1]natural catastrophe'!$D$6:$D$17,MATCH($S511,'[1]natural catastrophe'!$B$6:$B$17,0)),"?")))</f>
      </c>
      <c r="U511" s="30" t="inlineStr">
        <is>
          <t xml:space="preserve">$5,000</t>
        </is>
      </c>
      <c r="V511" s="32" t="inlineStr">
        <is>
          <t xml:space="preserve">Agreed Value</t>
        </is>
      </c>
      <c r="W511" s="30" t="inlineStr">
        <is>
          <t xml:space="preserve">$1,000</t>
        </is>
      </c>
      <c r="X511" s="32" t="inlineStr">
        <is>
          <t xml:space="preserve">$1,000,000 CSL</t>
        </is>
      </c>
      <c r="Y511" s="30"/>
      <c r="Z511" s="30"/>
      <c r="AA511" s="32" t="inlineStr">
        <is>
          <t xml:space="preserve">Surplus Lines</t>
        </is>
      </c>
      <c r="AB511" s="35">
        <v>3335.51</v>
      </c>
      <c r="AC511" s="37">
        <v>0</v>
      </c>
      <c r="AD511" s="38">
        <f>IF(ISNUMBER($AB511),$AB511*(1+N($AC511)),"")</f>
      </c>
      <c r="AE511" s="35">
        <v>350</v>
      </c>
      <c r="AF511" s="35">
        <v>0</v>
      </c>
      <c r="AG511" s="37"/>
      <c r="AH511" s="39">
        <f>IF(ISNUMBER($AD511),($AD511+$AE511+$AF511)*$AG511,"")</f>
      </c>
      <c r="AI511" s="35"/>
      <c r="AJ511" s="38">
        <f>IF(ISNUMBER($AD511),SUM($AD511:$AH511),"")</f>
      </c>
      <c r="AK511" s="40">
        <f>IF(AND(ISNUMBER($AB511),ISNUMBER($AD511)),IF($AB511&gt;0,$AD511/$AB511,""),"")</f>
      </c>
      <c r="AL511" s="32" t="inlineStr">
        <is>
          <t xml:space="preserve">At technical</t>
        </is>
      </c>
      <c r="AM511" s="41">
        <f>IF(ISNUMBER($AD511),Header!$I$3,"")</f>
      </c>
      <c r="AN511" s="39">
        <f>IF(ISNUMBER($AD511),$AO511+$AP511,"")</f>
      </c>
      <c r="AO511" s="39">
        <f>IF(ISNUMBER($AD511),ROUND($AD511*Header!$K$3,2),"")</f>
      </c>
      <c r="AP511" s="39">
        <f>IF(ISNUMBER($AD511),ROUND($AD511*Header!$M$3,2),"")</f>
      </c>
      <c r="AQ511" s="38">
        <f>IF(ISNUMBER($AD511),ROUND($AD511,2)-$AO511-$AP511,"")</f>
      </c>
      <c r="AR511" s="39">
        <f>IF(ISNUMBER($AD511),IF(Header!$D$34="","?",$AD511*Header!$D$34),"")</f>
      </c>
      <c r="AS511" s="39">
        <f>IF(ISNUMBER($AB511),IF(Header!$D$34="","?",$AB511*Header!$D$34),"")</f>
      </c>
      <c r="AT511" s="42">
        <f>IF(AND(ISNUMBER($AB511),$M511&gt;0),$AB511/$M511*100,"")</f>
      </c>
      <c r="AU511" s="42">
        <f>IF(AND(ISNUMBER($AD511),$M511&gt;0),$AD511/$M511*100,"")</f>
      </c>
      <c r="AV511" s="40">
        <f>IF(AND(ISNUMBER($AB511),ISNUMBER($AD511),ABS($AB511)&gt;0),$AD511/$AB511,"")</f>
      </c>
      <c r="AW511" s="39">
        <f>IF(ISNUMBER($AD511),MAX(0,(1-0.55-Header!$O$3)*Header!$Q$3*$AQ511),"")</f>
      </c>
      <c r="AX511" s="43">
        <f>IF($A511="","",IF(TRIM(IF($A511="","Missing certificate ref. ","") &amp; IF($C511="","Missing effective date. ","") &amp; IF($D511="","Missing binding status. ","") &amp; IF($E511="","Missing movement type. ","") &amp; IF($I511="","Missing make. ","") &amp; IF($L511="","Missing vehicle class. ","") &amp; IF($M511="","Missing agreed value. ","") &amp; IF($N511="","Missing policy type. ","") &amp; IF($Q511="","Missing garaging state. ","") &amp; IF($R511="","Missing garaging ZIP. ","") &amp; IF($S511="","Missing cat zone. ","") &amp; IF($V511="","Missing valuation basis. ","") &amp; IF($W511="","Missing PD deductible. ","") &amp; IF($X511="","Missing liability limit. ","") &amp; IF($AB511="","Missing technical premium. ","") &amp; IF($AF511="","Missing surplus lines tax %. ",""))="","PASS","FAIL: "&amp;TRIM(IF($A511="","Missing certificate ref. ","") &amp; IF($C511="","Missing effective date. ","") &amp; IF($D511="","Missing binding status. ","") &amp; IF($E511="","Missing movement type. ","") &amp; IF($I511="","Missing make. ","") &amp; IF($L511="","Missing vehicle class. ","") &amp; IF($M511="","Missing agreed value. ","") &amp; IF($N511="","Missing policy type. ","") &amp; IF($Q511="","Missing garaging state. ","") &amp; IF($R511="","Missing garaging ZIP. ","") &amp; IF($S511="","Missing cat zone. ","") &amp; IF($V511="","Missing valuation basis. ","") &amp; IF($W511="","Missing PD deductible. ","") &amp; IF($X511="","Missing liability limit. ","") &amp; IF($AB511="","Missing technical premium. ","") &amp; IF($AF511="","Missing surplus lines tax %. ",""))))</f>
      </c>
      <c r="AY511" s="44">
        <f>IF($M511="","",IF(ISNUMBER($M511),IF($M511&gt;=Header!$C$18,"YES — refer","No"),""))</f>
      </c>
      <c r="AZ511" s="44">
        <f>IF($AD511="","",IF(ISNUMBER($AD511),IF($AD511&lt;Header!$C$20,"BELOW MIN PREMIUM","OK"),""))</f>
      </c>
      <c r="BA511" s="32" t="inlineStr">
        <is>
          <t xml:space="preserve">Yes</t>
        </is>
      </c>
      <c r="BB511" s="32" t="inlineStr">
        <is>
          <t xml:space="preserve">Yes</t>
        </is>
      </c>
      <c r="BC511" s="30" t="inlineStr">
        <is>
          <t xml:space="preserve">Synthetic demo data</t>
        </is>
      </c>
      <c r="BE511" s="45">
        <f>IF(OR($A511="",$L511="",$H511=""),"",IF(AND(LEFT($L511,2)="06",$H511&gt;1945),"FAIL - pre-war class, year "&amp;$H511,IF(AND(LEFT($L511,2)="07",OR($H511&lt;1946,$H511&gt;1972)),"FAIL - 1946-72 class, year "&amp;$H511,IF(AND(LEFT($L511,2)="08",OR($H511&lt;1973,$H511&gt;1999)),"FAIL - 1973-99 class, year "&amp;$H511,IF(AND(LEFT($L511,2)="09",OR($H511&lt;2000,$H511&gt;2010)),"FAIL - 2000-10 class, year "&amp;$H511,"OK")))))</f>
      </c>
      <c r="BF511" s="45">
        <f>IF($AD511="","",IF(ROUND($AO511+$AP511+$AQ511-$AD511,2)=0,"OK","FAIL - out by "&amp;TEXT($AO511+$AP511+$AQ511-$AD511,"$0.00")))</f>
      </c>
    </row>
    <row r="512" spans="1:58" ht="18.75" customHeight="1" x14ac:dyDescent="0.25">
      <c r="A512" s="46" t="inlineStr">
        <is>
          <t xml:space="preserve">CANON-202511-002867</t>
        </is>
      </c>
      <c r="B512" s="46" t="inlineStr">
        <is>
          <t xml:space="preserve">Thaddeus Merriweather</t>
        </is>
      </c>
      <c r="C512" s="47">
        <v>45977</v>
      </c>
      <c r="D512" s="48" t="inlineStr">
        <is>
          <t xml:space="preserve">Bound - within authority</t>
        </is>
      </c>
      <c r="E512" s="48" t="inlineStr">
        <is>
          <t xml:space="preserve">New business</t>
        </is>
      </c>
      <c r="F512" s="46" t="inlineStr">
        <is>
          <t xml:space="preserve">B1234EXOTIC26</t>
        </is>
      </c>
      <c r="G512" s="33">
        <f>IF($A512="","",IF($C512="","",YEAR($C512)))</f>
      </c>
      <c r="H512" s="49">
        <v>1979</v>
      </c>
      <c r="I512" s="46" t="inlineStr">
        <is>
          <t xml:space="preserve">Lamborghini</t>
        </is>
      </c>
      <c r="J512" s="46" t="inlineStr">
        <is>
          <t xml:space="preserve">Huracan EVO</t>
        </is>
      </c>
      <c r="K512" s="46" t="inlineStr">
        <is>
          <t xml:space="preserve">V7DWJEVSABRLX1Y08</t>
        </is>
      </c>
      <c r="L512" s="48" t="inlineStr">
        <is>
          <t xml:space="preserve">03 - Supercar</t>
        </is>
      </c>
      <c r="M512" s="50">
        <v>1545000</v>
      </c>
      <c r="N512" s="48" t="inlineStr">
        <is>
          <t xml:space="preserve">Personal</t>
        </is>
      </c>
      <c r="O512" s="46" t="inlineStr">
        <is>
          <t xml:space="preserve">Personal - regular use</t>
        </is>
      </c>
      <c r="P512" s="46" t="inlineStr">
        <is>
          <t xml:space="preserve">Under 1,000</t>
        </is>
      </c>
      <c r="Q512" s="46" t="inlineStr">
        <is>
          <t xml:space="preserve">Texas</t>
        </is>
      </c>
      <c r="R512" s="46" t="inlineStr">
        <is>
          <t xml:space="preserve">75201</t>
        </is>
      </c>
      <c r="S512" s="48" t="inlineStr">
        <is>
          <t xml:space="preserve">Tier 2 - Coastal wind (1-25 miles)</t>
        </is>
      </c>
      <c r="T512" s="36">
        <f>IF($A512="","",IF($S512="","",IFERROR(INDEX('[1]natural catastrophe'!$D$6:$D$17,MATCH($S512,'[1]natural catastrophe'!$B$6:$B$17,0)),"?")))</f>
      </c>
      <c r="U512" s="46" t="inlineStr">
        <is>
          <t xml:space="preserve">2% of agreed value, minimum $10,000</t>
        </is>
      </c>
      <c r="V512" s="48" t="inlineStr">
        <is>
          <t xml:space="preserve">Agreed Value</t>
        </is>
      </c>
      <c r="W512" s="46" t="inlineStr">
        <is>
          <t xml:space="preserve">$1,000</t>
        </is>
      </c>
      <c r="X512" s="48" t="inlineStr">
        <is>
          <t xml:space="preserve">$1,000,000 CSL</t>
        </is>
      </c>
      <c r="Y512" s="46"/>
      <c r="Z512" s="46"/>
      <c r="AA512" s="48" t="inlineStr">
        <is>
          <t xml:space="preserve">Surplus Lines</t>
        </is>
      </c>
      <c r="AB512" s="50">
        <v>24657.27</v>
      </c>
      <c r="AC512" s="51">
        <v>0</v>
      </c>
      <c r="AD512" s="38">
        <f>IF(ISNUMBER($AB512),$AB512*(1+N($AC512)),"")</f>
      </c>
      <c r="AE512" s="50">
        <v>350</v>
      </c>
      <c r="AF512" s="50">
        <v>250</v>
      </c>
      <c r="AG512" s="51"/>
      <c r="AH512" s="39">
        <f>IF(ISNUMBER($AD512),($AD512+$AE512+$AF512)*$AG512,"")</f>
      </c>
      <c r="AI512" s="50"/>
      <c r="AJ512" s="38">
        <f>IF(ISNUMBER($AD512),SUM($AD512:$AH512),"")</f>
      </c>
      <c r="AK512" s="40">
        <f>IF(AND(ISNUMBER($AB512),ISNUMBER($AD512)),IF($AB512&gt;0,$AD512/$AB512,""),"")</f>
      </c>
      <c r="AL512" s="48" t="inlineStr">
        <is>
          <t xml:space="preserve">At technical</t>
        </is>
      </c>
      <c r="AM512" s="41">
        <f>IF(ISNUMBER($AD512),Header!$I$3,"")</f>
      </c>
      <c r="AN512" s="39">
        <f>IF(ISNUMBER($AD512),$AO512+$AP512,"")</f>
      </c>
      <c r="AO512" s="39">
        <f>IF(ISNUMBER($AD512),ROUND($AD512*Header!$K$3,2),"")</f>
      </c>
      <c r="AP512" s="39">
        <f>IF(ISNUMBER($AD512),ROUND($AD512*Header!$M$3,2),"")</f>
      </c>
      <c r="AQ512" s="38">
        <f>IF(ISNUMBER($AD512),ROUND($AD512,2)-$AO512-$AP512,"")</f>
      </c>
      <c r="AR512" s="39">
        <f>IF(ISNUMBER($AD512),IF(Header!$D$34="","?",$AD512*Header!$D$34),"")</f>
      </c>
      <c r="AS512" s="39">
        <f>IF(ISNUMBER($AB512),IF(Header!$D$34="","?",$AB512*Header!$D$34),"")</f>
      </c>
      <c r="AT512" s="42">
        <f>IF(AND(ISNUMBER($AB512),$M512&gt;0),$AB512/$M512*100,"")</f>
      </c>
      <c r="AU512" s="42">
        <f>IF(AND(ISNUMBER($AD512),$M512&gt;0),$AD512/$M512*100,"")</f>
      </c>
      <c r="AV512" s="40">
        <f>IF(AND(ISNUMBER($AB512),ISNUMBER($AD512),ABS($AB512)&gt;0),$AD512/$AB512,"")</f>
      </c>
      <c r="AW512" s="39">
        <f>IF(ISNUMBER($AD512),MAX(0,(1-0.55-Header!$O$3)*Header!$Q$3*$AQ512),"")</f>
      </c>
      <c r="AX512" s="43">
        <f>IF($A512="","",IF(TRIM(IF($A512="","Missing certificate ref. ","") &amp; IF($C512="","Missing effective date. ","") &amp; IF($D512="","Missing binding status. ","") &amp; IF($E512="","Missing movement type. ","") &amp; IF($I512="","Missing make. ","") &amp; IF($L512="","Missing vehicle class. ","") &amp; IF($M512="","Missing agreed value. ","") &amp; IF($N512="","Missing policy type. ","") &amp; IF($Q512="","Missing garaging state. ","") &amp; IF($R512="","Missing garaging ZIP. ","") &amp; IF($S512="","Missing cat zone. ","") &amp; IF($V512="","Missing valuation basis. ","") &amp; IF($W512="","Missing PD deductible. ","") &amp; IF($X512="","Missing liability limit. ","") &amp; IF($AB512="","Missing technical premium. ","") &amp; IF($AF512="","Missing surplus lines tax %. ",""))="","PASS","FAIL: "&amp;TRIM(IF($A512="","Missing certificate ref. ","") &amp; IF($C512="","Missing effective date. ","") &amp; IF($D512="","Missing binding status. ","") &amp; IF($E512="","Missing movement type. ","") &amp; IF($I512="","Missing make. ","") &amp; IF($L512="","Missing vehicle class. ","") &amp; IF($M512="","Missing agreed value. ","") &amp; IF($N512="","Missing policy type. ","") &amp; IF($Q512="","Missing garaging state. ","") &amp; IF($R512="","Missing garaging ZIP. ","") &amp; IF($S512="","Missing cat zone. ","") &amp; IF($V512="","Missing valuation basis. ","") &amp; IF($W512="","Missing PD deductible. ","") &amp; IF($X512="","Missing liability limit. ","") &amp; IF($AB512="","Missing technical premium. ","") &amp; IF($AF512="","Missing surplus lines tax %. ",""))))</f>
      </c>
      <c r="AY512" s="44">
        <f>IF($M512="","",IF(ISNUMBER($M512),IF($M512&gt;=Header!$C$18,"YES — refer","No"),""))</f>
      </c>
      <c r="AZ512" s="44">
        <f>IF($AD512="","",IF(ISNUMBER($AD512),IF($AD512&lt;Header!$C$20,"BELOW MIN PREMIUM","OK"),""))</f>
      </c>
      <c r="BA512" s="48" t="inlineStr">
        <is>
          <t xml:space="preserve">Yes</t>
        </is>
      </c>
      <c r="BB512" s="48" t="inlineStr">
        <is>
          <t xml:space="preserve">Yes</t>
        </is>
      </c>
      <c r="BC512" s="46" t="inlineStr">
        <is>
          <t xml:space="preserve">Synthetic demo data</t>
        </is>
      </c>
      <c r="BE512" s="45">
        <f>IF(OR($A512="",$L512="",$H512=""),"",IF(AND(LEFT($L512,2)="06",$H512&gt;1945),"FAIL - pre-war class, year "&amp;$H512,IF(AND(LEFT($L512,2)="07",OR($H512&lt;1946,$H512&gt;1972)),"FAIL - 1946-72 class, year "&amp;$H512,IF(AND(LEFT($L512,2)="08",OR($H512&lt;1973,$H512&gt;1999)),"FAIL - 1973-99 class, year "&amp;$H512,IF(AND(LEFT($L512,2)="09",OR($H512&lt;2000,$H512&gt;2010)),"FAIL - 2000-10 class, year "&amp;$H512,"OK")))))</f>
      </c>
      <c r="BF512" s="45">
        <f>IF($AD512="","",IF(ROUND($AO512+$AP512+$AQ512-$AD512,2)=0,"OK","FAIL - out by "&amp;TEXT($AO512+$AP512+$AQ512-$AD512,"$0.00")))</f>
      </c>
    </row>
    <row r="513" spans="1:58" ht="18.75" customHeight="1" x14ac:dyDescent="0.25">
      <c r="A513" s="30" t="inlineStr">
        <is>
          <t xml:space="preserve">CANON-202511-002869</t>
        </is>
      </c>
      <c r="B513" s="30" t="inlineStr">
        <is>
          <t xml:space="preserve">Anouk Blackwood</t>
        </is>
      </c>
      <c r="C513" s="31">
        <v>45980</v>
      </c>
      <c r="D513" s="32" t="inlineStr">
        <is>
          <t xml:space="preserve">Bound - within authority</t>
        </is>
      </c>
      <c r="E513" s="32" t="inlineStr">
        <is>
          <t xml:space="preserve">New business</t>
        </is>
      </c>
      <c r="F513" s="30" t="inlineStr">
        <is>
          <t xml:space="preserve">B1234EXOTIC26</t>
        </is>
      </c>
      <c r="G513" s="33">
        <f>IF($A513="","",IF($C513="","",YEAR($C513)))</f>
      </c>
      <c r="H513" s="34">
        <v>1988</v>
      </c>
      <c r="I513" s="30" t="inlineStr">
        <is>
          <t xml:space="preserve">Ferrari</t>
        </is>
      </c>
      <c r="J513" s="30" t="inlineStr">
        <is>
          <t xml:space="preserve">296 GTB</t>
        </is>
      </c>
      <c r="K513" s="30" t="inlineStr">
        <is>
          <t xml:space="preserve">RWLN01C4PGPBYZZ7V</t>
        </is>
      </c>
      <c r="L513" s="32" t="inlineStr">
        <is>
          <t xml:space="preserve">03 - Supercar</t>
        </is>
      </c>
      <c r="M513" s="35">
        <v>1015000</v>
      </c>
      <c r="N513" s="32" t="inlineStr">
        <is>
          <t xml:space="preserve">Personal</t>
        </is>
      </c>
      <c r="O513" s="30" t="inlineStr">
        <is>
          <t xml:space="preserve">Personal - regular use</t>
        </is>
      </c>
      <c r="P513" s="30" t="inlineStr">
        <is>
          <t xml:space="preserve">2,500 - 5,000</t>
        </is>
      </c>
      <c r="Q513" s="30" t="inlineStr">
        <is>
          <t xml:space="preserve">Texas</t>
        </is>
      </c>
      <c r="R513" s="30" t="inlineStr">
        <is>
          <t xml:space="preserve">75201</t>
        </is>
      </c>
      <c r="S513" s="32" t="inlineStr">
        <is>
          <t xml:space="preserve">Tier 2 - Coastal wind (1-25 miles)</t>
        </is>
      </c>
      <c r="T513" s="36">
        <f>IF($A513="","",IF($S513="","",IFERROR(INDEX('[1]natural catastrophe'!$D$6:$D$17,MATCH($S513,'[1]natural catastrophe'!$B$6:$B$17,0)),"?")))</f>
      </c>
      <c r="U513" s="30" t="inlineStr">
        <is>
          <t xml:space="preserve">2% of agreed value, minimum $10,000</t>
        </is>
      </c>
      <c r="V513" s="32" t="inlineStr">
        <is>
          <t xml:space="preserve">Agreed Value</t>
        </is>
      </c>
      <c r="W513" s="30" t="inlineStr">
        <is>
          <t xml:space="preserve">$1,000</t>
        </is>
      </c>
      <c r="X513" s="32" t="inlineStr">
        <is>
          <t xml:space="preserve">$1,000,000 CSL</t>
        </is>
      </c>
      <c r="Y513" s="30"/>
      <c r="Z513" s="30"/>
      <c r="AA513" s="32" t="inlineStr">
        <is>
          <t xml:space="preserve">Surplus Lines</t>
        </is>
      </c>
      <c r="AB513" s="35">
        <v>16198.79</v>
      </c>
      <c r="AC513" s="37">
        <v>0</v>
      </c>
      <c r="AD513" s="38">
        <f>IF(ISNUMBER($AB513),$AB513*(1+N($AC513)),"")</f>
      </c>
      <c r="AE513" s="35">
        <v>350</v>
      </c>
      <c r="AF513" s="35">
        <v>250</v>
      </c>
      <c r="AG513" s="37"/>
      <c r="AH513" s="39">
        <f>IF(ISNUMBER($AD513),($AD513+$AE513+$AF513)*$AG513,"")</f>
      </c>
      <c r="AI513" s="35"/>
      <c r="AJ513" s="38">
        <f>IF(ISNUMBER($AD513),SUM($AD513:$AH513),"")</f>
      </c>
      <c r="AK513" s="40">
        <f>IF(AND(ISNUMBER($AB513),ISNUMBER($AD513)),IF($AB513&gt;0,$AD513/$AB513,""),"")</f>
      </c>
      <c r="AL513" s="32" t="inlineStr">
        <is>
          <t xml:space="preserve">At technical</t>
        </is>
      </c>
      <c r="AM513" s="41">
        <f>IF(ISNUMBER($AD513),Header!$I$3,"")</f>
      </c>
      <c r="AN513" s="39">
        <f>IF(ISNUMBER($AD513),$AO513+$AP513,"")</f>
      </c>
      <c r="AO513" s="39">
        <f>IF(ISNUMBER($AD513),ROUND($AD513*Header!$K$3,2),"")</f>
      </c>
      <c r="AP513" s="39">
        <f>IF(ISNUMBER($AD513),ROUND($AD513*Header!$M$3,2),"")</f>
      </c>
      <c r="AQ513" s="38">
        <f>IF(ISNUMBER($AD513),ROUND($AD513,2)-$AO513-$AP513,"")</f>
      </c>
      <c r="AR513" s="39">
        <f>IF(ISNUMBER($AD513),IF(Header!$D$34="","?",$AD513*Header!$D$34),"")</f>
      </c>
      <c r="AS513" s="39">
        <f>IF(ISNUMBER($AB513),IF(Header!$D$34="","?",$AB513*Header!$D$34),"")</f>
      </c>
      <c r="AT513" s="42">
        <f>IF(AND(ISNUMBER($AB513),$M513&gt;0),$AB513/$M513*100,"")</f>
      </c>
      <c r="AU513" s="42">
        <f>IF(AND(ISNUMBER($AD513),$M513&gt;0),$AD513/$M513*100,"")</f>
      </c>
      <c r="AV513" s="40">
        <f>IF(AND(ISNUMBER($AB513),ISNUMBER($AD513),ABS($AB513)&gt;0),$AD513/$AB513,"")</f>
      </c>
      <c r="AW513" s="39">
        <f>IF(ISNUMBER($AD513),MAX(0,(1-0.55-Header!$O$3)*Header!$Q$3*$AQ513),"")</f>
      </c>
      <c r="AX513" s="43">
        <f>IF($A513="","",IF(TRIM(IF($A513="","Missing certificate ref. ","") &amp; IF($C513="","Missing effective date. ","") &amp; IF($D513="","Missing binding status. ","") &amp; IF($E513="","Missing movement type. ","") &amp; IF($I513="","Missing make. ","") &amp; IF($L513="","Missing vehicle class. ","") &amp; IF($M513="","Missing agreed value. ","") &amp; IF($N513="","Missing policy type. ","") &amp; IF($Q513="","Missing garaging state. ","") &amp; IF($R513="","Missing garaging ZIP. ","") &amp; IF($S513="","Missing cat zone. ","") &amp; IF($V513="","Missing valuation basis. ","") &amp; IF($W513="","Missing PD deductible. ","") &amp; IF($X513="","Missing liability limit. ","") &amp; IF($AB513="","Missing technical premium. ","") &amp; IF($AF513="","Missing surplus lines tax %. ",""))="","PASS","FAIL: "&amp;TRIM(IF($A513="","Missing certificate ref. ","") &amp; IF($C513="","Missing effective date. ","") &amp; IF($D513="","Missing binding status. ","") &amp; IF($E513="","Missing movement type. ","") &amp; IF($I513="","Missing make. ","") &amp; IF($L513="","Missing vehicle class. ","") &amp; IF($M513="","Missing agreed value. ","") &amp; IF($N513="","Missing policy type. ","") &amp; IF($Q513="","Missing garaging state. ","") &amp; IF($R513="","Missing garaging ZIP. ","") &amp; IF($S513="","Missing cat zone. ","") &amp; IF($V513="","Missing valuation basis. ","") &amp; IF($W513="","Missing PD deductible. ","") &amp; IF($X513="","Missing liability limit. ","") &amp; IF($AB513="","Missing technical premium. ","") &amp; IF($AF513="","Missing surplus lines tax %. ",""))))</f>
      </c>
      <c r="AY513" s="44">
        <f>IF($M513="","",IF(ISNUMBER($M513),IF($M513&gt;=Header!$C$18,"YES — refer","No"),""))</f>
      </c>
      <c r="AZ513" s="44">
        <f>IF($AD513="","",IF(ISNUMBER($AD513),IF($AD513&lt;Header!$C$20,"BELOW MIN PREMIUM","OK"),""))</f>
      </c>
      <c r="BA513" s="32" t="inlineStr">
        <is>
          <t xml:space="preserve">Yes</t>
        </is>
      </c>
      <c r="BB513" s="32" t="inlineStr">
        <is>
          <t xml:space="preserve">Yes</t>
        </is>
      </c>
      <c r="BC513" s="30" t="inlineStr">
        <is>
          <t xml:space="preserve">Synthetic demo data</t>
        </is>
      </c>
      <c r="BE513" s="45">
        <f>IF(OR($A513="",$L513="",$H513=""),"",IF(AND(LEFT($L513,2)="06",$H513&gt;1945),"FAIL - pre-war class, year "&amp;$H513,IF(AND(LEFT($L513,2)="07",OR($H513&lt;1946,$H513&gt;1972)),"FAIL - 1946-72 class, year "&amp;$H513,IF(AND(LEFT($L513,2)="08",OR($H513&lt;1973,$H513&gt;1999)),"FAIL - 1973-99 class, year "&amp;$H513,IF(AND(LEFT($L513,2)="09",OR($H513&lt;2000,$H513&gt;2010)),"FAIL - 2000-10 class, year "&amp;$H513,"OK")))))</f>
      </c>
      <c r="BF513" s="45">
        <f>IF($AD513="","",IF(ROUND($AO513+$AP513+$AQ513-$AD513,2)=0,"OK","FAIL - out by "&amp;TEXT($AO513+$AP513+$AQ513-$AD513,"$0.00")))</f>
      </c>
    </row>
    <row r="514" spans="1:58" ht="18.75" customHeight="1" x14ac:dyDescent="0.25">
      <c r="A514" s="46" t="inlineStr">
        <is>
          <t xml:space="preserve">CANON-202511-002870</t>
        </is>
      </c>
      <c r="B514" s="46" t="inlineStr">
        <is>
          <t xml:space="preserve">Desmond Rourke</t>
        </is>
      </c>
      <c r="C514" s="47">
        <v>45962</v>
      </c>
      <c r="D514" s="48" t="inlineStr">
        <is>
          <t xml:space="preserve">Bound - within authority</t>
        </is>
      </c>
      <c r="E514" s="48" t="inlineStr">
        <is>
          <t xml:space="preserve">New business</t>
        </is>
      </c>
      <c r="F514" s="46" t="inlineStr">
        <is>
          <t xml:space="preserve">B1234EXOTIC26</t>
        </is>
      </c>
      <c r="G514" s="33">
        <f>IF($A514="","",IF($C514="","",YEAR($C514)))</f>
      </c>
      <c r="H514" s="49">
        <v>2003</v>
      </c>
      <c r="I514" s="46" t="inlineStr">
        <is>
          <t xml:space="preserve">Porsche</t>
        </is>
      </c>
      <c r="J514" s="46" t="inlineStr">
        <is>
          <t xml:space="preserve">911 Turbo S</t>
        </is>
      </c>
      <c r="K514" s="46" t="inlineStr">
        <is>
          <t xml:space="preserve">CUVM10ZU6TKTA438Y</t>
        </is>
      </c>
      <c r="L514" s="48" t="inlineStr">
        <is>
          <t xml:space="preserve">02 - Sports / GT</t>
        </is>
      </c>
      <c r="M514" s="50">
        <v>275000</v>
      </c>
      <c r="N514" s="48" t="inlineStr">
        <is>
          <t xml:space="preserve">Personal</t>
        </is>
      </c>
      <c r="O514" s="46" t="inlineStr">
        <is>
          <t xml:space="preserve">Personal - regular use</t>
        </is>
      </c>
      <c r="P514" s="46" t="inlineStr">
        <is>
          <t xml:space="preserve">2,500 - 5,000</t>
        </is>
      </c>
      <c r="Q514" s="46" t="inlineStr">
        <is>
          <t xml:space="preserve">Colorado</t>
        </is>
      </c>
      <c r="R514" s="46" t="inlineStr">
        <is>
          <t xml:space="preserve">80202</t>
        </is>
      </c>
      <c r="S514" s="48" t="inlineStr">
        <is>
          <t xml:space="preserve">Severe convective - hail alley (high)</t>
        </is>
      </c>
      <c r="T514" s="36">
        <f>IF($A514="","",IF($S514="","",IFERROR(INDEX('[1]natural catastrophe'!$D$6:$D$17,MATCH($S514,'[1]natural catastrophe'!$B$6:$B$17,0)),"?")))</f>
      </c>
      <c r="U514" s="46" t="inlineStr">
        <is>
          <t xml:space="preserve">$5,000</t>
        </is>
      </c>
      <c r="V514" s="48" t="inlineStr">
        <is>
          <t xml:space="preserve">Agreed Value</t>
        </is>
      </c>
      <c r="W514" s="46" t="inlineStr">
        <is>
          <t xml:space="preserve">$1,000</t>
        </is>
      </c>
      <c r="X514" s="48" t="inlineStr">
        <is>
          <t xml:space="preserve">$1,000,000 CSL</t>
        </is>
      </c>
      <c r="Y514" s="46"/>
      <c r="Z514" s="46"/>
      <c r="AA514" s="48" t="inlineStr">
        <is>
          <t xml:space="preserve">Surplus Lines</t>
        </is>
      </c>
      <c r="AB514" s="50">
        <v>3935.64</v>
      </c>
      <c r="AC514" s="51">
        <v>0</v>
      </c>
      <c r="AD514" s="38">
        <f>IF(ISNUMBER($AB514),$AB514*(1+N($AC514)),"")</f>
      </c>
      <c r="AE514" s="50">
        <v>350</v>
      </c>
      <c r="AF514" s="50">
        <v>0</v>
      </c>
      <c r="AG514" s="51"/>
      <c r="AH514" s="39">
        <f>IF(ISNUMBER($AD514),($AD514+$AE514+$AF514)*$AG514,"")</f>
      </c>
      <c r="AI514" s="50"/>
      <c r="AJ514" s="38">
        <f>IF(ISNUMBER($AD514),SUM($AD514:$AH514),"")</f>
      </c>
      <c r="AK514" s="40">
        <f>IF(AND(ISNUMBER($AB514),ISNUMBER($AD514)),IF($AB514&gt;0,$AD514/$AB514,""),"")</f>
      </c>
      <c r="AL514" s="48" t="inlineStr">
        <is>
          <t xml:space="preserve">At technical</t>
        </is>
      </c>
      <c r="AM514" s="41">
        <f>IF(ISNUMBER($AD514),Header!$I$3,"")</f>
      </c>
      <c r="AN514" s="39">
        <f>IF(ISNUMBER($AD514),$AO514+$AP514,"")</f>
      </c>
      <c r="AO514" s="39">
        <f>IF(ISNUMBER($AD514),ROUND($AD514*Header!$K$3,2),"")</f>
      </c>
      <c r="AP514" s="39">
        <f>IF(ISNUMBER($AD514),ROUND($AD514*Header!$M$3,2),"")</f>
      </c>
      <c r="AQ514" s="38">
        <f>IF(ISNUMBER($AD514),ROUND($AD514,2)-$AO514-$AP514,"")</f>
      </c>
      <c r="AR514" s="39">
        <f>IF(ISNUMBER($AD514),IF(Header!$D$34="","?",$AD514*Header!$D$34),"")</f>
      </c>
      <c r="AS514" s="39">
        <f>IF(ISNUMBER($AB514),IF(Header!$D$34="","?",$AB514*Header!$D$34),"")</f>
      </c>
      <c r="AT514" s="42">
        <f>IF(AND(ISNUMBER($AB514),$M514&gt;0),$AB514/$M514*100,"")</f>
      </c>
      <c r="AU514" s="42">
        <f>IF(AND(ISNUMBER($AD514),$M514&gt;0),$AD514/$M514*100,"")</f>
      </c>
      <c r="AV514" s="40">
        <f>IF(AND(ISNUMBER($AB514),ISNUMBER($AD514),ABS($AB514)&gt;0),$AD514/$AB514,"")</f>
      </c>
      <c r="AW514" s="39">
        <f>IF(ISNUMBER($AD514),MAX(0,(1-0.55-Header!$O$3)*Header!$Q$3*$AQ514),"")</f>
      </c>
      <c r="AX514" s="43">
        <f>IF($A514="","",IF(TRIM(IF($A514="","Missing certificate ref. ","") &amp; IF($C514="","Missing effective date. ","") &amp; IF($D514="","Missing binding status. ","") &amp; IF($E514="","Missing movement type. ","") &amp; IF($I514="","Missing make. ","") &amp; IF($L514="","Missing vehicle class. ","") &amp; IF($M514="","Missing agreed value. ","") &amp; IF($N514="","Missing policy type. ","") &amp; IF($Q514="","Missing garaging state. ","") &amp; IF($R514="","Missing garaging ZIP. ","") &amp; IF($S514="","Missing cat zone. ","") &amp; IF($V514="","Missing valuation basis. ","") &amp; IF($W514="","Missing PD deductible. ","") &amp; IF($X514="","Missing liability limit. ","") &amp; IF($AB514="","Missing technical premium. ","") &amp; IF($AF514="","Missing surplus lines tax %. ",""))="","PASS","FAIL: "&amp;TRIM(IF($A514="","Missing certificate ref. ","") &amp; IF($C514="","Missing effective date. ","") &amp; IF($D514="","Missing binding status. ","") &amp; IF($E514="","Missing movement type. ","") &amp; IF($I514="","Missing make. ","") &amp; IF($L514="","Missing vehicle class. ","") &amp; IF($M514="","Missing agreed value. ","") &amp; IF($N514="","Missing policy type. ","") &amp; IF($Q514="","Missing garaging state. ","") &amp; IF($R514="","Missing garaging ZIP. ","") &amp; IF($S514="","Missing cat zone. ","") &amp; IF($V514="","Missing valuation basis. ","") &amp; IF($W514="","Missing PD deductible. ","") &amp; IF($X514="","Missing liability limit. ","") &amp; IF($AB514="","Missing technical premium. ","") &amp; IF($AF514="","Missing surplus lines tax %. ",""))))</f>
      </c>
      <c r="AY514" s="44">
        <f>IF($M514="","",IF(ISNUMBER($M514),IF($M514&gt;=Header!$C$18,"YES — refer","No"),""))</f>
      </c>
      <c r="AZ514" s="44">
        <f>IF($AD514="","",IF(ISNUMBER($AD514),IF($AD514&lt;Header!$C$20,"BELOW MIN PREMIUM","OK"),""))</f>
      </c>
      <c r="BA514" s="48" t="inlineStr">
        <is>
          <t xml:space="preserve">Yes</t>
        </is>
      </c>
      <c r="BB514" s="48" t="inlineStr">
        <is>
          <t xml:space="preserve">Yes</t>
        </is>
      </c>
      <c r="BC514" s="46" t="inlineStr">
        <is>
          <t xml:space="preserve">Synthetic demo data</t>
        </is>
      </c>
      <c r="BE514" s="45">
        <f>IF(OR($A514="",$L514="",$H514=""),"",IF(AND(LEFT($L514,2)="06",$H514&gt;1945),"FAIL - pre-war class, year "&amp;$H514,IF(AND(LEFT($L514,2)="07",OR($H514&lt;1946,$H514&gt;1972)),"FAIL - 1946-72 class, year "&amp;$H514,IF(AND(LEFT($L514,2)="08",OR($H514&lt;1973,$H514&gt;1999)),"FAIL - 1973-99 class, year "&amp;$H514,IF(AND(LEFT($L514,2)="09",OR($H514&lt;2000,$H514&gt;2010)),"FAIL - 2000-10 class, year "&amp;$H514,"OK")))))</f>
      </c>
      <c r="BF514" s="45">
        <f>IF($AD514="","",IF(ROUND($AO514+$AP514+$AQ514-$AD514,2)=0,"OK","FAIL - out by "&amp;TEXT($AO514+$AP514+$AQ514-$AD514,"$0.00")))</f>
      </c>
    </row>
    <row r="515" spans="1:58" ht="18.75" customHeight="1" x14ac:dyDescent="0.25">
      <c r="A515" s="30" t="inlineStr">
        <is>
          <t xml:space="preserve">CANON-202511-002871</t>
        </is>
      </c>
      <c r="B515" s="30" t="inlineStr">
        <is>
          <t xml:space="preserve">Noor Fairweather</t>
        </is>
      </c>
      <c r="C515" s="31">
        <v>45971</v>
      </c>
      <c r="D515" s="32" t="inlineStr">
        <is>
          <t xml:space="preserve">Bound - within authority</t>
        </is>
      </c>
      <c r="E515" s="32" t="inlineStr">
        <is>
          <t xml:space="preserve">New business</t>
        </is>
      </c>
      <c r="F515" s="30" t="inlineStr">
        <is>
          <t xml:space="preserve">B1234EXOTIC26</t>
        </is>
      </c>
      <c r="G515" s="33">
        <f>IF($A515="","",IF($C515="","",YEAR($C515)))</f>
      </c>
      <c r="H515" s="34">
        <v>1960</v>
      </c>
      <c r="I515" s="30" t="inlineStr">
        <is>
          <t xml:space="preserve">Mercedes-Benz</t>
        </is>
      </c>
      <c r="J515" s="30" t="inlineStr">
        <is>
          <t xml:space="preserve">AMG GT</t>
        </is>
      </c>
      <c r="K515" s="30" t="inlineStr">
        <is>
          <t xml:space="preserve">GKHV0F1L0F5RWPRRN</t>
        </is>
      </c>
      <c r="L515" s="32" t="inlineStr">
        <is>
          <t xml:space="preserve">02 - Sports / GT</t>
        </is>
      </c>
      <c r="M515" s="35">
        <v>1015000</v>
      </c>
      <c r="N515" s="32" t="inlineStr">
        <is>
          <t xml:space="preserve">Personal</t>
        </is>
      </c>
      <c r="O515" s="30" t="inlineStr">
        <is>
          <t xml:space="preserve">Personal - regular use</t>
        </is>
      </c>
      <c r="P515" s="30" t="inlineStr">
        <is>
          <t xml:space="preserve">Under 1,000</t>
        </is>
      </c>
      <c r="Q515" s="30" t="inlineStr">
        <is>
          <t xml:space="preserve">West Virginia</t>
        </is>
      </c>
      <c r="R515" s="30" t="inlineStr">
        <is>
          <t xml:space="preserve">25301</t>
        </is>
      </c>
      <c r="S515" s="32" t="inlineStr">
        <is>
          <t xml:space="preserve">Low hazard - inland benign</t>
        </is>
      </c>
      <c r="T515" s="36">
        <f>IF($A515="","",IF($S515="","",IFERROR(INDEX('[1]natural catastrophe'!$D$6:$D$17,MATCH($S515,'[1]natural catastrophe'!$B$6:$B$17,0)),"?")))</f>
      </c>
      <c r="U515" s="30" t="inlineStr">
        <is>
          <t xml:space="preserve">$5,000</t>
        </is>
      </c>
      <c r="V515" s="32" t="inlineStr">
        <is>
          <t xml:space="preserve">Agreed Value</t>
        </is>
      </c>
      <c r="W515" s="30" t="inlineStr">
        <is>
          <t xml:space="preserve">$1,000</t>
        </is>
      </c>
      <c r="X515" s="32" t="inlineStr">
        <is>
          <t xml:space="preserve">$1,000,000 CSL</t>
        </is>
      </c>
      <c r="Y515" s="30"/>
      <c r="Z515" s="30"/>
      <c r="AA515" s="32" t="inlineStr">
        <is>
          <t xml:space="preserve">Surplus Lines</t>
        </is>
      </c>
      <c r="AB515" s="35">
        <v>12879.8</v>
      </c>
      <c r="AC515" s="37">
        <v>0</v>
      </c>
      <c r="AD515" s="38">
        <f>IF(ISNUMBER($AB515),$AB515*(1+N($AC515)),"")</f>
      </c>
      <c r="AE515" s="35">
        <v>350</v>
      </c>
      <c r="AF515" s="35">
        <v>250</v>
      </c>
      <c r="AG515" s="37"/>
      <c r="AH515" s="39">
        <f>IF(ISNUMBER($AD515),($AD515+$AE515+$AF515)*$AG515,"")</f>
      </c>
      <c r="AI515" s="35"/>
      <c r="AJ515" s="38">
        <f>IF(ISNUMBER($AD515),SUM($AD515:$AH515),"")</f>
      </c>
      <c r="AK515" s="40">
        <f>IF(AND(ISNUMBER($AB515),ISNUMBER($AD515)),IF($AB515&gt;0,$AD515/$AB515,""),"")</f>
      </c>
      <c r="AL515" s="32" t="inlineStr">
        <is>
          <t xml:space="preserve">At technical</t>
        </is>
      </c>
      <c r="AM515" s="41">
        <f>IF(ISNUMBER($AD515),Header!$I$3,"")</f>
      </c>
      <c r="AN515" s="39">
        <f>IF(ISNUMBER($AD515),$AO515+$AP515,"")</f>
      </c>
      <c r="AO515" s="39">
        <f>IF(ISNUMBER($AD515),ROUND($AD515*Header!$K$3,2),"")</f>
      </c>
      <c r="AP515" s="39">
        <f>IF(ISNUMBER($AD515),ROUND($AD515*Header!$M$3,2),"")</f>
      </c>
      <c r="AQ515" s="38">
        <f>IF(ISNUMBER($AD515),ROUND($AD515,2)-$AO515-$AP515,"")</f>
      </c>
      <c r="AR515" s="39">
        <f>IF(ISNUMBER($AD515),IF(Header!$D$34="","?",$AD515*Header!$D$34),"")</f>
      </c>
      <c r="AS515" s="39">
        <f>IF(ISNUMBER($AB515),IF(Header!$D$34="","?",$AB515*Header!$D$34),"")</f>
      </c>
      <c r="AT515" s="42">
        <f>IF(AND(ISNUMBER($AB515),$M515&gt;0),$AB515/$M515*100,"")</f>
      </c>
      <c r="AU515" s="42">
        <f>IF(AND(ISNUMBER($AD515),$M515&gt;0),$AD515/$M515*100,"")</f>
      </c>
      <c r="AV515" s="40">
        <f>IF(AND(ISNUMBER($AB515),ISNUMBER($AD515),ABS($AB515)&gt;0),$AD515/$AB515,"")</f>
      </c>
      <c r="AW515" s="39">
        <f>IF(ISNUMBER($AD515),MAX(0,(1-0.55-Header!$O$3)*Header!$Q$3*$AQ515),"")</f>
      </c>
      <c r="AX515" s="43">
        <f>IF($A515="","",IF(TRIM(IF($A515="","Missing certificate ref. ","") &amp; IF($C515="","Missing effective date. ","") &amp; IF($D515="","Missing binding status. ","") &amp; IF($E515="","Missing movement type. ","") &amp; IF($I515="","Missing make. ","") &amp; IF($L515="","Missing vehicle class. ","") &amp; IF($M515="","Missing agreed value. ","") &amp; IF($N515="","Missing policy type. ","") &amp; IF($Q515="","Missing garaging state. ","") &amp; IF($R515="","Missing garaging ZIP. ","") &amp; IF($S515="","Missing cat zone. ","") &amp; IF($V515="","Missing valuation basis. ","") &amp; IF($W515="","Missing PD deductible. ","") &amp; IF($X515="","Missing liability limit. ","") &amp; IF($AB515="","Missing technical premium. ","") &amp; IF($AF515="","Missing surplus lines tax %. ",""))="","PASS","FAIL: "&amp;TRIM(IF($A515="","Missing certificate ref. ","") &amp; IF($C515="","Missing effective date. ","") &amp; IF($D515="","Missing binding status. ","") &amp; IF($E515="","Missing movement type. ","") &amp; IF($I515="","Missing make. ","") &amp; IF($L515="","Missing vehicle class. ","") &amp; IF($M515="","Missing agreed value. ","") &amp; IF($N515="","Missing policy type. ","") &amp; IF($Q515="","Missing garaging state. ","") &amp; IF($R515="","Missing garaging ZIP. ","") &amp; IF($S515="","Missing cat zone. ","") &amp; IF($V515="","Missing valuation basis. ","") &amp; IF($W515="","Missing PD deductible. ","") &amp; IF($X515="","Missing liability limit. ","") &amp; IF($AB515="","Missing technical premium. ","") &amp; IF($AF515="","Missing surplus lines tax %. ",""))))</f>
      </c>
      <c r="AY515" s="44">
        <f>IF($M515="","",IF(ISNUMBER($M515),IF($M515&gt;=Header!$C$18,"YES — refer","No"),""))</f>
      </c>
      <c r="AZ515" s="44">
        <f>IF($AD515="","",IF(ISNUMBER($AD515),IF($AD515&lt;Header!$C$20,"BELOW MIN PREMIUM","OK"),""))</f>
      </c>
      <c r="BA515" s="32" t="inlineStr">
        <is>
          <t xml:space="preserve">Yes</t>
        </is>
      </c>
      <c r="BB515" s="32" t="inlineStr">
        <is>
          <t xml:space="preserve">Yes</t>
        </is>
      </c>
      <c r="BC515" s="30" t="inlineStr">
        <is>
          <t xml:space="preserve">Synthetic demo data</t>
        </is>
      </c>
      <c r="BE515" s="45">
        <f>IF(OR($A515="",$L515="",$H515=""),"",IF(AND(LEFT($L515,2)="06",$H515&gt;1945),"FAIL - pre-war class, year "&amp;$H515,IF(AND(LEFT($L515,2)="07",OR($H515&lt;1946,$H515&gt;1972)),"FAIL - 1946-72 class, year "&amp;$H515,IF(AND(LEFT($L515,2)="08",OR($H515&lt;1973,$H515&gt;1999)),"FAIL - 1973-99 class, year "&amp;$H515,IF(AND(LEFT($L515,2)="09",OR($H515&lt;2000,$H515&gt;2010)),"FAIL - 2000-10 class, year "&amp;$H515,"OK")))))</f>
      </c>
      <c r="BF515" s="45">
        <f>IF($AD515="","",IF(ROUND($AO515+$AP515+$AQ515-$AD515,2)=0,"OK","FAIL - out by "&amp;TEXT($AO515+$AP515+$AQ515-$AD515,"$0.00")))</f>
      </c>
    </row>
    <row r="516" spans="1:58" ht="18.75" customHeight="1" x14ac:dyDescent="0.25">
      <c r="A516" s="46" t="inlineStr">
        <is>
          <t xml:space="preserve">CANON-202511-002872</t>
        </is>
      </c>
      <c r="B516" s="46" t="inlineStr">
        <is>
          <t xml:space="preserve">Priya Vasquez</t>
        </is>
      </c>
      <c r="C516" s="47">
        <v>45976</v>
      </c>
      <c r="D516" s="48" t="inlineStr">
        <is>
          <t xml:space="preserve">Bound - within authority</t>
        </is>
      </c>
      <c r="E516" s="48" t="inlineStr">
        <is>
          <t xml:space="preserve">New business</t>
        </is>
      </c>
      <c r="F516" s="46" t="inlineStr">
        <is>
          <t xml:space="preserve">B1234EXOTIC26</t>
        </is>
      </c>
      <c r="G516" s="33">
        <f>IF($A516="","",IF($C516="","",YEAR($C516)))</f>
      </c>
      <c r="H516" s="49">
        <v>1967</v>
      </c>
      <c r="I516" s="46" t="inlineStr">
        <is>
          <t xml:space="preserve">Alfa Romeo</t>
        </is>
      </c>
      <c r="J516" s="46" t="inlineStr">
        <is>
          <t xml:space="preserve">8C 2900</t>
        </is>
      </c>
      <c r="K516" s="46" t="inlineStr">
        <is>
          <t xml:space="preserve">Y5Y1KW7YDT1JBWW9Y</t>
        </is>
      </c>
      <c r="L516" s="48" t="inlineStr">
        <is>
          <t xml:space="preserve">07 - Post-War Classic (1946-1972)</t>
        </is>
      </c>
      <c r="M516" s="50">
        <v>1625000</v>
      </c>
      <c r="N516" s="48" t="inlineStr">
        <is>
          <t xml:space="preserve">Personal</t>
        </is>
      </c>
      <c r="O516" s="46" t="inlineStr">
        <is>
          <t xml:space="preserve">Personal - regular use</t>
        </is>
      </c>
      <c r="P516" s="46" t="inlineStr">
        <is>
          <t xml:space="preserve">1,000 - 2,500</t>
        </is>
      </c>
      <c r="Q516" s="46" t="inlineStr">
        <is>
          <t xml:space="preserve">New Hampshire</t>
        </is>
      </c>
      <c r="R516" s="46" t="inlineStr">
        <is>
          <t xml:space="preserve">03301</t>
        </is>
      </c>
      <c r="S516" s="48" t="inlineStr">
        <is>
          <t xml:space="preserve">Tier 3 - Coastal wind (25-100 miles)</t>
        </is>
      </c>
      <c r="T516" s="36">
        <f>IF($A516="","",IF($S516="","",IFERROR(INDEX('[1]natural catastrophe'!$D$6:$D$17,MATCH($S516,'[1]natural catastrophe'!$B$6:$B$17,0)),"?")))</f>
      </c>
      <c r="U516" s="46" t="inlineStr">
        <is>
          <t xml:space="preserve">2% of agreed value, minimum $10,000</t>
        </is>
      </c>
      <c r="V516" s="48" t="inlineStr">
        <is>
          <t xml:space="preserve">Agreed Value</t>
        </is>
      </c>
      <c r="W516" s="46" t="inlineStr">
        <is>
          <t xml:space="preserve">$1,000</t>
        </is>
      </c>
      <c r="X516" s="48" t="inlineStr">
        <is>
          <t xml:space="preserve">$1,000,000 CSL</t>
        </is>
      </c>
      <c r="Y516" s="46"/>
      <c r="Z516" s="46"/>
      <c r="AA516" s="48" t="inlineStr">
        <is>
          <t xml:space="preserve">Surplus Lines</t>
        </is>
      </c>
      <c r="AB516" s="50">
        <v>9967.68</v>
      </c>
      <c r="AC516" s="51">
        <v>0</v>
      </c>
      <c r="AD516" s="38">
        <f>IF(ISNUMBER($AB516),$AB516*(1+N($AC516)),"")</f>
      </c>
      <c r="AE516" s="50">
        <v>350</v>
      </c>
      <c r="AF516" s="50">
        <v>250</v>
      </c>
      <c r="AG516" s="51"/>
      <c r="AH516" s="39">
        <f>IF(ISNUMBER($AD516),($AD516+$AE516+$AF516)*$AG516,"")</f>
      </c>
      <c r="AI516" s="50"/>
      <c r="AJ516" s="38">
        <f>IF(ISNUMBER($AD516),SUM($AD516:$AH516),"")</f>
      </c>
      <c r="AK516" s="40">
        <f>IF(AND(ISNUMBER($AB516),ISNUMBER($AD516)),IF($AB516&gt;0,$AD516/$AB516,""),"")</f>
      </c>
      <c r="AL516" s="48" t="inlineStr">
        <is>
          <t xml:space="preserve">At technical</t>
        </is>
      </c>
      <c r="AM516" s="41">
        <f>IF(ISNUMBER($AD516),Header!$I$3,"")</f>
      </c>
      <c r="AN516" s="39">
        <f>IF(ISNUMBER($AD516),$AO516+$AP516,"")</f>
      </c>
      <c r="AO516" s="39">
        <f>IF(ISNUMBER($AD516),ROUND($AD516*Header!$K$3,2),"")</f>
      </c>
      <c r="AP516" s="39">
        <f>IF(ISNUMBER($AD516),ROUND($AD516*Header!$M$3,2),"")</f>
      </c>
      <c r="AQ516" s="38">
        <f>IF(ISNUMBER($AD516),ROUND($AD516,2)-$AO516-$AP516,"")</f>
      </c>
      <c r="AR516" s="39">
        <f>IF(ISNUMBER($AD516),IF(Header!$D$34="","?",$AD516*Header!$D$34),"")</f>
      </c>
      <c r="AS516" s="39">
        <f>IF(ISNUMBER($AB516),IF(Header!$D$34="","?",$AB516*Header!$D$34),"")</f>
      </c>
      <c r="AT516" s="42">
        <f>IF(AND(ISNUMBER($AB516),$M516&gt;0),$AB516/$M516*100,"")</f>
      </c>
      <c r="AU516" s="42">
        <f>IF(AND(ISNUMBER($AD516),$M516&gt;0),$AD516/$M516*100,"")</f>
      </c>
      <c r="AV516" s="40">
        <f>IF(AND(ISNUMBER($AB516),ISNUMBER($AD516),ABS($AB516)&gt;0),$AD516/$AB516,"")</f>
      </c>
      <c r="AW516" s="39">
        <f>IF(ISNUMBER($AD516),MAX(0,(1-0.55-Header!$O$3)*Header!$Q$3*$AQ516),"")</f>
      </c>
      <c r="AX516" s="43">
        <f>IF($A516="","",IF(TRIM(IF($A516="","Missing certificate ref. ","") &amp; IF($C516="","Missing effective date. ","") &amp; IF($D516="","Missing binding status. ","") &amp; IF($E516="","Missing movement type. ","") &amp; IF($I516="","Missing make. ","") &amp; IF($L516="","Missing vehicle class. ","") &amp; IF($M516="","Missing agreed value. ","") &amp; IF($N516="","Missing policy type. ","") &amp; IF($Q516="","Missing garaging state. ","") &amp; IF($R516="","Missing garaging ZIP. ","") &amp; IF($S516="","Missing cat zone. ","") &amp; IF($V516="","Missing valuation basis. ","") &amp; IF($W516="","Missing PD deductible. ","") &amp; IF($X516="","Missing liability limit. ","") &amp; IF($AB516="","Missing technical premium. ","") &amp; IF($AF516="","Missing surplus lines tax %. ",""))="","PASS","FAIL: "&amp;TRIM(IF($A516="","Missing certificate ref. ","") &amp; IF($C516="","Missing effective date. ","") &amp; IF($D516="","Missing binding status. ","") &amp; IF($E516="","Missing movement type. ","") &amp; IF($I516="","Missing make. ","") &amp; IF($L516="","Missing vehicle class. ","") &amp; IF($M516="","Missing agreed value. ","") &amp; IF($N516="","Missing policy type. ","") &amp; IF($Q516="","Missing garaging state. ","") &amp; IF($R516="","Missing garaging ZIP. ","") &amp; IF($S516="","Missing cat zone. ","") &amp; IF($V516="","Missing valuation basis. ","") &amp; IF($W516="","Missing PD deductible. ","") &amp; IF($X516="","Missing liability limit. ","") &amp; IF($AB516="","Missing technical premium. ","") &amp; IF($AF516="","Missing surplus lines tax %. ",""))))</f>
      </c>
      <c r="AY516" s="44">
        <f>IF($M516="","",IF(ISNUMBER($M516),IF($M516&gt;=Header!$C$18,"YES — refer","No"),""))</f>
      </c>
      <c r="AZ516" s="44">
        <f>IF($AD516="","",IF(ISNUMBER($AD516),IF($AD516&lt;Header!$C$20,"BELOW MIN PREMIUM","OK"),""))</f>
      </c>
      <c r="BA516" s="48" t="inlineStr">
        <is>
          <t xml:space="preserve">Yes</t>
        </is>
      </c>
      <c r="BB516" s="48" t="inlineStr">
        <is>
          <t xml:space="preserve">Yes</t>
        </is>
      </c>
      <c r="BC516" s="46" t="inlineStr">
        <is>
          <t xml:space="preserve">Synthetic demo data</t>
        </is>
      </c>
      <c r="BE516" s="45">
        <f>IF(OR($A516="",$L516="",$H516=""),"",IF(AND(LEFT($L516,2)="06",$H516&gt;1945),"FAIL - pre-war class, year "&amp;$H516,IF(AND(LEFT($L516,2)="07",OR($H516&lt;1946,$H516&gt;1972)),"FAIL - 1946-72 class, year "&amp;$H516,IF(AND(LEFT($L516,2)="08",OR($H516&lt;1973,$H516&gt;1999)),"FAIL - 1973-99 class, year "&amp;$H516,IF(AND(LEFT($L516,2)="09",OR($H516&lt;2000,$H516&gt;2010)),"FAIL - 2000-10 class, year "&amp;$H516,"OK")))))</f>
      </c>
      <c r="BF516" s="45">
        <f>IF($AD516="","",IF(ROUND($AO516+$AP516+$AQ516-$AD516,2)=0,"OK","FAIL - out by "&amp;TEXT($AO516+$AP516+$AQ516-$AD516,"$0.00")))</f>
      </c>
    </row>
    <row r="517" spans="1:58" ht="18.75" customHeight="1" x14ac:dyDescent="0.25">
      <c r="A517" s="30" t="inlineStr">
        <is>
          <t xml:space="preserve">CANON-202511-002875</t>
        </is>
      </c>
      <c r="B517" s="30" t="inlineStr">
        <is>
          <t xml:space="preserve">Mireille Nakashima</t>
        </is>
      </c>
      <c r="C517" s="31">
        <v>45985</v>
      </c>
      <c r="D517" s="32" t="inlineStr">
        <is>
          <t xml:space="preserve">Bound - within authority</t>
        </is>
      </c>
      <c r="E517" s="32" t="inlineStr">
        <is>
          <t xml:space="preserve">New business</t>
        </is>
      </c>
      <c r="F517" s="30" t="inlineStr">
        <is>
          <t xml:space="preserve">B1234EXOTIC26</t>
        </is>
      </c>
      <c r="G517" s="33">
        <f>IF($A517="","",IF($C517="","",YEAR($C517)))</f>
      </c>
      <c r="H517" s="34">
        <v>1977</v>
      </c>
      <c r="I517" s="30" t="inlineStr">
        <is>
          <t xml:space="preserve">Aston Martin</t>
        </is>
      </c>
      <c r="J517" s="30" t="inlineStr">
        <is>
          <t xml:space="preserve">DB12</t>
        </is>
      </c>
      <c r="K517" s="30" t="inlineStr">
        <is>
          <t xml:space="preserve">AJUGDUF7F10GU7MWK</t>
        </is>
      </c>
      <c r="L517" s="32" t="inlineStr">
        <is>
          <t xml:space="preserve">02 - Sports / GT</t>
        </is>
      </c>
      <c r="M517" s="35">
        <v>1465000</v>
      </c>
      <c r="N517" s="32" t="inlineStr">
        <is>
          <t xml:space="preserve">Personal</t>
        </is>
      </c>
      <c r="O517" s="30" t="inlineStr">
        <is>
          <t xml:space="preserve">Personal - regular use</t>
        </is>
      </c>
      <c r="P517" s="30" t="inlineStr">
        <is>
          <t xml:space="preserve">1,000 - 2,500</t>
        </is>
      </c>
      <c r="Q517" s="30" t="inlineStr">
        <is>
          <t xml:space="preserve">Delaware</t>
        </is>
      </c>
      <c r="R517" s="30" t="inlineStr">
        <is>
          <t xml:space="preserve">19801</t>
        </is>
      </c>
      <c r="S517" s="32" t="inlineStr">
        <is>
          <t xml:space="preserve">Tier 3 - Coastal wind (25-100 miles)</t>
        </is>
      </c>
      <c r="T517" s="36">
        <f>IF($A517="","",IF($S517="","",IFERROR(INDEX('[1]natural catastrophe'!$D$6:$D$17,MATCH($S517,'[1]natural catastrophe'!$B$6:$B$17,0)),"?")))</f>
      </c>
      <c r="U517" s="30" t="inlineStr">
        <is>
          <t xml:space="preserve">2% of agreed value, minimum $10,000</t>
        </is>
      </c>
      <c r="V517" s="32" t="inlineStr">
        <is>
          <t xml:space="preserve">Agreed Value</t>
        </is>
      </c>
      <c r="W517" s="30" t="inlineStr">
        <is>
          <t xml:space="preserve">$1,000</t>
        </is>
      </c>
      <c r="X517" s="32" t="inlineStr">
        <is>
          <t xml:space="preserve">$1,000,000 CSL</t>
        </is>
      </c>
      <c r="Y517" s="30"/>
      <c r="Z517" s="30"/>
      <c r="AA517" s="32" t="inlineStr">
        <is>
          <t xml:space="preserve">Surplus Lines</t>
        </is>
      </c>
      <c r="AB517" s="35">
        <v>17471.85</v>
      </c>
      <c r="AC517" s="37">
        <v>0</v>
      </c>
      <c r="AD517" s="38">
        <f>IF(ISNUMBER($AB517),$AB517*(1+N($AC517)),"")</f>
      </c>
      <c r="AE517" s="35">
        <v>350</v>
      </c>
      <c r="AF517" s="35">
        <v>250</v>
      </c>
      <c r="AG517" s="37"/>
      <c r="AH517" s="39">
        <f>IF(ISNUMBER($AD517),($AD517+$AE517+$AF517)*$AG517,"")</f>
      </c>
      <c r="AI517" s="35"/>
      <c r="AJ517" s="38">
        <f>IF(ISNUMBER($AD517),SUM($AD517:$AH517),"")</f>
      </c>
      <c r="AK517" s="40">
        <f>IF(AND(ISNUMBER($AB517),ISNUMBER($AD517)),IF($AB517&gt;0,$AD517/$AB517,""),"")</f>
      </c>
      <c r="AL517" s="32" t="inlineStr">
        <is>
          <t xml:space="preserve">At technical</t>
        </is>
      </c>
      <c r="AM517" s="41">
        <f>IF(ISNUMBER($AD517),Header!$I$3,"")</f>
      </c>
      <c r="AN517" s="39">
        <f>IF(ISNUMBER($AD517),$AO517+$AP517,"")</f>
      </c>
      <c r="AO517" s="39">
        <f>IF(ISNUMBER($AD517),ROUND($AD517*Header!$K$3,2),"")</f>
      </c>
      <c r="AP517" s="39">
        <f>IF(ISNUMBER($AD517),ROUND($AD517*Header!$M$3,2),"")</f>
      </c>
      <c r="AQ517" s="38">
        <f>IF(ISNUMBER($AD517),ROUND($AD517,2)-$AO517-$AP517,"")</f>
      </c>
      <c r="AR517" s="39">
        <f>IF(ISNUMBER($AD517),IF(Header!$D$34="","?",$AD517*Header!$D$34),"")</f>
      </c>
      <c r="AS517" s="39">
        <f>IF(ISNUMBER($AB517),IF(Header!$D$34="","?",$AB517*Header!$D$34),"")</f>
      </c>
      <c r="AT517" s="42">
        <f>IF(AND(ISNUMBER($AB517),$M517&gt;0),$AB517/$M517*100,"")</f>
      </c>
      <c r="AU517" s="42">
        <f>IF(AND(ISNUMBER($AD517),$M517&gt;0),$AD517/$M517*100,"")</f>
      </c>
      <c r="AV517" s="40">
        <f>IF(AND(ISNUMBER($AB517),ISNUMBER($AD517),ABS($AB517)&gt;0),$AD517/$AB517,"")</f>
      </c>
      <c r="AW517" s="39">
        <f>IF(ISNUMBER($AD517),MAX(0,(1-0.55-Header!$O$3)*Header!$Q$3*$AQ517),"")</f>
      </c>
      <c r="AX517" s="43">
        <f>IF($A517="","",IF(TRIM(IF($A517="","Missing certificate ref. ","") &amp; IF($C517="","Missing effective date. ","") &amp; IF($D517="","Missing binding status. ","") &amp; IF($E517="","Missing movement type. ","") &amp; IF($I517="","Missing make. ","") &amp; IF($L517="","Missing vehicle class. ","") &amp; IF($M517="","Missing agreed value. ","") &amp; IF($N517="","Missing policy type. ","") &amp; IF($Q517="","Missing garaging state. ","") &amp; IF($R517="","Missing garaging ZIP. ","") &amp; IF($S517="","Missing cat zone. ","") &amp; IF($V517="","Missing valuation basis. ","") &amp; IF($W517="","Missing PD deductible. ","") &amp; IF($X517="","Missing liability limit. ","") &amp; IF($AB517="","Missing technical premium. ","") &amp; IF($AF517="","Missing surplus lines tax %. ",""))="","PASS","FAIL: "&amp;TRIM(IF($A517="","Missing certificate ref. ","") &amp; IF($C517="","Missing effective date. ","") &amp; IF($D517="","Missing binding status. ","") &amp; IF($E517="","Missing movement type. ","") &amp; IF($I517="","Missing make. ","") &amp; IF($L517="","Missing vehicle class. ","") &amp; IF($M517="","Missing agreed value. ","") &amp; IF($N517="","Missing policy type. ","") &amp; IF($Q517="","Missing garaging state. ","") &amp; IF($R517="","Missing garaging ZIP. ","") &amp; IF($S517="","Missing cat zone. ","") &amp; IF($V517="","Missing valuation basis. ","") &amp; IF($W517="","Missing PD deductible. ","") &amp; IF($X517="","Missing liability limit. ","") &amp; IF($AB517="","Missing technical premium. ","") &amp; IF($AF517="","Missing surplus lines tax %. ",""))))</f>
      </c>
      <c r="AY517" s="44">
        <f>IF($M517="","",IF(ISNUMBER($M517),IF($M517&gt;=Header!$C$18,"YES — refer","No"),""))</f>
      </c>
      <c r="AZ517" s="44">
        <f>IF($AD517="","",IF(ISNUMBER($AD517),IF($AD517&lt;Header!$C$20,"BELOW MIN PREMIUM","OK"),""))</f>
      </c>
      <c r="BA517" s="32" t="inlineStr">
        <is>
          <t xml:space="preserve">Yes</t>
        </is>
      </c>
      <c r="BB517" s="32" t="inlineStr">
        <is>
          <t xml:space="preserve">Yes</t>
        </is>
      </c>
      <c r="BC517" s="30" t="inlineStr">
        <is>
          <t xml:space="preserve">Synthetic demo data</t>
        </is>
      </c>
      <c r="BE517" s="45">
        <f>IF(OR($A517="",$L517="",$H517=""),"",IF(AND(LEFT($L517,2)="06",$H517&gt;1945),"FAIL - pre-war class, year "&amp;$H517,IF(AND(LEFT($L517,2)="07",OR($H517&lt;1946,$H517&gt;1972)),"FAIL - 1946-72 class, year "&amp;$H517,IF(AND(LEFT($L517,2)="08",OR($H517&lt;1973,$H517&gt;1999)),"FAIL - 1973-99 class, year "&amp;$H517,IF(AND(LEFT($L517,2)="09",OR($H517&lt;2000,$H517&gt;2010)),"FAIL - 2000-10 class, year "&amp;$H517,"OK")))))</f>
      </c>
      <c r="BF517" s="45">
        <f>IF($AD517="","",IF(ROUND($AO517+$AP517+$AQ517-$AD517,2)=0,"OK","FAIL - out by "&amp;TEXT($AO517+$AP517+$AQ517-$AD517,"$0.00")))</f>
      </c>
    </row>
    <row r="518" spans="1:58" ht="18.75" customHeight="1" x14ac:dyDescent="0.25">
      <c r="A518" s="46" t="inlineStr">
        <is>
          <t xml:space="preserve">CANON-202511-002876</t>
        </is>
      </c>
      <c r="B518" s="46" t="inlineStr">
        <is>
          <t xml:space="preserve">Fitzgerald Harrington</t>
        </is>
      </c>
      <c r="C518" s="47">
        <v>45965</v>
      </c>
      <c r="D518" s="48" t="inlineStr">
        <is>
          <t xml:space="preserve">Bound - within authority</t>
        </is>
      </c>
      <c r="E518" s="48" t="inlineStr">
        <is>
          <t xml:space="preserve">New business</t>
        </is>
      </c>
      <c r="F518" s="46" t="inlineStr">
        <is>
          <t xml:space="preserve">B1234EXOTIC26</t>
        </is>
      </c>
      <c r="G518" s="33">
        <f>IF($A518="","",IF($C518="","",YEAR($C518)))</f>
      </c>
      <c r="H518" s="49">
        <v>2019</v>
      </c>
      <c r="I518" s="46" t="inlineStr">
        <is>
          <t xml:space="preserve">Mercedes-Benz</t>
        </is>
      </c>
      <c r="J518" s="46" t="inlineStr">
        <is>
          <t xml:space="preserve">280SL Pagoda</t>
        </is>
      </c>
      <c r="K518" s="46" t="inlineStr">
        <is>
          <t xml:space="preserve">8NT7TRJBPAF995U70</t>
        </is>
      </c>
      <c r="L518" s="48" t="inlineStr">
        <is>
          <t xml:space="preserve">02 - Sports / GT</t>
        </is>
      </c>
      <c r="M518" s="50">
        <v>800000</v>
      </c>
      <c r="N518" s="48" t="inlineStr">
        <is>
          <t xml:space="preserve">Personal</t>
        </is>
      </c>
      <c r="O518" s="46" t="inlineStr">
        <is>
          <t xml:space="preserve">Personal - regular use</t>
        </is>
      </c>
      <c r="P518" s="46" t="inlineStr">
        <is>
          <t xml:space="preserve">2,500 - 5,000</t>
        </is>
      </c>
      <c r="Q518" s="46" t="inlineStr">
        <is>
          <t xml:space="preserve">West Virginia</t>
        </is>
      </c>
      <c r="R518" s="46" t="inlineStr">
        <is>
          <t xml:space="preserve">25301</t>
        </is>
      </c>
      <c r="S518" s="48" t="inlineStr">
        <is>
          <t xml:space="preserve">Low hazard - inland benign</t>
        </is>
      </c>
      <c r="T518" s="36">
        <f>IF($A518="","",IF($S518="","",IFERROR(INDEX('[1]natural catastrophe'!$D$6:$D$17,MATCH($S518,'[1]natural catastrophe'!$B$6:$B$17,0)),"?")))</f>
      </c>
      <c r="U518" s="46" t="inlineStr">
        <is>
          <t xml:space="preserve">$5,000</t>
        </is>
      </c>
      <c r="V518" s="48" t="inlineStr">
        <is>
          <t xml:space="preserve">Agreed Value</t>
        </is>
      </c>
      <c r="W518" s="46" t="inlineStr">
        <is>
          <t xml:space="preserve">$1,000</t>
        </is>
      </c>
      <c r="X518" s="48" t="inlineStr">
        <is>
          <t xml:space="preserve">$1,000,000 CSL</t>
        </is>
      </c>
      <c r="Y518" s="46"/>
      <c r="Z518" s="46"/>
      <c r="AA518" s="48" t="inlineStr">
        <is>
          <t xml:space="preserve">Surplus Lines</t>
        </is>
      </c>
      <c r="AB518" s="50">
        <v>7936.67</v>
      </c>
      <c r="AC518" s="51">
        <v>0</v>
      </c>
      <c r="AD518" s="38">
        <f>IF(ISNUMBER($AB518),$AB518*(1+N($AC518)),"")</f>
      </c>
      <c r="AE518" s="50">
        <v>350</v>
      </c>
      <c r="AF518" s="50">
        <v>0</v>
      </c>
      <c r="AG518" s="51"/>
      <c r="AH518" s="39">
        <f>IF(ISNUMBER($AD518),($AD518+$AE518+$AF518)*$AG518,"")</f>
      </c>
      <c r="AI518" s="50"/>
      <c r="AJ518" s="38">
        <f>IF(ISNUMBER($AD518),SUM($AD518:$AH518),"")</f>
      </c>
      <c r="AK518" s="40">
        <f>IF(AND(ISNUMBER($AB518),ISNUMBER($AD518)),IF($AB518&gt;0,$AD518/$AB518,""),"")</f>
      </c>
      <c r="AL518" s="48" t="inlineStr">
        <is>
          <t xml:space="preserve">At technical</t>
        </is>
      </c>
      <c r="AM518" s="41">
        <f>IF(ISNUMBER($AD518),Header!$I$3,"")</f>
      </c>
      <c r="AN518" s="39">
        <f>IF(ISNUMBER($AD518),$AO518+$AP518,"")</f>
      </c>
      <c r="AO518" s="39">
        <f>IF(ISNUMBER($AD518),ROUND($AD518*Header!$K$3,2),"")</f>
      </c>
      <c r="AP518" s="39">
        <f>IF(ISNUMBER($AD518),ROUND($AD518*Header!$M$3,2),"")</f>
      </c>
      <c r="AQ518" s="38">
        <f>IF(ISNUMBER($AD518),ROUND($AD518,2)-$AO518-$AP518,"")</f>
      </c>
      <c r="AR518" s="39">
        <f>IF(ISNUMBER($AD518),IF(Header!$D$34="","?",$AD518*Header!$D$34),"")</f>
      </c>
      <c r="AS518" s="39">
        <f>IF(ISNUMBER($AB518),IF(Header!$D$34="","?",$AB518*Header!$D$34),"")</f>
      </c>
      <c r="AT518" s="42">
        <f>IF(AND(ISNUMBER($AB518),$M518&gt;0),$AB518/$M518*100,"")</f>
      </c>
      <c r="AU518" s="42">
        <f>IF(AND(ISNUMBER($AD518),$M518&gt;0),$AD518/$M518*100,"")</f>
      </c>
      <c r="AV518" s="40">
        <f>IF(AND(ISNUMBER($AB518),ISNUMBER($AD518),ABS($AB518)&gt;0),$AD518/$AB518,"")</f>
      </c>
      <c r="AW518" s="39">
        <f>IF(ISNUMBER($AD518),MAX(0,(1-0.55-Header!$O$3)*Header!$Q$3*$AQ518),"")</f>
      </c>
      <c r="AX518" s="43">
        <f>IF($A518="","",IF(TRIM(IF($A518="","Missing certificate ref. ","") &amp; IF($C518="","Missing effective date. ","") &amp; IF($D518="","Missing binding status. ","") &amp; IF($E518="","Missing movement type. ","") &amp; IF($I518="","Missing make. ","") &amp; IF($L518="","Missing vehicle class. ","") &amp; IF($M518="","Missing agreed value. ","") &amp; IF($N518="","Missing policy type. ","") &amp; IF($Q518="","Missing garaging state. ","") &amp; IF($R518="","Missing garaging ZIP. ","") &amp; IF($S518="","Missing cat zone. ","") &amp; IF($V518="","Missing valuation basis. ","") &amp; IF($W518="","Missing PD deductible. ","") &amp; IF($X518="","Missing liability limit. ","") &amp; IF($AB518="","Missing technical premium. ","") &amp; IF($AF518="","Missing surplus lines tax %. ",""))="","PASS","FAIL: "&amp;TRIM(IF($A518="","Missing certificate ref. ","") &amp; IF($C518="","Missing effective date. ","") &amp; IF($D518="","Missing binding status. ","") &amp; IF($E518="","Missing movement type. ","") &amp; IF($I518="","Missing make. ","") &amp; IF($L518="","Missing vehicle class. ","") &amp; IF($M518="","Missing agreed value. ","") &amp; IF($N518="","Missing policy type. ","") &amp; IF($Q518="","Missing garaging state. ","") &amp; IF($R518="","Missing garaging ZIP. ","") &amp; IF($S518="","Missing cat zone. ","") &amp; IF($V518="","Missing valuation basis. ","") &amp; IF($W518="","Missing PD deductible. ","") &amp; IF($X518="","Missing liability limit. ","") &amp; IF($AB518="","Missing technical premium. ","") &amp; IF($AF518="","Missing surplus lines tax %. ",""))))</f>
      </c>
      <c r="AY518" s="44">
        <f>IF($M518="","",IF(ISNUMBER($M518),IF($M518&gt;=Header!$C$18,"YES — refer","No"),""))</f>
      </c>
      <c r="AZ518" s="44">
        <f>IF($AD518="","",IF(ISNUMBER($AD518),IF($AD518&lt;Header!$C$20,"BELOW MIN PREMIUM","OK"),""))</f>
      </c>
      <c r="BA518" s="48" t="inlineStr">
        <is>
          <t xml:space="preserve">Yes</t>
        </is>
      </c>
      <c r="BB518" s="48" t="inlineStr">
        <is>
          <t xml:space="preserve">Yes</t>
        </is>
      </c>
      <c r="BC518" s="46" t="inlineStr">
        <is>
          <t xml:space="preserve">Synthetic demo data</t>
        </is>
      </c>
      <c r="BE518" s="45">
        <f>IF(OR($A518="",$L518="",$H518=""),"",IF(AND(LEFT($L518,2)="06",$H518&gt;1945),"FAIL - pre-war class, year "&amp;$H518,IF(AND(LEFT($L518,2)="07",OR($H518&lt;1946,$H518&gt;1972)),"FAIL - 1946-72 class, year "&amp;$H518,IF(AND(LEFT($L518,2)="08",OR($H518&lt;1973,$H518&gt;1999)),"FAIL - 1973-99 class, year "&amp;$H518,IF(AND(LEFT($L518,2)="09",OR($H518&lt;2000,$H518&gt;2010)),"FAIL - 2000-10 class, year "&amp;$H518,"OK")))))</f>
      </c>
      <c r="BF518" s="45">
        <f>IF($AD518="","",IF(ROUND($AO518+$AP518+$AQ518-$AD518,2)=0,"OK","FAIL - out by "&amp;TEXT($AO518+$AP518+$AQ518-$AD518,"$0.00")))</f>
      </c>
    </row>
    <row r="519" spans="1:58" ht="18.75" customHeight="1" x14ac:dyDescent="0.25">
      <c r="A519" s="30" t="inlineStr">
        <is>
          <t xml:space="preserve">CANON-202511-002877</t>
        </is>
      </c>
      <c r="B519" s="30" t="inlineStr">
        <is>
          <t xml:space="preserve">Delphine Thistlewood</t>
        </is>
      </c>
      <c r="C519" s="31">
        <v>45974</v>
      </c>
      <c r="D519" s="32" t="inlineStr">
        <is>
          <t xml:space="preserve">Bound - within authority</t>
        </is>
      </c>
      <c r="E519" s="32" t="inlineStr">
        <is>
          <t xml:space="preserve">New business</t>
        </is>
      </c>
      <c r="F519" s="30" t="inlineStr">
        <is>
          <t xml:space="preserve">B1234EXOTIC26</t>
        </is>
      </c>
      <c r="G519" s="33">
        <f>IF($A519="","",IF($C519="","",YEAR($C519)))</f>
      </c>
      <c r="H519" s="34">
        <v>1977</v>
      </c>
      <c r="I519" s="30" t="inlineStr">
        <is>
          <t xml:space="preserve">Icon</t>
        </is>
      </c>
      <c r="J519" s="30" t="inlineStr">
        <is>
          <t xml:space="preserve">Derelict</t>
        </is>
      </c>
      <c r="K519" s="30" t="inlineStr">
        <is>
          <t xml:space="preserve">XN9B7JS4ZU2K0Z952</t>
        </is>
      </c>
      <c r="L519" s="32" t="inlineStr">
        <is>
          <t xml:space="preserve">11 - Restomod / Coachbuilt / Bespoke</t>
        </is>
      </c>
      <c r="M519" s="35">
        <v>425000</v>
      </c>
      <c r="N519" s="32" t="inlineStr">
        <is>
          <t xml:space="preserve">Personal</t>
        </is>
      </c>
      <c r="O519" s="30" t="inlineStr">
        <is>
          <t xml:space="preserve">Personal - regular use</t>
        </is>
      </c>
      <c r="P519" s="30" t="inlineStr">
        <is>
          <t xml:space="preserve">1,000 - 2,500</t>
        </is>
      </c>
      <c r="Q519" s="30" t="inlineStr">
        <is>
          <t xml:space="preserve">Tennessee</t>
        </is>
      </c>
      <c r="R519" s="30" t="inlineStr">
        <is>
          <t xml:space="preserve">37203</t>
        </is>
      </c>
      <c r="S519" s="32" t="inlineStr">
        <is>
          <t xml:space="preserve">Severe convective - hail / tornado (moderate)</t>
        </is>
      </c>
      <c r="T519" s="36">
        <f>IF($A519="","",IF($S519="","",IFERROR(INDEX('[1]natural catastrophe'!$D$6:$D$17,MATCH($S519,'[1]natural catastrophe'!$B$6:$B$17,0)),"?")))</f>
      </c>
      <c r="U519" s="30" t="inlineStr">
        <is>
          <t xml:space="preserve">$5,000</t>
        </is>
      </c>
      <c r="V519" s="32" t="inlineStr">
        <is>
          <t xml:space="preserve">Agreed Value</t>
        </is>
      </c>
      <c r="W519" s="30" t="inlineStr">
        <is>
          <t xml:space="preserve">$1,000</t>
        </is>
      </c>
      <c r="X519" s="32" t="inlineStr">
        <is>
          <t xml:space="preserve">$1,000,000 CSL</t>
        </is>
      </c>
      <c r="Y519" s="30"/>
      <c r="Z519" s="30"/>
      <c r="AA519" s="32" t="inlineStr">
        <is>
          <t xml:space="preserve">Surplus Lines</t>
        </is>
      </c>
      <c r="AB519" s="35">
        <v>6358.08</v>
      </c>
      <c r="AC519" s="37">
        <v>0</v>
      </c>
      <c r="AD519" s="38">
        <f>IF(ISNUMBER($AB519),$AB519*(1+N($AC519)),"")</f>
      </c>
      <c r="AE519" s="35">
        <v>350</v>
      </c>
      <c r="AF519" s="35">
        <v>0</v>
      </c>
      <c r="AG519" s="37"/>
      <c r="AH519" s="39">
        <f>IF(ISNUMBER($AD519),($AD519+$AE519+$AF519)*$AG519,"")</f>
      </c>
      <c r="AI519" s="35"/>
      <c r="AJ519" s="38">
        <f>IF(ISNUMBER($AD519),SUM($AD519:$AH519),"")</f>
      </c>
      <c r="AK519" s="40">
        <f>IF(AND(ISNUMBER($AB519),ISNUMBER($AD519)),IF($AB519&gt;0,$AD519/$AB519,""),"")</f>
      </c>
      <c r="AL519" s="32" t="inlineStr">
        <is>
          <t xml:space="preserve">At technical</t>
        </is>
      </c>
      <c r="AM519" s="41">
        <f>IF(ISNUMBER($AD519),Header!$I$3,"")</f>
      </c>
      <c r="AN519" s="39">
        <f>IF(ISNUMBER($AD519),$AO519+$AP519,"")</f>
      </c>
      <c r="AO519" s="39">
        <f>IF(ISNUMBER($AD519),ROUND($AD519*Header!$K$3,2),"")</f>
      </c>
      <c r="AP519" s="39">
        <f>IF(ISNUMBER($AD519),ROUND($AD519*Header!$M$3,2),"")</f>
      </c>
      <c r="AQ519" s="38">
        <f>IF(ISNUMBER($AD519),ROUND($AD519,2)-$AO519-$AP519,"")</f>
      </c>
      <c r="AR519" s="39">
        <f>IF(ISNUMBER($AD519),IF(Header!$D$34="","?",$AD519*Header!$D$34),"")</f>
      </c>
      <c r="AS519" s="39">
        <f>IF(ISNUMBER($AB519),IF(Header!$D$34="","?",$AB519*Header!$D$34),"")</f>
      </c>
      <c r="AT519" s="42">
        <f>IF(AND(ISNUMBER($AB519),$M519&gt;0),$AB519/$M519*100,"")</f>
      </c>
      <c r="AU519" s="42">
        <f>IF(AND(ISNUMBER($AD519),$M519&gt;0),$AD519/$M519*100,"")</f>
      </c>
      <c r="AV519" s="40">
        <f>IF(AND(ISNUMBER($AB519),ISNUMBER($AD519),ABS($AB519)&gt;0),$AD519/$AB519,"")</f>
      </c>
      <c r="AW519" s="39">
        <f>IF(ISNUMBER($AD519),MAX(0,(1-0.55-Header!$O$3)*Header!$Q$3*$AQ519),"")</f>
      </c>
      <c r="AX519" s="43">
        <f>IF($A519="","",IF(TRIM(IF($A519="","Missing certificate ref. ","") &amp; IF($C519="","Missing effective date. ","") &amp; IF($D519="","Missing binding status. ","") &amp; IF($E519="","Missing movement type. ","") &amp; IF($I519="","Missing make. ","") &amp; IF($L519="","Missing vehicle class. ","") &amp; IF($M519="","Missing agreed value. ","") &amp; IF($N519="","Missing policy type. ","") &amp; IF($Q519="","Missing garaging state. ","") &amp; IF($R519="","Missing garaging ZIP. ","") &amp; IF($S519="","Missing cat zone. ","") &amp; IF($V519="","Missing valuation basis. ","") &amp; IF($W519="","Missing PD deductible. ","") &amp; IF($X519="","Missing liability limit. ","") &amp; IF($AB519="","Missing technical premium. ","") &amp; IF($AF519="","Missing surplus lines tax %. ",""))="","PASS","FAIL: "&amp;TRIM(IF($A519="","Missing certificate ref. ","") &amp; IF($C519="","Missing effective date. ","") &amp; IF($D519="","Missing binding status. ","") &amp; IF($E519="","Missing movement type. ","") &amp; IF($I519="","Missing make. ","") &amp; IF($L519="","Missing vehicle class. ","") &amp; IF($M519="","Missing agreed value. ","") &amp; IF($N519="","Missing policy type. ","") &amp; IF($Q519="","Missing garaging state. ","") &amp; IF($R519="","Missing garaging ZIP. ","") &amp; IF($S519="","Missing cat zone. ","") &amp; IF($V519="","Missing valuation basis. ","") &amp; IF($W519="","Missing PD deductible. ","") &amp; IF($X519="","Missing liability limit. ","") &amp; IF($AB519="","Missing technical premium. ","") &amp; IF($AF519="","Missing surplus lines tax %. ",""))))</f>
      </c>
      <c r="AY519" s="44">
        <f>IF($M519="","",IF(ISNUMBER($M519),IF($M519&gt;=Header!$C$18,"YES — refer","No"),""))</f>
      </c>
      <c r="AZ519" s="44">
        <f>IF($AD519="","",IF(ISNUMBER($AD519),IF($AD519&lt;Header!$C$20,"BELOW MIN PREMIUM","OK"),""))</f>
      </c>
      <c r="BA519" s="32" t="inlineStr">
        <is>
          <t xml:space="preserve">Yes</t>
        </is>
      </c>
      <c r="BB519" s="32" t="inlineStr">
        <is>
          <t xml:space="preserve">Yes</t>
        </is>
      </c>
      <c r="BC519" s="30" t="inlineStr">
        <is>
          <t xml:space="preserve">Synthetic demo data</t>
        </is>
      </c>
      <c r="BE519" s="45">
        <f>IF(OR($A519="",$L519="",$H519=""),"",IF(AND(LEFT($L519,2)="06",$H519&gt;1945),"FAIL - pre-war class, year "&amp;$H519,IF(AND(LEFT($L519,2)="07",OR($H519&lt;1946,$H519&gt;1972)),"FAIL - 1946-72 class, year "&amp;$H519,IF(AND(LEFT($L519,2)="08",OR($H519&lt;1973,$H519&gt;1999)),"FAIL - 1973-99 class, year "&amp;$H519,IF(AND(LEFT($L519,2)="09",OR($H519&lt;2000,$H519&gt;2010)),"FAIL - 2000-10 class, year "&amp;$H519,"OK")))))</f>
      </c>
      <c r="BF519" s="45">
        <f>IF($AD519="","",IF(ROUND($AO519+$AP519+$AQ519-$AD519,2)=0,"OK","FAIL - out by "&amp;TEXT($AO519+$AP519+$AQ519-$AD519,"$0.00")))</f>
      </c>
    </row>
    <row r="520" spans="1:58" ht="18.75" customHeight="1" x14ac:dyDescent="0.25">
      <c r="A520" s="46" t="inlineStr">
        <is>
          <t xml:space="preserve">CANON-202511-002881</t>
        </is>
      </c>
      <c r="B520" s="46" t="inlineStr">
        <is>
          <t xml:space="preserve">Wilhelmina Okonkwo</t>
        </is>
      </c>
      <c r="C520" s="47">
        <v>45984</v>
      </c>
      <c r="D520" s="48" t="inlineStr">
        <is>
          <t xml:space="preserve">Bound - within authority</t>
        </is>
      </c>
      <c r="E520" s="48" t="inlineStr">
        <is>
          <t xml:space="preserve">New business</t>
        </is>
      </c>
      <c r="F520" s="46" t="inlineStr">
        <is>
          <t xml:space="preserve">B1234EXOTIC26</t>
        </is>
      </c>
      <c r="G520" s="33">
        <f>IF($A520="","",IF($C520="","",YEAR($C520)))</f>
      </c>
      <c r="H520" s="49">
        <v>2003</v>
      </c>
      <c r="I520" s="46" t="inlineStr">
        <is>
          <t xml:space="preserve">Icon</t>
        </is>
      </c>
      <c r="J520" s="46" t="inlineStr">
        <is>
          <t xml:space="preserve">Derelict</t>
        </is>
      </c>
      <c r="K520" s="46" t="inlineStr">
        <is>
          <t xml:space="preserve">RWSM0LJV3ZDSZF8M7</t>
        </is>
      </c>
      <c r="L520" s="48" t="inlineStr">
        <is>
          <t xml:space="preserve">11 - Restomod / Coachbuilt / Bespoke</t>
        </is>
      </c>
      <c r="M520" s="50">
        <v>1395000</v>
      </c>
      <c r="N520" s="48" t="inlineStr">
        <is>
          <t xml:space="preserve">Personal</t>
        </is>
      </c>
      <c r="O520" s="46" t="inlineStr">
        <is>
          <t xml:space="preserve">Personal - regular use</t>
        </is>
      </c>
      <c r="P520" s="46" t="inlineStr">
        <is>
          <t xml:space="preserve">Under 1,000</t>
        </is>
      </c>
      <c r="Q520" s="46" t="inlineStr">
        <is>
          <t xml:space="preserve">Alaska</t>
        </is>
      </c>
      <c r="R520" s="46" t="inlineStr">
        <is>
          <t xml:space="preserve">99501</t>
        </is>
      </c>
      <c r="S520" s="48" t="inlineStr">
        <is>
          <t xml:space="preserve">Earthquake - high (CA, Cascadia, New Madrid)</t>
        </is>
      </c>
      <c r="T520" s="36">
        <f>IF($A520="","",IF($S520="","",IFERROR(INDEX('[1]natural catastrophe'!$D$6:$D$17,MATCH($S520,'[1]natural catastrophe'!$B$6:$B$17,0)),"?")))</f>
      </c>
      <c r="U520" s="46" t="inlineStr">
        <is>
          <t xml:space="preserve">$5,000</t>
        </is>
      </c>
      <c r="V520" s="48" t="inlineStr">
        <is>
          <t xml:space="preserve">Agreed Value</t>
        </is>
      </c>
      <c r="W520" s="46" t="inlineStr">
        <is>
          <t xml:space="preserve">$1,000</t>
        </is>
      </c>
      <c r="X520" s="48" t="inlineStr">
        <is>
          <t xml:space="preserve">$1,000,000 CSL</t>
        </is>
      </c>
      <c r="Y520" s="46"/>
      <c r="Z520" s="46"/>
      <c r="AA520" s="48" t="inlineStr">
        <is>
          <t xml:space="preserve">Surplus Lines</t>
        </is>
      </c>
      <c r="AB520" s="50">
        <v>18759.3</v>
      </c>
      <c r="AC520" s="51">
        <v>0</v>
      </c>
      <c r="AD520" s="38">
        <f>IF(ISNUMBER($AB520),$AB520*(1+N($AC520)),"")</f>
      </c>
      <c r="AE520" s="50">
        <v>350</v>
      </c>
      <c r="AF520" s="50">
        <v>250</v>
      </c>
      <c r="AG520" s="51"/>
      <c r="AH520" s="39">
        <f>IF(ISNUMBER($AD520),($AD520+$AE520+$AF520)*$AG520,"")</f>
      </c>
      <c r="AI520" s="50"/>
      <c r="AJ520" s="38">
        <f>IF(ISNUMBER($AD520),SUM($AD520:$AH520),"")</f>
      </c>
      <c r="AK520" s="40">
        <f>IF(AND(ISNUMBER($AB520),ISNUMBER($AD520)),IF($AB520&gt;0,$AD520/$AB520,""),"")</f>
      </c>
      <c r="AL520" s="48" t="inlineStr">
        <is>
          <t xml:space="preserve">At technical</t>
        </is>
      </c>
      <c r="AM520" s="41">
        <f>IF(ISNUMBER($AD520),Header!$I$3,"")</f>
      </c>
      <c r="AN520" s="39">
        <f>IF(ISNUMBER($AD520),$AO520+$AP520,"")</f>
      </c>
      <c r="AO520" s="39">
        <f>IF(ISNUMBER($AD520),ROUND($AD520*Header!$K$3,2),"")</f>
      </c>
      <c r="AP520" s="39">
        <f>IF(ISNUMBER($AD520),ROUND($AD520*Header!$M$3,2),"")</f>
      </c>
      <c r="AQ520" s="38">
        <f>IF(ISNUMBER($AD520),ROUND($AD520,2)-$AO520-$AP520,"")</f>
      </c>
      <c r="AR520" s="39">
        <f>IF(ISNUMBER($AD520),IF(Header!$D$34="","?",$AD520*Header!$D$34),"")</f>
      </c>
      <c r="AS520" s="39">
        <f>IF(ISNUMBER($AB520),IF(Header!$D$34="","?",$AB520*Header!$D$34),"")</f>
      </c>
      <c r="AT520" s="42">
        <f>IF(AND(ISNUMBER($AB520),$M520&gt;0),$AB520/$M520*100,"")</f>
      </c>
      <c r="AU520" s="42">
        <f>IF(AND(ISNUMBER($AD520),$M520&gt;0),$AD520/$M520*100,"")</f>
      </c>
      <c r="AV520" s="40">
        <f>IF(AND(ISNUMBER($AB520),ISNUMBER($AD520),ABS($AB520)&gt;0),$AD520/$AB520,"")</f>
      </c>
      <c r="AW520" s="39">
        <f>IF(ISNUMBER($AD520),MAX(0,(1-0.55-Header!$O$3)*Header!$Q$3*$AQ520),"")</f>
      </c>
      <c r="AX520" s="43">
        <f>IF($A520="","",IF(TRIM(IF($A520="","Missing certificate ref. ","") &amp; IF($C520="","Missing effective date. ","") &amp; IF($D520="","Missing binding status. ","") &amp; IF($E520="","Missing movement type. ","") &amp; IF($I520="","Missing make. ","") &amp; IF($L520="","Missing vehicle class. ","") &amp; IF($M520="","Missing agreed value. ","") &amp; IF($N520="","Missing policy type. ","") &amp; IF($Q520="","Missing garaging state. ","") &amp; IF($R520="","Missing garaging ZIP. ","") &amp; IF($S520="","Missing cat zone. ","") &amp; IF($V520="","Missing valuation basis. ","") &amp; IF($W520="","Missing PD deductible. ","") &amp; IF($X520="","Missing liability limit. ","") &amp; IF($AB520="","Missing technical premium. ","") &amp; IF($AF520="","Missing surplus lines tax %. ",""))="","PASS","FAIL: "&amp;TRIM(IF($A520="","Missing certificate ref. ","") &amp; IF($C520="","Missing effective date. ","") &amp; IF($D520="","Missing binding status. ","") &amp; IF($E520="","Missing movement type. ","") &amp; IF($I520="","Missing make. ","") &amp; IF($L520="","Missing vehicle class. ","") &amp; IF($M520="","Missing agreed value. ","") &amp; IF($N520="","Missing policy type. ","") &amp; IF($Q520="","Missing garaging state. ","") &amp; IF($R520="","Missing garaging ZIP. ","") &amp; IF($S520="","Missing cat zone. ","") &amp; IF($V520="","Missing valuation basis. ","") &amp; IF($W520="","Missing PD deductible. ","") &amp; IF($X520="","Missing liability limit. ","") &amp; IF($AB520="","Missing technical premium. ","") &amp; IF($AF520="","Missing surplus lines tax %. ",""))))</f>
      </c>
      <c r="AY520" s="44">
        <f>IF($M520="","",IF(ISNUMBER($M520),IF($M520&gt;=Header!$C$18,"YES — refer","No"),""))</f>
      </c>
      <c r="AZ520" s="44">
        <f>IF($AD520="","",IF(ISNUMBER($AD520),IF($AD520&lt;Header!$C$20,"BELOW MIN PREMIUM","OK"),""))</f>
      </c>
      <c r="BA520" s="48" t="inlineStr">
        <is>
          <t xml:space="preserve">Yes</t>
        </is>
      </c>
      <c r="BB520" s="48" t="inlineStr">
        <is>
          <t xml:space="preserve">Yes</t>
        </is>
      </c>
      <c r="BC520" s="46" t="inlineStr">
        <is>
          <t xml:space="preserve">Synthetic demo data</t>
        </is>
      </c>
      <c r="BE520" s="45">
        <f>IF(OR($A520="",$L520="",$H520=""),"",IF(AND(LEFT($L520,2)="06",$H520&gt;1945),"FAIL - pre-war class, year "&amp;$H520,IF(AND(LEFT($L520,2)="07",OR($H520&lt;1946,$H520&gt;1972)),"FAIL - 1946-72 class, year "&amp;$H520,IF(AND(LEFT($L520,2)="08",OR($H520&lt;1973,$H520&gt;1999)),"FAIL - 1973-99 class, year "&amp;$H520,IF(AND(LEFT($L520,2)="09",OR($H520&lt;2000,$H520&gt;2010)),"FAIL - 2000-10 class, year "&amp;$H520,"OK")))))</f>
      </c>
      <c r="BF520" s="45">
        <f>IF($AD520="","",IF(ROUND($AO520+$AP520+$AQ520-$AD520,2)=0,"OK","FAIL - out by "&amp;TEXT($AO520+$AP520+$AQ520-$AD520,"$0.00")))</f>
      </c>
    </row>
    <row r="521" spans="1:58" ht="18.75" customHeight="1" x14ac:dyDescent="0.25">
      <c r="A521" s="30" t="inlineStr">
        <is>
          <t xml:space="preserve">CANON-202511-002883</t>
        </is>
      </c>
      <c r="B521" s="30" t="inlineStr">
        <is>
          <t xml:space="preserve">Fitzgerald Vandermeer</t>
        </is>
      </c>
      <c r="C521" s="31">
        <v>45979</v>
      </c>
      <c r="D521" s="32" t="inlineStr">
        <is>
          <t xml:space="preserve">Bound - within authority</t>
        </is>
      </c>
      <c r="E521" s="32" t="inlineStr">
        <is>
          <t xml:space="preserve">New business</t>
        </is>
      </c>
      <c r="F521" s="30" t="inlineStr">
        <is>
          <t xml:space="preserve">B1234EXOTIC26</t>
        </is>
      </c>
      <c r="G521" s="33">
        <f>IF($A521="","",IF($C521="","",YEAR($C521)))</f>
      </c>
      <c r="H521" s="34">
        <v>1965</v>
      </c>
      <c r="I521" s="30" t="inlineStr">
        <is>
          <t xml:space="preserve">BMW</t>
        </is>
      </c>
      <c r="J521" s="30" t="inlineStr">
        <is>
          <t xml:space="preserve">M8 Competition</t>
        </is>
      </c>
      <c r="K521" s="30" t="inlineStr">
        <is>
          <t xml:space="preserve">VSSSF4N9CSVPHLXEX</t>
        </is>
      </c>
      <c r="L521" s="32" t="inlineStr">
        <is>
          <t xml:space="preserve">02 - Sports / GT</t>
        </is>
      </c>
      <c r="M521" s="35">
        <v>620000</v>
      </c>
      <c r="N521" s="32" t="inlineStr">
        <is>
          <t xml:space="preserve">Personal</t>
        </is>
      </c>
      <c r="O521" s="30" t="inlineStr">
        <is>
          <t xml:space="preserve">Personal - regular use</t>
        </is>
      </c>
      <c r="P521" s="30" t="inlineStr">
        <is>
          <t xml:space="preserve">2,500 - 5,000</t>
        </is>
      </c>
      <c r="Q521" s="30" t="inlineStr">
        <is>
          <t xml:space="preserve">New York</t>
        </is>
      </c>
      <c r="R521" s="30" t="inlineStr">
        <is>
          <t xml:space="preserve">10022</t>
        </is>
      </c>
      <c r="S521" s="32" t="inlineStr">
        <is>
          <t xml:space="preserve">Tier 3 - Coastal wind (25-100 miles)</t>
        </is>
      </c>
      <c r="T521" s="36">
        <f>IF($A521="","",IF($S521="","",IFERROR(INDEX('[1]natural catastrophe'!$D$6:$D$17,MATCH($S521,'[1]natural catastrophe'!$B$6:$B$17,0)),"?")))</f>
      </c>
      <c r="U521" s="30" t="inlineStr">
        <is>
          <t xml:space="preserve">2% of agreed value, minimum $10,000</t>
        </is>
      </c>
      <c r="V521" s="32" t="inlineStr">
        <is>
          <t xml:space="preserve">Agreed Value</t>
        </is>
      </c>
      <c r="W521" s="30" t="inlineStr">
        <is>
          <t xml:space="preserve">$1,000</t>
        </is>
      </c>
      <c r="X521" s="32" t="inlineStr">
        <is>
          <t xml:space="preserve">$1,000,000 CSL</t>
        </is>
      </c>
      <c r="Y521" s="30"/>
      <c r="Z521" s="30"/>
      <c r="AA521" s="32" t="inlineStr">
        <is>
          <t xml:space="preserve">Surplus Lines</t>
        </is>
      </c>
      <c r="AB521" s="35">
        <v>8948.36</v>
      </c>
      <c r="AC521" s="37">
        <v>0</v>
      </c>
      <c r="AD521" s="38">
        <f>IF(ISNUMBER($AB521),$AB521*(1+N($AC521)),"")</f>
      </c>
      <c r="AE521" s="35">
        <v>350</v>
      </c>
      <c r="AF521" s="35">
        <v>0</v>
      </c>
      <c r="AG521" s="37"/>
      <c r="AH521" s="39">
        <f>IF(ISNUMBER($AD521),($AD521+$AE521+$AF521)*$AG521,"")</f>
      </c>
      <c r="AI521" s="35"/>
      <c r="AJ521" s="38">
        <f>IF(ISNUMBER($AD521),SUM($AD521:$AH521),"")</f>
      </c>
      <c r="AK521" s="40">
        <f>IF(AND(ISNUMBER($AB521),ISNUMBER($AD521)),IF($AB521&gt;0,$AD521/$AB521,""),"")</f>
      </c>
      <c r="AL521" s="32" t="inlineStr">
        <is>
          <t xml:space="preserve">At technical</t>
        </is>
      </c>
      <c r="AM521" s="41">
        <f>IF(ISNUMBER($AD521),Header!$I$3,"")</f>
      </c>
      <c r="AN521" s="39">
        <f>IF(ISNUMBER($AD521),$AO521+$AP521,"")</f>
      </c>
      <c r="AO521" s="39">
        <f>IF(ISNUMBER($AD521),ROUND($AD521*Header!$K$3,2),"")</f>
      </c>
      <c r="AP521" s="39">
        <f>IF(ISNUMBER($AD521),ROUND($AD521*Header!$M$3,2),"")</f>
      </c>
      <c r="AQ521" s="38">
        <f>IF(ISNUMBER($AD521),ROUND($AD521,2)-$AO521-$AP521,"")</f>
      </c>
      <c r="AR521" s="39">
        <f>IF(ISNUMBER($AD521),IF(Header!$D$34="","?",$AD521*Header!$D$34),"")</f>
      </c>
      <c r="AS521" s="39">
        <f>IF(ISNUMBER($AB521),IF(Header!$D$34="","?",$AB521*Header!$D$34),"")</f>
      </c>
      <c r="AT521" s="42">
        <f>IF(AND(ISNUMBER($AB521),$M521&gt;0),$AB521/$M521*100,"")</f>
      </c>
      <c r="AU521" s="42">
        <f>IF(AND(ISNUMBER($AD521),$M521&gt;0),$AD521/$M521*100,"")</f>
      </c>
      <c r="AV521" s="40">
        <f>IF(AND(ISNUMBER($AB521),ISNUMBER($AD521),ABS($AB521)&gt;0),$AD521/$AB521,"")</f>
      </c>
      <c r="AW521" s="39">
        <f>IF(ISNUMBER($AD521),MAX(0,(1-0.55-Header!$O$3)*Header!$Q$3*$AQ521),"")</f>
      </c>
      <c r="AX521" s="43">
        <f>IF($A521="","",IF(TRIM(IF($A521="","Missing certificate ref. ","") &amp; IF($C521="","Missing effective date. ","") &amp; IF($D521="","Missing binding status. ","") &amp; IF($E521="","Missing movement type. ","") &amp; IF($I521="","Missing make. ","") &amp; IF($L521="","Missing vehicle class. ","") &amp; IF($M521="","Missing agreed value. ","") &amp; IF($N521="","Missing policy type. ","") &amp; IF($Q521="","Missing garaging state. ","") &amp; IF($R521="","Missing garaging ZIP. ","") &amp; IF($S521="","Missing cat zone. ","") &amp; IF($V521="","Missing valuation basis. ","") &amp; IF($W521="","Missing PD deductible. ","") &amp; IF($X521="","Missing liability limit. ","") &amp; IF($AB521="","Missing technical premium. ","") &amp; IF($AF521="","Missing surplus lines tax %. ",""))="","PASS","FAIL: "&amp;TRIM(IF($A521="","Missing certificate ref. ","") &amp; IF($C521="","Missing effective date. ","") &amp; IF($D521="","Missing binding status. ","") &amp; IF($E521="","Missing movement type. ","") &amp; IF($I521="","Missing make. ","") &amp; IF($L521="","Missing vehicle class. ","") &amp; IF($M521="","Missing agreed value. ","") &amp; IF($N521="","Missing policy type. ","") &amp; IF($Q521="","Missing garaging state. ","") &amp; IF($R521="","Missing garaging ZIP. ","") &amp; IF($S521="","Missing cat zone. ","") &amp; IF($V521="","Missing valuation basis. ","") &amp; IF($W521="","Missing PD deductible. ","") &amp; IF($X521="","Missing liability limit. ","") &amp; IF($AB521="","Missing technical premium. ","") &amp; IF($AF521="","Missing surplus lines tax %. ",""))))</f>
      </c>
      <c r="AY521" s="44">
        <f>IF($M521="","",IF(ISNUMBER($M521),IF($M521&gt;=Header!$C$18,"YES — refer","No"),""))</f>
      </c>
      <c r="AZ521" s="44">
        <f>IF($AD521="","",IF(ISNUMBER($AD521),IF($AD521&lt;Header!$C$20,"BELOW MIN PREMIUM","OK"),""))</f>
      </c>
      <c r="BA521" s="32" t="inlineStr">
        <is>
          <t xml:space="preserve">Yes</t>
        </is>
      </c>
      <c r="BB521" s="32" t="inlineStr">
        <is>
          <t xml:space="preserve">Yes</t>
        </is>
      </c>
      <c r="BC521" s="30" t="inlineStr">
        <is>
          <t xml:space="preserve">Synthetic demo data</t>
        </is>
      </c>
      <c r="BE521" s="45">
        <f>IF(OR($A521="",$L521="",$H521=""),"",IF(AND(LEFT($L521,2)="06",$H521&gt;1945),"FAIL - pre-war class, year "&amp;$H521,IF(AND(LEFT($L521,2)="07",OR($H521&lt;1946,$H521&gt;1972)),"FAIL - 1946-72 class, year "&amp;$H521,IF(AND(LEFT($L521,2)="08",OR($H521&lt;1973,$H521&gt;1999)),"FAIL - 1973-99 class, year "&amp;$H521,IF(AND(LEFT($L521,2)="09",OR($H521&lt;2000,$H521&gt;2010)),"FAIL - 2000-10 class, year "&amp;$H521,"OK")))))</f>
      </c>
      <c r="BF521" s="45">
        <f>IF($AD521="","",IF(ROUND($AO521+$AP521+$AQ521-$AD521,2)=0,"OK","FAIL - out by "&amp;TEXT($AO521+$AP521+$AQ521-$AD521,"$0.00")))</f>
      </c>
    </row>
    <row r="522" spans="1:58" ht="18.75" customHeight="1" x14ac:dyDescent="0.25">
      <c r="A522" s="46" t="inlineStr">
        <is>
          <t xml:space="preserve">CANON-202511-002884</t>
        </is>
      </c>
      <c r="B522" s="46" t="inlineStr">
        <is>
          <t xml:space="preserve">Saoirse Ashcombe</t>
        </is>
      </c>
      <c r="C522" s="47">
        <v>45975</v>
      </c>
      <c r="D522" s="48" t="inlineStr">
        <is>
          <t xml:space="preserve">Bound - within authority</t>
        </is>
      </c>
      <c r="E522" s="48" t="inlineStr">
        <is>
          <t xml:space="preserve">New business</t>
        </is>
      </c>
      <c r="F522" s="46" t="inlineStr">
        <is>
          <t xml:space="preserve">B1234EXOTIC26</t>
        </is>
      </c>
      <c r="G522" s="33">
        <f>IF($A522="","",IF($C522="","",YEAR($C522)))</f>
      </c>
      <c r="H522" s="49">
        <v>1990</v>
      </c>
      <c r="I522" s="46" t="inlineStr">
        <is>
          <t xml:space="preserve">Ferrari</t>
        </is>
      </c>
      <c r="J522" s="46" t="inlineStr">
        <is>
          <t xml:space="preserve">SF90 Stradale</t>
        </is>
      </c>
      <c r="K522" s="46" t="inlineStr">
        <is>
          <t xml:space="preserve">889FFZK0DGFF7E2FY</t>
        </is>
      </c>
      <c r="L522" s="48" t="inlineStr">
        <is>
          <t xml:space="preserve">03 - Supercar</t>
        </is>
      </c>
      <c r="M522" s="50">
        <v>1950000</v>
      </c>
      <c r="N522" s="48" t="inlineStr">
        <is>
          <t xml:space="preserve">Personal</t>
        </is>
      </c>
      <c r="O522" s="46" t="inlineStr">
        <is>
          <t xml:space="preserve">Personal - regular use</t>
        </is>
      </c>
      <c r="P522" s="46" t="inlineStr">
        <is>
          <t xml:space="preserve">Under 1,000</t>
        </is>
      </c>
      <c r="Q522" s="46" t="inlineStr">
        <is>
          <t xml:space="preserve">Michigan</t>
        </is>
      </c>
      <c r="R522" s="46" t="inlineStr">
        <is>
          <t xml:space="preserve">48226</t>
        </is>
      </c>
      <c r="S522" s="48" t="inlineStr">
        <is>
          <t xml:space="preserve">Severe convective - hail / tornado (moderate)</t>
        </is>
      </c>
      <c r="T522" s="36">
        <f>IF($A522="","",IF($S522="","",IFERROR(INDEX('[1]natural catastrophe'!$D$6:$D$17,MATCH($S522,'[1]natural catastrophe'!$B$6:$B$17,0)),"?")))</f>
      </c>
      <c r="U522" s="46" t="inlineStr">
        <is>
          <t xml:space="preserve">$5,000</t>
        </is>
      </c>
      <c r="V522" s="48" t="inlineStr">
        <is>
          <t xml:space="preserve">Agreed Value</t>
        </is>
      </c>
      <c r="W522" s="46" t="inlineStr">
        <is>
          <t xml:space="preserve">$1,000</t>
        </is>
      </c>
      <c r="X522" s="48" t="inlineStr">
        <is>
          <t xml:space="preserve">$1,000,000 CSL</t>
        </is>
      </c>
      <c r="Y522" s="46"/>
      <c r="Z522" s="46"/>
      <c r="AA522" s="48" t="inlineStr">
        <is>
          <t xml:space="preserve">Surplus Lines</t>
        </is>
      </c>
      <c r="AB522" s="50">
        <v>41945.46</v>
      </c>
      <c r="AC522" s="51">
        <v>0</v>
      </c>
      <c r="AD522" s="38">
        <f>IF(ISNUMBER($AB522),$AB522*(1+N($AC522)),"")</f>
      </c>
      <c r="AE522" s="50">
        <v>350</v>
      </c>
      <c r="AF522" s="50">
        <v>250</v>
      </c>
      <c r="AG522" s="51"/>
      <c r="AH522" s="39">
        <f>IF(ISNUMBER($AD522),($AD522+$AE522+$AF522)*$AG522,"")</f>
      </c>
      <c r="AI522" s="50"/>
      <c r="AJ522" s="38">
        <f>IF(ISNUMBER($AD522),SUM($AD522:$AH522),"")</f>
      </c>
      <c r="AK522" s="40">
        <f>IF(AND(ISNUMBER($AB522),ISNUMBER($AD522)),IF($AB522&gt;0,$AD522/$AB522,""),"")</f>
      </c>
      <c r="AL522" s="48" t="inlineStr">
        <is>
          <t xml:space="preserve">At technical</t>
        </is>
      </c>
      <c r="AM522" s="41">
        <f>IF(ISNUMBER($AD522),Header!$I$3,"")</f>
      </c>
      <c r="AN522" s="39">
        <f>IF(ISNUMBER($AD522),$AO522+$AP522,"")</f>
      </c>
      <c r="AO522" s="39">
        <f>IF(ISNUMBER($AD522),ROUND($AD522*Header!$K$3,2),"")</f>
      </c>
      <c r="AP522" s="39">
        <f>IF(ISNUMBER($AD522),ROUND($AD522*Header!$M$3,2),"")</f>
      </c>
      <c r="AQ522" s="38">
        <f>IF(ISNUMBER($AD522),ROUND($AD522,2)-$AO522-$AP522,"")</f>
      </c>
      <c r="AR522" s="39">
        <f>IF(ISNUMBER($AD522),IF(Header!$D$34="","?",$AD522*Header!$D$34),"")</f>
      </c>
      <c r="AS522" s="39">
        <f>IF(ISNUMBER($AB522),IF(Header!$D$34="","?",$AB522*Header!$D$34),"")</f>
      </c>
      <c r="AT522" s="42">
        <f>IF(AND(ISNUMBER($AB522),$M522&gt;0),$AB522/$M522*100,"")</f>
      </c>
      <c r="AU522" s="42">
        <f>IF(AND(ISNUMBER($AD522),$M522&gt;0),$AD522/$M522*100,"")</f>
      </c>
      <c r="AV522" s="40">
        <f>IF(AND(ISNUMBER($AB522),ISNUMBER($AD522),ABS($AB522)&gt;0),$AD522/$AB522,"")</f>
      </c>
      <c r="AW522" s="39">
        <f>IF(ISNUMBER($AD522),MAX(0,(1-0.55-Header!$O$3)*Header!$Q$3*$AQ522),"")</f>
      </c>
      <c r="AX522" s="43">
        <f>IF($A522="","",IF(TRIM(IF($A522="","Missing certificate ref. ","") &amp; IF($C522="","Missing effective date. ","") &amp; IF($D522="","Missing binding status. ","") &amp; IF($E522="","Missing movement type. ","") &amp; IF($I522="","Missing make. ","") &amp; IF($L522="","Missing vehicle class. ","") &amp; IF($M522="","Missing agreed value. ","") &amp; IF($N522="","Missing policy type. ","") &amp; IF($Q522="","Missing garaging state. ","") &amp; IF($R522="","Missing garaging ZIP. ","") &amp; IF($S522="","Missing cat zone. ","") &amp; IF($V522="","Missing valuation basis. ","") &amp; IF($W522="","Missing PD deductible. ","") &amp; IF($X522="","Missing liability limit. ","") &amp; IF($AB522="","Missing technical premium. ","") &amp; IF($AF522="","Missing surplus lines tax %. ",""))="","PASS","FAIL: "&amp;TRIM(IF($A522="","Missing certificate ref. ","") &amp; IF($C522="","Missing effective date. ","") &amp; IF($D522="","Missing binding status. ","") &amp; IF($E522="","Missing movement type. ","") &amp; IF($I522="","Missing make. ","") &amp; IF($L522="","Missing vehicle class. ","") &amp; IF($M522="","Missing agreed value. ","") &amp; IF($N522="","Missing policy type. ","") &amp; IF($Q522="","Missing garaging state. ","") &amp; IF($R522="","Missing garaging ZIP. ","") &amp; IF($S522="","Missing cat zone. ","") &amp; IF($V522="","Missing valuation basis. ","") &amp; IF($W522="","Missing PD deductible. ","") &amp; IF($X522="","Missing liability limit. ","") &amp; IF($AB522="","Missing technical premium. ","") &amp; IF($AF522="","Missing surplus lines tax %. ",""))))</f>
      </c>
      <c r="AY522" s="44">
        <f>IF($M522="","",IF(ISNUMBER($M522),IF($M522&gt;=Header!$C$18,"YES — refer","No"),""))</f>
      </c>
      <c r="AZ522" s="44">
        <f>IF($AD522="","",IF(ISNUMBER($AD522),IF($AD522&lt;Header!$C$20,"BELOW MIN PREMIUM","OK"),""))</f>
      </c>
      <c r="BA522" s="48" t="inlineStr">
        <is>
          <t xml:space="preserve">Yes</t>
        </is>
      </c>
      <c r="BB522" s="48" t="inlineStr">
        <is>
          <t xml:space="preserve">Yes</t>
        </is>
      </c>
      <c r="BC522" s="46" t="inlineStr">
        <is>
          <t xml:space="preserve">Synthetic demo data</t>
        </is>
      </c>
      <c r="BE522" s="45">
        <f>IF(OR($A522="",$L522="",$H522=""),"",IF(AND(LEFT($L522,2)="06",$H522&gt;1945),"FAIL - pre-war class, year "&amp;$H522,IF(AND(LEFT($L522,2)="07",OR($H522&lt;1946,$H522&gt;1972)),"FAIL - 1946-72 class, year "&amp;$H522,IF(AND(LEFT($L522,2)="08",OR($H522&lt;1973,$H522&gt;1999)),"FAIL - 1973-99 class, year "&amp;$H522,IF(AND(LEFT($L522,2)="09",OR($H522&lt;2000,$H522&gt;2010)),"FAIL - 2000-10 class, year "&amp;$H522,"OK")))))</f>
      </c>
      <c r="BF522" s="45">
        <f>IF($AD522="","",IF(ROUND($AO522+$AP522+$AQ522-$AD522,2)=0,"OK","FAIL - out by "&amp;TEXT($AO522+$AP522+$AQ522-$AD522,"$0.00")))</f>
      </c>
    </row>
    <row r="523" spans="1:58" ht="18.75" customHeight="1" x14ac:dyDescent="0.25">
      <c r="A523" s="30" t="inlineStr">
        <is>
          <t xml:space="preserve">CANON-202511-002885</t>
        </is>
      </c>
      <c r="B523" s="30" t="inlineStr">
        <is>
          <t xml:space="preserve">Fitzgerald Merriweather</t>
        </is>
      </c>
      <c r="C523" s="31">
        <v>45962</v>
      </c>
      <c r="D523" s="32" t="inlineStr">
        <is>
          <t xml:space="preserve">Bound - within authority</t>
        </is>
      </c>
      <c r="E523" s="32" t="inlineStr">
        <is>
          <t xml:space="preserve">New business</t>
        </is>
      </c>
      <c r="F523" s="30" t="inlineStr">
        <is>
          <t xml:space="preserve">B1234EXOTIC26</t>
        </is>
      </c>
      <c r="G523" s="33">
        <f>IF($A523="","",IF($C523="","",YEAR($C523)))</f>
      </c>
      <c r="H523" s="34">
        <v>1992</v>
      </c>
      <c r="I523" s="30" t="inlineStr">
        <is>
          <t xml:space="preserve">Lamborghini</t>
        </is>
      </c>
      <c r="J523" s="30" t="inlineStr">
        <is>
          <t xml:space="preserve">Huracan EVO</t>
        </is>
      </c>
      <c r="K523" s="30" t="inlineStr">
        <is>
          <t xml:space="preserve">2NPZ5GMF8WBW324ZZ</t>
        </is>
      </c>
      <c r="L523" s="32" t="inlineStr">
        <is>
          <t xml:space="preserve">03 - Supercar</t>
        </is>
      </c>
      <c r="M523" s="35">
        <v>1540000</v>
      </c>
      <c r="N523" s="32" t="inlineStr">
        <is>
          <t xml:space="preserve">Personal</t>
        </is>
      </c>
      <c r="O523" s="30" t="inlineStr">
        <is>
          <t xml:space="preserve">Personal - regular use</t>
        </is>
      </c>
      <c r="P523" s="30" t="inlineStr">
        <is>
          <t xml:space="preserve">2,500 - 5,000</t>
        </is>
      </c>
      <c r="Q523" s="30" t="inlineStr">
        <is>
          <t xml:space="preserve">Illinois</t>
        </is>
      </c>
      <c r="R523" s="30" t="inlineStr">
        <is>
          <t xml:space="preserve">60601</t>
        </is>
      </c>
      <c r="S523" s="32" t="inlineStr">
        <is>
          <t xml:space="preserve">Severe convective - hail / tornado (moderate)</t>
        </is>
      </c>
      <c r="T523" s="36">
        <f>IF($A523="","",IF($S523="","",IFERROR(INDEX('[1]natural catastrophe'!$D$6:$D$17,MATCH($S523,'[1]natural catastrophe'!$B$6:$B$17,0)),"?")))</f>
      </c>
      <c r="U523" s="30" t="inlineStr">
        <is>
          <t xml:space="preserve">$5,000</t>
        </is>
      </c>
      <c r="V523" s="32" t="inlineStr">
        <is>
          <t xml:space="preserve">Agreed Value</t>
        </is>
      </c>
      <c r="W523" s="30" t="inlineStr">
        <is>
          <t xml:space="preserve">$1,000</t>
        </is>
      </c>
      <c r="X523" s="32" t="inlineStr">
        <is>
          <t xml:space="preserve">$1,000,000 CSL</t>
        </is>
      </c>
      <c r="Y523" s="30"/>
      <c r="Z523" s="30"/>
      <c r="AA523" s="32" t="inlineStr">
        <is>
          <t xml:space="preserve">Surplus Lines</t>
        </is>
      </c>
      <c r="AB523" s="35">
        <v>29065.53</v>
      </c>
      <c r="AC523" s="37">
        <v>0</v>
      </c>
      <c r="AD523" s="38">
        <f>IF(ISNUMBER($AB523),$AB523*(1+N($AC523)),"")</f>
      </c>
      <c r="AE523" s="35">
        <v>350</v>
      </c>
      <c r="AF523" s="35">
        <v>250</v>
      </c>
      <c r="AG523" s="37"/>
      <c r="AH523" s="39">
        <f>IF(ISNUMBER($AD523),($AD523+$AE523+$AF523)*$AG523,"")</f>
      </c>
      <c r="AI523" s="35"/>
      <c r="AJ523" s="38">
        <f>IF(ISNUMBER($AD523),SUM($AD523:$AH523),"")</f>
      </c>
      <c r="AK523" s="40">
        <f>IF(AND(ISNUMBER($AB523),ISNUMBER($AD523)),IF($AB523&gt;0,$AD523/$AB523,""),"")</f>
      </c>
      <c r="AL523" s="32" t="inlineStr">
        <is>
          <t xml:space="preserve">At technical</t>
        </is>
      </c>
      <c r="AM523" s="41">
        <f>IF(ISNUMBER($AD523),Header!$I$3,"")</f>
      </c>
      <c r="AN523" s="39">
        <f>IF(ISNUMBER($AD523),$AO523+$AP523,"")</f>
      </c>
      <c r="AO523" s="39">
        <f>IF(ISNUMBER($AD523),ROUND($AD523*Header!$K$3,2),"")</f>
      </c>
      <c r="AP523" s="39">
        <f>IF(ISNUMBER($AD523),ROUND($AD523*Header!$M$3,2),"")</f>
      </c>
      <c r="AQ523" s="38">
        <f>IF(ISNUMBER($AD523),ROUND($AD523,2)-$AO523-$AP523,"")</f>
      </c>
      <c r="AR523" s="39">
        <f>IF(ISNUMBER($AD523),IF(Header!$D$34="","?",$AD523*Header!$D$34),"")</f>
      </c>
      <c r="AS523" s="39">
        <f>IF(ISNUMBER($AB523),IF(Header!$D$34="","?",$AB523*Header!$D$34),"")</f>
      </c>
      <c r="AT523" s="42">
        <f>IF(AND(ISNUMBER($AB523),$M523&gt;0),$AB523/$M523*100,"")</f>
      </c>
      <c r="AU523" s="42">
        <f>IF(AND(ISNUMBER($AD523),$M523&gt;0),$AD523/$M523*100,"")</f>
      </c>
      <c r="AV523" s="40">
        <f>IF(AND(ISNUMBER($AB523),ISNUMBER($AD523),ABS($AB523)&gt;0),$AD523/$AB523,"")</f>
      </c>
      <c r="AW523" s="39">
        <f>IF(ISNUMBER($AD523),MAX(0,(1-0.55-Header!$O$3)*Header!$Q$3*$AQ523),"")</f>
      </c>
      <c r="AX523" s="43">
        <f>IF($A523="","",IF(TRIM(IF($A523="","Missing certificate ref. ","") &amp; IF($C523="","Missing effective date. ","") &amp; IF($D523="","Missing binding status. ","") &amp; IF($E523="","Missing movement type. ","") &amp; IF($I523="","Missing make. ","") &amp; IF($L523="","Missing vehicle class. ","") &amp; IF($M523="","Missing agreed value. ","") &amp; IF($N523="","Missing policy type. ","") &amp; IF($Q523="","Missing garaging state. ","") &amp; IF($R523="","Missing garaging ZIP. ","") &amp; IF($S523="","Missing cat zone. ","") &amp; IF($V523="","Missing valuation basis. ","") &amp; IF($W523="","Missing PD deductible. ","") &amp; IF($X523="","Missing liability limit. ","") &amp; IF($AB523="","Missing technical premium. ","") &amp; IF($AF523="","Missing surplus lines tax %. ",""))="","PASS","FAIL: "&amp;TRIM(IF($A523="","Missing certificate ref. ","") &amp; IF($C523="","Missing effective date. ","") &amp; IF($D523="","Missing binding status. ","") &amp; IF($E523="","Missing movement type. ","") &amp; IF($I523="","Missing make. ","") &amp; IF($L523="","Missing vehicle class. ","") &amp; IF($M523="","Missing agreed value. ","") &amp; IF($N523="","Missing policy type. ","") &amp; IF($Q523="","Missing garaging state. ","") &amp; IF($R523="","Missing garaging ZIP. ","") &amp; IF($S523="","Missing cat zone. ","") &amp; IF($V523="","Missing valuation basis. ","") &amp; IF($W523="","Missing PD deductible. ","") &amp; IF($X523="","Missing liability limit. ","") &amp; IF($AB523="","Missing technical premium. ","") &amp; IF($AF523="","Missing surplus lines tax %. ",""))))</f>
      </c>
      <c r="AY523" s="44">
        <f>IF($M523="","",IF(ISNUMBER($M523),IF($M523&gt;=Header!$C$18,"YES — refer","No"),""))</f>
      </c>
      <c r="AZ523" s="44">
        <f>IF($AD523="","",IF(ISNUMBER($AD523),IF($AD523&lt;Header!$C$20,"BELOW MIN PREMIUM","OK"),""))</f>
      </c>
      <c r="BA523" s="32" t="inlineStr">
        <is>
          <t xml:space="preserve">Yes</t>
        </is>
      </c>
      <c r="BB523" s="32" t="inlineStr">
        <is>
          <t xml:space="preserve">Yes</t>
        </is>
      </c>
      <c r="BC523" s="30" t="inlineStr">
        <is>
          <t xml:space="preserve">Synthetic demo data</t>
        </is>
      </c>
      <c r="BE523" s="45">
        <f>IF(OR($A523="",$L523="",$H523=""),"",IF(AND(LEFT($L523,2)="06",$H523&gt;1945),"FAIL - pre-war class, year "&amp;$H523,IF(AND(LEFT($L523,2)="07",OR($H523&lt;1946,$H523&gt;1972)),"FAIL - 1946-72 class, year "&amp;$H523,IF(AND(LEFT($L523,2)="08",OR($H523&lt;1973,$H523&gt;1999)),"FAIL - 1973-99 class, year "&amp;$H523,IF(AND(LEFT($L523,2)="09",OR($H523&lt;2000,$H523&gt;2010)),"FAIL - 2000-10 class, year "&amp;$H523,"OK")))))</f>
      </c>
      <c r="BF523" s="45">
        <f>IF($AD523="","",IF(ROUND($AO523+$AP523+$AQ523-$AD523,2)=0,"OK","FAIL - out by "&amp;TEXT($AO523+$AP523+$AQ523-$AD523,"$0.00")))</f>
      </c>
    </row>
    <row r="524" spans="1:58" ht="18.75" customHeight="1" x14ac:dyDescent="0.25">
      <c r="A524" s="46" t="inlineStr">
        <is>
          <t xml:space="preserve">CANON-202511-002886</t>
        </is>
      </c>
      <c r="B524" s="46" t="inlineStr">
        <is>
          <t xml:space="preserve">Anouk Harrington</t>
        </is>
      </c>
      <c r="C524" s="47">
        <v>45990</v>
      </c>
      <c r="D524" s="48" t="inlineStr">
        <is>
          <t xml:space="preserve">Bound - within authority</t>
        </is>
      </c>
      <c r="E524" s="48" t="inlineStr">
        <is>
          <t xml:space="preserve">New business</t>
        </is>
      </c>
      <c r="F524" s="46" t="inlineStr">
        <is>
          <t xml:space="preserve">B1234EXOTIC26</t>
        </is>
      </c>
      <c r="G524" s="33">
        <f>IF($A524="","",IF($C524="","",YEAR($C524)))</f>
      </c>
      <c r="H524" s="49">
        <v>1975</v>
      </c>
      <c r="I524" s="46" t="inlineStr">
        <is>
          <t xml:space="preserve">Aston Martin</t>
        </is>
      </c>
      <c r="J524" s="46" t="inlineStr">
        <is>
          <t xml:space="preserve">DB12</t>
        </is>
      </c>
      <c r="K524" s="46" t="inlineStr">
        <is>
          <t xml:space="preserve">ABSUPFADLDY8SPPPE</t>
        </is>
      </c>
      <c r="L524" s="48" t="inlineStr">
        <is>
          <t xml:space="preserve">02 - Sports / GT</t>
        </is>
      </c>
      <c r="M524" s="50">
        <v>1660000</v>
      </c>
      <c r="N524" s="48" t="inlineStr">
        <is>
          <t xml:space="preserve">Personal</t>
        </is>
      </c>
      <c r="O524" s="46" t="inlineStr">
        <is>
          <t xml:space="preserve">Personal - regular use</t>
        </is>
      </c>
      <c r="P524" s="46" t="inlineStr">
        <is>
          <t xml:space="preserve">1,000 - 2,500</t>
        </is>
      </c>
      <c r="Q524" s="46" t="inlineStr">
        <is>
          <t xml:space="preserve">Texas</t>
        </is>
      </c>
      <c r="R524" s="46" t="inlineStr">
        <is>
          <t xml:space="preserve">75201</t>
        </is>
      </c>
      <c r="S524" s="48" t="inlineStr">
        <is>
          <t xml:space="preserve">Tier 2 - Coastal wind (1-25 miles)</t>
        </is>
      </c>
      <c r="T524" s="36">
        <f>IF($A524="","",IF($S524="","",IFERROR(INDEX('[1]natural catastrophe'!$D$6:$D$17,MATCH($S524,'[1]natural catastrophe'!$B$6:$B$17,0)),"?")))</f>
      </c>
      <c r="U524" s="46" t="inlineStr">
        <is>
          <t xml:space="preserve">2% of agreed value, minimum $10,000</t>
        </is>
      </c>
      <c r="V524" s="48" t="inlineStr">
        <is>
          <t xml:space="preserve">Agreed Value</t>
        </is>
      </c>
      <c r="W524" s="46" t="inlineStr">
        <is>
          <t xml:space="preserve">$1,000</t>
        </is>
      </c>
      <c r="X524" s="48" t="inlineStr">
        <is>
          <t xml:space="preserve">$1,000,000 CSL</t>
        </is>
      </c>
      <c r="Y524" s="46"/>
      <c r="Z524" s="46"/>
      <c r="AA524" s="48" t="inlineStr">
        <is>
          <t xml:space="preserve">Surplus Lines</t>
        </is>
      </c>
      <c r="AB524" s="50">
        <v>18213.66</v>
      </c>
      <c r="AC524" s="51">
        <v>0</v>
      </c>
      <c r="AD524" s="38">
        <f>IF(ISNUMBER($AB524),$AB524*(1+N($AC524)),"")</f>
      </c>
      <c r="AE524" s="50">
        <v>350</v>
      </c>
      <c r="AF524" s="50">
        <v>250</v>
      </c>
      <c r="AG524" s="51"/>
      <c r="AH524" s="39">
        <f>IF(ISNUMBER($AD524),($AD524+$AE524+$AF524)*$AG524,"")</f>
      </c>
      <c r="AI524" s="50"/>
      <c r="AJ524" s="38">
        <f>IF(ISNUMBER($AD524),SUM($AD524:$AH524),"")</f>
      </c>
      <c r="AK524" s="40">
        <f>IF(AND(ISNUMBER($AB524),ISNUMBER($AD524)),IF($AB524&gt;0,$AD524/$AB524,""),"")</f>
      </c>
      <c r="AL524" s="48" t="inlineStr">
        <is>
          <t xml:space="preserve">At technical</t>
        </is>
      </c>
      <c r="AM524" s="41">
        <f>IF(ISNUMBER($AD524),Header!$I$3,"")</f>
      </c>
      <c r="AN524" s="39">
        <f>IF(ISNUMBER($AD524),$AO524+$AP524,"")</f>
      </c>
      <c r="AO524" s="39">
        <f>IF(ISNUMBER($AD524),ROUND($AD524*Header!$K$3,2),"")</f>
      </c>
      <c r="AP524" s="39">
        <f>IF(ISNUMBER($AD524),ROUND($AD524*Header!$M$3,2),"")</f>
      </c>
      <c r="AQ524" s="38">
        <f>IF(ISNUMBER($AD524),ROUND($AD524,2)-$AO524-$AP524,"")</f>
      </c>
      <c r="AR524" s="39">
        <f>IF(ISNUMBER($AD524),IF(Header!$D$34="","?",$AD524*Header!$D$34),"")</f>
      </c>
      <c r="AS524" s="39">
        <f>IF(ISNUMBER($AB524),IF(Header!$D$34="","?",$AB524*Header!$D$34),"")</f>
      </c>
      <c r="AT524" s="42">
        <f>IF(AND(ISNUMBER($AB524),$M524&gt;0),$AB524/$M524*100,"")</f>
      </c>
      <c r="AU524" s="42">
        <f>IF(AND(ISNUMBER($AD524),$M524&gt;0),$AD524/$M524*100,"")</f>
      </c>
      <c r="AV524" s="40">
        <f>IF(AND(ISNUMBER($AB524),ISNUMBER($AD524),ABS($AB524)&gt;0),$AD524/$AB524,"")</f>
      </c>
      <c r="AW524" s="39">
        <f>IF(ISNUMBER($AD524),MAX(0,(1-0.55-Header!$O$3)*Header!$Q$3*$AQ524),"")</f>
      </c>
      <c r="AX524" s="43">
        <f>IF($A524="","",IF(TRIM(IF($A524="","Missing certificate ref. ","") &amp; IF($C524="","Missing effective date. ","") &amp; IF($D524="","Missing binding status. ","") &amp; IF($E524="","Missing movement type. ","") &amp; IF($I524="","Missing make. ","") &amp; IF($L524="","Missing vehicle class. ","") &amp; IF($M524="","Missing agreed value. ","") &amp; IF($N524="","Missing policy type. ","") &amp; IF($Q524="","Missing garaging state. ","") &amp; IF($R524="","Missing garaging ZIP. ","") &amp; IF($S524="","Missing cat zone. ","") &amp; IF($V524="","Missing valuation basis. ","") &amp; IF($W524="","Missing PD deductible. ","") &amp; IF($X524="","Missing liability limit. ","") &amp; IF($AB524="","Missing technical premium. ","") &amp; IF($AF524="","Missing surplus lines tax %. ",""))="","PASS","FAIL: "&amp;TRIM(IF($A524="","Missing certificate ref. ","") &amp; IF($C524="","Missing effective date. ","") &amp; IF($D524="","Missing binding status. ","") &amp; IF($E524="","Missing movement type. ","") &amp; IF($I524="","Missing make. ","") &amp; IF($L524="","Missing vehicle class. ","") &amp; IF($M524="","Missing agreed value. ","") &amp; IF($N524="","Missing policy type. ","") &amp; IF($Q524="","Missing garaging state. ","") &amp; IF($R524="","Missing garaging ZIP. ","") &amp; IF($S524="","Missing cat zone. ","") &amp; IF($V524="","Missing valuation basis. ","") &amp; IF($W524="","Missing PD deductible. ","") &amp; IF($X524="","Missing liability limit. ","") &amp; IF($AB524="","Missing technical premium. ","") &amp; IF($AF524="","Missing surplus lines tax %. ",""))))</f>
      </c>
      <c r="AY524" s="44">
        <f>IF($M524="","",IF(ISNUMBER($M524),IF($M524&gt;=Header!$C$18,"YES — refer","No"),""))</f>
      </c>
      <c r="AZ524" s="44">
        <f>IF($AD524="","",IF(ISNUMBER($AD524),IF($AD524&lt;Header!$C$20,"BELOW MIN PREMIUM","OK"),""))</f>
      </c>
      <c r="BA524" s="48" t="inlineStr">
        <is>
          <t xml:space="preserve">Yes</t>
        </is>
      </c>
      <c r="BB524" s="48" t="inlineStr">
        <is>
          <t xml:space="preserve">Yes</t>
        </is>
      </c>
      <c r="BC524" s="46" t="inlineStr">
        <is>
          <t xml:space="preserve">Synthetic demo data</t>
        </is>
      </c>
      <c r="BE524" s="45">
        <f>IF(OR($A524="",$L524="",$H524=""),"",IF(AND(LEFT($L524,2)="06",$H524&gt;1945),"FAIL - pre-war class, year "&amp;$H524,IF(AND(LEFT($L524,2)="07",OR($H524&lt;1946,$H524&gt;1972)),"FAIL - 1946-72 class, year "&amp;$H524,IF(AND(LEFT($L524,2)="08",OR($H524&lt;1973,$H524&gt;1999)),"FAIL - 1973-99 class, year "&amp;$H524,IF(AND(LEFT($L524,2)="09",OR($H524&lt;2000,$H524&gt;2010)),"FAIL - 2000-10 class, year "&amp;$H524,"OK")))))</f>
      </c>
      <c r="BF524" s="45">
        <f>IF($AD524="","",IF(ROUND($AO524+$AP524+$AQ524-$AD524,2)=0,"OK","FAIL - out by "&amp;TEXT($AO524+$AP524+$AQ524-$AD524,"$0.00")))</f>
      </c>
    </row>
    <row r="525" spans="1:58" ht="18.75" customHeight="1" x14ac:dyDescent="0.25">
      <c r="A525" s="30" t="inlineStr">
        <is>
          <t xml:space="preserve">CANON-202511-002887</t>
        </is>
      </c>
      <c r="B525" s="30" t="inlineStr">
        <is>
          <t xml:space="preserve">Sunniva Bellandi</t>
        </is>
      </c>
      <c r="C525" s="31">
        <v>45987</v>
      </c>
      <c r="D525" s="32" t="inlineStr">
        <is>
          <t xml:space="preserve">Bound - within authority</t>
        </is>
      </c>
      <c r="E525" s="32" t="inlineStr">
        <is>
          <t xml:space="preserve">New business</t>
        </is>
      </c>
      <c r="F525" s="30" t="inlineStr">
        <is>
          <t xml:space="preserve">B1234EXOTIC26</t>
        </is>
      </c>
      <c r="G525" s="33">
        <f>IF($A525="","",IF($C525="","",YEAR($C525)))</f>
      </c>
      <c r="H525" s="34">
        <v>1993</v>
      </c>
      <c r="I525" s="30" t="inlineStr">
        <is>
          <t xml:space="preserve">Porsche</t>
        </is>
      </c>
      <c r="J525" s="30" t="inlineStr">
        <is>
          <t xml:space="preserve">911 Turbo S</t>
        </is>
      </c>
      <c r="K525" s="30" t="inlineStr">
        <is>
          <t xml:space="preserve">8XT48EJAK1Z073TFN</t>
        </is>
      </c>
      <c r="L525" s="32" t="inlineStr">
        <is>
          <t xml:space="preserve">02 - Sports / GT</t>
        </is>
      </c>
      <c r="M525" s="35">
        <v>1195000</v>
      </c>
      <c r="N525" s="32" t="inlineStr">
        <is>
          <t xml:space="preserve">Personal</t>
        </is>
      </c>
      <c r="O525" s="30" t="inlineStr">
        <is>
          <t xml:space="preserve">Personal - regular use</t>
        </is>
      </c>
      <c r="P525" s="30" t="inlineStr">
        <is>
          <t xml:space="preserve">1,000 - 2,500</t>
        </is>
      </c>
      <c r="Q525" s="30" t="inlineStr">
        <is>
          <t xml:space="preserve">Massachusetts</t>
        </is>
      </c>
      <c r="R525" s="30" t="inlineStr">
        <is>
          <t xml:space="preserve">02108</t>
        </is>
      </c>
      <c r="S525" s="32" t="inlineStr">
        <is>
          <t xml:space="preserve">Tier 3 - Coastal wind (25-100 miles)</t>
        </is>
      </c>
      <c r="T525" s="36">
        <f>IF($A525="","",IF($S525="","",IFERROR(INDEX('[1]natural catastrophe'!$D$6:$D$17,MATCH($S525,'[1]natural catastrophe'!$B$6:$B$17,0)),"?")))</f>
      </c>
      <c r="U525" s="30" t="inlineStr">
        <is>
          <t xml:space="preserve">2% of agreed value, minimum $10,000</t>
        </is>
      </c>
      <c r="V525" s="32" t="inlineStr">
        <is>
          <t xml:space="preserve">Agreed Value</t>
        </is>
      </c>
      <c r="W525" s="30" t="inlineStr">
        <is>
          <t xml:space="preserve">$1,000</t>
        </is>
      </c>
      <c r="X525" s="32" t="inlineStr">
        <is>
          <t xml:space="preserve">$1,000,000 CSL</t>
        </is>
      </c>
      <c r="Y525" s="30"/>
      <c r="Z525" s="30"/>
      <c r="AA525" s="32" t="inlineStr">
        <is>
          <t xml:space="preserve">Surplus Lines</t>
        </is>
      </c>
      <c r="AB525" s="35">
        <v>14251.78</v>
      </c>
      <c r="AC525" s="37">
        <v>0</v>
      </c>
      <c r="AD525" s="38">
        <f>IF(ISNUMBER($AB525),$AB525*(1+N($AC525)),"")</f>
      </c>
      <c r="AE525" s="35">
        <v>350</v>
      </c>
      <c r="AF525" s="35">
        <v>250</v>
      </c>
      <c r="AG525" s="37"/>
      <c r="AH525" s="39">
        <f>IF(ISNUMBER($AD525),($AD525+$AE525+$AF525)*$AG525,"")</f>
      </c>
      <c r="AI525" s="35"/>
      <c r="AJ525" s="38">
        <f>IF(ISNUMBER($AD525),SUM($AD525:$AH525),"")</f>
      </c>
      <c r="AK525" s="40">
        <f>IF(AND(ISNUMBER($AB525),ISNUMBER($AD525)),IF($AB525&gt;0,$AD525/$AB525,""),"")</f>
      </c>
      <c r="AL525" s="32" t="inlineStr">
        <is>
          <t xml:space="preserve">At technical</t>
        </is>
      </c>
      <c r="AM525" s="41">
        <f>IF(ISNUMBER($AD525),Header!$I$3,"")</f>
      </c>
      <c r="AN525" s="39">
        <f>IF(ISNUMBER($AD525),$AO525+$AP525,"")</f>
      </c>
      <c r="AO525" s="39">
        <f>IF(ISNUMBER($AD525),ROUND($AD525*Header!$K$3,2),"")</f>
      </c>
      <c r="AP525" s="39">
        <f>IF(ISNUMBER($AD525),ROUND($AD525*Header!$M$3,2),"")</f>
      </c>
      <c r="AQ525" s="38">
        <f>IF(ISNUMBER($AD525),ROUND($AD525,2)-$AO525-$AP525,"")</f>
      </c>
      <c r="AR525" s="39">
        <f>IF(ISNUMBER($AD525),IF(Header!$D$34="","?",$AD525*Header!$D$34),"")</f>
      </c>
      <c r="AS525" s="39">
        <f>IF(ISNUMBER($AB525),IF(Header!$D$34="","?",$AB525*Header!$D$34),"")</f>
      </c>
      <c r="AT525" s="42">
        <f>IF(AND(ISNUMBER($AB525),$M525&gt;0),$AB525/$M525*100,"")</f>
      </c>
      <c r="AU525" s="42">
        <f>IF(AND(ISNUMBER($AD525),$M525&gt;0),$AD525/$M525*100,"")</f>
      </c>
      <c r="AV525" s="40">
        <f>IF(AND(ISNUMBER($AB525),ISNUMBER($AD525),ABS($AB525)&gt;0),$AD525/$AB525,"")</f>
      </c>
      <c r="AW525" s="39">
        <f>IF(ISNUMBER($AD525),MAX(0,(1-0.55-Header!$O$3)*Header!$Q$3*$AQ525),"")</f>
      </c>
      <c r="AX525" s="43">
        <f>IF($A525="","",IF(TRIM(IF($A525="","Missing certificate ref. ","") &amp; IF($C525="","Missing effective date. ","") &amp; IF($D525="","Missing binding status. ","") &amp; IF($E525="","Missing movement type. ","") &amp; IF($I525="","Missing make. ","") &amp; IF($L525="","Missing vehicle class. ","") &amp; IF($M525="","Missing agreed value. ","") &amp; IF($N525="","Missing policy type. ","") &amp; IF($Q525="","Missing garaging state. ","") &amp; IF($R525="","Missing garaging ZIP. ","") &amp; IF($S525="","Missing cat zone. ","") &amp; IF($V525="","Missing valuation basis. ","") &amp; IF($W525="","Missing PD deductible. ","") &amp; IF($X525="","Missing liability limit. ","") &amp; IF($AB525="","Missing technical premium. ","") &amp; IF($AF525="","Missing surplus lines tax %. ",""))="","PASS","FAIL: "&amp;TRIM(IF($A525="","Missing certificate ref. ","") &amp; IF($C525="","Missing effective date. ","") &amp; IF($D525="","Missing binding status. ","") &amp; IF($E525="","Missing movement type. ","") &amp; IF($I525="","Missing make. ","") &amp; IF($L525="","Missing vehicle class. ","") &amp; IF($M525="","Missing agreed value. ","") &amp; IF($N525="","Missing policy type. ","") &amp; IF($Q525="","Missing garaging state. ","") &amp; IF($R525="","Missing garaging ZIP. ","") &amp; IF($S525="","Missing cat zone. ","") &amp; IF($V525="","Missing valuation basis. ","") &amp; IF($W525="","Missing PD deductible. ","") &amp; IF($X525="","Missing liability limit. ","") &amp; IF($AB525="","Missing technical premium. ","") &amp; IF($AF525="","Missing surplus lines tax %. ",""))))</f>
      </c>
      <c r="AY525" s="44">
        <f>IF($M525="","",IF(ISNUMBER($M525),IF($M525&gt;=Header!$C$18,"YES — refer","No"),""))</f>
      </c>
      <c r="AZ525" s="44">
        <f>IF($AD525="","",IF(ISNUMBER($AD525),IF($AD525&lt;Header!$C$20,"BELOW MIN PREMIUM","OK"),""))</f>
      </c>
      <c r="BA525" s="32" t="inlineStr">
        <is>
          <t xml:space="preserve">Yes</t>
        </is>
      </c>
      <c r="BB525" s="32" t="inlineStr">
        <is>
          <t xml:space="preserve">Yes</t>
        </is>
      </c>
      <c r="BC525" s="30" t="inlineStr">
        <is>
          <t xml:space="preserve">Synthetic demo data</t>
        </is>
      </c>
      <c r="BE525" s="45">
        <f>IF(OR($A525="",$L525="",$H525=""),"",IF(AND(LEFT($L525,2)="06",$H525&gt;1945),"FAIL - pre-war class, year "&amp;$H525,IF(AND(LEFT($L525,2)="07",OR($H525&lt;1946,$H525&gt;1972)),"FAIL - 1946-72 class, year "&amp;$H525,IF(AND(LEFT($L525,2)="08",OR($H525&lt;1973,$H525&gt;1999)),"FAIL - 1973-99 class, year "&amp;$H525,IF(AND(LEFT($L525,2)="09",OR($H525&lt;2000,$H525&gt;2010)),"FAIL - 2000-10 class, year "&amp;$H525,"OK")))))</f>
      </c>
      <c r="BF525" s="45">
        <f>IF($AD525="","",IF(ROUND($AO525+$AP525+$AQ525-$AD525,2)=0,"OK","FAIL - out by "&amp;TEXT($AO525+$AP525+$AQ525-$AD525,"$0.00")))</f>
      </c>
    </row>
    <row r="526" spans="1:58" ht="18.75" customHeight="1" x14ac:dyDescent="0.25">
      <c r="A526" s="46" t="inlineStr">
        <is>
          <t xml:space="preserve">CANON-202511-002888</t>
        </is>
      </c>
      <c r="B526" s="46" t="inlineStr">
        <is>
          <t xml:space="preserve">Wilhelmina Vandermeer</t>
        </is>
      </c>
      <c r="C526" s="47">
        <v>45976</v>
      </c>
      <c r="D526" s="48" t="inlineStr">
        <is>
          <t xml:space="preserve">Bound - within authority</t>
        </is>
      </c>
      <c r="E526" s="48" t="inlineStr">
        <is>
          <t xml:space="preserve">New business</t>
        </is>
      </c>
      <c r="F526" s="46" t="inlineStr">
        <is>
          <t xml:space="preserve">B1234EXOTIC26</t>
        </is>
      </c>
      <c r="G526" s="33">
        <f>IF($A526="","",IF($C526="","",YEAR($C526)))</f>
      </c>
      <c r="H526" s="49">
        <v>2007</v>
      </c>
      <c r="I526" s="46" t="inlineStr">
        <is>
          <t xml:space="preserve">Bentley</t>
        </is>
      </c>
      <c r="J526" s="46" t="inlineStr">
        <is>
          <t xml:space="preserve">Continental GT</t>
        </is>
      </c>
      <c r="K526" s="46" t="inlineStr">
        <is>
          <t xml:space="preserve">XAKWBX4RWC1RG1SDG</t>
        </is>
      </c>
      <c r="L526" s="48" t="inlineStr">
        <is>
          <t xml:space="preserve">02 - Sports / GT</t>
        </is>
      </c>
      <c r="M526" s="50">
        <v>310000</v>
      </c>
      <c r="N526" s="48" t="inlineStr">
        <is>
          <t xml:space="preserve">Personal</t>
        </is>
      </c>
      <c r="O526" s="46" t="inlineStr">
        <is>
          <t xml:space="preserve">Personal - regular use</t>
        </is>
      </c>
      <c r="P526" s="46" t="inlineStr">
        <is>
          <t xml:space="preserve">1,000 - 2,500</t>
        </is>
      </c>
      <c r="Q526" s="46" t="inlineStr">
        <is>
          <t xml:space="preserve">Maryland</t>
        </is>
      </c>
      <c r="R526" s="46" t="inlineStr">
        <is>
          <t xml:space="preserve">21201</t>
        </is>
      </c>
      <c r="S526" s="48" t="inlineStr">
        <is>
          <t xml:space="preserve">Tier 3 - Coastal wind (25-100 miles)</t>
        </is>
      </c>
      <c r="T526" s="36">
        <f>IF($A526="","",IF($S526="","",IFERROR(INDEX('[1]natural catastrophe'!$D$6:$D$17,MATCH($S526,'[1]natural catastrophe'!$B$6:$B$17,0)),"?")))</f>
      </c>
      <c r="U526" s="46" t="inlineStr">
        <is>
          <t xml:space="preserve">2% of agreed value, minimum $10,000</t>
        </is>
      </c>
      <c r="V526" s="48" t="inlineStr">
        <is>
          <t xml:space="preserve">Agreed Value</t>
        </is>
      </c>
      <c r="W526" s="46" t="inlineStr">
        <is>
          <t xml:space="preserve">$1,000</t>
        </is>
      </c>
      <c r="X526" s="48" t="inlineStr">
        <is>
          <t xml:space="preserve">$1,000,000 CSL</t>
        </is>
      </c>
      <c r="Y526" s="46"/>
      <c r="Z526" s="46"/>
      <c r="AA526" s="48" t="inlineStr">
        <is>
          <t xml:space="preserve">Surplus Lines</t>
        </is>
      </c>
      <c r="AB526" s="50">
        <v>3831.55</v>
      </c>
      <c r="AC526" s="51">
        <v>0</v>
      </c>
      <c r="AD526" s="38">
        <f>IF(ISNUMBER($AB526),$AB526*(1+N($AC526)),"")</f>
      </c>
      <c r="AE526" s="50">
        <v>350</v>
      </c>
      <c r="AF526" s="50">
        <v>0</v>
      </c>
      <c r="AG526" s="51"/>
      <c r="AH526" s="39">
        <f>IF(ISNUMBER($AD526),($AD526+$AE526+$AF526)*$AG526,"")</f>
      </c>
      <c r="AI526" s="50"/>
      <c r="AJ526" s="38">
        <f>IF(ISNUMBER($AD526),SUM($AD526:$AH526),"")</f>
      </c>
      <c r="AK526" s="40">
        <f>IF(AND(ISNUMBER($AB526),ISNUMBER($AD526)),IF($AB526&gt;0,$AD526/$AB526,""),"")</f>
      </c>
      <c r="AL526" s="48" t="inlineStr">
        <is>
          <t xml:space="preserve">At technical</t>
        </is>
      </c>
      <c r="AM526" s="41">
        <f>IF(ISNUMBER($AD526),Header!$I$3,"")</f>
      </c>
      <c r="AN526" s="39">
        <f>IF(ISNUMBER($AD526),$AO526+$AP526,"")</f>
      </c>
      <c r="AO526" s="39">
        <f>IF(ISNUMBER($AD526),ROUND($AD526*Header!$K$3,2),"")</f>
      </c>
      <c r="AP526" s="39">
        <f>IF(ISNUMBER($AD526),ROUND($AD526*Header!$M$3,2),"")</f>
      </c>
      <c r="AQ526" s="38">
        <f>IF(ISNUMBER($AD526),ROUND($AD526,2)-$AO526-$AP526,"")</f>
      </c>
      <c r="AR526" s="39">
        <f>IF(ISNUMBER($AD526),IF(Header!$D$34="","?",$AD526*Header!$D$34),"")</f>
      </c>
      <c r="AS526" s="39">
        <f>IF(ISNUMBER($AB526),IF(Header!$D$34="","?",$AB526*Header!$D$34),"")</f>
      </c>
      <c r="AT526" s="42">
        <f>IF(AND(ISNUMBER($AB526),$M526&gt;0),$AB526/$M526*100,"")</f>
      </c>
      <c r="AU526" s="42">
        <f>IF(AND(ISNUMBER($AD526),$M526&gt;0),$AD526/$M526*100,"")</f>
      </c>
      <c r="AV526" s="40">
        <f>IF(AND(ISNUMBER($AB526),ISNUMBER($AD526),ABS($AB526)&gt;0),$AD526/$AB526,"")</f>
      </c>
      <c r="AW526" s="39">
        <f>IF(ISNUMBER($AD526),MAX(0,(1-0.55-Header!$O$3)*Header!$Q$3*$AQ526),"")</f>
      </c>
      <c r="AX526" s="43">
        <f>IF($A526="","",IF(TRIM(IF($A526="","Missing certificate ref. ","") &amp; IF($C526="","Missing effective date. ","") &amp; IF($D526="","Missing binding status. ","") &amp; IF($E526="","Missing movement type. ","") &amp; IF($I526="","Missing make. ","") &amp; IF($L526="","Missing vehicle class. ","") &amp; IF($M526="","Missing agreed value. ","") &amp; IF($N526="","Missing policy type. ","") &amp; IF($Q526="","Missing garaging state. ","") &amp; IF($R526="","Missing garaging ZIP. ","") &amp; IF($S526="","Missing cat zone. ","") &amp; IF($V526="","Missing valuation basis. ","") &amp; IF($W526="","Missing PD deductible. ","") &amp; IF($X526="","Missing liability limit. ","") &amp; IF($AB526="","Missing technical premium. ","") &amp; IF($AF526="","Missing surplus lines tax %. ",""))="","PASS","FAIL: "&amp;TRIM(IF($A526="","Missing certificate ref. ","") &amp; IF($C526="","Missing effective date. ","") &amp; IF($D526="","Missing binding status. ","") &amp; IF($E526="","Missing movement type. ","") &amp; IF($I526="","Missing make. ","") &amp; IF($L526="","Missing vehicle class. ","") &amp; IF($M526="","Missing agreed value. ","") &amp; IF($N526="","Missing policy type. ","") &amp; IF($Q526="","Missing garaging state. ","") &amp; IF($R526="","Missing garaging ZIP. ","") &amp; IF($S526="","Missing cat zone. ","") &amp; IF($V526="","Missing valuation basis. ","") &amp; IF($W526="","Missing PD deductible. ","") &amp; IF($X526="","Missing liability limit. ","") &amp; IF($AB526="","Missing technical premium. ","") &amp; IF($AF526="","Missing surplus lines tax %. ",""))))</f>
      </c>
      <c r="AY526" s="44">
        <f>IF($M526="","",IF(ISNUMBER($M526),IF($M526&gt;=Header!$C$18,"YES — refer","No"),""))</f>
      </c>
      <c r="AZ526" s="44">
        <f>IF($AD526="","",IF(ISNUMBER($AD526),IF($AD526&lt;Header!$C$20,"BELOW MIN PREMIUM","OK"),""))</f>
      </c>
      <c r="BA526" s="48" t="inlineStr">
        <is>
          <t xml:space="preserve">Yes</t>
        </is>
      </c>
      <c r="BB526" s="48" t="inlineStr">
        <is>
          <t xml:space="preserve">Yes</t>
        </is>
      </c>
      <c r="BC526" s="46" t="inlineStr">
        <is>
          <t xml:space="preserve">Synthetic demo data</t>
        </is>
      </c>
      <c r="BE526" s="45">
        <f>IF(OR($A526="",$L526="",$H526=""),"",IF(AND(LEFT($L526,2)="06",$H526&gt;1945),"FAIL - pre-war class, year "&amp;$H526,IF(AND(LEFT($L526,2)="07",OR($H526&lt;1946,$H526&gt;1972)),"FAIL - 1946-72 class, year "&amp;$H526,IF(AND(LEFT($L526,2)="08",OR($H526&lt;1973,$H526&gt;1999)),"FAIL - 1973-99 class, year "&amp;$H526,IF(AND(LEFT($L526,2)="09",OR($H526&lt;2000,$H526&gt;2010)),"FAIL - 2000-10 class, year "&amp;$H526,"OK")))))</f>
      </c>
      <c r="BF526" s="45">
        <f>IF($AD526="","",IF(ROUND($AO526+$AP526+$AQ526-$AD526,2)=0,"OK","FAIL - out by "&amp;TEXT($AO526+$AP526+$AQ526-$AD526,"$0.00")))</f>
      </c>
    </row>
    <row r="527" spans="1:58" ht="18.75" customHeight="1" x14ac:dyDescent="0.25">
      <c r="A527" s="30" t="inlineStr">
        <is>
          <t xml:space="preserve">CANON-202511-002889</t>
        </is>
      </c>
      <c r="B527" s="30" t="inlineStr">
        <is>
          <t xml:space="preserve">Leopold Delacroix</t>
        </is>
      </c>
      <c r="C527" s="31">
        <v>45976</v>
      </c>
      <c r="D527" s="32" t="inlineStr">
        <is>
          <t xml:space="preserve">Bound - within authority</t>
        </is>
      </c>
      <c r="E527" s="32" t="inlineStr">
        <is>
          <t xml:space="preserve">New business</t>
        </is>
      </c>
      <c r="F527" s="30" t="inlineStr">
        <is>
          <t xml:space="preserve">B1234EXOTIC26</t>
        </is>
      </c>
      <c r="G527" s="33">
        <f>IF($A527="","",IF($C527="","",YEAR($C527)))</f>
      </c>
      <c r="H527" s="34">
        <v>2004</v>
      </c>
      <c r="I527" s="30" t="inlineStr">
        <is>
          <t xml:space="preserve">Aston Martin</t>
        </is>
      </c>
      <c r="J527" s="30" t="inlineStr">
        <is>
          <t xml:space="preserve">DB12</t>
        </is>
      </c>
      <c r="K527" s="30" t="inlineStr">
        <is>
          <t xml:space="preserve">MES2AL8X31MA4D81T</t>
        </is>
      </c>
      <c r="L527" s="32" t="inlineStr">
        <is>
          <t xml:space="preserve">02 - Sports / GT</t>
        </is>
      </c>
      <c r="M527" s="35">
        <v>335000</v>
      </c>
      <c r="N527" s="32" t="inlineStr">
        <is>
          <t xml:space="preserve">Personal</t>
        </is>
      </c>
      <c r="O527" s="30" t="inlineStr">
        <is>
          <t xml:space="preserve">Personal - regular use</t>
        </is>
      </c>
      <c r="P527" s="30" t="inlineStr">
        <is>
          <t xml:space="preserve">1,000 - 2,500</t>
        </is>
      </c>
      <c r="Q527" s="30" t="inlineStr">
        <is>
          <t xml:space="preserve">Massachusetts</t>
        </is>
      </c>
      <c r="R527" s="30" t="inlineStr">
        <is>
          <t xml:space="preserve">02108</t>
        </is>
      </c>
      <c r="S527" s="32" t="inlineStr">
        <is>
          <t xml:space="preserve">Tier 3 - Coastal wind (25-100 miles)</t>
        </is>
      </c>
      <c r="T527" s="36">
        <f>IF($A527="","",IF($S527="","",IFERROR(INDEX('[1]natural catastrophe'!$D$6:$D$17,MATCH($S527,'[1]natural catastrophe'!$B$6:$B$17,0)),"?")))</f>
      </c>
      <c r="U527" s="30" t="inlineStr">
        <is>
          <t xml:space="preserve">2% of agreed value, minimum $10,000</t>
        </is>
      </c>
      <c r="V527" s="32" t="inlineStr">
        <is>
          <t xml:space="preserve">Agreed Value</t>
        </is>
      </c>
      <c r="W527" s="30" t="inlineStr">
        <is>
          <t xml:space="preserve">$1,000</t>
        </is>
      </c>
      <c r="X527" s="32" t="inlineStr">
        <is>
          <t xml:space="preserve">$1,000,000 CSL</t>
        </is>
      </c>
      <c r="Y527" s="30"/>
      <c r="Z527" s="30"/>
      <c r="AA527" s="32" t="inlineStr">
        <is>
          <t xml:space="preserve">Surplus Lines</t>
        </is>
      </c>
      <c r="AB527" s="35">
        <v>5448.1</v>
      </c>
      <c r="AC527" s="37">
        <v>0</v>
      </c>
      <c r="AD527" s="38">
        <f>IF(ISNUMBER($AB527),$AB527*(1+N($AC527)),"")</f>
      </c>
      <c r="AE527" s="35">
        <v>350</v>
      </c>
      <c r="AF527" s="35">
        <v>0</v>
      </c>
      <c r="AG527" s="37"/>
      <c r="AH527" s="39">
        <f>IF(ISNUMBER($AD527),($AD527+$AE527+$AF527)*$AG527,"")</f>
      </c>
      <c r="AI527" s="35"/>
      <c r="AJ527" s="38">
        <f>IF(ISNUMBER($AD527),SUM($AD527:$AH527),"")</f>
      </c>
      <c r="AK527" s="40">
        <f>IF(AND(ISNUMBER($AB527),ISNUMBER($AD527)),IF($AB527&gt;0,$AD527/$AB527,""),"")</f>
      </c>
      <c r="AL527" s="32" t="inlineStr">
        <is>
          <t xml:space="preserve">At technical</t>
        </is>
      </c>
      <c r="AM527" s="41">
        <f>IF(ISNUMBER($AD527),Header!$I$3,"")</f>
      </c>
      <c r="AN527" s="39">
        <f>IF(ISNUMBER($AD527),$AO527+$AP527,"")</f>
      </c>
      <c r="AO527" s="39">
        <f>IF(ISNUMBER($AD527),ROUND($AD527*Header!$K$3,2),"")</f>
      </c>
      <c r="AP527" s="39">
        <f>IF(ISNUMBER($AD527),ROUND($AD527*Header!$M$3,2),"")</f>
      </c>
      <c r="AQ527" s="38">
        <f>IF(ISNUMBER($AD527),ROUND($AD527,2)-$AO527-$AP527,"")</f>
      </c>
      <c r="AR527" s="39">
        <f>IF(ISNUMBER($AD527),IF(Header!$D$34="","?",$AD527*Header!$D$34),"")</f>
      </c>
      <c r="AS527" s="39">
        <f>IF(ISNUMBER($AB527),IF(Header!$D$34="","?",$AB527*Header!$D$34),"")</f>
      </c>
      <c r="AT527" s="42">
        <f>IF(AND(ISNUMBER($AB527),$M527&gt;0),$AB527/$M527*100,"")</f>
      </c>
      <c r="AU527" s="42">
        <f>IF(AND(ISNUMBER($AD527),$M527&gt;0),$AD527/$M527*100,"")</f>
      </c>
      <c r="AV527" s="40">
        <f>IF(AND(ISNUMBER($AB527),ISNUMBER($AD527),ABS($AB527)&gt;0),$AD527/$AB527,"")</f>
      </c>
      <c r="AW527" s="39">
        <f>IF(ISNUMBER($AD527),MAX(0,(1-0.55-Header!$O$3)*Header!$Q$3*$AQ527),"")</f>
      </c>
      <c r="AX527" s="43">
        <f>IF($A527="","",IF(TRIM(IF($A527="","Missing certificate ref. ","") &amp; IF($C527="","Missing effective date. ","") &amp; IF($D527="","Missing binding status. ","") &amp; IF($E527="","Missing movement type. ","") &amp; IF($I527="","Missing make. ","") &amp; IF($L527="","Missing vehicle class. ","") &amp; IF($M527="","Missing agreed value. ","") &amp; IF($N527="","Missing policy type. ","") &amp; IF($Q527="","Missing garaging state. ","") &amp; IF($R527="","Missing garaging ZIP. ","") &amp; IF($S527="","Missing cat zone. ","") &amp; IF($V527="","Missing valuation basis. ","") &amp; IF($W527="","Missing PD deductible. ","") &amp; IF($X527="","Missing liability limit. ","") &amp; IF($AB527="","Missing technical premium. ","") &amp; IF($AF527="","Missing surplus lines tax %. ",""))="","PASS","FAIL: "&amp;TRIM(IF($A527="","Missing certificate ref. ","") &amp; IF($C527="","Missing effective date. ","") &amp; IF($D527="","Missing binding status. ","") &amp; IF($E527="","Missing movement type. ","") &amp; IF($I527="","Missing make. ","") &amp; IF($L527="","Missing vehicle class. ","") &amp; IF($M527="","Missing agreed value. ","") &amp; IF($N527="","Missing policy type. ","") &amp; IF($Q527="","Missing garaging state. ","") &amp; IF($R527="","Missing garaging ZIP. ","") &amp; IF($S527="","Missing cat zone. ","") &amp; IF($V527="","Missing valuation basis. ","") &amp; IF($W527="","Missing PD deductible. ","") &amp; IF($X527="","Missing liability limit. ","") &amp; IF($AB527="","Missing technical premium. ","") &amp; IF($AF527="","Missing surplus lines tax %. ",""))))</f>
      </c>
      <c r="AY527" s="44">
        <f>IF($M527="","",IF(ISNUMBER($M527),IF($M527&gt;=Header!$C$18,"YES — refer","No"),""))</f>
      </c>
      <c r="AZ527" s="44">
        <f>IF($AD527="","",IF(ISNUMBER($AD527),IF($AD527&lt;Header!$C$20,"BELOW MIN PREMIUM","OK"),""))</f>
      </c>
      <c r="BA527" s="32" t="inlineStr">
        <is>
          <t xml:space="preserve">Yes</t>
        </is>
      </c>
      <c r="BB527" s="32" t="inlineStr">
        <is>
          <t xml:space="preserve">Yes</t>
        </is>
      </c>
      <c r="BC527" s="30" t="inlineStr">
        <is>
          <t xml:space="preserve">Synthetic demo data</t>
        </is>
      </c>
      <c r="BE527" s="45">
        <f>IF(OR($A527="",$L527="",$H527=""),"",IF(AND(LEFT($L527,2)="06",$H527&gt;1945),"FAIL - pre-war class, year "&amp;$H527,IF(AND(LEFT($L527,2)="07",OR($H527&lt;1946,$H527&gt;1972)),"FAIL - 1946-72 class, year "&amp;$H527,IF(AND(LEFT($L527,2)="08",OR($H527&lt;1973,$H527&gt;1999)),"FAIL - 1973-99 class, year "&amp;$H527,IF(AND(LEFT($L527,2)="09",OR($H527&lt;2000,$H527&gt;2010)),"FAIL - 2000-10 class, year "&amp;$H527,"OK")))))</f>
      </c>
      <c r="BF527" s="45">
        <f>IF($AD527="","",IF(ROUND($AO527+$AP527+$AQ527-$AD527,2)=0,"OK","FAIL - out by "&amp;TEXT($AO527+$AP527+$AQ527-$AD527,"$0.00")))</f>
      </c>
    </row>
    <row r="528" spans="1:58" ht="18.75" customHeight="1" x14ac:dyDescent="0.25">
      <c r="A528" s="46" t="inlineStr">
        <is>
          <t xml:space="preserve">CANON-202511-002890</t>
        </is>
      </c>
      <c r="B528" s="46" t="inlineStr">
        <is>
          <t xml:space="preserve">Fenwick Ashcombe</t>
        </is>
      </c>
      <c r="C528" s="47">
        <v>45968</v>
      </c>
      <c r="D528" s="48" t="inlineStr">
        <is>
          <t xml:space="preserve">Bound - within authority</t>
        </is>
      </c>
      <c r="E528" s="48" t="inlineStr">
        <is>
          <t xml:space="preserve">New business</t>
        </is>
      </c>
      <c r="F528" s="46" t="inlineStr">
        <is>
          <t xml:space="preserve">B1234EXOTIC26</t>
        </is>
      </c>
      <c r="G528" s="33">
        <f>IF($A528="","",IF($C528="","",YEAR($C528)))</f>
      </c>
      <c r="H528" s="49">
        <v>2021</v>
      </c>
      <c r="I528" s="46" t="inlineStr">
        <is>
          <t xml:space="preserve">Maserati</t>
        </is>
      </c>
      <c r="J528" s="46" t="inlineStr">
        <is>
          <t xml:space="preserve">GranTurismo</t>
        </is>
      </c>
      <c r="K528" s="46" t="inlineStr">
        <is>
          <t xml:space="preserve">RHX58BGT29UPECVWR</t>
        </is>
      </c>
      <c r="L528" s="48" t="inlineStr">
        <is>
          <t xml:space="preserve">02 - Sports / GT</t>
        </is>
      </c>
      <c r="M528" s="50">
        <v>360000</v>
      </c>
      <c r="N528" s="48" t="inlineStr">
        <is>
          <t xml:space="preserve">Personal</t>
        </is>
      </c>
      <c r="O528" s="46" t="inlineStr">
        <is>
          <t xml:space="preserve">Personal - regular use</t>
        </is>
      </c>
      <c r="P528" s="46" t="inlineStr">
        <is>
          <t xml:space="preserve">2,500 - 5,000</t>
        </is>
      </c>
      <c r="Q528" s="46" t="inlineStr">
        <is>
          <t xml:space="preserve">Indiana</t>
        </is>
      </c>
      <c r="R528" s="46" t="inlineStr">
        <is>
          <t xml:space="preserve">46204</t>
        </is>
      </c>
      <c r="S528" s="48" t="inlineStr">
        <is>
          <t xml:space="preserve">Severe convective - hail / tornado (moderate)</t>
        </is>
      </c>
      <c r="T528" s="36">
        <f>IF($A528="","",IF($S528="","",IFERROR(INDEX('[1]natural catastrophe'!$D$6:$D$17,MATCH($S528,'[1]natural catastrophe'!$B$6:$B$17,0)),"?")))</f>
      </c>
      <c r="U528" s="46" t="inlineStr">
        <is>
          <t xml:space="preserve">$5,000</t>
        </is>
      </c>
      <c r="V528" s="48" t="inlineStr">
        <is>
          <t xml:space="preserve">Agreed Value</t>
        </is>
      </c>
      <c r="W528" s="46" t="inlineStr">
        <is>
          <t xml:space="preserve">$1,000</t>
        </is>
      </c>
      <c r="X528" s="48" t="inlineStr">
        <is>
          <t xml:space="preserve">$1,000,000 CSL</t>
        </is>
      </c>
      <c r="Y528" s="46"/>
      <c r="Z528" s="46"/>
      <c r="AA528" s="48" t="inlineStr">
        <is>
          <t xml:space="preserve">Surplus Lines</t>
        </is>
      </c>
      <c r="AB528" s="50">
        <v>5761</v>
      </c>
      <c r="AC528" s="51">
        <v>0</v>
      </c>
      <c r="AD528" s="38">
        <f>IF(ISNUMBER($AB528),$AB528*(1+N($AC528)),"")</f>
      </c>
      <c r="AE528" s="50">
        <v>350</v>
      </c>
      <c r="AF528" s="50">
        <v>0</v>
      </c>
      <c r="AG528" s="51"/>
      <c r="AH528" s="39">
        <f>IF(ISNUMBER($AD528),($AD528+$AE528+$AF528)*$AG528,"")</f>
      </c>
      <c r="AI528" s="50"/>
      <c r="AJ528" s="38">
        <f>IF(ISNUMBER($AD528),SUM($AD528:$AH528),"")</f>
      </c>
      <c r="AK528" s="40">
        <f>IF(AND(ISNUMBER($AB528),ISNUMBER($AD528)),IF($AB528&gt;0,$AD528/$AB528,""),"")</f>
      </c>
      <c r="AL528" s="48" t="inlineStr">
        <is>
          <t xml:space="preserve">At technical</t>
        </is>
      </c>
      <c r="AM528" s="41">
        <f>IF(ISNUMBER($AD528),Header!$I$3,"")</f>
      </c>
      <c r="AN528" s="39">
        <f>IF(ISNUMBER($AD528),$AO528+$AP528,"")</f>
      </c>
      <c r="AO528" s="39">
        <f>IF(ISNUMBER($AD528),ROUND($AD528*Header!$K$3,2),"")</f>
      </c>
      <c r="AP528" s="39">
        <f>IF(ISNUMBER($AD528),ROUND($AD528*Header!$M$3,2),"")</f>
      </c>
      <c r="AQ528" s="38">
        <f>IF(ISNUMBER($AD528),ROUND($AD528,2)-$AO528-$AP528,"")</f>
      </c>
      <c r="AR528" s="39">
        <f>IF(ISNUMBER($AD528),IF(Header!$D$34="","?",$AD528*Header!$D$34),"")</f>
      </c>
      <c r="AS528" s="39">
        <f>IF(ISNUMBER($AB528),IF(Header!$D$34="","?",$AB528*Header!$D$34),"")</f>
      </c>
      <c r="AT528" s="42">
        <f>IF(AND(ISNUMBER($AB528),$M528&gt;0),$AB528/$M528*100,"")</f>
      </c>
      <c r="AU528" s="42">
        <f>IF(AND(ISNUMBER($AD528),$M528&gt;0),$AD528/$M528*100,"")</f>
      </c>
      <c r="AV528" s="40">
        <f>IF(AND(ISNUMBER($AB528),ISNUMBER($AD528),ABS($AB528)&gt;0),$AD528/$AB528,"")</f>
      </c>
      <c r="AW528" s="39">
        <f>IF(ISNUMBER($AD528),MAX(0,(1-0.55-Header!$O$3)*Header!$Q$3*$AQ528),"")</f>
      </c>
      <c r="AX528" s="43">
        <f>IF($A528="","",IF(TRIM(IF($A528="","Missing certificate ref. ","") &amp; IF($C528="","Missing effective date. ","") &amp; IF($D528="","Missing binding status. ","") &amp; IF($E528="","Missing movement type. ","") &amp; IF($I528="","Missing make. ","") &amp; IF($L528="","Missing vehicle class. ","") &amp; IF($M528="","Missing agreed value. ","") &amp; IF($N528="","Missing policy type. ","") &amp; IF($Q528="","Missing garaging state. ","") &amp; IF($R528="","Missing garaging ZIP. ","") &amp; IF($S528="","Missing cat zone. ","") &amp; IF($V528="","Missing valuation basis. ","") &amp; IF($W528="","Missing PD deductible. ","") &amp; IF($X528="","Missing liability limit. ","") &amp; IF($AB528="","Missing technical premium. ","") &amp; IF($AF528="","Missing surplus lines tax %. ",""))="","PASS","FAIL: "&amp;TRIM(IF($A528="","Missing certificate ref. ","") &amp; IF($C528="","Missing effective date. ","") &amp; IF($D528="","Missing binding status. ","") &amp; IF($E528="","Missing movement type. ","") &amp; IF($I528="","Missing make. ","") &amp; IF($L528="","Missing vehicle class. ","") &amp; IF($M528="","Missing agreed value. ","") &amp; IF($N528="","Missing policy type. ","") &amp; IF($Q528="","Missing garaging state. ","") &amp; IF($R528="","Missing garaging ZIP. ","") &amp; IF($S528="","Missing cat zone. ","") &amp; IF($V528="","Missing valuation basis. ","") &amp; IF($W528="","Missing PD deductible. ","") &amp; IF($X528="","Missing liability limit. ","") &amp; IF($AB528="","Missing technical premium. ","") &amp; IF($AF528="","Missing surplus lines tax %. ",""))))</f>
      </c>
      <c r="AY528" s="44">
        <f>IF($M528="","",IF(ISNUMBER($M528),IF($M528&gt;=Header!$C$18,"YES — refer","No"),""))</f>
      </c>
      <c r="AZ528" s="44">
        <f>IF($AD528="","",IF(ISNUMBER($AD528),IF($AD528&lt;Header!$C$20,"BELOW MIN PREMIUM","OK"),""))</f>
      </c>
      <c r="BA528" s="48" t="inlineStr">
        <is>
          <t xml:space="preserve">Yes</t>
        </is>
      </c>
      <c r="BB528" s="48" t="inlineStr">
        <is>
          <t xml:space="preserve">Yes</t>
        </is>
      </c>
      <c r="BC528" s="46" t="inlineStr">
        <is>
          <t xml:space="preserve">Synthetic demo data</t>
        </is>
      </c>
      <c r="BE528" s="45">
        <f>IF(OR($A528="",$L528="",$H528=""),"",IF(AND(LEFT($L528,2)="06",$H528&gt;1945),"FAIL - pre-war class, year "&amp;$H528,IF(AND(LEFT($L528,2)="07",OR($H528&lt;1946,$H528&gt;1972)),"FAIL - 1946-72 class, year "&amp;$H528,IF(AND(LEFT($L528,2)="08",OR($H528&lt;1973,$H528&gt;1999)),"FAIL - 1973-99 class, year "&amp;$H528,IF(AND(LEFT($L528,2)="09",OR($H528&lt;2000,$H528&gt;2010)),"FAIL - 2000-10 class, year "&amp;$H528,"OK")))))</f>
      </c>
      <c r="BF528" s="45">
        <f>IF($AD528="","",IF(ROUND($AO528+$AP528+$AQ528-$AD528,2)=0,"OK","FAIL - out by "&amp;TEXT($AO528+$AP528+$AQ528-$AD528,"$0.00")))</f>
      </c>
    </row>
    <row r="529" spans="1:58" ht="18.75" customHeight="1" x14ac:dyDescent="0.25">
      <c r="A529" s="30" t="inlineStr">
        <is>
          <t xml:space="preserve">CANON-202511-002891</t>
        </is>
      </c>
      <c r="B529" s="30" t="inlineStr">
        <is>
          <t xml:space="preserve">Lorenzo Delacroix</t>
        </is>
      </c>
      <c r="C529" s="31">
        <v>45962</v>
      </c>
      <c r="D529" s="32" t="inlineStr">
        <is>
          <t xml:space="preserve">Bound - within authority</t>
        </is>
      </c>
      <c r="E529" s="32" t="inlineStr">
        <is>
          <t xml:space="preserve">New business</t>
        </is>
      </c>
      <c r="F529" s="30" t="inlineStr">
        <is>
          <t xml:space="preserve">B1234EXOTIC26</t>
        </is>
      </c>
      <c r="G529" s="33">
        <f>IF($A529="","",IF($C529="","",YEAR($C529)))</f>
      </c>
      <c r="H529" s="34">
        <v>1997</v>
      </c>
      <c r="I529" s="30" t="inlineStr">
        <is>
          <t xml:space="preserve">Ringbrothers</t>
        </is>
      </c>
      <c r="J529" s="30" t="inlineStr">
        <is>
          <t xml:space="preserve">Mustang</t>
        </is>
      </c>
      <c r="K529" s="30" t="inlineStr">
        <is>
          <t xml:space="preserve">J8N9R7L65HG74AMZ5</t>
        </is>
      </c>
      <c r="L529" s="32" t="inlineStr">
        <is>
          <t xml:space="preserve">11 - Restomod / Coachbuilt / Bespoke</t>
        </is>
      </c>
      <c r="M529" s="35">
        <v>1055000</v>
      </c>
      <c r="N529" s="32" t="inlineStr">
        <is>
          <t xml:space="preserve">Personal</t>
        </is>
      </c>
      <c r="O529" s="30" t="inlineStr">
        <is>
          <t xml:space="preserve">Personal - regular use</t>
        </is>
      </c>
      <c r="P529" s="30" t="inlineStr">
        <is>
          <t xml:space="preserve">2,500 - 5,000</t>
        </is>
      </c>
      <c r="Q529" s="30" t="inlineStr">
        <is>
          <t xml:space="preserve">Louisiana</t>
        </is>
      </c>
      <c r="R529" s="30" t="inlineStr">
        <is>
          <t xml:space="preserve">70112</t>
        </is>
      </c>
      <c r="S529" s="32" t="inlineStr">
        <is>
          <t xml:space="preserve">Tier 2 - Coastal wind (1-25 miles)</t>
        </is>
      </c>
      <c r="T529" s="36">
        <f>IF($A529="","",IF($S529="","",IFERROR(INDEX('[1]natural catastrophe'!$D$6:$D$17,MATCH($S529,'[1]natural catastrophe'!$B$6:$B$17,0)),"?")))</f>
      </c>
      <c r="U529" s="30" t="inlineStr">
        <is>
          <t xml:space="preserve">2% of agreed value, minimum $10,000</t>
        </is>
      </c>
      <c r="V529" s="32" t="inlineStr">
        <is>
          <t xml:space="preserve">Agreed Value</t>
        </is>
      </c>
      <c r="W529" s="30" t="inlineStr">
        <is>
          <t xml:space="preserve">$1,000</t>
        </is>
      </c>
      <c r="X529" s="32" t="inlineStr">
        <is>
          <t xml:space="preserve">$1,000,000 CSL</t>
        </is>
      </c>
      <c r="Y529" s="30"/>
      <c r="Z529" s="30"/>
      <c r="AA529" s="32" t="inlineStr">
        <is>
          <t xml:space="preserve">Surplus Lines</t>
        </is>
      </c>
      <c r="AB529" s="35">
        <v>15058.28</v>
      </c>
      <c r="AC529" s="37">
        <v>0</v>
      </c>
      <c r="AD529" s="38">
        <f>IF(ISNUMBER($AB529),$AB529*(1+N($AC529)),"")</f>
      </c>
      <c r="AE529" s="35">
        <v>350</v>
      </c>
      <c r="AF529" s="35">
        <v>250</v>
      </c>
      <c r="AG529" s="37"/>
      <c r="AH529" s="39">
        <f>IF(ISNUMBER($AD529),($AD529+$AE529+$AF529)*$AG529,"")</f>
      </c>
      <c r="AI529" s="35"/>
      <c r="AJ529" s="38">
        <f>IF(ISNUMBER($AD529),SUM($AD529:$AH529),"")</f>
      </c>
      <c r="AK529" s="40">
        <f>IF(AND(ISNUMBER($AB529),ISNUMBER($AD529)),IF($AB529&gt;0,$AD529/$AB529,""),"")</f>
      </c>
      <c r="AL529" s="32" t="inlineStr">
        <is>
          <t xml:space="preserve">At technical</t>
        </is>
      </c>
      <c r="AM529" s="41">
        <f>IF(ISNUMBER($AD529),Header!$I$3,"")</f>
      </c>
      <c r="AN529" s="39">
        <f>IF(ISNUMBER($AD529),$AO529+$AP529,"")</f>
      </c>
      <c r="AO529" s="39">
        <f>IF(ISNUMBER($AD529),ROUND($AD529*Header!$K$3,2),"")</f>
      </c>
      <c r="AP529" s="39">
        <f>IF(ISNUMBER($AD529),ROUND($AD529*Header!$M$3,2),"")</f>
      </c>
      <c r="AQ529" s="38">
        <f>IF(ISNUMBER($AD529),ROUND($AD529,2)-$AO529-$AP529,"")</f>
      </c>
      <c r="AR529" s="39">
        <f>IF(ISNUMBER($AD529),IF(Header!$D$34="","?",$AD529*Header!$D$34),"")</f>
      </c>
      <c r="AS529" s="39">
        <f>IF(ISNUMBER($AB529),IF(Header!$D$34="","?",$AB529*Header!$D$34),"")</f>
      </c>
      <c r="AT529" s="42">
        <f>IF(AND(ISNUMBER($AB529),$M529&gt;0),$AB529/$M529*100,"")</f>
      </c>
      <c r="AU529" s="42">
        <f>IF(AND(ISNUMBER($AD529),$M529&gt;0),$AD529/$M529*100,"")</f>
      </c>
      <c r="AV529" s="40">
        <f>IF(AND(ISNUMBER($AB529),ISNUMBER($AD529),ABS($AB529)&gt;0),$AD529/$AB529,"")</f>
      </c>
      <c r="AW529" s="39">
        <f>IF(ISNUMBER($AD529),MAX(0,(1-0.55-Header!$O$3)*Header!$Q$3*$AQ529),"")</f>
      </c>
      <c r="AX529" s="43">
        <f>IF($A529="","",IF(TRIM(IF($A529="","Missing certificate ref. ","") &amp; IF($C529="","Missing effective date. ","") &amp; IF($D529="","Missing binding status. ","") &amp; IF($E529="","Missing movement type. ","") &amp; IF($I529="","Missing make. ","") &amp; IF($L529="","Missing vehicle class. ","") &amp; IF($M529="","Missing agreed value. ","") &amp; IF($N529="","Missing policy type. ","") &amp; IF($Q529="","Missing garaging state. ","") &amp; IF($R529="","Missing garaging ZIP. ","") &amp; IF($S529="","Missing cat zone. ","") &amp; IF($V529="","Missing valuation basis. ","") &amp; IF($W529="","Missing PD deductible. ","") &amp; IF($X529="","Missing liability limit. ","") &amp; IF($AB529="","Missing technical premium. ","") &amp; IF($AF529="","Missing surplus lines tax %. ",""))="","PASS","FAIL: "&amp;TRIM(IF($A529="","Missing certificate ref. ","") &amp; IF($C529="","Missing effective date. ","") &amp; IF($D529="","Missing binding status. ","") &amp; IF($E529="","Missing movement type. ","") &amp; IF($I529="","Missing make. ","") &amp; IF($L529="","Missing vehicle class. ","") &amp; IF($M529="","Missing agreed value. ","") &amp; IF($N529="","Missing policy type. ","") &amp; IF($Q529="","Missing garaging state. ","") &amp; IF($R529="","Missing garaging ZIP. ","") &amp; IF($S529="","Missing cat zone. ","") &amp; IF($V529="","Missing valuation basis. ","") &amp; IF($W529="","Missing PD deductible. ","") &amp; IF($X529="","Missing liability limit. ","") &amp; IF($AB529="","Missing technical premium. ","") &amp; IF($AF529="","Missing surplus lines tax %. ",""))))</f>
      </c>
      <c r="AY529" s="44">
        <f>IF($M529="","",IF(ISNUMBER($M529),IF($M529&gt;=Header!$C$18,"YES — refer","No"),""))</f>
      </c>
      <c r="AZ529" s="44">
        <f>IF($AD529="","",IF(ISNUMBER($AD529),IF($AD529&lt;Header!$C$20,"BELOW MIN PREMIUM","OK"),""))</f>
      </c>
      <c r="BA529" s="32" t="inlineStr">
        <is>
          <t xml:space="preserve">Yes</t>
        </is>
      </c>
      <c r="BB529" s="32" t="inlineStr">
        <is>
          <t xml:space="preserve">Yes</t>
        </is>
      </c>
      <c r="BC529" s="30" t="inlineStr">
        <is>
          <t xml:space="preserve">Synthetic demo data</t>
        </is>
      </c>
      <c r="BE529" s="45">
        <f>IF(OR($A529="",$L529="",$H529=""),"",IF(AND(LEFT($L529,2)="06",$H529&gt;1945),"FAIL - pre-war class, year "&amp;$H529,IF(AND(LEFT($L529,2)="07",OR($H529&lt;1946,$H529&gt;1972)),"FAIL - 1946-72 class, year "&amp;$H529,IF(AND(LEFT($L529,2)="08",OR($H529&lt;1973,$H529&gt;1999)),"FAIL - 1973-99 class, year "&amp;$H529,IF(AND(LEFT($L529,2)="09",OR($H529&lt;2000,$H529&gt;2010)),"FAIL - 2000-10 class, year "&amp;$H529,"OK")))))</f>
      </c>
      <c r="BF529" s="45">
        <f>IF($AD529="","",IF(ROUND($AO529+$AP529+$AQ529-$AD529,2)=0,"OK","FAIL - out by "&amp;TEXT($AO529+$AP529+$AQ529-$AD529,"$0.00")))</f>
      </c>
    </row>
    <row r="530" spans="1:58" ht="18.75" customHeight="1" x14ac:dyDescent="0.25">
      <c r="A530" s="46" t="inlineStr">
        <is>
          <t xml:space="preserve">CANON-202511-002893</t>
        </is>
      </c>
      <c r="B530" s="46" t="inlineStr">
        <is>
          <t xml:space="preserve">Cassius Bellandi</t>
        </is>
      </c>
      <c r="C530" s="47">
        <v>45981</v>
      </c>
      <c r="D530" s="48" t="inlineStr">
        <is>
          <t xml:space="preserve">Bound - within authority</t>
        </is>
      </c>
      <c r="E530" s="48" t="inlineStr">
        <is>
          <t xml:space="preserve">New business</t>
        </is>
      </c>
      <c r="F530" s="46" t="inlineStr">
        <is>
          <t xml:space="preserve">B1234EXOTIC26</t>
        </is>
      </c>
      <c r="G530" s="33">
        <f>IF($A530="","",IF($C530="","",YEAR($C530)))</f>
      </c>
      <c r="H530" s="49">
        <v>1980</v>
      </c>
      <c r="I530" s="46" t="inlineStr">
        <is>
          <t xml:space="preserve">Aston Martin</t>
        </is>
      </c>
      <c r="J530" s="46" t="inlineStr">
        <is>
          <t xml:space="preserve">DB12</t>
        </is>
      </c>
      <c r="K530" s="46" t="inlineStr">
        <is>
          <t xml:space="preserve">LNDPHX38DSJ5H5UFB</t>
        </is>
      </c>
      <c r="L530" s="48" t="inlineStr">
        <is>
          <t xml:space="preserve">02 - Sports / GT</t>
        </is>
      </c>
      <c r="M530" s="50">
        <v>565000</v>
      </c>
      <c r="N530" s="48" t="inlineStr">
        <is>
          <t xml:space="preserve">Personal</t>
        </is>
      </c>
      <c r="O530" s="46" t="inlineStr">
        <is>
          <t xml:space="preserve">Personal - regular use</t>
        </is>
      </c>
      <c r="P530" s="46" t="inlineStr">
        <is>
          <t xml:space="preserve">Under 1,000</t>
        </is>
      </c>
      <c r="Q530" s="46" t="inlineStr">
        <is>
          <t xml:space="preserve">Florida</t>
        </is>
      </c>
      <c r="R530" s="46" t="inlineStr">
        <is>
          <t xml:space="preserve">33139</t>
        </is>
      </c>
      <c r="S530" s="48" t="inlineStr">
        <is>
          <t xml:space="preserve">Tier 2 - Coastal wind (1-25 miles)</t>
        </is>
      </c>
      <c r="T530" s="36">
        <f>IF($A530="","",IF($S530="","",IFERROR(INDEX('[1]natural catastrophe'!$D$6:$D$17,MATCH($S530,'[1]natural catastrophe'!$B$6:$B$17,0)),"?")))</f>
      </c>
      <c r="U530" s="46" t="inlineStr">
        <is>
          <t xml:space="preserve">2% of agreed value, minimum $10,000</t>
        </is>
      </c>
      <c r="V530" s="48" t="inlineStr">
        <is>
          <t xml:space="preserve">Agreed Value</t>
        </is>
      </c>
      <c r="W530" s="46" t="inlineStr">
        <is>
          <t xml:space="preserve">$1,000</t>
        </is>
      </c>
      <c r="X530" s="48" t="inlineStr">
        <is>
          <t xml:space="preserve">$1,000,000 CSL</t>
        </is>
      </c>
      <c r="Y530" s="46"/>
      <c r="Z530" s="46"/>
      <c r="AA530" s="48" t="inlineStr">
        <is>
          <t xml:space="preserve">Surplus Lines</t>
        </is>
      </c>
      <c r="AB530" s="50">
        <v>9046.46</v>
      </c>
      <c r="AC530" s="51">
        <v>0</v>
      </c>
      <c r="AD530" s="38">
        <f>IF(ISNUMBER($AB530),$AB530*(1+N($AC530)),"")</f>
      </c>
      <c r="AE530" s="50">
        <v>350</v>
      </c>
      <c r="AF530" s="50">
        <v>0</v>
      </c>
      <c r="AG530" s="51"/>
      <c r="AH530" s="39">
        <f>IF(ISNUMBER($AD530),($AD530+$AE530+$AF530)*$AG530,"")</f>
      </c>
      <c r="AI530" s="50"/>
      <c r="AJ530" s="38">
        <f>IF(ISNUMBER($AD530),SUM($AD530:$AH530),"")</f>
      </c>
      <c r="AK530" s="40">
        <f>IF(AND(ISNUMBER($AB530),ISNUMBER($AD530)),IF($AB530&gt;0,$AD530/$AB530,""),"")</f>
      </c>
      <c r="AL530" s="48" t="inlineStr">
        <is>
          <t xml:space="preserve">At technical</t>
        </is>
      </c>
      <c r="AM530" s="41">
        <f>IF(ISNUMBER($AD530),Header!$I$3,"")</f>
      </c>
      <c r="AN530" s="39">
        <f>IF(ISNUMBER($AD530),$AO530+$AP530,"")</f>
      </c>
      <c r="AO530" s="39">
        <f>IF(ISNUMBER($AD530),ROUND($AD530*Header!$K$3,2),"")</f>
      </c>
      <c r="AP530" s="39">
        <f>IF(ISNUMBER($AD530),ROUND($AD530*Header!$M$3,2),"")</f>
      </c>
      <c r="AQ530" s="38">
        <f>IF(ISNUMBER($AD530),ROUND($AD530,2)-$AO530-$AP530,"")</f>
      </c>
      <c r="AR530" s="39">
        <f>IF(ISNUMBER($AD530),IF(Header!$D$34="","?",$AD530*Header!$D$34),"")</f>
      </c>
      <c r="AS530" s="39">
        <f>IF(ISNUMBER($AB530),IF(Header!$D$34="","?",$AB530*Header!$D$34),"")</f>
      </c>
      <c r="AT530" s="42">
        <f>IF(AND(ISNUMBER($AB530),$M530&gt;0),$AB530/$M530*100,"")</f>
      </c>
      <c r="AU530" s="42">
        <f>IF(AND(ISNUMBER($AD530),$M530&gt;0),$AD530/$M530*100,"")</f>
      </c>
      <c r="AV530" s="40">
        <f>IF(AND(ISNUMBER($AB530),ISNUMBER($AD530),ABS($AB530)&gt;0),$AD530/$AB530,"")</f>
      </c>
      <c r="AW530" s="39">
        <f>IF(ISNUMBER($AD530),MAX(0,(1-0.55-Header!$O$3)*Header!$Q$3*$AQ530),"")</f>
      </c>
      <c r="AX530" s="43">
        <f>IF($A530="","",IF(TRIM(IF($A530="","Missing certificate ref. ","") &amp; IF($C530="","Missing effective date. ","") &amp; IF($D530="","Missing binding status. ","") &amp; IF($E530="","Missing movement type. ","") &amp; IF($I530="","Missing make. ","") &amp; IF($L530="","Missing vehicle class. ","") &amp; IF($M530="","Missing agreed value. ","") &amp; IF($N530="","Missing policy type. ","") &amp; IF($Q530="","Missing garaging state. ","") &amp; IF($R530="","Missing garaging ZIP. ","") &amp; IF($S530="","Missing cat zone. ","") &amp; IF($V530="","Missing valuation basis. ","") &amp; IF($W530="","Missing PD deductible. ","") &amp; IF($X530="","Missing liability limit. ","") &amp; IF($AB530="","Missing technical premium. ","") &amp; IF($AF530="","Missing surplus lines tax %. ",""))="","PASS","FAIL: "&amp;TRIM(IF($A530="","Missing certificate ref. ","") &amp; IF($C530="","Missing effective date. ","") &amp; IF($D530="","Missing binding status. ","") &amp; IF($E530="","Missing movement type. ","") &amp; IF($I530="","Missing make. ","") &amp; IF($L530="","Missing vehicle class. ","") &amp; IF($M530="","Missing agreed value. ","") &amp; IF($N530="","Missing policy type. ","") &amp; IF($Q530="","Missing garaging state. ","") &amp; IF($R530="","Missing garaging ZIP. ","") &amp; IF($S530="","Missing cat zone. ","") &amp; IF($V530="","Missing valuation basis. ","") &amp; IF($W530="","Missing PD deductible. ","") &amp; IF($X530="","Missing liability limit. ","") &amp; IF($AB530="","Missing technical premium. ","") &amp; IF($AF530="","Missing surplus lines tax %. ",""))))</f>
      </c>
      <c r="AY530" s="44">
        <f>IF($M530="","",IF(ISNUMBER($M530),IF($M530&gt;=Header!$C$18,"YES — refer","No"),""))</f>
      </c>
      <c r="AZ530" s="44">
        <f>IF($AD530="","",IF(ISNUMBER($AD530),IF($AD530&lt;Header!$C$20,"BELOW MIN PREMIUM","OK"),""))</f>
      </c>
      <c r="BA530" s="48" t="inlineStr">
        <is>
          <t xml:space="preserve">Yes</t>
        </is>
      </c>
      <c r="BB530" s="48" t="inlineStr">
        <is>
          <t xml:space="preserve">Yes</t>
        </is>
      </c>
      <c r="BC530" s="46" t="inlineStr">
        <is>
          <t xml:space="preserve">Synthetic demo data</t>
        </is>
      </c>
      <c r="BE530" s="45">
        <f>IF(OR($A530="",$L530="",$H530=""),"",IF(AND(LEFT($L530,2)="06",$H530&gt;1945),"FAIL - pre-war class, year "&amp;$H530,IF(AND(LEFT($L530,2)="07",OR($H530&lt;1946,$H530&gt;1972)),"FAIL - 1946-72 class, year "&amp;$H530,IF(AND(LEFT($L530,2)="08",OR($H530&lt;1973,$H530&gt;1999)),"FAIL - 1973-99 class, year "&amp;$H530,IF(AND(LEFT($L530,2)="09",OR($H530&lt;2000,$H530&gt;2010)),"FAIL - 2000-10 class, year "&amp;$H530,"OK")))))</f>
      </c>
      <c r="BF530" s="45">
        <f>IF($AD530="","",IF(ROUND($AO530+$AP530+$AQ530-$AD530,2)=0,"OK","FAIL - out by "&amp;TEXT($AO530+$AP530+$AQ530-$AD530,"$0.00")))</f>
      </c>
    </row>
    <row r="531" spans="1:58" ht="18.75" customHeight="1" x14ac:dyDescent="0.25">
      <c r="A531" s="30" t="inlineStr">
        <is>
          <t xml:space="preserve">CANON-202511-002895</t>
        </is>
      </c>
      <c r="B531" s="30" t="inlineStr">
        <is>
          <t xml:space="preserve">Ramona Delacroix</t>
        </is>
      </c>
      <c r="C531" s="31">
        <v>45977</v>
      </c>
      <c r="D531" s="32" t="inlineStr">
        <is>
          <t xml:space="preserve">Bound - within authority</t>
        </is>
      </c>
      <c r="E531" s="32" t="inlineStr">
        <is>
          <t xml:space="preserve">New business</t>
        </is>
      </c>
      <c r="F531" s="30" t="inlineStr">
        <is>
          <t xml:space="preserve">B1234EXOTIC26</t>
        </is>
      </c>
      <c r="G531" s="33">
        <f>IF($A531="","",IF($C531="","",YEAR($C531)))</f>
      </c>
      <c r="H531" s="34">
        <v>1988</v>
      </c>
      <c r="I531" s="30" t="inlineStr">
        <is>
          <t xml:space="preserve">Porsche</t>
        </is>
      </c>
      <c r="J531" s="30" t="inlineStr">
        <is>
          <t xml:space="preserve">911 Turbo S</t>
        </is>
      </c>
      <c r="K531" s="30" t="inlineStr">
        <is>
          <t xml:space="preserve">M6ZJPXE6G3CMUG9Y6</t>
        </is>
      </c>
      <c r="L531" s="32" t="inlineStr">
        <is>
          <t xml:space="preserve">02 - Sports / GT</t>
        </is>
      </c>
      <c r="M531" s="35">
        <v>645000</v>
      </c>
      <c r="N531" s="32" t="inlineStr">
        <is>
          <t xml:space="preserve">Personal</t>
        </is>
      </c>
      <c r="O531" s="30" t="inlineStr">
        <is>
          <t xml:space="preserve">Personal - regular use</t>
        </is>
      </c>
      <c r="P531" s="30" t="inlineStr">
        <is>
          <t xml:space="preserve">1,000 - 2,500</t>
        </is>
      </c>
      <c r="Q531" s="30" t="inlineStr">
        <is>
          <t xml:space="preserve">Texas</t>
        </is>
      </c>
      <c r="R531" s="30" t="inlineStr">
        <is>
          <t xml:space="preserve">75201</t>
        </is>
      </c>
      <c r="S531" s="32" t="inlineStr">
        <is>
          <t xml:space="preserve">Tier 2 - Coastal wind (1-25 miles)</t>
        </is>
      </c>
      <c r="T531" s="36">
        <f>IF($A531="","",IF($S531="","",IFERROR(INDEX('[1]natural catastrophe'!$D$6:$D$17,MATCH($S531,'[1]natural catastrophe'!$B$6:$B$17,0)),"?")))</f>
      </c>
      <c r="U531" s="30" t="inlineStr">
        <is>
          <t xml:space="preserve">2% of agreed value, minimum $10,000</t>
        </is>
      </c>
      <c r="V531" s="32" t="inlineStr">
        <is>
          <t xml:space="preserve">Agreed Value</t>
        </is>
      </c>
      <c r="W531" s="30" t="inlineStr">
        <is>
          <t xml:space="preserve">$1,000</t>
        </is>
      </c>
      <c r="X531" s="32" t="inlineStr">
        <is>
          <t xml:space="preserve">$1,000,000 CSL</t>
        </is>
      </c>
      <c r="Y531" s="30"/>
      <c r="Z531" s="30"/>
      <c r="AA531" s="32" t="inlineStr">
        <is>
          <t xml:space="preserve">Surplus Lines</t>
        </is>
      </c>
      <c r="AB531" s="35">
        <v>8363.72</v>
      </c>
      <c r="AC531" s="37">
        <v>0</v>
      </c>
      <c r="AD531" s="38">
        <f>IF(ISNUMBER($AB531),$AB531*(1+N($AC531)),"")</f>
      </c>
      <c r="AE531" s="35">
        <v>350</v>
      </c>
      <c r="AF531" s="35">
        <v>0</v>
      </c>
      <c r="AG531" s="37"/>
      <c r="AH531" s="39">
        <f>IF(ISNUMBER($AD531),($AD531+$AE531+$AF531)*$AG531,"")</f>
      </c>
      <c r="AI531" s="35"/>
      <c r="AJ531" s="38">
        <f>IF(ISNUMBER($AD531),SUM($AD531:$AH531),"")</f>
      </c>
      <c r="AK531" s="40">
        <f>IF(AND(ISNUMBER($AB531),ISNUMBER($AD531)),IF($AB531&gt;0,$AD531/$AB531,""),"")</f>
      </c>
      <c r="AL531" s="32" t="inlineStr">
        <is>
          <t xml:space="preserve">At technical</t>
        </is>
      </c>
      <c r="AM531" s="41">
        <f>IF(ISNUMBER($AD531),Header!$I$3,"")</f>
      </c>
      <c r="AN531" s="39">
        <f>IF(ISNUMBER($AD531),$AO531+$AP531,"")</f>
      </c>
      <c r="AO531" s="39">
        <f>IF(ISNUMBER($AD531),ROUND($AD531*Header!$K$3,2),"")</f>
      </c>
      <c r="AP531" s="39">
        <f>IF(ISNUMBER($AD531),ROUND($AD531*Header!$M$3,2),"")</f>
      </c>
      <c r="AQ531" s="38">
        <f>IF(ISNUMBER($AD531),ROUND($AD531,2)-$AO531-$AP531,"")</f>
      </c>
      <c r="AR531" s="39">
        <f>IF(ISNUMBER($AD531),IF(Header!$D$34="","?",$AD531*Header!$D$34),"")</f>
      </c>
      <c r="AS531" s="39">
        <f>IF(ISNUMBER($AB531),IF(Header!$D$34="","?",$AB531*Header!$D$34),"")</f>
      </c>
      <c r="AT531" s="42">
        <f>IF(AND(ISNUMBER($AB531),$M531&gt;0),$AB531/$M531*100,"")</f>
      </c>
      <c r="AU531" s="42">
        <f>IF(AND(ISNUMBER($AD531),$M531&gt;0),$AD531/$M531*100,"")</f>
      </c>
      <c r="AV531" s="40">
        <f>IF(AND(ISNUMBER($AB531),ISNUMBER($AD531),ABS($AB531)&gt;0),$AD531/$AB531,"")</f>
      </c>
      <c r="AW531" s="39">
        <f>IF(ISNUMBER($AD531),MAX(0,(1-0.55-Header!$O$3)*Header!$Q$3*$AQ531),"")</f>
      </c>
      <c r="AX531" s="43">
        <f>IF($A531="","",IF(TRIM(IF($A531="","Missing certificate ref. ","") &amp; IF($C531="","Missing effective date. ","") &amp; IF($D531="","Missing binding status. ","") &amp; IF($E531="","Missing movement type. ","") &amp; IF($I531="","Missing make. ","") &amp; IF($L531="","Missing vehicle class. ","") &amp; IF($M531="","Missing agreed value. ","") &amp; IF($N531="","Missing policy type. ","") &amp; IF($Q531="","Missing garaging state. ","") &amp; IF($R531="","Missing garaging ZIP. ","") &amp; IF($S531="","Missing cat zone. ","") &amp; IF($V531="","Missing valuation basis. ","") &amp; IF($W531="","Missing PD deductible. ","") &amp; IF($X531="","Missing liability limit. ","") &amp; IF($AB531="","Missing technical premium. ","") &amp; IF($AF531="","Missing surplus lines tax %. ",""))="","PASS","FAIL: "&amp;TRIM(IF($A531="","Missing certificate ref. ","") &amp; IF($C531="","Missing effective date. ","") &amp; IF($D531="","Missing binding status. ","") &amp; IF($E531="","Missing movement type. ","") &amp; IF($I531="","Missing make. ","") &amp; IF($L531="","Missing vehicle class. ","") &amp; IF($M531="","Missing agreed value. ","") &amp; IF($N531="","Missing policy type. ","") &amp; IF($Q531="","Missing garaging state. ","") &amp; IF($R531="","Missing garaging ZIP. ","") &amp; IF($S531="","Missing cat zone. ","") &amp; IF($V531="","Missing valuation basis. ","") &amp; IF($W531="","Missing PD deductible. ","") &amp; IF($X531="","Missing liability limit. ","") &amp; IF($AB531="","Missing technical premium. ","") &amp; IF($AF531="","Missing surplus lines tax %. ",""))))</f>
      </c>
      <c r="AY531" s="44">
        <f>IF($M531="","",IF(ISNUMBER($M531),IF($M531&gt;=Header!$C$18,"YES — refer","No"),""))</f>
      </c>
      <c r="AZ531" s="44">
        <f>IF($AD531="","",IF(ISNUMBER($AD531),IF($AD531&lt;Header!$C$20,"BELOW MIN PREMIUM","OK"),""))</f>
      </c>
      <c r="BA531" s="32" t="inlineStr">
        <is>
          <t xml:space="preserve">Yes</t>
        </is>
      </c>
      <c r="BB531" s="32" t="inlineStr">
        <is>
          <t xml:space="preserve">Yes</t>
        </is>
      </c>
      <c r="BC531" s="30" t="inlineStr">
        <is>
          <t xml:space="preserve">Synthetic demo data</t>
        </is>
      </c>
      <c r="BE531" s="45">
        <f>IF(OR($A531="",$L531="",$H531=""),"",IF(AND(LEFT($L531,2)="06",$H531&gt;1945),"FAIL - pre-war class, year "&amp;$H531,IF(AND(LEFT($L531,2)="07",OR($H531&lt;1946,$H531&gt;1972)),"FAIL - 1946-72 class, year "&amp;$H531,IF(AND(LEFT($L531,2)="08",OR($H531&lt;1973,$H531&gt;1999)),"FAIL - 1973-99 class, year "&amp;$H531,IF(AND(LEFT($L531,2)="09",OR($H531&lt;2000,$H531&gt;2010)),"FAIL - 2000-10 class, year "&amp;$H531,"OK")))))</f>
      </c>
      <c r="BF531" s="45">
        <f>IF($AD531="","",IF(ROUND($AO531+$AP531+$AQ531-$AD531,2)=0,"OK","FAIL - out by "&amp;TEXT($AO531+$AP531+$AQ531-$AD531,"$0.00")))</f>
      </c>
    </row>
    <row r="532" spans="1:58" ht="18.75" customHeight="1" x14ac:dyDescent="0.25">
      <c r="A532" s="46" t="inlineStr">
        <is>
          <t xml:space="preserve">CANON-202511-002896</t>
        </is>
      </c>
      <c r="B532" s="46" t="inlineStr">
        <is>
          <t xml:space="preserve">Desmond Farkas</t>
        </is>
      </c>
      <c r="C532" s="47">
        <v>45972</v>
      </c>
      <c r="D532" s="48" t="inlineStr">
        <is>
          <t xml:space="preserve">Bound - within authority</t>
        </is>
      </c>
      <c r="E532" s="48" t="inlineStr">
        <is>
          <t xml:space="preserve">New business</t>
        </is>
      </c>
      <c r="F532" s="46" t="inlineStr">
        <is>
          <t xml:space="preserve">B1234EXOTIC26</t>
        </is>
      </c>
      <c r="G532" s="33">
        <f>IF($A532="","",IF($C532="","",YEAR($C532)))</f>
      </c>
      <c r="H532" s="49">
        <v>2006</v>
      </c>
      <c r="I532" s="46" t="inlineStr">
        <is>
          <t xml:space="preserve">Bentley</t>
        </is>
      </c>
      <c r="J532" s="46" t="inlineStr">
        <is>
          <t xml:space="preserve">Continental GT</t>
        </is>
      </c>
      <c r="K532" s="46" t="inlineStr">
        <is>
          <t xml:space="preserve">8N93GZB83S6B6Z8ZC</t>
        </is>
      </c>
      <c r="L532" s="48" t="inlineStr">
        <is>
          <t xml:space="preserve">02 - Sports / GT</t>
        </is>
      </c>
      <c r="M532" s="50">
        <v>235000</v>
      </c>
      <c r="N532" s="48" t="inlineStr">
        <is>
          <t xml:space="preserve">Personal</t>
        </is>
      </c>
      <c r="O532" s="46" t="inlineStr">
        <is>
          <t xml:space="preserve">Personal - regular use</t>
        </is>
      </c>
      <c r="P532" s="46" t="inlineStr">
        <is>
          <t xml:space="preserve">Under 1,000</t>
        </is>
      </c>
      <c r="Q532" s="46" t="inlineStr">
        <is>
          <t xml:space="preserve">Texas</t>
        </is>
      </c>
      <c r="R532" s="46" t="inlineStr">
        <is>
          <t xml:space="preserve">75201</t>
        </is>
      </c>
      <c r="S532" s="48" t="inlineStr">
        <is>
          <t xml:space="preserve">Tier 2 - Coastal wind (1-25 miles)</t>
        </is>
      </c>
      <c r="T532" s="36">
        <f>IF($A532="","",IF($S532="","",IFERROR(INDEX('[1]natural catastrophe'!$D$6:$D$17,MATCH($S532,'[1]natural catastrophe'!$B$6:$B$17,0)),"?")))</f>
      </c>
      <c r="U532" s="46" t="inlineStr">
        <is>
          <t xml:space="preserve">2% of agreed value, minimum $10,000</t>
        </is>
      </c>
      <c r="V532" s="48" t="inlineStr">
        <is>
          <t xml:space="preserve">Agreed Value</t>
        </is>
      </c>
      <c r="W532" s="46" t="inlineStr">
        <is>
          <t xml:space="preserve">$1,000</t>
        </is>
      </c>
      <c r="X532" s="48" t="inlineStr">
        <is>
          <t xml:space="preserve">$1,000,000 CSL</t>
        </is>
      </c>
      <c r="Y532" s="46"/>
      <c r="Z532" s="46"/>
      <c r="AA532" s="48" t="inlineStr">
        <is>
          <t xml:space="preserve">Surplus Lines</t>
        </is>
      </c>
      <c r="AB532" s="50">
        <v>4313.02</v>
      </c>
      <c r="AC532" s="51">
        <v>0</v>
      </c>
      <c r="AD532" s="38">
        <f>IF(ISNUMBER($AB532),$AB532*(1+N($AC532)),"")</f>
      </c>
      <c r="AE532" s="50">
        <v>350</v>
      </c>
      <c r="AF532" s="50">
        <v>0</v>
      </c>
      <c r="AG532" s="51"/>
      <c r="AH532" s="39">
        <f>IF(ISNUMBER($AD532),($AD532+$AE532+$AF532)*$AG532,"")</f>
      </c>
      <c r="AI532" s="50"/>
      <c r="AJ532" s="38">
        <f>IF(ISNUMBER($AD532),SUM($AD532:$AH532),"")</f>
      </c>
      <c r="AK532" s="40">
        <f>IF(AND(ISNUMBER($AB532),ISNUMBER($AD532)),IF($AB532&gt;0,$AD532/$AB532,""),"")</f>
      </c>
      <c r="AL532" s="48" t="inlineStr">
        <is>
          <t xml:space="preserve">At technical</t>
        </is>
      </c>
      <c r="AM532" s="41">
        <f>IF(ISNUMBER($AD532),Header!$I$3,"")</f>
      </c>
      <c r="AN532" s="39">
        <f>IF(ISNUMBER($AD532),$AO532+$AP532,"")</f>
      </c>
      <c r="AO532" s="39">
        <f>IF(ISNUMBER($AD532),ROUND($AD532*Header!$K$3,2),"")</f>
      </c>
      <c r="AP532" s="39">
        <f>IF(ISNUMBER($AD532),ROUND($AD532*Header!$M$3,2),"")</f>
      </c>
      <c r="AQ532" s="38">
        <f>IF(ISNUMBER($AD532),ROUND($AD532,2)-$AO532-$AP532,"")</f>
      </c>
      <c r="AR532" s="39">
        <f>IF(ISNUMBER($AD532),IF(Header!$D$34="","?",$AD532*Header!$D$34),"")</f>
      </c>
      <c r="AS532" s="39">
        <f>IF(ISNUMBER($AB532),IF(Header!$D$34="","?",$AB532*Header!$D$34),"")</f>
      </c>
      <c r="AT532" s="42">
        <f>IF(AND(ISNUMBER($AB532),$M532&gt;0),$AB532/$M532*100,"")</f>
      </c>
      <c r="AU532" s="42">
        <f>IF(AND(ISNUMBER($AD532),$M532&gt;0),$AD532/$M532*100,"")</f>
      </c>
      <c r="AV532" s="40">
        <f>IF(AND(ISNUMBER($AB532),ISNUMBER($AD532),ABS($AB532)&gt;0),$AD532/$AB532,"")</f>
      </c>
      <c r="AW532" s="39">
        <f>IF(ISNUMBER($AD532),MAX(0,(1-0.55-Header!$O$3)*Header!$Q$3*$AQ532),"")</f>
      </c>
      <c r="AX532" s="43">
        <f>IF($A532="","",IF(TRIM(IF($A532="","Missing certificate ref. ","") &amp; IF($C532="","Missing effective date. ","") &amp; IF($D532="","Missing binding status. ","") &amp; IF($E532="","Missing movement type. ","") &amp; IF($I532="","Missing make. ","") &amp; IF($L532="","Missing vehicle class. ","") &amp; IF($M532="","Missing agreed value. ","") &amp; IF($N532="","Missing policy type. ","") &amp; IF($Q532="","Missing garaging state. ","") &amp; IF($R532="","Missing garaging ZIP. ","") &amp; IF($S532="","Missing cat zone. ","") &amp; IF($V532="","Missing valuation basis. ","") &amp; IF($W532="","Missing PD deductible. ","") &amp; IF($X532="","Missing liability limit. ","") &amp; IF($AB532="","Missing technical premium. ","") &amp; IF($AF532="","Missing surplus lines tax %. ",""))="","PASS","FAIL: "&amp;TRIM(IF($A532="","Missing certificate ref. ","") &amp; IF($C532="","Missing effective date. ","") &amp; IF($D532="","Missing binding status. ","") &amp; IF($E532="","Missing movement type. ","") &amp; IF($I532="","Missing make. ","") &amp; IF($L532="","Missing vehicle class. ","") &amp; IF($M532="","Missing agreed value. ","") &amp; IF($N532="","Missing policy type. ","") &amp; IF($Q532="","Missing garaging state. ","") &amp; IF($R532="","Missing garaging ZIP. ","") &amp; IF($S532="","Missing cat zone. ","") &amp; IF($V532="","Missing valuation basis. ","") &amp; IF($W532="","Missing PD deductible. ","") &amp; IF($X532="","Missing liability limit. ","") &amp; IF($AB532="","Missing technical premium. ","") &amp; IF($AF532="","Missing surplus lines tax %. ",""))))</f>
      </c>
      <c r="AY532" s="44">
        <f>IF($M532="","",IF(ISNUMBER($M532),IF($M532&gt;=Header!$C$18,"YES — refer","No"),""))</f>
      </c>
      <c r="AZ532" s="44">
        <f>IF($AD532="","",IF(ISNUMBER($AD532),IF($AD532&lt;Header!$C$20,"BELOW MIN PREMIUM","OK"),""))</f>
      </c>
      <c r="BA532" s="48" t="inlineStr">
        <is>
          <t xml:space="preserve">Yes</t>
        </is>
      </c>
      <c r="BB532" s="48" t="inlineStr">
        <is>
          <t xml:space="preserve">Yes</t>
        </is>
      </c>
      <c r="BC532" s="46" t="inlineStr">
        <is>
          <t xml:space="preserve">Synthetic demo data</t>
        </is>
      </c>
      <c r="BE532" s="45">
        <f>IF(OR($A532="",$L532="",$H532=""),"",IF(AND(LEFT($L532,2)="06",$H532&gt;1945),"FAIL - pre-war class, year "&amp;$H532,IF(AND(LEFT($L532,2)="07",OR($H532&lt;1946,$H532&gt;1972)),"FAIL - 1946-72 class, year "&amp;$H532,IF(AND(LEFT($L532,2)="08",OR($H532&lt;1973,$H532&gt;1999)),"FAIL - 1973-99 class, year "&amp;$H532,IF(AND(LEFT($L532,2)="09",OR($H532&lt;2000,$H532&gt;2010)),"FAIL - 2000-10 class, year "&amp;$H532,"OK")))))</f>
      </c>
      <c r="BF532" s="45">
        <f>IF($AD532="","",IF(ROUND($AO532+$AP532+$AQ532-$AD532,2)=0,"OK","FAIL - out by "&amp;TEXT($AO532+$AP532+$AQ532-$AD532,"$0.00")))</f>
      </c>
    </row>
    <row r="533" spans="1:58" ht="18.75" customHeight="1" x14ac:dyDescent="0.25">
      <c r="A533" s="30" t="inlineStr">
        <is>
          <t xml:space="preserve">CANON-202511-002897</t>
        </is>
      </c>
      <c r="B533" s="30" t="inlineStr">
        <is>
          <t xml:space="preserve">Thaddeus Farkas</t>
        </is>
      </c>
      <c r="C533" s="31">
        <v>45966</v>
      </c>
      <c r="D533" s="32" t="inlineStr">
        <is>
          <t xml:space="preserve">Bound - within authority</t>
        </is>
      </c>
      <c r="E533" s="32" t="inlineStr">
        <is>
          <t xml:space="preserve">New business</t>
        </is>
      </c>
      <c r="F533" s="30" t="inlineStr">
        <is>
          <t xml:space="preserve">B1234EXOTIC26</t>
        </is>
      </c>
      <c r="G533" s="33">
        <f>IF($A533="","",IF($C533="","",YEAR($C533)))</f>
      </c>
      <c r="H533" s="34">
        <v>1996</v>
      </c>
      <c r="I533" s="30" t="inlineStr">
        <is>
          <t xml:space="preserve">McLaren</t>
        </is>
      </c>
      <c r="J533" s="30" t="inlineStr">
        <is>
          <t xml:space="preserve">750S</t>
        </is>
      </c>
      <c r="K533" s="30" t="inlineStr">
        <is>
          <t xml:space="preserve">ZW466H0LL97HUHNY4</t>
        </is>
      </c>
      <c r="L533" s="32" t="inlineStr">
        <is>
          <t xml:space="preserve">03 - Supercar</t>
        </is>
      </c>
      <c r="M533" s="35">
        <v>1135000</v>
      </c>
      <c r="N533" s="32" t="inlineStr">
        <is>
          <t xml:space="preserve">Personal</t>
        </is>
      </c>
      <c r="O533" s="30" t="inlineStr">
        <is>
          <t xml:space="preserve">Personal - regular use</t>
        </is>
      </c>
      <c r="P533" s="30" t="inlineStr">
        <is>
          <t xml:space="preserve">1,000 - 2,500</t>
        </is>
      </c>
      <c r="Q533" s="30" t="inlineStr">
        <is>
          <t xml:space="preserve">Georgia</t>
        </is>
      </c>
      <c r="R533" s="30" t="inlineStr">
        <is>
          <t xml:space="preserve">30303</t>
        </is>
      </c>
      <c r="S533" s="32" t="inlineStr">
        <is>
          <t xml:space="preserve">Tier 2 - Coastal wind (1-25 miles)</t>
        </is>
      </c>
      <c r="T533" s="36">
        <f>IF($A533="","",IF($S533="","",IFERROR(INDEX('[1]natural catastrophe'!$D$6:$D$17,MATCH($S533,'[1]natural catastrophe'!$B$6:$B$17,0)),"?")))</f>
      </c>
      <c r="U533" s="30" t="inlineStr">
        <is>
          <t xml:space="preserve">2% of agreed value, minimum $10,000</t>
        </is>
      </c>
      <c r="V533" s="32" t="inlineStr">
        <is>
          <t xml:space="preserve">Agreed Value</t>
        </is>
      </c>
      <c r="W533" s="30" t="inlineStr">
        <is>
          <t xml:space="preserve">$1,000</t>
        </is>
      </c>
      <c r="X533" s="32" t="inlineStr">
        <is>
          <t xml:space="preserve">$1,000,000 CSL</t>
        </is>
      </c>
      <c r="Y533" s="30"/>
      <c r="Z533" s="30"/>
      <c r="AA533" s="32" t="inlineStr">
        <is>
          <t xml:space="preserve">Surplus Lines</t>
        </is>
      </c>
      <c r="AB533" s="35">
        <v>17641.37</v>
      </c>
      <c r="AC533" s="37">
        <v>0</v>
      </c>
      <c r="AD533" s="38">
        <f>IF(ISNUMBER($AB533),$AB533*(1+N($AC533)),"")</f>
      </c>
      <c r="AE533" s="35">
        <v>350</v>
      </c>
      <c r="AF533" s="35">
        <v>250</v>
      </c>
      <c r="AG533" s="37"/>
      <c r="AH533" s="39">
        <f>IF(ISNUMBER($AD533),($AD533+$AE533+$AF533)*$AG533,"")</f>
      </c>
      <c r="AI533" s="35"/>
      <c r="AJ533" s="38">
        <f>IF(ISNUMBER($AD533),SUM($AD533:$AH533),"")</f>
      </c>
      <c r="AK533" s="40">
        <f>IF(AND(ISNUMBER($AB533),ISNUMBER($AD533)),IF($AB533&gt;0,$AD533/$AB533,""),"")</f>
      </c>
      <c r="AL533" s="32" t="inlineStr">
        <is>
          <t xml:space="preserve">At technical</t>
        </is>
      </c>
      <c r="AM533" s="41">
        <f>IF(ISNUMBER($AD533),Header!$I$3,"")</f>
      </c>
      <c r="AN533" s="39">
        <f>IF(ISNUMBER($AD533),$AO533+$AP533,"")</f>
      </c>
      <c r="AO533" s="39">
        <f>IF(ISNUMBER($AD533),ROUND($AD533*Header!$K$3,2),"")</f>
      </c>
      <c r="AP533" s="39">
        <f>IF(ISNUMBER($AD533),ROUND($AD533*Header!$M$3,2),"")</f>
      </c>
      <c r="AQ533" s="38">
        <f>IF(ISNUMBER($AD533),ROUND($AD533,2)-$AO533-$AP533,"")</f>
      </c>
      <c r="AR533" s="39">
        <f>IF(ISNUMBER($AD533),IF(Header!$D$34="","?",$AD533*Header!$D$34),"")</f>
      </c>
      <c r="AS533" s="39">
        <f>IF(ISNUMBER($AB533),IF(Header!$D$34="","?",$AB533*Header!$D$34),"")</f>
      </c>
      <c r="AT533" s="42">
        <f>IF(AND(ISNUMBER($AB533),$M533&gt;0),$AB533/$M533*100,"")</f>
      </c>
      <c r="AU533" s="42">
        <f>IF(AND(ISNUMBER($AD533),$M533&gt;0),$AD533/$M533*100,"")</f>
      </c>
      <c r="AV533" s="40">
        <f>IF(AND(ISNUMBER($AB533),ISNUMBER($AD533),ABS($AB533)&gt;0),$AD533/$AB533,"")</f>
      </c>
      <c r="AW533" s="39">
        <f>IF(ISNUMBER($AD533),MAX(0,(1-0.55-Header!$O$3)*Header!$Q$3*$AQ533),"")</f>
      </c>
      <c r="AX533" s="43">
        <f>IF($A533="","",IF(TRIM(IF($A533="","Missing certificate ref. ","") &amp; IF($C533="","Missing effective date. ","") &amp; IF($D533="","Missing binding status. ","") &amp; IF($E533="","Missing movement type. ","") &amp; IF($I533="","Missing make. ","") &amp; IF($L533="","Missing vehicle class. ","") &amp; IF($M533="","Missing agreed value. ","") &amp; IF($N533="","Missing policy type. ","") &amp; IF($Q533="","Missing garaging state. ","") &amp; IF($R533="","Missing garaging ZIP. ","") &amp; IF($S533="","Missing cat zone. ","") &amp; IF($V533="","Missing valuation basis. ","") &amp; IF($W533="","Missing PD deductible. ","") &amp; IF($X533="","Missing liability limit. ","") &amp; IF($AB533="","Missing technical premium. ","") &amp; IF($AF533="","Missing surplus lines tax %. ",""))="","PASS","FAIL: "&amp;TRIM(IF($A533="","Missing certificate ref. ","") &amp; IF($C533="","Missing effective date. ","") &amp; IF($D533="","Missing binding status. ","") &amp; IF($E533="","Missing movement type. ","") &amp; IF($I533="","Missing make. ","") &amp; IF($L533="","Missing vehicle class. ","") &amp; IF($M533="","Missing agreed value. ","") &amp; IF($N533="","Missing policy type. ","") &amp; IF($Q533="","Missing garaging state. ","") &amp; IF($R533="","Missing garaging ZIP. ","") &amp; IF($S533="","Missing cat zone. ","") &amp; IF($V533="","Missing valuation basis. ","") &amp; IF($W533="","Missing PD deductible. ","") &amp; IF($X533="","Missing liability limit. ","") &amp; IF($AB533="","Missing technical premium. ","") &amp; IF($AF533="","Missing surplus lines tax %. ",""))))</f>
      </c>
      <c r="AY533" s="44">
        <f>IF($M533="","",IF(ISNUMBER($M533),IF($M533&gt;=Header!$C$18,"YES — refer","No"),""))</f>
      </c>
      <c r="AZ533" s="44">
        <f>IF($AD533="","",IF(ISNUMBER($AD533),IF($AD533&lt;Header!$C$20,"BELOW MIN PREMIUM","OK"),""))</f>
      </c>
      <c r="BA533" s="32" t="inlineStr">
        <is>
          <t xml:space="preserve">Yes</t>
        </is>
      </c>
      <c r="BB533" s="32" t="inlineStr">
        <is>
          <t xml:space="preserve">Yes</t>
        </is>
      </c>
      <c r="BC533" s="30" t="inlineStr">
        <is>
          <t xml:space="preserve">Synthetic demo data</t>
        </is>
      </c>
      <c r="BE533" s="45">
        <f>IF(OR($A533="",$L533="",$H533=""),"",IF(AND(LEFT($L533,2)="06",$H533&gt;1945),"FAIL - pre-war class, year "&amp;$H533,IF(AND(LEFT($L533,2)="07",OR($H533&lt;1946,$H533&gt;1972)),"FAIL - 1946-72 class, year "&amp;$H533,IF(AND(LEFT($L533,2)="08",OR($H533&lt;1973,$H533&gt;1999)),"FAIL - 1973-99 class, year "&amp;$H533,IF(AND(LEFT($L533,2)="09",OR($H533&lt;2000,$H533&gt;2010)),"FAIL - 2000-10 class, year "&amp;$H533,"OK")))))</f>
      </c>
      <c r="BF533" s="45">
        <f>IF($AD533="","",IF(ROUND($AO533+$AP533+$AQ533-$AD533,2)=0,"OK","FAIL - out by "&amp;TEXT($AO533+$AP533+$AQ533-$AD533,"$0.00")))</f>
      </c>
    </row>
    <row r="534" spans="1:58" ht="18.75" customHeight="1" x14ac:dyDescent="0.25">
      <c r="A534" s="46" t="inlineStr">
        <is>
          <t xml:space="preserve">CANON-202511-002898</t>
        </is>
      </c>
      <c r="B534" s="46" t="inlineStr">
        <is>
          <t xml:space="preserve">Cassius Blackwood</t>
        </is>
      </c>
      <c r="C534" s="47">
        <v>45974</v>
      </c>
      <c r="D534" s="48" t="inlineStr">
        <is>
          <t xml:space="preserve">Bound - within authority</t>
        </is>
      </c>
      <c r="E534" s="48" t="inlineStr">
        <is>
          <t xml:space="preserve">New business</t>
        </is>
      </c>
      <c r="F534" s="46" t="inlineStr">
        <is>
          <t xml:space="preserve">B1234EXOTIC26</t>
        </is>
      </c>
      <c r="G534" s="33">
        <f>IF($A534="","",IF($C534="","",YEAR($C534)))</f>
      </c>
      <c r="H534" s="49">
        <v>1968</v>
      </c>
      <c r="I534" s="46" t="inlineStr">
        <is>
          <t xml:space="preserve">Ferrari</t>
        </is>
      </c>
      <c r="J534" s="46" t="inlineStr">
        <is>
          <t xml:space="preserve">275 GTB/4</t>
        </is>
      </c>
      <c r="K534" s="46" t="inlineStr">
        <is>
          <t xml:space="preserve">078VZB8HY6WN130C5</t>
        </is>
      </c>
      <c r="L534" s="48" t="inlineStr">
        <is>
          <t xml:space="preserve">07 - Post-War Classic (1946-1972)</t>
        </is>
      </c>
      <c r="M534" s="50">
        <v>685000</v>
      </c>
      <c r="N534" s="48" t="inlineStr">
        <is>
          <t xml:space="preserve">Personal</t>
        </is>
      </c>
      <c r="O534" s="46" t="inlineStr">
        <is>
          <t xml:space="preserve">Personal - regular use</t>
        </is>
      </c>
      <c r="P534" s="46" t="inlineStr">
        <is>
          <t xml:space="preserve">Under 1,000</t>
        </is>
      </c>
      <c r="Q534" s="46" t="inlineStr">
        <is>
          <t xml:space="preserve">Maryland</t>
        </is>
      </c>
      <c r="R534" s="46" t="inlineStr">
        <is>
          <t xml:space="preserve">21201</t>
        </is>
      </c>
      <c r="S534" s="48" t="inlineStr">
        <is>
          <t xml:space="preserve">Tier 3 - Coastal wind (25-100 miles)</t>
        </is>
      </c>
      <c r="T534" s="36">
        <f>IF($A534="","",IF($S534="","",IFERROR(INDEX('[1]natural catastrophe'!$D$6:$D$17,MATCH($S534,'[1]natural catastrophe'!$B$6:$B$17,0)),"?")))</f>
      </c>
      <c r="U534" s="46" t="inlineStr">
        <is>
          <t xml:space="preserve">2% of agreed value, minimum $10,000</t>
        </is>
      </c>
      <c r="V534" s="48" t="inlineStr">
        <is>
          <t xml:space="preserve">Agreed Value</t>
        </is>
      </c>
      <c r="W534" s="46" t="inlineStr">
        <is>
          <t xml:space="preserve">$1,000</t>
        </is>
      </c>
      <c r="X534" s="48" t="inlineStr">
        <is>
          <t xml:space="preserve">$1,000,000 CSL</t>
        </is>
      </c>
      <c r="Y534" s="46"/>
      <c r="Z534" s="46"/>
      <c r="AA534" s="48" t="inlineStr">
        <is>
          <t xml:space="preserve">Surplus Lines</t>
        </is>
      </c>
      <c r="AB534" s="50">
        <v>4854.13</v>
      </c>
      <c r="AC534" s="51">
        <v>0</v>
      </c>
      <c r="AD534" s="38">
        <f>IF(ISNUMBER($AB534),$AB534*(1+N($AC534)),"")</f>
      </c>
      <c r="AE534" s="50">
        <v>350</v>
      </c>
      <c r="AF534" s="50">
        <v>0</v>
      </c>
      <c r="AG534" s="51"/>
      <c r="AH534" s="39">
        <f>IF(ISNUMBER($AD534),($AD534+$AE534+$AF534)*$AG534,"")</f>
      </c>
      <c r="AI534" s="50"/>
      <c r="AJ534" s="38">
        <f>IF(ISNUMBER($AD534),SUM($AD534:$AH534),"")</f>
      </c>
      <c r="AK534" s="40">
        <f>IF(AND(ISNUMBER($AB534),ISNUMBER($AD534)),IF($AB534&gt;0,$AD534/$AB534,""),"")</f>
      </c>
      <c r="AL534" s="48" t="inlineStr">
        <is>
          <t xml:space="preserve">At technical</t>
        </is>
      </c>
      <c r="AM534" s="41">
        <f>IF(ISNUMBER($AD534),Header!$I$3,"")</f>
      </c>
      <c r="AN534" s="39">
        <f>IF(ISNUMBER($AD534),$AO534+$AP534,"")</f>
      </c>
      <c r="AO534" s="39">
        <f>IF(ISNUMBER($AD534),ROUND($AD534*Header!$K$3,2),"")</f>
      </c>
      <c r="AP534" s="39">
        <f>IF(ISNUMBER($AD534),ROUND($AD534*Header!$M$3,2),"")</f>
      </c>
      <c r="AQ534" s="38">
        <f>IF(ISNUMBER($AD534),ROUND($AD534,2)-$AO534-$AP534,"")</f>
      </c>
      <c r="AR534" s="39">
        <f>IF(ISNUMBER($AD534),IF(Header!$D$34="","?",$AD534*Header!$D$34),"")</f>
      </c>
      <c r="AS534" s="39">
        <f>IF(ISNUMBER($AB534),IF(Header!$D$34="","?",$AB534*Header!$D$34),"")</f>
      </c>
      <c r="AT534" s="42">
        <f>IF(AND(ISNUMBER($AB534),$M534&gt;0),$AB534/$M534*100,"")</f>
      </c>
      <c r="AU534" s="42">
        <f>IF(AND(ISNUMBER($AD534),$M534&gt;0),$AD534/$M534*100,"")</f>
      </c>
      <c r="AV534" s="40">
        <f>IF(AND(ISNUMBER($AB534),ISNUMBER($AD534),ABS($AB534)&gt;0),$AD534/$AB534,"")</f>
      </c>
      <c r="AW534" s="39">
        <f>IF(ISNUMBER($AD534),MAX(0,(1-0.55-Header!$O$3)*Header!$Q$3*$AQ534),"")</f>
      </c>
      <c r="AX534" s="43">
        <f>IF($A534="","",IF(TRIM(IF($A534="","Missing certificate ref. ","") &amp; IF($C534="","Missing effective date. ","") &amp; IF($D534="","Missing binding status. ","") &amp; IF($E534="","Missing movement type. ","") &amp; IF($I534="","Missing make. ","") &amp; IF($L534="","Missing vehicle class. ","") &amp; IF($M534="","Missing agreed value. ","") &amp; IF($N534="","Missing policy type. ","") &amp; IF($Q534="","Missing garaging state. ","") &amp; IF($R534="","Missing garaging ZIP. ","") &amp; IF($S534="","Missing cat zone. ","") &amp; IF($V534="","Missing valuation basis. ","") &amp; IF($W534="","Missing PD deductible. ","") &amp; IF($X534="","Missing liability limit. ","") &amp; IF($AB534="","Missing technical premium. ","") &amp; IF($AF534="","Missing surplus lines tax %. ",""))="","PASS","FAIL: "&amp;TRIM(IF($A534="","Missing certificate ref. ","") &amp; IF($C534="","Missing effective date. ","") &amp; IF($D534="","Missing binding status. ","") &amp; IF($E534="","Missing movement type. ","") &amp; IF($I534="","Missing make. ","") &amp; IF($L534="","Missing vehicle class. ","") &amp; IF($M534="","Missing agreed value. ","") &amp; IF($N534="","Missing policy type. ","") &amp; IF($Q534="","Missing garaging state. ","") &amp; IF($R534="","Missing garaging ZIP. ","") &amp; IF($S534="","Missing cat zone. ","") &amp; IF($V534="","Missing valuation basis. ","") &amp; IF($W534="","Missing PD deductible. ","") &amp; IF($X534="","Missing liability limit. ","") &amp; IF($AB534="","Missing technical premium. ","") &amp; IF($AF534="","Missing surplus lines tax %. ",""))))</f>
      </c>
      <c r="AY534" s="44">
        <f>IF($M534="","",IF(ISNUMBER($M534),IF($M534&gt;=Header!$C$18,"YES — refer","No"),""))</f>
      </c>
      <c r="AZ534" s="44">
        <f>IF($AD534="","",IF(ISNUMBER($AD534),IF($AD534&lt;Header!$C$20,"BELOW MIN PREMIUM","OK"),""))</f>
      </c>
      <c r="BA534" s="48" t="inlineStr">
        <is>
          <t xml:space="preserve">Yes</t>
        </is>
      </c>
      <c r="BB534" s="48" t="inlineStr">
        <is>
          <t xml:space="preserve">Yes</t>
        </is>
      </c>
      <c r="BC534" s="46" t="inlineStr">
        <is>
          <t xml:space="preserve">Synthetic demo data</t>
        </is>
      </c>
      <c r="BE534" s="45">
        <f>IF(OR($A534="",$L534="",$H534=""),"",IF(AND(LEFT($L534,2)="06",$H534&gt;1945),"FAIL - pre-war class, year "&amp;$H534,IF(AND(LEFT($L534,2)="07",OR($H534&lt;1946,$H534&gt;1972)),"FAIL - 1946-72 class, year "&amp;$H534,IF(AND(LEFT($L534,2)="08",OR($H534&lt;1973,$H534&gt;1999)),"FAIL - 1973-99 class, year "&amp;$H534,IF(AND(LEFT($L534,2)="09",OR($H534&lt;2000,$H534&gt;2010)),"FAIL - 2000-10 class, year "&amp;$H534,"OK")))))</f>
      </c>
      <c r="BF534" s="45">
        <f>IF($AD534="","",IF(ROUND($AO534+$AP534+$AQ534-$AD534,2)=0,"OK","FAIL - out by "&amp;TEXT($AO534+$AP534+$AQ534-$AD534,"$0.00")))</f>
      </c>
    </row>
    <row r="535" spans="1:58" ht="18.75" customHeight="1" x14ac:dyDescent="0.25">
      <c r="A535" s="30" t="inlineStr">
        <is>
          <t xml:space="preserve">CANON-202511-002901</t>
        </is>
      </c>
      <c r="B535" s="30" t="inlineStr">
        <is>
          <t xml:space="preserve">Cassius Pennington</t>
        </is>
      </c>
      <c r="C535" s="31">
        <v>45968</v>
      </c>
      <c r="D535" s="32" t="inlineStr">
        <is>
          <t xml:space="preserve">Bound - within authority</t>
        </is>
      </c>
      <c r="E535" s="32" t="inlineStr">
        <is>
          <t xml:space="preserve">New business</t>
        </is>
      </c>
      <c r="F535" s="30" t="inlineStr">
        <is>
          <t xml:space="preserve">B1234EXOTIC26</t>
        </is>
      </c>
      <c r="G535" s="33">
        <f>IF($A535="","",IF($C535="","",YEAR($C535)))</f>
      </c>
      <c r="H535" s="34">
        <v>2001</v>
      </c>
      <c r="I535" s="30" t="inlineStr">
        <is>
          <t xml:space="preserve">Porsche</t>
        </is>
      </c>
      <c r="J535" s="30" t="inlineStr">
        <is>
          <t xml:space="preserve">911 Turbo S</t>
        </is>
      </c>
      <c r="K535" s="30" t="inlineStr">
        <is>
          <t xml:space="preserve">AHKAZ5D63FGME6GC8</t>
        </is>
      </c>
      <c r="L535" s="32" t="inlineStr">
        <is>
          <t xml:space="preserve">02 - Sports / GT</t>
        </is>
      </c>
      <c r="M535" s="35">
        <v>235000</v>
      </c>
      <c r="N535" s="32" t="inlineStr">
        <is>
          <t xml:space="preserve">Personal</t>
        </is>
      </c>
      <c r="O535" s="30" t="inlineStr">
        <is>
          <t xml:space="preserve">Personal - regular use</t>
        </is>
      </c>
      <c r="P535" s="30" t="inlineStr">
        <is>
          <t xml:space="preserve">1,000 - 2,500</t>
        </is>
      </c>
      <c r="Q535" s="30" t="inlineStr">
        <is>
          <t xml:space="preserve">New York</t>
        </is>
      </c>
      <c r="R535" s="30" t="inlineStr">
        <is>
          <t xml:space="preserve">10022</t>
        </is>
      </c>
      <c r="S535" s="32" t="inlineStr">
        <is>
          <t xml:space="preserve">Tier 3 - Coastal wind (25-100 miles)</t>
        </is>
      </c>
      <c r="T535" s="36">
        <f>IF($A535="","",IF($S535="","",IFERROR(INDEX('[1]natural catastrophe'!$D$6:$D$17,MATCH($S535,'[1]natural catastrophe'!$B$6:$B$17,0)),"?")))</f>
      </c>
      <c r="U535" s="30" t="inlineStr">
        <is>
          <t xml:space="preserve">2% of agreed value, minimum $10,000</t>
        </is>
      </c>
      <c r="V535" s="32" t="inlineStr">
        <is>
          <t xml:space="preserve">Agreed Value</t>
        </is>
      </c>
      <c r="W535" s="30" t="inlineStr">
        <is>
          <t xml:space="preserve">$1,000</t>
        </is>
      </c>
      <c r="X535" s="32" t="inlineStr">
        <is>
          <t xml:space="preserve">$1,000,000 CSL</t>
        </is>
      </c>
      <c r="Y535" s="30"/>
      <c r="Z535" s="30"/>
      <c r="AA535" s="32" t="inlineStr">
        <is>
          <t xml:space="preserve">Surplus Lines</t>
        </is>
      </c>
      <c r="AB535" s="35">
        <v>4800.58</v>
      </c>
      <c r="AC535" s="37">
        <v>0</v>
      </c>
      <c r="AD535" s="38">
        <f>IF(ISNUMBER($AB535),$AB535*(1+N($AC535)),"")</f>
      </c>
      <c r="AE535" s="35">
        <v>350</v>
      </c>
      <c r="AF535" s="35">
        <v>0</v>
      </c>
      <c r="AG535" s="37"/>
      <c r="AH535" s="39">
        <f>IF(ISNUMBER($AD535),($AD535+$AE535+$AF535)*$AG535,"")</f>
      </c>
      <c r="AI535" s="35"/>
      <c r="AJ535" s="38">
        <f>IF(ISNUMBER($AD535),SUM($AD535:$AH535),"")</f>
      </c>
      <c r="AK535" s="40">
        <f>IF(AND(ISNUMBER($AB535),ISNUMBER($AD535)),IF($AB535&gt;0,$AD535/$AB535,""),"")</f>
      </c>
      <c r="AL535" s="32" t="inlineStr">
        <is>
          <t xml:space="preserve">At technical</t>
        </is>
      </c>
      <c r="AM535" s="41">
        <f>IF(ISNUMBER($AD535),Header!$I$3,"")</f>
      </c>
      <c r="AN535" s="39">
        <f>IF(ISNUMBER($AD535),$AO535+$AP535,"")</f>
      </c>
      <c r="AO535" s="39">
        <f>IF(ISNUMBER($AD535),ROUND($AD535*Header!$K$3,2),"")</f>
      </c>
      <c r="AP535" s="39">
        <f>IF(ISNUMBER($AD535),ROUND($AD535*Header!$M$3,2),"")</f>
      </c>
      <c r="AQ535" s="38">
        <f>IF(ISNUMBER($AD535),ROUND($AD535,2)-$AO535-$AP535,"")</f>
      </c>
      <c r="AR535" s="39">
        <f>IF(ISNUMBER($AD535),IF(Header!$D$34="","?",$AD535*Header!$D$34),"")</f>
      </c>
      <c r="AS535" s="39">
        <f>IF(ISNUMBER($AB535),IF(Header!$D$34="","?",$AB535*Header!$D$34),"")</f>
      </c>
      <c r="AT535" s="42">
        <f>IF(AND(ISNUMBER($AB535),$M535&gt;0),$AB535/$M535*100,"")</f>
      </c>
      <c r="AU535" s="42">
        <f>IF(AND(ISNUMBER($AD535),$M535&gt;0),$AD535/$M535*100,"")</f>
      </c>
      <c r="AV535" s="40">
        <f>IF(AND(ISNUMBER($AB535),ISNUMBER($AD535),ABS($AB535)&gt;0),$AD535/$AB535,"")</f>
      </c>
      <c r="AW535" s="39">
        <f>IF(ISNUMBER($AD535),MAX(0,(1-0.55-Header!$O$3)*Header!$Q$3*$AQ535),"")</f>
      </c>
      <c r="AX535" s="43">
        <f>IF($A535="","",IF(TRIM(IF($A535="","Missing certificate ref. ","") &amp; IF($C535="","Missing effective date. ","") &amp; IF($D535="","Missing binding status. ","") &amp; IF($E535="","Missing movement type. ","") &amp; IF($I535="","Missing make. ","") &amp; IF($L535="","Missing vehicle class. ","") &amp; IF($M535="","Missing agreed value. ","") &amp; IF($N535="","Missing policy type. ","") &amp; IF($Q535="","Missing garaging state. ","") &amp; IF($R535="","Missing garaging ZIP. ","") &amp; IF($S535="","Missing cat zone. ","") &amp; IF($V535="","Missing valuation basis. ","") &amp; IF($W535="","Missing PD deductible. ","") &amp; IF($X535="","Missing liability limit. ","") &amp; IF($AB535="","Missing technical premium. ","") &amp; IF($AF535="","Missing surplus lines tax %. ",""))="","PASS","FAIL: "&amp;TRIM(IF($A535="","Missing certificate ref. ","") &amp; IF($C535="","Missing effective date. ","") &amp; IF($D535="","Missing binding status. ","") &amp; IF($E535="","Missing movement type. ","") &amp; IF($I535="","Missing make. ","") &amp; IF($L535="","Missing vehicle class. ","") &amp; IF($M535="","Missing agreed value. ","") &amp; IF($N535="","Missing policy type. ","") &amp; IF($Q535="","Missing garaging state. ","") &amp; IF($R535="","Missing garaging ZIP. ","") &amp; IF($S535="","Missing cat zone. ","") &amp; IF($V535="","Missing valuation basis. ","") &amp; IF($W535="","Missing PD deductible. ","") &amp; IF($X535="","Missing liability limit. ","") &amp; IF($AB535="","Missing technical premium. ","") &amp; IF($AF535="","Missing surplus lines tax %. ",""))))</f>
      </c>
      <c r="AY535" s="44">
        <f>IF($M535="","",IF(ISNUMBER($M535),IF($M535&gt;=Header!$C$18,"YES — refer","No"),""))</f>
      </c>
      <c r="AZ535" s="44">
        <f>IF($AD535="","",IF(ISNUMBER($AD535),IF($AD535&lt;Header!$C$20,"BELOW MIN PREMIUM","OK"),""))</f>
      </c>
      <c r="BA535" s="32" t="inlineStr">
        <is>
          <t xml:space="preserve">Yes</t>
        </is>
      </c>
      <c r="BB535" s="32" t="inlineStr">
        <is>
          <t xml:space="preserve">Yes</t>
        </is>
      </c>
      <c r="BC535" s="30" t="inlineStr">
        <is>
          <t xml:space="preserve">Synthetic demo data</t>
        </is>
      </c>
      <c r="BE535" s="45">
        <f>IF(OR($A535="",$L535="",$H535=""),"",IF(AND(LEFT($L535,2)="06",$H535&gt;1945),"FAIL - pre-war class, year "&amp;$H535,IF(AND(LEFT($L535,2)="07",OR($H535&lt;1946,$H535&gt;1972)),"FAIL - 1946-72 class, year "&amp;$H535,IF(AND(LEFT($L535,2)="08",OR($H535&lt;1973,$H535&gt;1999)),"FAIL - 1973-99 class, year "&amp;$H535,IF(AND(LEFT($L535,2)="09",OR($H535&lt;2000,$H535&gt;2010)),"FAIL - 2000-10 class, year "&amp;$H535,"OK")))))</f>
      </c>
      <c r="BF535" s="45">
        <f>IF($AD535="","",IF(ROUND($AO535+$AP535+$AQ535-$AD535,2)=0,"OK","FAIL - out by "&amp;TEXT($AO535+$AP535+$AQ535-$AD535,"$0.00")))</f>
      </c>
    </row>
    <row r="536" spans="1:58" ht="18.75" customHeight="1" x14ac:dyDescent="0.25">
      <c r="A536" s="46" t="inlineStr">
        <is>
          <t xml:space="preserve">CANON-202511-002902</t>
        </is>
      </c>
      <c r="B536" s="46" t="inlineStr">
        <is>
          <t xml:space="preserve">Emiliano Okonkwo</t>
        </is>
      </c>
      <c r="C536" s="47">
        <v>45987</v>
      </c>
      <c r="D536" s="48" t="inlineStr">
        <is>
          <t xml:space="preserve">Bound - within authority</t>
        </is>
      </c>
      <c r="E536" s="48" t="inlineStr">
        <is>
          <t xml:space="preserve">New business</t>
        </is>
      </c>
      <c r="F536" s="46" t="inlineStr">
        <is>
          <t xml:space="preserve">B1234EXOTIC26</t>
        </is>
      </c>
      <c r="G536" s="33">
        <f>IF($A536="","",IF($C536="","",YEAR($C536)))</f>
      </c>
      <c r="H536" s="49">
        <v>1969</v>
      </c>
      <c r="I536" s="46" t="inlineStr">
        <is>
          <t xml:space="preserve">Lamborghini</t>
        </is>
      </c>
      <c r="J536" s="46" t="inlineStr">
        <is>
          <t xml:space="preserve">Huracan EVO</t>
        </is>
      </c>
      <c r="K536" s="46" t="inlineStr">
        <is>
          <t xml:space="preserve">FG98RAZ1TWJYKV6WG</t>
        </is>
      </c>
      <c r="L536" s="48" t="inlineStr">
        <is>
          <t xml:space="preserve">03 - Supercar</t>
        </is>
      </c>
      <c r="M536" s="50">
        <v>805000</v>
      </c>
      <c r="N536" s="48" t="inlineStr">
        <is>
          <t xml:space="preserve">Personal</t>
        </is>
      </c>
      <c r="O536" s="46" t="inlineStr">
        <is>
          <t xml:space="preserve">Personal - regular use</t>
        </is>
      </c>
      <c r="P536" s="46" t="inlineStr">
        <is>
          <t xml:space="preserve">2,500 - 5,000</t>
        </is>
      </c>
      <c r="Q536" s="46" t="inlineStr">
        <is>
          <t xml:space="preserve">Kentucky</t>
        </is>
      </c>
      <c r="R536" s="46" t="inlineStr">
        <is>
          <t xml:space="preserve">40202</t>
        </is>
      </c>
      <c r="S536" s="48" t="inlineStr">
        <is>
          <t xml:space="preserve">Severe convective - hail / tornado (moderate)</t>
        </is>
      </c>
      <c r="T536" s="36">
        <f>IF($A536="","",IF($S536="","",IFERROR(INDEX('[1]natural catastrophe'!$D$6:$D$17,MATCH($S536,'[1]natural catastrophe'!$B$6:$B$17,0)),"?")))</f>
      </c>
      <c r="U536" s="46" t="inlineStr">
        <is>
          <t xml:space="preserve">$5,000</t>
        </is>
      </c>
      <c r="V536" s="48" t="inlineStr">
        <is>
          <t xml:space="preserve">Agreed Value</t>
        </is>
      </c>
      <c r="W536" s="46" t="inlineStr">
        <is>
          <t xml:space="preserve">$1,000</t>
        </is>
      </c>
      <c r="X536" s="48" t="inlineStr">
        <is>
          <t xml:space="preserve">$1,000,000 CSL</t>
        </is>
      </c>
      <c r="Y536" s="46"/>
      <c r="Z536" s="46"/>
      <c r="AA536" s="48" t="inlineStr">
        <is>
          <t xml:space="preserve">Surplus Lines</t>
        </is>
      </c>
      <c r="AB536" s="50">
        <v>17776.77</v>
      </c>
      <c r="AC536" s="51">
        <v>0</v>
      </c>
      <c r="AD536" s="38">
        <f>IF(ISNUMBER($AB536),$AB536*(1+N($AC536)),"")</f>
      </c>
      <c r="AE536" s="50">
        <v>350</v>
      </c>
      <c r="AF536" s="50">
        <v>0</v>
      </c>
      <c r="AG536" s="51"/>
      <c r="AH536" s="39">
        <f>IF(ISNUMBER($AD536),($AD536+$AE536+$AF536)*$AG536,"")</f>
      </c>
      <c r="AI536" s="50"/>
      <c r="AJ536" s="38">
        <f>IF(ISNUMBER($AD536),SUM($AD536:$AH536),"")</f>
      </c>
      <c r="AK536" s="40">
        <f>IF(AND(ISNUMBER($AB536),ISNUMBER($AD536)),IF($AB536&gt;0,$AD536/$AB536,""),"")</f>
      </c>
      <c r="AL536" s="48" t="inlineStr">
        <is>
          <t xml:space="preserve">At technical</t>
        </is>
      </c>
      <c r="AM536" s="41">
        <f>IF(ISNUMBER($AD536),Header!$I$3,"")</f>
      </c>
      <c r="AN536" s="39">
        <f>IF(ISNUMBER($AD536),$AO536+$AP536,"")</f>
      </c>
      <c r="AO536" s="39">
        <f>IF(ISNUMBER($AD536),ROUND($AD536*Header!$K$3,2),"")</f>
      </c>
      <c r="AP536" s="39">
        <f>IF(ISNUMBER($AD536),ROUND($AD536*Header!$M$3,2),"")</f>
      </c>
      <c r="AQ536" s="38">
        <f>IF(ISNUMBER($AD536),ROUND($AD536,2)-$AO536-$AP536,"")</f>
      </c>
      <c r="AR536" s="39">
        <f>IF(ISNUMBER($AD536),IF(Header!$D$34="","?",$AD536*Header!$D$34),"")</f>
      </c>
      <c r="AS536" s="39">
        <f>IF(ISNUMBER($AB536),IF(Header!$D$34="","?",$AB536*Header!$D$34),"")</f>
      </c>
      <c r="AT536" s="42">
        <f>IF(AND(ISNUMBER($AB536),$M536&gt;0),$AB536/$M536*100,"")</f>
      </c>
      <c r="AU536" s="42">
        <f>IF(AND(ISNUMBER($AD536),$M536&gt;0),$AD536/$M536*100,"")</f>
      </c>
      <c r="AV536" s="40">
        <f>IF(AND(ISNUMBER($AB536),ISNUMBER($AD536),ABS($AB536)&gt;0),$AD536/$AB536,"")</f>
      </c>
      <c r="AW536" s="39">
        <f>IF(ISNUMBER($AD536),MAX(0,(1-0.55-Header!$O$3)*Header!$Q$3*$AQ536),"")</f>
      </c>
      <c r="AX536" s="43">
        <f>IF($A536="","",IF(TRIM(IF($A536="","Missing certificate ref. ","") &amp; IF($C536="","Missing effective date. ","") &amp; IF($D536="","Missing binding status. ","") &amp; IF($E536="","Missing movement type. ","") &amp; IF($I536="","Missing make. ","") &amp; IF($L536="","Missing vehicle class. ","") &amp; IF($M536="","Missing agreed value. ","") &amp; IF($N536="","Missing policy type. ","") &amp; IF($Q536="","Missing garaging state. ","") &amp; IF($R536="","Missing garaging ZIP. ","") &amp; IF($S536="","Missing cat zone. ","") &amp; IF($V536="","Missing valuation basis. ","") &amp; IF($W536="","Missing PD deductible. ","") &amp; IF($X536="","Missing liability limit. ","") &amp; IF($AB536="","Missing technical premium. ","") &amp; IF($AF536="","Missing surplus lines tax %. ",""))="","PASS","FAIL: "&amp;TRIM(IF($A536="","Missing certificate ref. ","") &amp; IF($C536="","Missing effective date. ","") &amp; IF($D536="","Missing binding status. ","") &amp; IF($E536="","Missing movement type. ","") &amp; IF($I536="","Missing make. ","") &amp; IF($L536="","Missing vehicle class. ","") &amp; IF($M536="","Missing agreed value. ","") &amp; IF($N536="","Missing policy type. ","") &amp; IF($Q536="","Missing garaging state. ","") &amp; IF($R536="","Missing garaging ZIP. ","") &amp; IF($S536="","Missing cat zone. ","") &amp; IF($V536="","Missing valuation basis. ","") &amp; IF($W536="","Missing PD deductible. ","") &amp; IF($X536="","Missing liability limit. ","") &amp; IF($AB536="","Missing technical premium. ","") &amp; IF($AF536="","Missing surplus lines tax %. ",""))))</f>
      </c>
      <c r="AY536" s="44">
        <f>IF($M536="","",IF(ISNUMBER($M536),IF($M536&gt;=Header!$C$18,"YES — refer","No"),""))</f>
      </c>
      <c r="AZ536" s="44">
        <f>IF($AD536="","",IF(ISNUMBER($AD536),IF($AD536&lt;Header!$C$20,"BELOW MIN PREMIUM","OK"),""))</f>
      </c>
      <c r="BA536" s="48" t="inlineStr">
        <is>
          <t xml:space="preserve">Yes</t>
        </is>
      </c>
      <c r="BB536" s="48" t="inlineStr">
        <is>
          <t xml:space="preserve">Yes</t>
        </is>
      </c>
      <c r="BC536" s="46" t="inlineStr">
        <is>
          <t xml:space="preserve">Synthetic demo data</t>
        </is>
      </c>
      <c r="BE536" s="45">
        <f>IF(OR($A536="",$L536="",$H536=""),"",IF(AND(LEFT($L536,2)="06",$H536&gt;1945),"FAIL - pre-war class, year "&amp;$H536,IF(AND(LEFT($L536,2)="07",OR($H536&lt;1946,$H536&gt;1972)),"FAIL - 1946-72 class, year "&amp;$H536,IF(AND(LEFT($L536,2)="08",OR($H536&lt;1973,$H536&gt;1999)),"FAIL - 1973-99 class, year "&amp;$H536,IF(AND(LEFT($L536,2)="09",OR($H536&lt;2000,$H536&gt;2010)),"FAIL - 2000-10 class, year "&amp;$H536,"OK")))))</f>
      </c>
      <c r="BF536" s="45">
        <f>IF($AD536="","",IF(ROUND($AO536+$AP536+$AQ536-$AD536,2)=0,"OK","FAIL - out by "&amp;TEXT($AO536+$AP536+$AQ536-$AD536,"$0.00")))</f>
      </c>
    </row>
    <row r="537" spans="1:58" ht="18.75" customHeight="1" x14ac:dyDescent="0.25">
      <c r="A537" s="30" t="inlineStr">
        <is>
          <t xml:space="preserve">CANON-202511-002903</t>
        </is>
      </c>
      <c r="B537" s="30" t="inlineStr">
        <is>
          <t xml:space="preserve">Noor Merriweather</t>
        </is>
      </c>
      <c r="C537" s="31">
        <v>45971</v>
      </c>
      <c r="D537" s="32" t="inlineStr">
        <is>
          <t xml:space="preserve">Bound - within authority</t>
        </is>
      </c>
      <c r="E537" s="32" t="inlineStr">
        <is>
          <t xml:space="preserve">New business</t>
        </is>
      </c>
      <c r="F537" s="30" t="inlineStr">
        <is>
          <t xml:space="preserve">B1234EXOTIC26</t>
        </is>
      </c>
      <c r="G537" s="33">
        <f>IF($A537="","",IF($C537="","",YEAR($C537)))</f>
      </c>
      <c r="H537" s="34">
        <v>2004</v>
      </c>
      <c r="I537" s="30" t="inlineStr">
        <is>
          <t xml:space="preserve">Ferrari</t>
        </is>
      </c>
      <c r="J537" s="30" t="inlineStr">
        <is>
          <t xml:space="preserve">275 GTB/4</t>
        </is>
      </c>
      <c r="K537" s="30" t="inlineStr">
        <is>
          <t xml:space="preserve">AU1MHSPU10S1NLKCT</t>
        </is>
      </c>
      <c r="L537" s="32" t="inlineStr">
        <is>
          <t xml:space="preserve">09 - Youngtimer / Collectible (2000-2010)</t>
        </is>
      </c>
      <c r="M537" s="35">
        <v>1750000</v>
      </c>
      <c r="N537" s="32" t="inlineStr">
        <is>
          <t xml:space="preserve">Personal</t>
        </is>
      </c>
      <c r="O537" s="30" t="inlineStr">
        <is>
          <t xml:space="preserve">Personal - regular use</t>
        </is>
      </c>
      <c r="P537" s="30" t="inlineStr">
        <is>
          <t xml:space="preserve">Under 1,000</t>
        </is>
      </c>
      <c r="Q537" s="30" t="inlineStr">
        <is>
          <t xml:space="preserve">Oklahoma</t>
        </is>
      </c>
      <c r="R537" s="30" t="inlineStr">
        <is>
          <t xml:space="preserve">73102</t>
        </is>
      </c>
      <c r="S537" s="32" t="inlineStr">
        <is>
          <t xml:space="preserve">Severe convective - hail alley (high)</t>
        </is>
      </c>
      <c r="T537" s="36">
        <f>IF($A537="","",IF($S537="","",IFERROR(INDEX('[1]natural catastrophe'!$D$6:$D$17,MATCH($S537,'[1]natural catastrophe'!$B$6:$B$17,0)),"?")))</f>
      </c>
      <c r="U537" s="30" t="inlineStr">
        <is>
          <t xml:space="preserve">$5,000</t>
        </is>
      </c>
      <c r="V537" s="32" t="inlineStr">
        <is>
          <t xml:space="preserve">Agreed Value</t>
        </is>
      </c>
      <c r="W537" s="30" t="inlineStr">
        <is>
          <t xml:space="preserve">$1,000</t>
        </is>
      </c>
      <c r="X537" s="32" t="inlineStr">
        <is>
          <t xml:space="preserve">$1,000,000 CSL</t>
        </is>
      </c>
      <c r="Y537" s="30"/>
      <c r="Z537" s="30"/>
      <c r="AA537" s="32" t="inlineStr">
        <is>
          <t xml:space="preserve">Surplus Lines</t>
        </is>
      </c>
      <c r="AB537" s="35">
        <v>14535.19</v>
      </c>
      <c r="AC537" s="37">
        <v>0</v>
      </c>
      <c r="AD537" s="38">
        <f>IF(ISNUMBER($AB537),$AB537*(1+N($AC537)),"")</f>
      </c>
      <c r="AE537" s="35">
        <v>350</v>
      </c>
      <c r="AF537" s="35">
        <v>250</v>
      </c>
      <c r="AG537" s="37"/>
      <c r="AH537" s="39">
        <f>IF(ISNUMBER($AD537),($AD537+$AE537+$AF537)*$AG537,"")</f>
      </c>
      <c r="AI537" s="35"/>
      <c r="AJ537" s="38">
        <f>IF(ISNUMBER($AD537),SUM($AD537:$AH537),"")</f>
      </c>
      <c r="AK537" s="40">
        <f>IF(AND(ISNUMBER($AB537),ISNUMBER($AD537)),IF($AB537&gt;0,$AD537/$AB537,""),"")</f>
      </c>
      <c r="AL537" s="32" t="inlineStr">
        <is>
          <t xml:space="preserve">At technical</t>
        </is>
      </c>
      <c r="AM537" s="41">
        <f>IF(ISNUMBER($AD537),Header!$I$3,"")</f>
      </c>
      <c r="AN537" s="39">
        <f>IF(ISNUMBER($AD537),$AO537+$AP537,"")</f>
      </c>
      <c r="AO537" s="39">
        <f>IF(ISNUMBER($AD537),ROUND($AD537*Header!$K$3,2),"")</f>
      </c>
      <c r="AP537" s="39">
        <f>IF(ISNUMBER($AD537),ROUND($AD537*Header!$M$3,2),"")</f>
      </c>
      <c r="AQ537" s="38">
        <f>IF(ISNUMBER($AD537),ROUND($AD537,2)-$AO537-$AP537,"")</f>
      </c>
      <c r="AR537" s="39">
        <f>IF(ISNUMBER($AD537),IF(Header!$D$34="","?",$AD537*Header!$D$34),"")</f>
      </c>
      <c r="AS537" s="39">
        <f>IF(ISNUMBER($AB537),IF(Header!$D$34="","?",$AB537*Header!$D$34),"")</f>
      </c>
      <c r="AT537" s="42">
        <f>IF(AND(ISNUMBER($AB537),$M537&gt;0),$AB537/$M537*100,"")</f>
      </c>
      <c r="AU537" s="42">
        <f>IF(AND(ISNUMBER($AD537),$M537&gt;0),$AD537/$M537*100,"")</f>
      </c>
      <c r="AV537" s="40">
        <f>IF(AND(ISNUMBER($AB537),ISNUMBER($AD537),ABS($AB537)&gt;0),$AD537/$AB537,"")</f>
      </c>
      <c r="AW537" s="39">
        <f>IF(ISNUMBER($AD537),MAX(0,(1-0.55-Header!$O$3)*Header!$Q$3*$AQ537),"")</f>
      </c>
      <c r="AX537" s="43">
        <f>IF($A537="","",IF(TRIM(IF($A537="","Missing certificate ref. ","") &amp; IF($C537="","Missing effective date. ","") &amp; IF($D537="","Missing binding status. ","") &amp; IF($E537="","Missing movement type. ","") &amp; IF($I537="","Missing make. ","") &amp; IF($L537="","Missing vehicle class. ","") &amp; IF($M537="","Missing agreed value. ","") &amp; IF($N537="","Missing policy type. ","") &amp; IF($Q537="","Missing garaging state. ","") &amp; IF($R537="","Missing garaging ZIP. ","") &amp; IF($S537="","Missing cat zone. ","") &amp; IF($V537="","Missing valuation basis. ","") &amp; IF($W537="","Missing PD deductible. ","") &amp; IF($X537="","Missing liability limit. ","") &amp; IF($AB537="","Missing technical premium. ","") &amp; IF($AF537="","Missing surplus lines tax %. ",""))="","PASS","FAIL: "&amp;TRIM(IF($A537="","Missing certificate ref. ","") &amp; IF($C537="","Missing effective date. ","") &amp; IF($D537="","Missing binding status. ","") &amp; IF($E537="","Missing movement type. ","") &amp; IF($I537="","Missing make. ","") &amp; IF($L537="","Missing vehicle class. ","") &amp; IF($M537="","Missing agreed value. ","") &amp; IF($N537="","Missing policy type. ","") &amp; IF($Q537="","Missing garaging state. ","") &amp; IF($R537="","Missing garaging ZIP. ","") &amp; IF($S537="","Missing cat zone. ","") &amp; IF($V537="","Missing valuation basis. ","") &amp; IF($W537="","Missing PD deductible. ","") &amp; IF($X537="","Missing liability limit. ","") &amp; IF($AB537="","Missing technical premium. ","") &amp; IF($AF537="","Missing surplus lines tax %. ",""))))</f>
      </c>
      <c r="AY537" s="44">
        <f>IF($M537="","",IF(ISNUMBER($M537),IF($M537&gt;=Header!$C$18,"YES — refer","No"),""))</f>
      </c>
      <c r="AZ537" s="44">
        <f>IF($AD537="","",IF(ISNUMBER($AD537),IF($AD537&lt;Header!$C$20,"BELOW MIN PREMIUM","OK"),""))</f>
      </c>
      <c r="BA537" s="32" t="inlineStr">
        <is>
          <t xml:space="preserve">Yes</t>
        </is>
      </c>
      <c r="BB537" s="32" t="inlineStr">
        <is>
          <t xml:space="preserve">Yes</t>
        </is>
      </c>
      <c r="BC537" s="30" t="inlineStr">
        <is>
          <t xml:space="preserve">Synthetic demo data</t>
        </is>
      </c>
      <c r="BE537" s="45">
        <f>IF(OR($A537="",$L537="",$H537=""),"",IF(AND(LEFT($L537,2)="06",$H537&gt;1945),"FAIL - pre-war class, year "&amp;$H537,IF(AND(LEFT($L537,2)="07",OR($H537&lt;1946,$H537&gt;1972)),"FAIL - 1946-72 class, year "&amp;$H537,IF(AND(LEFT($L537,2)="08",OR($H537&lt;1973,$H537&gt;1999)),"FAIL - 1973-99 class, year "&amp;$H537,IF(AND(LEFT($L537,2)="09",OR($H537&lt;2000,$H537&gt;2010)),"FAIL - 2000-10 class, year "&amp;$H537,"OK")))))</f>
      </c>
      <c r="BF537" s="45">
        <f>IF($AD537="","",IF(ROUND($AO537+$AP537+$AQ537-$AD537,2)=0,"OK","FAIL - out by "&amp;TEXT($AO537+$AP537+$AQ537-$AD537,"$0.00")))</f>
      </c>
    </row>
    <row r="538" spans="1:58" ht="18.75" customHeight="1" x14ac:dyDescent="0.25">
      <c r="A538" s="46" t="inlineStr">
        <is>
          <t xml:space="preserve">CANON-202511-002904</t>
        </is>
      </c>
      <c r="B538" s="46" t="inlineStr">
        <is>
          <t xml:space="preserve">Ottilie Harrington</t>
        </is>
      </c>
      <c r="C538" s="47">
        <v>45984</v>
      </c>
      <c r="D538" s="48" t="inlineStr">
        <is>
          <t xml:space="preserve">Bound - within authority</t>
        </is>
      </c>
      <c r="E538" s="48" t="inlineStr">
        <is>
          <t xml:space="preserve">New business</t>
        </is>
      </c>
      <c r="F538" s="46" t="inlineStr">
        <is>
          <t xml:space="preserve">B1234EXOTIC26</t>
        </is>
      </c>
      <c r="G538" s="33">
        <f>IF($A538="","",IF($C538="","",YEAR($C538)))</f>
      </c>
      <c r="H538" s="49">
        <v>2018</v>
      </c>
      <c r="I538" s="46" t="inlineStr">
        <is>
          <t xml:space="preserve">Mercedes-Benz</t>
        </is>
      </c>
      <c r="J538" s="46" t="inlineStr">
        <is>
          <t xml:space="preserve">280SL Pagoda</t>
        </is>
      </c>
      <c r="K538" s="46" t="inlineStr">
        <is>
          <t xml:space="preserve">5LEJFNCEB5XV26GXF</t>
        </is>
      </c>
      <c r="L538" s="48" t="inlineStr">
        <is>
          <t xml:space="preserve">02 - Sports / GT</t>
        </is>
      </c>
      <c r="M538" s="50">
        <v>335000</v>
      </c>
      <c r="N538" s="48" t="inlineStr">
        <is>
          <t xml:space="preserve">Personal</t>
        </is>
      </c>
      <c r="O538" s="46" t="inlineStr">
        <is>
          <t xml:space="preserve">Personal - regular use</t>
        </is>
      </c>
      <c r="P538" s="46" t="inlineStr">
        <is>
          <t xml:space="preserve">2,500 - 5,000</t>
        </is>
      </c>
      <c r="Q538" s="46" t="inlineStr">
        <is>
          <t xml:space="preserve">Alabama</t>
        </is>
      </c>
      <c r="R538" s="46" t="inlineStr">
        <is>
          <t xml:space="preserve">35203</t>
        </is>
      </c>
      <c r="S538" s="48" t="inlineStr">
        <is>
          <t xml:space="preserve">Tier 2 - Coastal wind (1-25 miles)</t>
        </is>
      </c>
      <c r="T538" s="36">
        <f>IF($A538="","",IF($S538="","",IFERROR(INDEX('[1]natural catastrophe'!$D$6:$D$17,MATCH($S538,'[1]natural catastrophe'!$B$6:$B$17,0)),"?")))</f>
      </c>
      <c r="U538" s="46" t="inlineStr">
        <is>
          <t xml:space="preserve">2% of agreed value, minimum $10,000</t>
        </is>
      </c>
      <c r="V538" s="48" t="inlineStr">
        <is>
          <t xml:space="preserve">Agreed Value</t>
        </is>
      </c>
      <c r="W538" s="46" t="inlineStr">
        <is>
          <t xml:space="preserve">$1,000</t>
        </is>
      </c>
      <c r="X538" s="48" t="inlineStr">
        <is>
          <t xml:space="preserve">$1,000,000 CSL</t>
        </is>
      </c>
      <c r="Y538" s="46"/>
      <c r="Z538" s="46"/>
      <c r="AA538" s="48" t="inlineStr">
        <is>
          <t xml:space="preserve">Surplus Lines</t>
        </is>
      </c>
      <c r="AB538" s="50">
        <v>3542.57</v>
      </c>
      <c r="AC538" s="51">
        <v>0</v>
      </c>
      <c r="AD538" s="38">
        <f>IF(ISNUMBER($AB538),$AB538*(1+N($AC538)),"")</f>
      </c>
      <c r="AE538" s="50">
        <v>350</v>
      </c>
      <c r="AF538" s="50">
        <v>0</v>
      </c>
      <c r="AG538" s="51"/>
      <c r="AH538" s="39">
        <f>IF(ISNUMBER($AD538),($AD538+$AE538+$AF538)*$AG538,"")</f>
      </c>
      <c r="AI538" s="50"/>
      <c r="AJ538" s="38">
        <f>IF(ISNUMBER($AD538),SUM($AD538:$AH538),"")</f>
      </c>
      <c r="AK538" s="40">
        <f>IF(AND(ISNUMBER($AB538),ISNUMBER($AD538)),IF($AB538&gt;0,$AD538/$AB538,""),"")</f>
      </c>
      <c r="AL538" s="48" t="inlineStr">
        <is>
          <t xml:space="preserve">At technical</t>
        </is>
      </c>
      <c r="AM538" s="41">
        <f>IF(ISNUMBER($AD538),Header!$I$3,"")</f>
      </c>
      <c r="AN538" s="39">
        <f>IF(ISNUMBER($AD538),$AO538+$AP538,"")</f>
      </c>
      <c r="AO538" s="39">
        <f>IF(ISNUMBER($AD538),ROUND($AD538*Header!$K$3,2),"")</f>
      </c>
      <c r="AP538" s="39">
        <f>IF(ISNUMBER($AD538),ROUND($AD538*Header!$M$3,2),"")</f>
      </c>
      <c r="AQ538" s="38">
        <f>IF(ISNUMBER($AD538),ROUND($AD538,2)-$AO538-$AP538,"")</f>
      </c>
      <c r="AR538" s="39">
        <f>IF(ISNUMBER($AD538),IF(Header!$D$34="","?",$AD538*Header!$D$34),"")</f>
      </c>
      <c r="AS538" s="39">
        <f>IF(ISNUMBER($AB538),IF(Header!$D$34="","?",$AB538*Header!$D$34),"")</f>
      </c>
      <c r="AT538" s="42">
        <f>IF(AND(ISNUMBER($AB538),$M538&gt;0),$AB538/$M538*100,"")</f>
      </c>
      <c r="AU538" s="42">
        <f>IF(AND(ISNUMBER($AD538),$M538&gt;0),$AD538/$M538*100,"")</f>
      </c>
      <c r="AV538" s="40">
        <f>IF(AND(ISNUMBER($AB538),ISNUMBER($AD538),ABS($AB538)&gt;0),$AD538/$AB538,"")</f>
      </c>
      <c r="AW538" s="39">
        <f>IF(ISNUMBER($AD538),MAX(0,(1-0.55-Header!$O$3)*Header!$Q$3*$AQ538),"")</f>
      </c>
      <c r="AX538" s="43">
        <f>IF($A538="","",IF(TRIM(IF($A538="","Missing certificate ref. ","") &amp; IF($C538="","Missing effective date. ","") &amp; IF($D538="","Missing binding status. ","") &amp; IF($E538="","Missing movement type. ","") &amp; IF($I538="","Missing make. ","") &amp; IF($L538="","Missing vehicle class. ","") &amp; IF($M538="","Missing agreed value. ","") &amp; IF($N538="","Missing policy type. ","") &amp; IF($Q538="","Missing garaging state. ","") &amp; IF($R538="","Missing garaging ZIP. ","") &amp; IF($S538="","Missing cat zone. ","") &amp; IF($V538="","Missing valuation basis. ","") &amp; IF($W538="","Missing PD deductible. ","") &amp; IF($X538="","Missing liability limit. ","") &amp; IF($AB538="","Missing technical premium. ","") &amp; IF($AF538="","Missing surplus lines tax %. ",""))="","PASS","FAIL: "&amp;TRIM(IF($A538="","Missing certificate ref. ","") &amp; IF($C538="","Missing effective date. ","") &amp; IF($D538="","Missing binding status. ","") &amp; IF($E538="","Missing movement type. ","") &amp; IF($I538="","Missing make. ","") &amp; IF($L538="","Missing vehicle class. ","") &amp; IF($M538="","Missing agreed value. ","") &amp; IF($N538="","Missing policy type. ","") &amp; IF($Q538="","Missing garaging state. ","") &amp; IF($R538="","Missing garaging ZIP. ","") &amp; IF($S538="","Missing cat zone. ","") &amp; IF($V538="","Missing valuation basis. ","") &amp; IF($W538="","Missing PD deductible. ","") &amp; IF($X538="","Missing liability limit. ","") &amp; IF($AB538="","Missing technical premium. ","") &amp; IF($AF538="","Missing surplus lines tax %. ",""))))</f>
      </c>
      <c r="AY538" s="44">
        <f>IF($M538="","",IF(ISNUMBER($M538),IF($M538&gt;=Header!$C$18,"YES — refer","No"),""))</f>
      </c>
      <c r="AZ538" s="44">
        <f>IF($AD538="","",IF(ISNUMBER($AD538),IF($AD538&lt;Header!$C$20,"BELOW MIN PREMIUM","OK"),""))</f>
      </c>
      <c r="BA538" s="48" t="inlineStr">
        <is>
          <t xml:space="preserve">Yes</t>
        </is>
      </c>
      <c r="BB538" s="48" t="inlineStr">
        <is>
          <t xml:space="preserve">Yes</t>
        </is>
      </c>
      <c r="BC538" s="46" t="inlineStr">
        <is>
          <t xml:space="preserve">Synthetic demo data</t>
        </is>
      </c>
      <c r="BE538" s="45">
        <f>IF(OR($A538="",$L538="",$H538=""),"",IF(AND(LEFT($L538,2)="06",$H538&gt;1945),"FAIL - pre-war class, year "&amp;$H538,IF(AND(LEFT($L538,2)="07",OR($H538&lt;1946,$H538&gt;1972)),"FAIL - 1946-72 class, year "&amp;$H538,IF(AND(LEFT($L538,2)="08",OR($H538&lt;1973,$H538&gt;1999)),"FAIL - 1973-99 class, year "&amp;$H538,IF(AND(LEFT($L538,2)="09",OR($H538&lt;2000,$H538&gt;2010)),"FAIL - 2000-10 class, year "&amp;$H538,"OK")))))</f>
      </c>
      <c r="BF538" s="45">
        <f>IF($AD538="","",IF(ROUND($AO538+$AP538+$AQ538-$AD538,2)=0,"OK","FAIL - out by "&amp;TEXT($AO538+$AP538+$AQ538-$AD538,"$0.00")))</f>
      </c>
    </row>
    <row r="539" spans="1:58" ht="18.75" customHeight="1" x14ac:dyDescent="0.25">
      <c r="A539" s="30" t="inlineStr">
        <is>
          <t xml:space="preserve">CANON-202511-002905</t>
        </is>
      </c>
      <c r="B539" s="30" t="inlineStr">
        <is>
          <t xml:space="preserve">Fitzgerald Ashcombe</t>
        </is>
      </c>
      <c r="C539" s="31">
        <v>45968</v>
      </c>
      <c r="D539" s="32" t="inlineStr">
        <is>
          <t xml:space="preserve">Bound - within authority</t>
        </is>
      </c>
      <c r="E539" s="32" t="inlineStr">
        <is>
          <t xml:space="preserve">New business</t>
        </is>
      </c>
      <c r="F539" s="30" t="inlineStr">
        <is>
          <t xml:space="preserve">B1234EXOTIC26</t>
        </is>
      </c>
      <c r="G539" s="33">
        <f>IF($A539="","",IF($C539="","",YEAR($C539)))</f>
      </c>
      <c r="H539" s="34">
        <v>2010</v>
      </c>
      <c r="I539" s="30" t="inlineStr">
        <is>
          <t xml:space="preserve">Ferrari</t>
        </is>
      </c>
      <c r="J539" s="30" t="inlineStr">
        <is>
          <t xml:space="preserve">296 GTB</t>
        </is>
      </c>
      <c r="K539" s="30" t="inlineStr">
        <is>
          <t xml:space="preserve">EUTZC5NEVZ7DJD49Z</t>
        </is>
      </c>
      <c r="L539" s="32" t="inlineStr">
        <is>
          <t xml:space="preserve">03 - Supercar</t>
        </is>
      </c>
      <c r="M539" s="35">
        <v>1820000</v>
      </c>
      <c r="N539" s="32" t="inlineStr">
        <is>
          <t xml:space="preserve">Personal</t>
        </is>
      </c>
      <c r="O539" s="30" t="inlineStr">
        <is>
          <t xml:space="preserve">Personal - regular use</t>
        </is>
      </c>
      <c r="P539" s="30" t="inlineStr">
        <is>
          <t xml:space="preserve">Under 1,000</t>
        </is>
      </c>
      <c r="Q539" s="30" t="inlineStr">
        <is>
          <t xml:space="preserve">Mississippi</t>
        </is>
      </c>
      <c r="R539" s="30" t="inlineStr">
        <is>
          <t xml:space="preserve">39201</t>
        </is>
      </c>
      <c r="S539" s="32" t="inlineStr">
        <is>
          <t xml:space="preserve">Tier 2 - Coastal wind (1-25 miles)</t>
        </is>
      </c>
      <c r="T539" s="36">
        <f>IF($A539="","",IF($S539="","",IFERROR(INDEX('[1]natural catastrophe'!$D$6:$D$17,MATCH($S539,'[1]natural catastrophe'!$B$6:$B$17,0)),"?")))</f>
      </c>
      <c r="U539" s="30" t="inlineStr">
        <is>
          <t xml:space="preserve">2% of agreed value, minimum $10,000</t>
        </is>
      </c>
      <c r="V539" s="32" t="inlineStr">
        <is>
          <t xml:space="preserve">Agreed Value</t>
        </is>
      </c>
      <c r="W539" s="30" t="inlineStr">
        <is>
          <t xml:space="preserve">$1,000</t>
        </is>
      </c>
      <c r="X539" s="32" t="inlineStr">
        <is>
          <t xml:space="preserve">$1,000,000 CSL</t>
        </is>
      </c>
      <c r="Y539" s="30"/>
      <c r="Z539" s="30"/>
      <c r="AA539" s="32" t="inlineStr">
        <is>
          <t xml:space="preserve">Surplus Lines</t>
        </is>
      </c>
      <c r="AB539" s="35">
        <v>30056.4</v>
      </c>
      <c r="AC539" s="37">
        <v>0</v>
      </c>
      <c r="AD539" s="38">
        <f>IF(ISNUMBER($AB539),$AB539*(1+N($AC539)),"")</f>
      </c>
      <c r="AE539" s="35">
        <v>350</v>
      </c>
      <c r="AF539" s="35">
        <v>250</v>
      </c>
      <c r="AG539" s="37"/>
      <c r="AH539" s="39">
        <f>IF(ISNUMBER($AD539),($AD539+$AE539+$AF539)*$AG539,"")</f>
      </c>
      <c r="AI539" s="35"/>
      <c r="AJ539" s="38">
        <f>IF(ISNUMBER($AD539),SUM($AD539:$AH539),"")</f>
      </c>
      <c r="AK539" s="40">
        <f>IF(AND(ISNUMBER($AB539),ISNUMBER($AD539)),IF($AB539&gt;0,$AD539/$AB539,""),"")</f>
      </c>
      <c r="AL539" s="32" t="inlineStr">
        <is>
          <t xml:space="preserve">At technical</t>
        </is>
      </c>
      <c r="AM539" s="41">
        <f>IF(ISNUMBER($AD539),Header!$I$3,"")</f>
      </c>
      <c r="AN539" s="39">
        <f>IF(ISNUMBER($AD539),$AO539+$AP539,"")</f>
      </c>
      <c r="AO539" s="39">
        <f>IF(ISNUMBER($AD539),ROUND($AD539*Header!$K$3,2),"")</f>
      </c>
      <c r="AP539" s="39">
        <f>IF(ISNUMBER($AD539),ROUND($AD539*Header!$M$3,2),"")</f>
      </c>
      <c r="AQ539" s="38">
        <f>IF(ISNUMBER($AD539),ROUND($AD539,2)-$AO539-$AP539,"")</f>
      </c>
      <c r="AR539" s="39">
        <f>IF(ISNUMBER($AD539),IF(Header!$D$34="","?",$AD539*Header!$D$34),"")</f>
      </c>
      <c r="AS539" s="39">
        <f>IF(ISNUMBER($AB539),IF(Header!$D$34="","?",$AB539*Header!$D$34),"")</f>
      </c>
      <c r="AT539" s="42">
        <f>IF(AND(ISNUMBER($AB539),$M539&gt;0),$AB539/$M539*100,"")</f>
      </c>
      <c r="AU539" s="42">
        <f>IF(AND(ISNUMBER($AD539),$M539&gt;0),$AD539/$M539*100,"")</f>
      </c>
      <c r="AV539" s="40">
        <f>IF(AND(ISNUMBER($AB539),ISNUMBER($AD539),ABS($AB539)&gt;0),$AD539/$AB539,"")</f>
      </c>
      <c r="AW539" s="39">
        <f>IF(ISNUMBER($AD539),MAX(0,(1-0.55-Header!$O$3)*Header!$Q$3*$AQ539),"")</f>
      </c>
      <c r="AX539" s="43">
        <f>IF($A539="","",IF(TRIM(IF($A539="","Missing certificate ref. ","") &amp; IF($C539="","Missing effective date. ","") &amp; IF($D539="","Missing binding status. ","") &amp; IF($E539="","Missing movement type. ","") &amp; IF($I539="","Missing make. ","") &amp; IF($L539="","Missing vehicle class. ","") &amp; IF($M539="","Missing agreed value. ","") &amp; IF($N539="","Missing policy type. ","") &amp; IF($Q539="","Missing garaging state. ","") &amp; IF($R539="","Missing garaging ZIP. ","") &amp; IF($S539="","Missing cat zone. ","") &amp; IF($V539="","Missing valuation basis. ","") &amp; IF($W539="","Missing PD deductible. ","") &amp; IF($X539="","Missing liability limit. ","") &amp; IF($AB539="","Missing technical premium. ","") &amp; IF($AF539="","Missing surplus lines tax %. ",""))="","PASS","FAIL: "&amp;TRIM(IF($A539="","Missing certificate ref. ","") &amp; IF($C539="","Missing effective date. ","") &amp; IF($D539="","Missing binding status. ","") &amp; IF($E539="","Missing movement type. ","") &amp; IF($I539="","Missing make. ","") &amp; IF($L539="","Missing vehicle class. ","") &amp; IF($M539="","Missing agreed value. ","") &amp; IF($N539="","Missing policy type. ","") &amp; IF($Q539="","Missing garaging state. ","") &amp; IF($R539="","Missing garaging ZIP. ","") &amp; IF($S539="","Missing cat zone. ","") &amp; IF($V539="","Missing valuation basis. ","") &amp; IF($W539="","Missing PD deductible. ","") &amp; IF($X539="","Missing liability limit. ","") &amp; IF($AB539="","Missing technical premium. ","") &amp; IF($AF539="","Missing surplus lines tax %. ",""))))</f>
      </c>
      <c r="AY539" s="44">
        <f>IF($M539="","",IF(ISNUMBER($M539),IF($M539&gt;=Header!$C$18,"YES — refer","No"),""))</f>
      </c>
      <c r="AZ539" s="44">
        <f>IF($AD539="","",IF(ISNUMBER($AD539),IF($AD539&lt;Header!$C$20,"BELOW MIN PREMIUM","OK"),""))</f>
      </c>
      <c r="BA539" s="32" t="inlineStr">
        <is>
          <t xml:space="preserve">Yes</t>
        </is>
      </c>
      <c r="BB539" s="32" t="inlineStr">
        <is>
          <t xml:space="preserve">Yes</t>
        </is>
      </c>
      <c r="BC539" s="30" t="inlineStr">
        <is>
          <t xml:space="preserve">Synthetic demo data</t>
        </is>
      </c>
      <c r="BE539" s="45">
        <f>IF(OR($A539="",$L539="",$H539=""),"",IF(AND(LEFT($L539,2)="06",$H539&gt;1945),"FAIL - pre-war class, year "&amp;$H539,IF(AND(LEFT($L539,2)="07",OR($H539&lt;1946,$H539&gt;1972)),"FAIL - 1946-72 class, year "&amp;$H539,IF(AND(LEFT($L539,2)="08",OR($H539&lt;1973,$H539&gt;1999)),"FAIL - 1973-99 class, year "&amp;$H539,IF(AND(LEFT($L539,2)="09",OR($H539&lt;2000,$H539&gt;2010)),"FAIL - 2000-10 class, year "&amp;$H539,"OK")))))</f>
      </c>
      <c r="BF539" s="45">
        <f>IF($AD539="","",IF(ROUND($AO539+$AP539+$AQ539-$AD539,2)=0,"OK","FAIL - out by "&amp;TEXT($AO539+$AP539+$AQ539-$AD539,"$0.00")))</f>
      </c>
    </row>
    <row r="540" spans="1:58" ht="18.75" customHeight="1" x14ac:dyDescent="0.25">
      <c r="A540" s="46" t="inlineStr">
        <is>
          <t xml:space="preserve">CANON-202511-002908</t>
        </is>
      </c>
      <c r="B540" s="46" t="inlineStr">
        <is>
          <t xml:space="preserve">Desmond Fairweather</t>
        </is>
      </c>
      <c r="C540" s="47">
        <v>45975</v>
      </c>
      <c r="D540" s="48" t="inlineStr">
        <is>
          <t xml:space="preserve">Bound - within authority</t>
        </is>
      </c>
      <c r="E540" s="48" t="inlineStr">
        <is>
          <t xml:space="preserve">New business</t>
        </is>
      </c>
      <c r="F540" s="46" t="inlineStr">
        <is>
          <t xml:space="preserve">B1234EXOTIC26</t>
        </is>
      </c>
      <c r="G540" s="33">
        <f>IF($A540="","",IF($C540="","",YEAR($C540)))</f>
      </c>
      <c r="H540" s="49">
        <v>2022</v>
      </c>
      <c r="I540" s="46" t="inlineStr">
        <is>
          <t xml:space="preserve">Bentley</t>
        </is>
      </c>
      <c r="J540" s="46" t="inlineStr">
        <is>
          <t xml:space="preserve">Continental GT</t>
        </is>
      </c>
      <c r="K540" s="46" t="inlineStr">
        <is>
          <t xml:space="preserve">YJRRR3N69Z9E2WG8A</t>
        </is>
      </c>
      <c r="L540" s="48" t="inlineStr">
        <is>
          <t xml:space="preserve">02 - Sports / GT</t>
        </is>
      </c>
      <c r="M540" s="50">
        <v>170000</v>
      </c>
      <c r="N540" s="48" t="inlineStr">
        <is>
          <t xml:space="preserve">Personal</t>
        </is>
      </c>
      <c r="O540" s="46" t="inlineStr">
        <is>
          <t xml:space="preserve">Personal - regular use</t>
        </is>
      </c>
      <c r="P540" s="46" t="inlineStr">
        <is>
          <t xml:space="preserve">2,500 - 5,000</t>
        </is>
      </c>
      <c r="Q540" s="46" t="inlineStr">
        <is>
          <t xml:space="preserve">Vermont</t>
        </is>
      </c>
      <c r="R540" s="46" t="inlineStr">
        <is>
          <t xml:space="preserve">05601</t>
        </is>
      </c>
      <c r="S540" s="48" t="inlineStr">
        <is>
          <t xml:space="preserve">Low hazard - inland benign</t>
        </is>
      </c>
      <c r="T540" s="36">
        <f>IF($A540="","",IF($S540="","",IFERROR(INDEX('[1]natural catastrophe'!$D$6:$D$17,MATCH($S540,'[1]natural catastrophe'!$B$6:$B$17,0)),"?")))</f>
      </c>
      <c r="U540" s="46" t="inlineStr">
        <is>
          <t xml:space="preserve">$5,000</t>
        </is>
      </c>
      <c r="V540" s="48" t="inlineStr">
        <is>
          <t xml:space="preserve">Agreed Value</t>
        </is>
      </c>
      <c r="W540" s="46" t="inlineStr">
        <is>
          <t xml:space="preserve">$1,000</t>
        </is>
      </c>
      <c r="X540" s="48" t="inlineStr">
        <is>
          <t xml:space="preserve">$1,000,000 CSL</t>
        </is>
      </c>
      <c r="Y540" s="46"/>
      <c r="Z540" s="46"/>
      <c r="AA540" s="48" t="inlineStr">
        <is>
          <t xml:space="preserve">Surplus Lines</t>
        </is>
      </c>
      <c r="AB540" s="50">
        <v>3309.98</v>
      </c>
      <c r="AC540" s="51">
        <v>0</v>
      </c>
      <c r="AD540" s="38">
        <f>IF(ISNUMBER($AB540),$AB540*(1+N($AC540)),"")</f>
      </c>
      <c r="AE540" s="50">
        <v>350</v>
      </c>
      <c r="AF540" s="50">
        <v>0</v>
      </c>
      <c r="AG540" s="51"/>
      <c r="AH540" s="39">
        <f>IF(ISNUMBER($AD540),($AD540+$AE540+$AF540)*$AG540,"")</f>
      </c>
      <c r="AI540" s="50"/>
      <c r="AJ540" s="38">
        <f>IF(ISNUMBER($AD540),SUM($AD540:$AH540),"")</f>
      </c>
      <c r="AK540" s="40">
        <f>IF(AND(ISNUMBER($AB540),ISNUMBER($AD540)),IF($AB540&gt;0,$AD540/$AB540,""),"")</f>
      </c>
      <c r="AL540" s="48" t="inlineStr">
        <is>
          <t xml:space="preserve">At technical</t>
        </is>
      </c>
      <c r="AM540" s="41">
        <f>IF(ISNUMBER($AD540),Header!$I$3,"")</f>
      </c>
      <c r="AN540" s="39">
        <f>IF(ISNUMBER($AD540),$AO540+$AP540,"")</f>
      </c>
      <c r="AO540" s="39">
        <f>IF(ISNUMBER($AD540),ROUND($AD540*Header!$K$3,2),"")</f>
      </c>
      <c r="AP540" s="39">
        <f>IF(ISNUMBER($AD540),ROUND($AD540*Header!$M$3,2),"")</f>
      </c>
      <c r="AQ540" s="38">
        <f>IF(ISNUMBER($AD540),ROUND($AD540,2)-$AO540-$AP540,"")</f>
      </c>
      <c r="AR540" s="39">
        <f>IF(ISNUMBER($AD540),IF(Header!$D$34="","?",$AD540*Header!$D$34),"")</f>
      </c>
      <c r="AS540" s="39">
        <f>IF(ISNUMBER($AB540),IF(Header!$D$34="","?",$AB540*Header!$D$34),"")</f>
      </c>
      <c r="AT540" s="42">
        <f>IF(AND(ISNUMBER($AB540),$M540&gt;0),$AB540/$M540*100,"")</f>
      </c>
      <c r="AU540" s="42">
        <f>IF(AND(ISNUMBER($AD540),$M540&gt;0),$AD540/$M540*100,"")</f>
      </c>
      <c r="AV540" s="40">
        <f>IF(AND(ISNUMBER($AB540),ISNUMBER($AD540),ABS($AB540)&gt;0),$AD540/$AB540,"")</f>
      </c>
      <c r="AW540" s="39">
        <f>IF(ISNUMBER($AD540),MAX(0,(1-0.55-Header!$O$3)*Header!$Q$3*$AQ540),"")</f>
      </c>
      <c r="AX540" s="43">
        <f>IF($A540="","",IF(TRIM(IF($A540="","Missing certificate ref. ","") &amp; IF($C540="","Missing effective date. ","") &amp; IF($D540="","Missing binding status. ","") &amp; IF($E540="","Missing movement type. ","") &amp; IF($I540="","Missing make. ","") &amp; IF($L540="","Missing vehicle class. ","") &amp; IF($M540="","Missing agreed value. ","") &amp; IF($N540="","Missing policy type. ","") &amp; IF($Q540="","Missing garaging state. ","") &amp; IF($R540="","Missing garaging ZIP. ","") &amp; IF($S540="","Missing cat zone. ","") &amp; IF($V540="","Missing valuation basis. ","") &amp; IF($W540="","Missing PD deductible. ","") &amp; IF($X540="","Missing liability limit. ","") &amp; IF($AB540="","Missing technical premium. ","") &amp; IF($AF540="","Missing surplus lines tax %. ",""))="","PASS","FAIL: "&amp;TRIM(IF($A540="","Missing certificate ref. ","") &amp; IF($C540="","Missing effective date. ","") &amp; IF($D540="","Missing binding status. ","") &amp; IF($E540="","Missing movement type. ","") &amp; IF($I540="","Missing make. ","") &amp; IF($L540="","Missing vehicle class. ","") &amp; IF($M540="","Missing agreed value. ","") &amp; IF($N540="","Missing policy type. ","") &amp; IF($Q540="","Missing garaging state. ","") &amp; IF($R540="","Missing garaging ZIP. ","") &amp; IF($S540="","Missing cat zone. ","") &amp; IF($V540="","Missing valuation basis. ","") &amp; IF($W540="","Missing PD deductible. ","") &amp; IF($X540="","Missing liability limit. ","") &amp; IF($AB540="","Missing technical premium. ","") &amp; IF($AF540="","Missing surplus lines tax %. ",""))))</f>
      </c>
      <c r="AY540" s="44">
        <f>IF($M540="","",IF(ISNUMBER($M540),IF($M540&gt;=Header!$C$18,"YES — refer","No"),""))</f>
      </c>
      <c r="AZ540" s="44">
        <f>IF($AD540="","",IF(ISNUMBER($AD540),IF($AD540&lt;Header!$C$20,"BELOW MIN PREMIUM","OK"),""))</f>
      </c>
      <c r="BA540" s="48" t="inlineStr">
        <is>
          <t xml:space="preserve">Yes</t>
        </is>
      </c>
      <c r="BB540" s="48" t="inlineStr">
        <is>
          <t xml:space="preserve">Yes</t>
        </is>
      </c>
      <c r="BC540" s="46" t="inlineStr">
        <is>
          <t xml:space="preserve">Synthetic demo data</t>
        </is>
      </c>
      <c r="BE540" s="45">
        <f>IF(OR($A540="",$L540="",$H540=""),"",IF(AND(LEFT($L540,2)="06",$H540&gt;1945),"FAIL - pre-war class, year "&amp;$H540,IF(AND(LEFT($L540,2)="07",OR($H540&lt;1946,$H540&gt;1972)),"FAIL - 1946-72 class, year "&amp;$H540,IF(AND(LEFT($L540,2)="08",OR($H540&lt;1973,$H540&gt;1999)),"FAIL - 1973-99 class, year "&amp;$H540,IF(AND(LEFT($L540,2)="09",OR($H540&lt;2000,$H540&gt;2010)),"FAIL - 2000-10 class, year "&amp;$H540,"OK")))))</f>
      </c>
      <c r="BF540" s="45">
        <f>IF($AD540="","",IF(ROUND($AO540+$AP540+$AQ540-$AD540,2)=0,"OK","FAIL - out by "&amp;TEXT($AO540+$AP540+$AQ540-$AD540,"$0.00")))</f>
      </c>
    </row>
    <row r="541" spans="1:58" ht="18.75" customHeight="1" x14ac:dyDescent="0.25">
      <c r="A541" s="30" t="inlineStr">
        <is>
          <t xml:space="preserve">CANON-202511-002910</t>
        </is>
      </c>
      <c r="B541" s="30" t="inlineStr">
        <is>
          <t xml:space="preserve">Aurelio Castellanos</t>
        </is>
      </c>
      <c r="C541" s="31">
        <v>45963</v>
      </c>
      <c r="D541" s="32" t="inlineStr">
        <is>
          <t xml:space="preserve">Bound - within authority</t>
        </is>
      </c>
      <c r="E541" s="32" t="inlineStr">
        <is>
          <t xml:space="preserve">New business</t>
        </is>
      </c>
      <c r="F541" s="30" t="inlineStr">
        <is>
          <t xml:space="preserve">B1234EXOTIC26</t>
        </is>
      </c>
      <c r="G541" s="33">
        <f>IF($A541="","",IF($C541="","",YEAR($C541)))</f>
      </c>
      <c r="H541" s="34">
        <v>2003</v>
      </c>
      <c r="I541" s="30" t="inlineStr">
        <is>
          <t xml:space="preserve">Lamborghini</t>
        </is>
      </c>
      <c r="J541" s="30" t="inlineStr">
        <is>
          <t xml:space="preserve">Huracan EVO</t>
        </is>
      </c>
      <c r="K541" s="30" t="inlineStr">
        <is>
          <t xml:space="preserve">9GGZKPKA0NZYJWFLM</t>
        </is>
      </c>
      <c r="L541" s="32" t="inlineStr">
        <is>
          <t xml:space="preserve">03 - Supercar</t>
        </is>
      </c>
      <c r="M541" s="35">
        <v>1950000</v>
      </c>
      <c r="N541" s="32" t="inlineStr">
        <is>
          <t xml:space="preserve">Personal</t>
        </is>
      </c>
      <c r="O541" s="30" t="inlineStr">
        <is>
          <t xml:space="preserve">Personal - regular use</t>
        </is>
      </c>
      <c r="P541" s="30" t="inlineStr">
        <is>
          <t xml:space="preserve">1,000 - 2,500</t>
        </is>
      </c>
      <c r="Q541" s="30" t="inlineStr">
        <is>
          <t xml:space="preserve">Vermont</t>
        </is>
      </c>
      <c r="R541" s="30" t="inlineStr">
        <is>
          <t xml:space="preserve">05601</t>
        </is>
      </c>
      <c r="S541" s="32" t="inlineStr">
        <is>
          <t xml:space="preserve">Low hazard - inland benign</t>
        </is>
      </c>
      <c r="T541" s="36">
        <f>IF($A541="","",IF($S541="","",IFERROR(INDEX('[1]natural catastrophe'!$D$6:$D$17,MATCH($S541,'[1]natural catastrophe'!$B$6:$B$17,0)),"?")))</f>
      </c>
      <c r="U541" s="30" t="inlineStr">
        <is>
          <t xml:space="preserve">$5,000</t>
        </is>
      </c>
      <c r="V541" s="32" t="inlineStr">
        <is>
          <t xml:space="preserve">Agreed Value</t>
        </is>
      </c>
      <c r="W541" s="30" t="inlineStr">
        <is>
          <t xml:space="preserve">$1,000</t>
        </is>
      </c>
      <c r="X541" s="32" t="inlineStr">
        <is>
          <t xml:space="preserve">$1,000,000 CSL</t>
        </is>
      </c>
      <c r="Y541" s="30"/>
      <c r="Z541" s="30"/>
      <c r="AA541" s="32" t="inlineStr">
        <is>
          <t xml:space="preserve">Surplus Lines</t>
        </is>
      </c>
      <c r="AB541" s="35">
        <v>33015.13</v>
      </c>
      <c r="AC541" s="37">
        <v>0</v>
      </c>
      <c r="AD541" s="38">
        <f>IF(ISNUMBER($AB541),$AB541*(1+N($AC541)),"")</f>
      </c>
      <c r="AE541" s="35">
        <v>350</v>
      </c>
      <c r="AF541" s="35">
        <v>250</v>
      </c>
      <c r="AG541" s="37"/>
      <c r="AH541" s="39">
        <f>IF(ISNUMBER($AD541),($AD541+$AE541+$AF541)*$AG541,"")</f>
      </c>
      <c r="AI541" s="35"/>
      <c r="AJ541" s="38">
        <f>IF(ISNUMBER($AD541),SUM($AD541:$AH541),"")</f>
      </c>
      <c r="AK541" s="40">
        <f>IF(AND(ISNUMBER($AB541),ISNUMBER($AD541)),IF($AB541&gt;0,$AD541/$AB541,""),"")</f>
      </c>
      <c r="AL541" s="32" t="inlineStr">
        <is>
          <t xml:space="preserve">At technical</t>
        </is>
      </c>
      <c r="AM541" s="41">
        <f>IF(ISNUMBER($AD541),Header!$I$3,"")</f>
      </c>
      <c r="AN541" s="39">
        <f>IF(ISNUMBER($AD541),$AO541+$AP541,"")</f>
      </c>
      <c r="AO541" s="39">
        <f>IF(ISNUMBER($AD541),ROUND($AD541*Header!$K$3,2),"")</f>
      </c>
      <c r="AP541" s="39">
        <f>IF(ISNUMBER($AD541),ROUND($AD541*Header!$M$3,2),"")</f>
      </c>
      <c r="AQ541" s="38">
        <f>IF(ISNUMBER($AD541),ROUND($AD541,2)-$AO541-$AP541,"")</f>
      </c>
      <c r="AR541" s="39">
        <f>IF(ISNUMBER($AD541),IF(Header!$D$34="","?",$AD541*Header!$D$34),"")</f>
      </c>
      <c r="AS541" s="39">
        <f>IF(ISNUMBER($AB541),IF(Header!$D$34="","?",$AB541*Header!$D$34),"")</f>
      </c>
      <c r="AT541" s="42">
        <f>IF(AND(ISNUMBER($AB541),$M541&gt;0),$AB541/$M541*100,"")</f>
      </c>
      <c r="AU541" s="42">
        <f>IF(AND(ISNUMBER($AD541),$M541&gt;0),$AD541/$M541*100,"")</f>
      </c>
      <c r="AV541" s="40">
        <f>IF(AND(ISNUMBER($AB541),ISNUMBER($AD541),ABS($AB541)&gt;0),$AD541/$AB541,"")</f>
      </c>
      <c r="AW541" s="39">
        <f>IF(ISNUMBER($AD541),MAX(0,(1-0.55-Header!$O$3)*Header!$Q$3*$AQ541),"")</f>
      </c>
      <c r="AX541" s="43">
        <f>IF($A541="","",IF(TRIM(IF($A541="","Missing certificate ref. ","") &amp; IF($C541="","Missing effective date. ","") &amp; IF($D541="","Missing binding status. ","") &amp; IF($E541="","Missing movement type. ","") &amp; IF($I541="","Missing make. ","") &amp; IF($L541="","Missing vehicle class. ","") &amp; IF($M541="","Missing agreed value. ","") &amp; IF($N541="","Missing policy type. ","") &amp; IF($Q541="","Missing garaging state. ","") &amp; IF($R541="","Missing garaging ZIP. ","") &amp; IF($S541="","Missing cat zone. ","") &amp; IF($V541="","Missing valuation basis. ","") &amp; IF($W541="","Missing PD deductible. ","") &amp; IF($X541="","Missing liability limit. ","") &amp; IF($AB541="","Missing technical premium. ","") &amp; IF($AF541="","Missing surplus lines tax %. ",""))="","PASS","FAIL: "&amp;TRIM(IF($A541="","Missing certificate ref. ","") &amp; IF($C541="","Missing effective date. ","") &amp; IF($D541="","Missing binding status. ","") &amp; IF($E541="","Missing movement type. ","") &amp; IF($I541="","Missing make. ","") &amp; IF($L541="","Missing vehicle class. ","") &amp; IF($M541="","Missing agreed value. ","") &amp; IF($N541="","Missing policy type. ","") &amp; IF($Q541="","Missing garaging state. ","") &amp; IF($R541="","Missing garaging ZIP. ","") &amp; IF($S541="","Missing cat zone. ","") &amp; IF($V541="","Missing valuation basis. ","") &amp; IF($W541="","Missing PD deductible. ","") &amp; IF($X541="","Missing liability limit. ","") &amp; IF($AB541="","Missing technical premium. ","") &amp; IF($AF541="","Missing surplus lines tax %. ",""))))</f>
      </c>
      <c r="AY541" s="44">
        <f>IF($M541="","",IF(ISNUMBER($M541),IF($M541&gt;=Header!$C$18,"YES — refer","No"),""))</f>
      </c>
      <c r="AZ541" s="44">
        <f>IF($AD541="","",IF(ISNUMBER($AD541),IF($AD541&lt;Header!$C$20,"BELOW MIN PREMIUM","OK"),""))</f>
      </c>
      <c r="BA541" s="32" t="inlineStr">
        <is>
          <t xml:space="preserve">Yes</t>
        </is>
      </c>
      <c r="BB541" s="32" t="inlineStr">
        <is>
          <t xml:space="preserve">Yes</t>
        </is>
      </c>
      <c r="BC541" s="30" t="inlineStr">
        <is>
          <t xml:space="preserve">Synthetic demo data</t>
        </is>
      </c>
      <c r="BE541" s="45">
        <f>IF(OR($A541="",$L541="",$H541=""),"",IF(AND(LEFT($L541,2)="06",$H541&gt;1945),"FAIL - pre-war class, year "&amp;$H541,IF(AND(LEFT($L541,2)="07",OR($H541&lt;1946,$H541&gt;1972)),"FAIL - 1946-72 class, year "&amp;$H541,IF(AND(LEFT($L541,2)="08",OR($H541&lt;1973,$H541&gt;1999)),"FAIL - 1973-99 class, year "&amp;$H541,IF(AND(LEFT($L541,2)="09",OR($H541&lt;2000,$H541&gt;2010)),"FAIL - 2000-10 class, year "&amp;$H541,"OK")))))</f>
      </c>
      <c r="BF541" s="45">
        <f>IF($AD541="","",IF(ROUND($AO541+$AP541+$AQ541-$AD541,2)=0,"OK","FAIL - out by "&amp;TEXT($AO541+$AP541+$AQ541-$AD541,"$0.00")))</f>
      </c>
    </row>
    <row r="542" spans="1:58" ht="18.75" customHeight="1" x14ac:dyDescent="0.25">
      <c r="A542" s="46" t="inlineStr">
        <is>
          <t xml:space="preserve">CANON-202511-002911</t>
        </is>
      </c>
      <c r="B542" s="46" t="inlineStr">
        <is>
          <t xml:space="preserve">Wilhelmina Vandermeer</t>
        </is>
      </c>
      <c r="C542" s="47">
        <v>45983</v>
      </c>
      <c r="D542" s="48" t="inlineStr">
        <is>
          <t xml:space="preserve">Bound - within authority</t>
        </is>
      </c>
      <c r="E542" s="48" t="inlineStr">
        <is>
          <t xml:space="preserve">New business</t>
        </is>
      </c>
      <c r="F542" s="46" t="inlineStr">
        <is>
          <t xml:space="preserve">B1234EXOTIC26</t>
        </is>
      </c>
      <c r="G542" s="33">
        <f>IF($A542="","",IF($C542="","",YEAR($C542)))</f>
      </c>
      <c r="H542" s="49">
        <v>2008</v>
      </c>
      <c r="I542" s="46" t="inlineStr">
        <is>
          <t xml:space="preserve">Aston Martin</t>
        </is>
      </c>
      <c r="J542" s="46" t="inlineStr">
        <is>
          <t xml:space="preserve">DB12</t>
        </is>
      </c>
      <c r="K542" s="46" t="inlineStr">
        <is>
          <t xml:space="preserve">NGWP51VDG3WDZBS7E</t>
        </is>
      </c>
      <c r="L542" s="48" t="inlineStr">
        <is>
          <t xml:space="preserve">02 - Sports / GT</t>
        </is>
      </c>
      <c r="M542" s="50">
        <v>380000</v>
      </c>
      <c r="N542" s="48" t="inlineStr">
        <is>
          <t xml:space="preserve">Personal</t>
        </is>
      </c>
      <c r="O542" s="46" t="inlineStr">
        <is>
          <t xml:space="preserve">Personal - regular use</t>
        </is>
      </c>
      <c r="P542" s="46" t="inlineStr">
        <is>
          <t xml:space="preserve">2,500 - 5,000</t>
        </is>
      </c>
      <c r="Q542" s="46" t="inlineStr">
        <is>
          <t xml:space="preserve">New York</t>
        </is>
      </c>
      <c r="R542" s="46" t="inlineStr">
        <is>
          <t xml:space="preserve">10022</t>
        </is>
      </c>
      <c r="S542" s="48" t="inlineStr">
        <is>
          <t xml:space="preserve">Tier 3 - Coastal wind (25-100 miles)</t>
        </is>
      </c>
      <c r="T542" s="36">
        <f>IF($A542="","",IF($S542="","",IFERROR(INDEX('[1]natural catastrophe'!$D$6:$D$17,MATCH($S542,'[1]natural catastrophe'!$B$6:$B$17,0)),"?")))</f>
      </c>
      <c r="U542" s="46" t="inlineStr">
        <is>
          <t xml:space="preserve">2% of agreed value, minimum $10,000</t>
        </is>
      </c>
      <c r="V542" s="48" t="inlineStr">
        <is>
          <t xml:space="preserve">Agreed Value</t>
        </is>
      </c>
      <c r="W542" s="46" t="inlineStr">
        <is>
          <t xml:space="preserve">$1,000</t>
        </is>
      </c>
      <c r="X542" s="48" t="inlineStr">
        <is>
          <t xml:space="preserve">$1,000,000 CSL</t>
        </is>
      </c>
      <c r="Y542" s="46"/>
      <c r="Z542" s="46"/>
      <c r="AA542" s="48" t="inlineStr">
        <is>
          <t xml:space="preserve">Surplus Lines</t>
        </is>
      </c>
      <c r="AB542" s="50">
        <v>6328.25</v>
      </c>
      <c r="AC542" s="51">
        <v>0</v>
      </c>
      <c r="AD542" s="38">
        <f>IF(ISNUMBER($AB542),$AB542*(1+N($AC542)),"")</f>
      </c>
      <c r="AE542" s="50">
        <v>350</v>
      </c>
      <c r="AF542" s="50">
        <v>0</v>
      </c>
      <c r="AG542" s="51"/>
      <c r="AH542" s="39">
        <f>IF(ISNUMBER($AD542),($AD542+$AE542+$AF542)*$AG542,"")</f>
      </c>
      <c r="AI542" s="50"/>
      <c r="AJ542" s="38">
        <f>IF(ISNUMBER($AD542),SUM($AD542:$AH542),"")</f>
      </c>
      <c r="AK542" s="40">
        <f>IF(AND(ISNUMBER($AB542),ISNUMBER($AD542)),IF($AB542&gt;0,$AD542/$AB542,""),"")</f>
      </c>
      <c r="AL542" s="48" t="inlineStr">
        <is>
          <t xml:space="preserve">At technical</t>
        </is>
      </c>
      <c r="AM542" s="41">
        <f>IF(ISNUMBER($AD542),Header!$I$3,"")</f>
      </c>
      <c r="AN542" s="39">
        <f>IF(ISNUMBER($AD542),$AO542+$AP542,"")</f>
      </c>
      <c r="AO542" s="39">
        <f>IF(ISNUMBER($AD542),ROUND($AD542*Header!$K$3,2),"")</f>
      </c>
      <c r="AP542" s="39">
        <f>IF(ISNUMBER($AD542),ROUND($AD542*Header!$M$3,2),"")</f>
      </c>
      <c r="AQ542" s="38">
        <f>IF(ISNUMBER($AD542),ROUND($AD542,2)-$AO542-$AP542,"")</f>
      </c>
      <c r="AR542" s="39">
        <f>IF(ISNUMBER($AD542),IF(Header!$D$34="","?",$AD542*Header!$D$34),"")</f>
      </c>
      <c r="AS542" s="39">
        <f>IF(ISNUMBER($AB542),IF(Header!$D$34="","?",$AB542*Header!$D$34),"")</f>
      </c>
      <c r="AT542" s="42">
        <f>IF(AND(ISNUMBER($AB542),$M542&gt;0),$AB542/$M542*100,"")</f>
      </c>
      <c r="AU542" s="42">
        <f>IF(AND(ISNUMBER($AD542),$M542&gt;0),$AD542/$M542*100,"")</f>
      </c>
      <c r="AV542" s="40">
        <f>IF(AND(ISNUMBER($AB542),ISNUMBER($AD542),ABS($AB542)&gt;0),$AD542/$AB542,"")</f>
      </c>
      <c r="AW542" s="39">
        <f>IF(ISNUMBER($AD542),MAX(0,(1-0.55-Header!$O$3)*Header!$Q$3*$AQ542),"")</f>
      </c>
      <c r="AX542" s="43">
        <f>IF($A542="","",IF(TRIM(IF($A542="","Missing certificate ref. ","") &amp; IF($C542="","Missing effective date. ","") &amp; IF($D542="","Missing binding status. ","") &amp; IF($E542="","Missing movement type. ","") &amp; IF($I542="","Missing make. ","") &amp; IF($L542="","Missing vehicle class. ","") &amp; IF($M542="","Missing agreed value. ","") &amp; IF($N542="","Missing policy type. ","") &amp; IF($Q542="","Missing garaging state. ","") &amp; IF($R542="","Missing garaging ZIP. ","") &amp; IF($S542="","Missing cat zone. ","") &amp; IF($V542="","Missing valuation basis. ","") &amp; IF($W542="","Missing PD deductible. ","") &amp; IF($X542="","Missing liability limit. ","") &amp; IF($AB542="","Missing technical premium. ","") &amp; IF($AF542="","Missing surplus lines tax %. ",""))="","PASS","FAIL: "&amp;TRIM(IF($A542="","Missing certificate ref. ","") &amp; IF($C542="","Missing effective date. ","") &amp; IF($D542="","Missing binding status. ","") &amp; IF($E542="","Missing movement type. ","") &amp; IF($I542="","Missing make. ","") &amp; IF($L542="","Missing vehicle class. ","") &amp; IF($M542="","Missing agreed value. ","") &amp; IF($N542="","Missing policy type. ","") &amp; IF($Q542="","Missing garaging state. ","") &amp; IF($R542="","Missing garaging ZIP. ","") &amp; IF($S542="","Missing cat zone. ","") &amp; IF($V542="","Missing valuation basis. ","") &amp; IF($W542="","Missing PD deductible. ","") &amp; IF($X542="","Missing liability limit. ","") &amp; IF($AB542="","Missing technical premium. ","") &amp; IF($AF542="","Missing surplus lines tax %. ",""))))</f>
      </c>
      <c r="AY542" s="44">
        <f>IF($M542="","",IF(ISNUMBER($M542),IF($M542&gt;=Header!$C$18,"YES — refer","No"),""))</f>
      </c>
      <c r="AZ542" s="44">
        <f>IF($AD542="","",IF(ISNUMBER($AD542),IF($AD542&lt;Header!$C$20,"BELOW MIN PREMIUM","OK"),""))</f>
      </c>
      <c r="BA542" s="48" t="inlineStr">
        <is>
          <t xml:space="preserve">Yes</t>
        </is>
      </c>
      <c r="BB542" s="48" t="inlineStr">
        <is>
          <t xml:space="preserve">Yes</t>
        </is>
      </c>
      <c r="BC542" s="46" t="inlineStr">
        <is>
          <t xml:space="preserve">Synthetic demo data</t>
        </is>
      </c>
      <c r="BE542" s="45">
        <f>IF(OR($A542="",$L542="",$H542=""),"",IF(AND(LEFT($L542,2)="06",$H542&gt;1945),"FAIL - pre-war class, year "&amp;$H542,IF(AND(LEFT($L542,2)="07",OR($H542&lt;1946,$H542&gt;1972)),"FAIL - 1946-72 class, year "&amp;$H542,IF(AND(LEFT($L542,2)="08",OR($H542&lt;1973,$H542&gt;1999)),"FAIL - 1973-99 class, year "&amp;$H542,IF(AND(LEFT($L542,2)="09",OR($H542&lt;2000,$H542&gt;2010)),"FAIL - 2000-10 class, year "&amp;$H542,"OK")))))</f>
      </c>
      <c r="BF542" s="45">
        <f>IF($AD542="","",IF(ROUND($AO542+$AP542+$AQ542-$AD542,2)=0,"OK","FAIL - out by "&amp;TEXT($AO542+$AP542+$AQ542-$AD542,"$0.00")))</f>
      </c>
    </row>
    <row r="543" spans="1:58" ht="18.75" customHeight="1" x14ac:dyDescent="0.25">
      <c r="A543" s="30" t="inlineStr">
        <is>
          <t xml:space="preserve">CANON-202511-002913</t>
        </is>
      </c>
      <c r="B543" s="30" t="inlineStr">
        <is>
          <t xml:space="preserve">Ramona Montoya</t>
        </is>
      </c>
      <c r="C543" s="31">
        <v>45971</v>
      </c>
      <c r="D543" s="32" t="inlineStr">
        <is>
          <t xml:space="preserve">Bound - within authority</t>
        </is>
      </c>
      <c r="E543" s="32" t="inlineStr">
        <is>
          <t xml:space="preserve">New business</t>
        </is>
      </c>
      <c r="F543" s="30" t="inlineStr">
        <is>
          <t xml:space="preserve">B1234EXOTIC26</t>
        </is>
      </c>
      <c r="G543" s="33">
        <f>IF($A543="","",IF($C543="","",YEAR($C543)))</f>
      </c>
      <c r="H543" s="34">
        <v>1976</v>
      </c>
      <c r="I543" s="30" t="inlineStr">
        <is>
          <t xml:space="preserve">Porsche</t>
        </is>
      </c>
      <c r="J543" s="30" t="inlineStr">
        <is>
          <t xml:space="preserve">911 Turbo S</t>
        </is>
      </c>
      <c r="K543" s="30" t="inlineStr">
        <is>
          <t xml:space="preserve">ESYN4NVZNBHSUEYUE</t>
        </is>
      </c>
      <c r="L543" s="32" t="inlineStr">
        <is>
          <t xml:space="preserve">02 - Sports / GT</t>
        </is>
      </c>
      <c r="M543" s="35">
        <v>1435000</v>
      </c>
      <c r="N543" s="32" t="inlineStr">
        <is>
          <t xml:space="preserve">Personal</t>
        </is>
      </c>
      <c r="O543" s="30" t="inlineStr">
        <is>
          <t xml:space="preserve">Personal - regular use</t>
        </is>
      </c>
      <c r="P543" s="30" t="inlineStr">
        <is>
          <t xml:space="preserve">2,500 - 5,000</t>
        </is>
      </c>
      <c r="Q543" s="30" t="inlineStr">
        <is>
          <t xml:space="preserve">California</t>
        </is>
      </c>
      <c r="R543" s="30" t="inlineStr">
        <is>
          <t xml:space="preserve">90012</t>
        </is>
      </c>
      <c r="S543" s="32" t="inlineStr">
        <is>
          <t xml:space="preserve">Earthquake - high (CA, Cascadia, New Madrid)</t>
        </is>
      </c>
      <c r="T543" s="36">
        <f>IF($A543="","",IF($S543="","",IFERROR(INDEX('[1]natural catastrophe'!$D$6:$D$17,MATCH($S543,'[1]natural catastrophe'!$B$6:$B$17,0)),"?")))</f>
      </c>
      <c r="U543" s="30" t="inlineStr">
        <is>
          <t xml:space="preserve">$5,000</t>
        </is>
      </c>
      <c r="V543" s="32" t="inlineStr">
        <is>
          <t xml:space="preserve">Agreed Value</t>
        </is>
      </c>
      <c r="W543" s="30" t="inlineStr">
        <is>
          <t xml:space="preserve">$1,000</t>
        </is>
      </c>
      <c r="X543" s="32" t="inlineStr">
        <is>
          <t xml:space="preserve">$1,000,000 CSL</t>
        </is>
      </c>
      <c r="Y543" s="30"/>
      <c r="Z543" s="30"/>
      <c r="AA543" s="32" t="inlineStr">
        <is>
          <t xml:space="preserve">Surplus Lines</t>
        </is>
      </c>
      <c r="AB543" s="35">
        <v>18483.19</v>
      </c>
      <c r="AC543" s="37">
        <v>0</v>
      </c>
      <c r="AD543" s="38">
        <f>IF(ISNUMBER($AB543),$AB543*(1+N($AC543)),"")</f>
      </c>
      <c r="AE543" s="35">
        <v>350</v>
      </c>
      <c r="AF543" s="35">
        <v>250</v>
      </c>
      <c r="AG543" s="37"/>
      <c r="AH543" s="39">
        <f>IF(ISNUMBER($AD543),($AD543+$AE543+$AF543)*$AG543,"")</f>
      </c>
      <c r="AI543" s="35"/>
      <c r="AJ543" s="38">
        <f>IF(ISNUMBER($AD543),SUM($AD543:$AH543),"")</f>
      </c>
      <c r="AK543" s="40">
        <f>IF(AND(ISNUMBER($AB543),ISNUMBER($AD543)),IF($AB543&gt;0,$AD543/$AB543,""),"")</f>
      </c>
      <c r="AL543" s="32" t="inlineStr">
        <is>
          <t xml:space="preserve">At technical</t>
        </is>
      </c>
      <c r="AM543" s="41">
        <f>IF(ISNUMBER($AD543),Header!$I$3,"")</f>
      </c>
      <c r="AN543" s="39">
        <f>IF(ISNUMBER($AD543),$AO543+$AP543,"")</f>
      </c>
      <c r="AO543" s="39">
        <f>IF(ISNUMBER($AD543),ROUND($AD543*Header!$K$3,2),"")</f>
      </c>
      <c r="AP543" s="39">
        <f>IF(ISNUMBER($AD543),ROUND($AD543*Header!$M$3,2),"")</f>
      </c>
      <c r="AQ543" s="38">
        <f>IF(ISNUMBER($AD543),ROUND($AD543,2)-$AO543-$AP543,"")</f>
      </c>
      <c r="AR543" s="39">
        <f>IF(ISNUMBER($AD543),IF(Header!$D$34="","?",$AD543*Header!$D$34),"")</f>
      </c>
      <c r="AS543" s="39">
        <f>IF(ISNUMBER($AB543),IF(Header!$D$34="","?",$AB543*Header!$D$34),"")</f>
      </c>
      <c r="AT543" s="42">
        <f>IF(AND(ISNUMBER($AB543),$M543&gt;0),$AB543/$M543*100,"")</f>
      </c>
      <c r="AU543" s="42">
        <f>IF(AND(ISNUMBER($AD543),$M543&gt;0),$AD543/$M543*100,"")</f>
      </c>
      <c r="AV543" s="40">
        <f>IF(AND(ISNUMBER($AB543),ISNUMBER($AD543),ABS($AB543)&gt;0),$AD543/$AB543,"")</f>
      </c>
      <c r="AW543" s="39">
        <f>IF(ISNUMBER($AD543),MAX(0,(1-0.55-Header!$O$3)*Header!$Q$3*$AQ543),"")</f>
      </c>
      <c r="AX543" s="43">
        <f>IF($A543="","",IF(TRIM(IF($A543="","Missing certificate ref. ","") &amp; IF($C543="","Missing effective date. ","") &amp; IF($D543="","Missing binding status. ","") &amp; IF($E543="","Missing movement type. ","") &amp; IF($I543="","Missing make. ","") &amp; IF($L543="","Missing vehicle class. ","") &amp; IF($M543="","Missing agreed value. ","") &amp; IF($N543="","Missing policy type. ","") &amp; IF($Q543="","Missing garaging state. ","") &amp; IF($R543="","Missing garaging ZIP. ","") &amp; IF($S543="","Missing cat zone. ","") &amp; IF($V543="","Missing valuation basis. ","") &amp; IF($W543="","Missing PD deductible. ","") &amp; IF($X543="","Missing liability limit. ","") &amp; IF($AB543="","Missing technical premium. ","") &amp; IF($AF543="","Missing surplus lines tax %. ",""))="","PASS","FAIL: "&amp;TRIM(IF($A543="","Missing certificate ref. ","") &amp; IF($C543="","Missing effective date. ","") &amp; IF($D543="","Missing binding status. ","") &amp; IF($E543="","Missing movement type. ","") &amp; IF($I543="","Missing make. ","") &amp; IF($L543="","Missing vehicle class. ","") &amp; IF($M543="","Missing agreed value. ","") &amp; IF($N543="","Missing policy type. ","") &amp; IF($Q543="","Missing garaging state. ","") &amp; IF($R543="","Missing garaging ZIP. ","") &amp; IF($S543="","Missing cat zone. ","") &amp; IF($V543="","Missing valuation basis. ","") &amp; IF($W543="","Missing PD deductible. ","") &amp; IF($X543="","Missing liability limit. ","") &amp; IF($AB543="","Missing technical premium. ","") &amp; IF($AF543="","Missing surplus lines tax %. ",""))))</f>
      </c>
      <c r="AY543" s="44">
        <f>IF($M543="","",IF(ISNUMBER($M543),IF($M543&gt;=Header!$C$18,"YES — refer","No"),""))</f>
      </c>
      <c r="AZ543" s="44">
        <f>IF($AD543="","",IF(ISNUMBER($AD543),IF($AD543&lt;Header!$C$20,"BELOW MIN PREMIUM","OK"),""))</f>
      </c>
      <c r="BA543" s="32" t="inlineStr">
        <is>
          <t xml:space="preserve">Yes</t>
        </is>
      </c>
      <c r="BB543" s="32" t="inlineStr">
        <is>
          <t xml:space="preserve">Yes</t>
        </is>
      </c>
      <c r="BC543" s="30" t="inlineStr">
        <is>
          <t xml:space="preserve">Synthetic demo data</t>
        </is>
      </c>
      <c r="BE543" s="45">
        <f>IF(OR($A543="",$L543="",$H543=""),"",IF(AND(LEFT($L543,2)="06",$H543&gt;1945),"FAIL - pre-war class, year "&amp;$H543,IF(AND(LEFT($L543,2)="07",OR($H543&lt;1946,$H543&gt;1972)),"FAIL - 1946-72 class, year "&amp;$H543,IF(AND(LEFT($L543,2)="08",OR($H543&lt;1973,$H543&gt;1999)),"FAIL - 1973-99 class, year "&amp;$H543,IF(AND(LEFT($L543,2)="09",OR($H543&lt;2000,$H543&gt;2010)),"FAIL - 2000-10 class, year "&amp;$H543,"OK")))))</f>
      </c>
      <c r="BF543" s="45">
        <f>IF($AD543="","",IF(ROUND($AO543+$AP543+$AQ543-$AD543,2)=0,"OK","FAIL - out by "&amp;TEXT($AO543+$AP543+$AQ543-$AD543,"$0.00")))</f>
      </c>
    </row>
    <row r="544" spans="1:58" ht="18.75" customHeight="1" x14ac:dyDescent="0.25">
      <c r="A544" s="46" t="inlineStr">
        <is>
          <t xml:space="preserve">CANON-202511-002915</t>
        </is>
      </c>
      <c r="B544" s="46" t="inlineStr">
        <is>
          <t xml:space="preserve">Ingrid Whitlock</t>
        </is>
      </c>
      <c r="C544" s="47">
        <v>45965</v>
      </c>
      <c r="D544" s="48" t="inlineStr">
        <is>
          <t xml:space="preserve">Bound - within authority</t>
        </is>
      </c>
      <c r="E544" s="48" t="inlineStr">
        <is>
          <t xml:space="preserve">New business</t>
        </is>
      </c>
      <c r="F544" s="46" t="inlineStr">
        <is>
          <t xml:space="preserve">B1234EXOTIC26</t>
        </is>
      </c>
      <c r="G544" s="33">
        <f>IF($A544="","",IF($C544="","",YEAR($C544)))</f>
      </c>
      <c r="H544" s="49">
        <v>2016</v>
      </c>
      <c r="I544" s="46" t="inlineStr">
        <is>
          <t xml:space="preserve">Aston Martin</t>
        </is>
      </c>
      <c r="J544" s="46" t="inlineStr">
        <is>
          <t xml:space="preserve">DB5</t>
        </is>
      </c>
      <c r="K544" s="46" t="inlineStr">
        <is>
          <t xml:space="preserve">0F1BEH6TE0FPDNV3B</t>
        </is>
      </c>
      <c r="L544" s="48" t="inlineStr">
        <is>
          <t xml:space="preserve">02 - Sports / GT</t>
        </is>
      </c>
      <c r="M544" s="50">
        <v>1335000</v>
      </c>
      <c r="N544" s="48" t="inlineStr">
        <is>
          <t xml:space="preserve">Personal</t>
        </is>
      </c>
      <c r="O544" s="46" t="inlineStr">
        <is>
          <t xml:space="preserve">Personal - regular use</t>
        </is>
      </c>
      <c r="P544" s="46" t="inlineStr">
        <is>
          <t xml:space="preserve">Under 1,000</t>
        </is>
      </c>
      <c r="Q544" s="46" t="inlineStr">
        <is>
          <t xml:space="preserve">Nebraska</t>
        </is>
      </c>
      <c r="R544" s="46" t="inlineStr">
        <is>
          <t xml:space="preserve">68102</t>
        </is>
      </c>
      <c r="S544" s="48" t="inlineStr">
        <is>
          <t xml:space="preserve">Severe convective - hail alley (high)</t>
        </is>
      </c>
      <c r="T544" s="36">
        <f>IF($A544="","",IF($S544="","",IFERROR(INDEX('[1]natural catastrophe'!$D$6:$D$17,MATCH($S544,'[1]natural catastrophe'!$B$6:$B$17,0)),"?")))</f>
      </c>
      <c r="U544" s="46" t="inlineStr">
        <is>
          <t xml:space="preserve">$5,000</t>
        </is>
      </c>
      <c r="V544" s="48" t="inlineStr">
        <is>
          <t xml:space="preserve">Agreed Value</t>
        </is>
      </c>
      <c r="W544" s="46" t="inlineStr">
        <is>
          <t xml:space="preserve">$1,000</t>
        </is>
      </c>
      <c r="X544" s="48" t="inlineStr">
        <is>
          <t xml:space="preserve">$1,000,000 CSL</t>
        </is>
      </c>
      <c r="Y544" s="46"/>
      <c r="Z544" s="46"/>
      <c r="AA544" s="48" t="inlineStr">
        <is>
          <t xml:space="preserve">Surplus Lines</t>
        </is>
      </c>
      <c r="AB544" s="50">
        <v>11440.29</v>
      </c>
      <c r="AC544" s="51">
        <v>0</v>
      </c>
      <c r="AD544" s="38">
        <f>IF(ISNUMBER($AB544),$AB544*(1+N($AC544)),"")</f>
      </c>
      <c r="AE544" s="50">
        <v>350</v>
      </c>
      <c r="AF544" s="50">
        <v>250</v>
      </c>
      <c r="AG544" s="51"/>
      <c r="AH544" s="39">
        <f>IF(ISNUMBER($AD544),($AD544+$AE544+$AF544)*$AG544,"")</f>
      </c>
      <c r="AI544" s="50"/>
      <c r="AJ544" s="38">
        <f>IF(ISNUMBER($AD544),SUM($AD544:$AH544),"")</f>
      </c>
      <c r="AK544" s="40">
        <f>IF(AND(ISNUMBER($AB544),ISNUMBER($AD544)),IF($AB544&gt;0,$AD544/$AB544,""),"")</f>
      </c>
      <c r="AL544" s="48" t="inlineStr">
        <is>
          <t xml:space="preserve">At technical</t>
        </is>
      </c>
      <c r="AM544" s="41">
        <f>IF(ISNUMBER($AD544),Header!$I$3,"")</f>
      </c>
      <c r="AN544" s="39">
        <f>IF(ISNUMBER($AD544),$AO544+$AP544,"")</f>
      </c>
      <c r="AO544" s="39">
        <f>IF(ISNUMBER($AD544),ROUND($AD544*Header!$K$3,2),"")</f>
      </c>
      <c r="AP544" s="39">
        <f>IF(ISNUMBER($AD544),ROUND($AD544*Header!$M$3,2),"")</f>
      </c>
      <c r="AQ544" s="38">
        <f>IF(ISNUMBER($AD544),ROUND($AD544,2)-$AO544-$AP544,"")</f>
      </c>
      <c r="AR544" s="39">
        <f>IF(ISNUMBER($AD544),IF(Header!$D$34="","?",$AD544*Header!$D$34),"")</f>
      </c>
      <c r="AS544" s="39">
        <f>IF(ISNUMBER($AB544),IF(Header!$D$34="","?",$AB544*Header!$D$34),"")</f>
      </c>
      <c r="AT544" s="42">
        <f>IF(AND(ISNUMBER($AB544),$M544&gt;0),$AB544/$M544*100,"")</f>
      </c>
      <c r="AU544" s="42">
        <f>IF(AND(ISNUMBER($AD544),$M544&gt;0),$AD544/$M544*100,"")</f>
      </c>
      <c r="AV544" s="40">
        <f>IF(AND(ISNUMBER($AB544),ISNUMBER($AD544),ABS($AB544)&gt;0),$AD544/$AB544,"")</f>
      </c>
      <c r="AW544" s="39">
        <f>IF(ISNUMBER($AD544),MAX(0,(1-0.55-Header!$O$3)*Header!$Q$3*$AQ544),"")</f>
      </c>
      <c r="AX544" s="43">
        <f>IF($A544="","",IF(TRIM(IF($A544="","Missing certificate ref. ","") &amp; IF($C544="","Missing effective date. ","") &amp; IF($D544="","Missing binding status. ","") &amp; IF($E544="","Missing movement type. ","") &amp; IF($I544="","Missing make. ","") &amp; IF($L544="","Missing vehicle class. ","") &amp; IF($M544="","Missing agreed value. ","") &amp; IF($N544="","Missing policy type. ","") &amp; IF($Q544="","Missing garaging state. ","") &amp; IF($R544="","Missing garaging ZIP. ","") &amp; IF($S544="","Missing cat zone. ","") &amp; IF($V544="","Missing valuation basis. ","") &amp; IF($W544="","Missing PD deductible. ","") &amp; IF($X544="","Missing liability limit. ","") &amp; IF($AB544="","Missing technical premium. ","") &amp; IF($AF544="","Missing surplus lines tax %. ",""))="","PASS","FAIL: "&amp;TRIM(IF($A544="","Missing certificate ref. ","") &amp; IF($C544="","Missing effective date. ","") &amp; IF($D544="","Missing binding status. ","") &amp; IF($E544="","Missing movement type. ","") &amp; IF($I544="","Missing make. ","") &amp; IF($L544="","Missing vehicle class. ","") &amp; IF($M544="","Missing agreed value. ","") &amp; IF($N544="","Missing policy type. ","") &amp; IF($Q544="","Missing garaging state. ","") &amp; IF($R544="","Missing garaging ZIP. ","") &amp; IF($S544="","Missing cat zone. ","") &amp; IF($V544="","Missing valuation basis. ","") &amp; IF($W544="","Missing PD deductible. ","") &amp; IF($X544="","Missing liability limit. ","") &amp; IF($AB544="","Missing technical premium. ","") &amp; IF($AF544="","Missing surplus lines tax %. ",""))))</f>
      </c>
      <c r="AY544" s="44">
        <f>IF($M544="","",IF(ISNUMBER($M544),IF($M544&gt;=Header!$C$18,"YES — refer","No"),""))</f>
      </c>
      <c r="AZ544" s="44">
        <f>IF($AD544="","",IF(ISNUMBER($AD544),IF($AD544&lt;Header!$C$20,"BELOW MIN PREMIUM","OK"),""))</f>
      </c>
      <c r="BA544" s="48" t="inlineStr">
        <is>
          <t xml:space="preserve">Yes</t>
        </is>
      </c>
      <c r="BB544" s="48" t="inlineStr">
        <is>
          <t xml:space="preserve">Yes</t>
        </is>
      </c>
      <c r="BC544" s="46" t="inlineStr">
        <is>
          <t xml:space="preserve">Synthetic demo data</t>
        </is>
      </c>
      <c r="BE544" s="45">
        <f>IF(OR($A544="",$L544="",$H544=""),"",IF(AND(LEFT($L544,2)="06",$H544&gt;1945),"FAIL - pre-war class, year "&amp;$H544,IF(AND(LEFT($L544,2)="07",OR($H544&lt;1946,$H544&gt;1972)),"FAIL - 1946-72 class, year "&amp;$H544,IF(AND(LEFT($L544,2)="08",OR($H544&lt;1973,$H544&gt;1999)),"FAIL - 1973-99 class, year "&amp;$H544,IF(AND(LEFT($L544,2)="09",OR($H544&lt;2000,$H544&gt;2010)),"FAIL - 2000-10 class, year "&amp;$H544,"OK")))))</f>
      </c>
      <c r="BF544" s="45">
        <f>IF($AD544="","",IF(ROUND($AO544+$AP544+$AQ544-$AD544,2)=0,"OK","FAIL - out by "&amp;TEXT($AO544+$AP544+$AQ544-$AD544,"$0.00")))</f>
      </c>
    </row>
    <row r="545" spans="1:58" ht="18.75" customHeight="1" x14ac:dyDescent="0.25">
      <c r="A545" s="30" t="inlineStr">
        <is>
          <t xml:space="preserve">CANON-202511-002916</t>
        </is>
      </c>
      <c r="B545" s="30" t="inlineStr">
        <is>
          <t xml:space="preserve">Fenwick Okonkwo</t>
        </is>
      </c>
      <c r="C545" s="31">
        <v>45972</v>
      </c>
      <c r="D545" s="32" t="inlineStr">
        <is>
          <t xml:space="preserve">Bound - within authority</t>
        </is>
      </c>
      <c r="E545" s="32" t="inlineStr">
        <is>
          <t xml:space="preserve">New business</t>
        </is>
      </c>
      <c r="F545" s="30" t="inlineStr">
        <is>
          <t xml:space="preserve">B1234EXOTIC26</t>
        </is>
      </c>
      <c r="G545" s="33">
        <f>IF($A545="","",IF($C545="","",YEAR($C545)))</f>
      </c>
      <c r="H545" s="34">
        <v>1969</v>
      </c>
      <c r="I545" s="30" t="inlineStr">
        <is>
          <t xml:space="preserve">Lamborghini</t>
        </is>
      </c>
      <c r="J545" s="30" t="inlineStr">
        <is>
          <t xml:space="preserve">Huracan EVO</t>
        </is>
      </c>
      <c r="K545" s="30" t="inlineStr">
        <is>
          <t xml:space="preserve">VATV133R7ML1XTWEE</t>
        </is>
      </c>
      <c r="L545" s="32" t="inlineStr">
        <is>
          <t xml:space="preserve">03 - Supercar</t>
        </is>
      </c>
      <c r="M545" s="35">
        <v>390000</v>
      </c>
      <c r="N545" s="32" t="inlineStr">
        <is>
          <t xml:space="preserve">Personal</t>
        </is>
      </c>
      <c r="O545" s="30" t="inlineStr">
        <is>
          <t xml:space="preserve">Personal - regular use</t>
        </is>
      </c>
      <c r="P545" s="30" t="inlineStr">
        <is>
          <t xml:space="preserve">2,500 - 5,000</t>
        </is>
      </c>
      <c r="Q545" s="30" t="inlineStr">
        <is>
          <t xml:space="preserve">Florida</t>
        </is>
      </c>
      <c r="R545" s="30" t="inlineStr">
        <is>
          <t xml:space="preserve">33139</t>
        </is>
      </c>
      <c r="S545" s="32" t="inlineStr">
        <is>
          <t xml:space="preserve">Tier 2 - Coastal wind (1-25 miles)</t>
        </is>
      </c>
      <c r="T545" s="36">
        <f>IF($A545="","",IF($S545="","",IFERROR(INDEX('[1]natural catastrophe'!$D$6:$D$17,MATCH($S545,'[1]natural catastrophe'!$B$6:$B$17,0)),"?")))</f>
      </c>
      <c r="U545" s="30" t="inlineStr">
        <is>
          <t xml:space="preserve">2% of agreed value, minimum $10,000</t>
        </is>
      </c>
      <c r="V545" s="32" t="inlineStr">
        <is>
          <t xml:space="preserve">Agreed Value</t>
        </is>
      </c>
      <c r="W545" s="30" t="inlineStr">
        <is>
          <t xml:space="preserve">$1,000</t>
        </is>
      </c>
      <c r="X545" s="32" t="inlineStr">
        <is>
          <t xml:space="preserve">$1,000,000 CSL</t>
        </is>
      </c>
      <c r="Y545" s="30"/>
      <c r="Z545" s="30"/>
      <c r="AA545" s="32" t="inlineStr">
        <is>
          <t xml:space="preserve">Surplus Lines</t>
        </is>
      </c>
      <c r="AB545" s="35">
        <v>11047.9</v>
      </c>
      <c r="AC545" s="37">
        <v>0</v>
      </c>
      <c r="AD545" s="38">
        <f>IF(ISNUMBER($AB545),$AB545*(1+N($AC545)),"")</f>
      </c>
      <c r="AE545" s="35">
        <v>350</v>
      </c>
      <c r="AF545" s="35">
        <v>0</v>
      </c>
      <c r="AG545" s="37"/>
      <c r="AH545" s="39">
        <f>IF(ISNUMBER($AD545),($AD545+$AE545+$AF545)*$AG545,"")</f>
      </c>
      <c r="AI545" s="35"/>
      <c r="AJ545" s="38">
        <f>IF(ISNUMBER($AD545),SUM($AD545:$AH545),"")</f>
      </c>
      <c r="AK545" s="40">
        <f>IF(AND(ISNUMBER($AB545),ISNUMBER($AD545)),IF($AB545&gt;0,$AD545/$AB545,""),"")</f>
      </c>
      <c r="AL545" s="32" t="inlineStr">
        <is>
          <t xml:space="preserve">At technical</t>
        </is>
      </c>
      <c r="AM545" s="41">
        <f>IF(ISNUMBER($AD545),Header!$I$3,"")</f>
      </c>
      <c r="AN545" s="39">
        <f>IF(ISNUMBER($AD545),$AO545+$AP545,"")</f>
      </c>
      <c r="AO545" s="39">
        <f>IF(ISNUMBER($AD545),ROUND($AD545*Header!$K$3,2),"")</f>
      </c>
      <c r="AP545" s="39">
        <f>IF(ISNUMBER($AD545),ROUND($AD545*Header!$M$3,2),"")</f>
      </c>
      <c r="AQ545" s="38">
        <f>IF(ISNUMBER($AD545),ROUND($AD545,2)-$AO545-$AP545,"")</f>
      </c>
      <c r="AR545" s="39">
        <f>IF(ISNUMBER($AD545),IF(Header!$D$34="","?",$AD545*Header!$D$34),"")</f>
      </c>
      <c r="AS545" s="39">
        <f>IF(ISNUMBER($AB545),IF(Header!$D$34="","?",$AB545*Header!$D$34),"")</f>
      </c>
      <c r="AT545" s="42">
        <f>IF(AND(ISNUMBER($AB545),$M545&gt;0),$AB545/$M545*100,"")</f>
      </c>
      <c r="AU545" s="42">
        <f>IF(AND(ISNUMBER($AD545),$M545&gt;0),$AD545/$M545*100,"")</f>
      </c>
      <c r="AV545" s="40">
        <f>IF(AND(ISNUMBER($AB545),ISNUMBER($AD545),ABS($AB545)&gt;0),$AD545/$AB545,"")</f>
      </c>
      <c r="AW545" s="39">
        <f>IF(ISNUMBER($AD545),MAX(0,(1-0.55-Header!$O$3)*Header!$Q$3*$AQ545),"")</f>
      </c>
      <c r="AX545" s="43">
        <f>IF($A545="","",IF(TRIM(IF($A545="","Missing certificate ref. ","") &amp; IF($C545="","Missing effective date. ","") &amp; IF($D545="","Missing binding status. ","") &amp; IF($E545="","Missing movement type. ","") &amp; IF($I545="","Missing make. ","") &amp; IF($L545="","Missing vehicle class. ","") &amp; IF($M545="","Missing agreed value. ","") &amp; IF($N545="","Missing policy type. ","") &amp; IF($Q545="","Missing garaging state. ","") &amp; IF($R545="","Missing garaging ZIP. ","") &amp; IF($S545="","Missing cat zone. ","") &amp; IF($V545="","Missing valuation basis. ","") &amp; IF($W545="","Missing PD deductible. ","") &amp; IF($X545="","Missing liability limit. ","") &amp; IF($AB545="","Missing technical premium. ","") &amp; IF($AF545="","Missing surplus lines tax %. ",""))="","PASS","FAIL: "&amp;TRIM(IF($A545="","Missing certificate ref. ","") &amp; IF($C545="","Missing effective date. ","") &amp; IF($D545="","Missing binding status. ","") &amp; IF($E545="","Missing movement type. ","") &amp; IF($I545="","Missing make. ","") &amp; IF($L545="","Missing vehicle class. ","") &amp; IF($M545="","Missing agreed value. ","") &amp; IF($N545="","Missing policy type. ","") &amp; IF($Q545="","Missing garaging state. ","") &amp; IF($R545="","Missing garaging ZIP. ","") &amp; IF($S545="","Missing cat zone. ","") &amp; IF($V545="","Missing valuation basis. ","") &amp; IF($W545="","Missing PD deductible. ","") &amp; IF($X545="","Missing liability limit. ","") &amp; IF($AB545="","Missing technical premium. ","") &amp; IF($AF545="","Missing surplus lines tax %. ",""))))</f>
      </c>
      <c r="AY545" s="44">
        <f>IF($M545="","",IF(ISNUMBER($M545),IF($M545&gt;=Header!$C$18,"YES — refer","No"),""))</f>
      </c>
      <c r="AZ545" s="44">
        <f>IF($AD545="","",IF(ISNUMBER($AD545),IF($AD545&lt;Header!$C$20,"BELOW MIN PREMIUM","OK"),""))</f>
      </c>
      <c r="BA545" s="32" t="inlineStr">
        <is>
          <t xml:space="preserve">Yes</t>
        </is>
      </c>
      <c r="BB545" s="32" t="inlineStr">
        <is>
          <t xml:space="preserve">Yes</t>
        </is>
      </c>
      <c r="BC545" s="30" t="inlineStr">
        <is>
          <t xml:space="preserve">Synthetic demo data</t>
        </is>
      </c>
      <c r="BE545" s="45">
        <f>IF(OR($A545="",$L545="",$H545=""),"",IF(AND(LEFT($L545,2)="06",$H545&gt;1945),"FAIL - pre-war class, year "&amp;$H545,IF(AND(LEFT($L545,2)="07",OR($H545&lt;1946,$H545&gt;1972)),"FAIL - 1946-72 class, year "&amp;$H545,IF(AND(LEFT($L545,2)="08",OR($H545&lt;1973,$H545&gt;1999)),"FAIL - 1973-99 class, year "&amp;$H545,IF(AND(LEFT($L545,2)="09",OR($H545&lt;2000,$H545&gt;2010)),"FAIL - 2000-10 class, year "&amp;$H545,"OK")))))</f>
      </c>
      <c r="BF545" s="45">
        <f>IF($AD545="","",IF(ROUND($AO545+$AP545+$AQ545-$AD545,2)=0,"OK","FAIL - out by "&amp;TEXT($AO545+$AP545+$AQ545-$AD545,"$0.00")))</f>
      </c>
    </row>
    <row r="546" spans="1:58" ht="18.75" customHeight="1" x14ac:dyDescent="0.25">
      <c r="A546" s="46" t="inlineStr">
        <is>
          <t xml:space="preserve">CANON-202511-002917</t>
        </is>
      </c>
      <c r="B546" s="46" t="inlineStr">
        <is>
          <t xml:space="preserve">Ramona Harrington</t>
        </is>
      </c>
      <c r="C546" s="47">
        <v>45991</v>
      </c>
      <c r="D546" s="48" t="inlineStr">
        <is>
          <t xml:space="preserve">Bound - within authority</t>
        </is>
      </c>
      <c r="E546" s="48" t="inlineStr">
        <is>
          <t xml:space="preserve">New business</t>
        </is>
      </c>
      <c r="F546" s="46" t="inlineStr">
        <is>
          <t xml:space="preserve">B1234EXOTIC26</t>
        </is>
      </c>
      <c r="G546" s="33">
        <f>IF($A546="","",IF($C546="","",YEAR($C546)))</f>
      </c>
      <c r="H546" s="49">
        <v>2018</v>
      </c>
      <c r="I546" s="46" t="inlineStr">
        <is>
          <t xml:space="preserve">Ferrari</t>
        </is>
      </c>
      <c r="J546" s="46" t="inlineStr">
        <is>
          <t xml:space="preserve">SF90 Stradale</t>
        </is>
      </c>
      <c r="K546" s="46" t="inlineStr">
        <is>
          <t xml:space="preserve">AFU9FL6M9N95DDS1D</t>
        </is>
      </c>
      <c r="L546" s="48" t="inlineStr">
        <is>
          <t xml:space="preserve">03 - Supercar</t>
        </is>
      </c>
      <c r="M546" s="50">
        <v>1560000</v>
      </c>
      <c r="N546" s="48" t="inlineStr">
        <is>
          <t xml:space="preserve">Personal</t>
        </is>
      </c>
      <c r="O546" s="46" t="inlineStr">
        <is>
          <t xml:space="preserve">Personal - regular use</t>
        </is>
      </c>
      <c r="P546" s="46" t="inlineStr">
        <is>
          <t xml:space="preserve">2,500 - 5,000</t>
        </is>
      </c>
      <c r="Q546" s="46" t="inlineStr">
        <is>
          <t xml:space="preserve">Virginia</t>
        </is>
      </c>
      <c r="R546" s="46" t="inlineStr">
        <is>
          <t xml:space="preserve">23219</t>
        </is>
      </c>
      <c r="S546" s="48" t="inlineStr">
        <is>
          <t xml:space="preserve">Tier 3 - Coastal wind (25-100 miles)</t>
        </is>
      </c>
      <c r="T546" s="36">
        <f>IF($A546="","",IF($S546="","",IFERROR(INDEX('[1]natural catastrophe'!$D$6:$D$17,MATCH($S546,'[1]natural catastrophe'!$B$6:$B$17,0)),"?")))</f>
      </c>
      <c r="U546" s="46" t="inlineStr">
        <is>
          <t xml:space="preserve">2% of agreed value, minimum $10,000</t>
        </is>
      </c>
      <c r="V546" s="48" t="inlineStr">
        <is>
          <t xml:space="preserve">Agreed Value</t>
        </is>
      </c>
      <c r="W546" s="46" t="inlineStr">
        <is>
          <t xml:space="preserve">$1,000</t>
        </is>
      </c>
      <c r="X546" s="48" t="inlineStr">
        <is>
          <t xml:space="preserve">$1,000,000 CSL</t>
        </is>
      </c>
      <c r="Y546" s="46"/>
      <c r="Z546" s="46"/>
      <c r="AA546" s="48" t="inlineStr">
        <is>
          <t xml:space="preserve">Surplus Lines</t>
        </is>
      </c>
      <c r="AB546" s="50">
        <v>23597.71</v>
      </c>
      <c r="AC546" s="51">
        <v>0</v>
      </c>
      <c r="AD546" s="38">
        <f>IF(ISNUMBER($AB546),$AB546*(1+N($AC546)),"")</f>
      </c>
      <c r="AE546" s="50">
        <v>350</v>
      </c>
      <c r="AF546" s="50">
        <v>250</v>
      </c>
      <c r="AG546" s="51"/>
      <c r="AH546" s="39">
        <f>IF(ISNUMBER($AD546),($AD546+$AE546+$AF546)*$AG546,"")</f>
      </c>
      <c r="AI546" s="50"/>
      <c r="AJ546" s="38">
        <f>IF(ISNUMBER($AD546),SUM($AD546:$AH546),"")</f>
      </c>
      <c r="AK546" s="40">
        <f>IF(AND(ISNUMBER($AB546),ISNUMBER($AD546)),IF($AB546&gt;0,$AD546/$AB546,""),"")</f>
      </c>
      <c r="AL546" s="48" t="inlineStr">
        <is>
          <t xml:space="preserve">At technical</t>
        </is>
      </c>
      <c r="AM546" s="41">
        <f>IF(ISNUMBER($AD546),Header!$I$3,"")</f>
      </c>
      <c r="AN546" s="39">
        <f>IF(ISNUMBER($AD546),$AO546+$AP546,"")</f>
      </c>
      <c r="AO546" s="39">
        <f>IF(ISNUMBER($AD546),ROUND($AD546*Header!$K$3,2),"")</f>
      </c>
      <c r="AP546" s="39">
        <f>IF(ISNUMBER($AD546),ROUND($AD546*Header!$M$3,2),"")</f>
      </c>
      <c r="AQ546" s="38">
        <f>IF(ISNUMBER($AD546),ROUND($AD546,2)-$AO546-$AP546,"")</f>
      </c>
      <c r="AR546" s="39">
        <f>IF(ISNUMBER($AD546),IF(Header!$D$34="","?",$AD546*Header!$D$34),"")</f>
      </c>
      <c r="AS546" s="39">
        <f>IF(ISNUMBER($AB546),IF(Header!$D$34="","?",$AB546*Header!$D$34),"")</f>
      </c>
      <c r="AT546" s="42">
        <f>IF(AND(ISNUMBER($AB546),$M546&gt;0),$AB546/$M546*100,"")</f>
      </c>
      <c r="AU546" s="42">
        <f>IF(AND(ISNUMBER($AD546),$M546&gt;0),$AD546/$M546*100,"")</f>
      </c>
      <c r="AV546" s="40">
        <f>IF(AND(ISNUMBER($AB546),ISNUMBER($AD546),ABS($AB546)&gt;0),$AD546/$AB546,"")</f>
      </c>
      <c r="AW546" s="39">
        <f>IF(ISNUMBER($AD546),MAX(0,(1-0.55-Header!$O$3)*Header!$Q$3*$AQ546),"")</f>
      </c>
      <c r="AX546" s="43">
        <f>IF($A546="","",IF(TRIM(IF($A546="","Missing certificate ref. ","") &amp; IF($C546="","Missing effective date. ","") &amp; IF($D546="","Missing binding status. ","") &amp; IF($E546="","Missing movement type. ","") &amp; IF($I546="","Missing make. ","") &amp; IF($L546="","Missing vehicle class. ","") &amp; IF($M546="","Missing agreed value. ","") &amp; IF($N546="","Missing policy type. ","") &amp; IF($Q546="","Missing garaging state. ","") &amp; IF($R546="","Missing garaging ZIP. ","") &amp; IF($S546="","Missing cat zone. ","") &amp; IF($V546="","Missing valuation basis. ","") &amp; IF($W546="","Missing PD deductible. ","") &amp; IF($X546="","Missing liability limit. ","") &amp; IF($AB546="","Missing technical premium. ","") &amp; IF($AF546="","Missing surplus lines tax %. ",""))="","PASS","FAIL: "&amp;TRIM(IF($A546="","Missing certificate ref. ","") &amp; IF($C546="","Missing effective date. ","") &amp; IF($D546="","Missing binding status. ","") &amp; IF($E546="","Missing movement type. ","") &amp; IF($I546="","Missing make. ","") &amp; IF($L546="","Missing vehicle class. ","") &amp; IF($M546="","Missing agreed value. ","") &amp; IF($N546="","Missing policy type. ","") &amp; IF($Q546="","Missing garaging state. ","") &amp; IF($R546="","Missing garaging ZIP. ","") &amp; IF($S546="","Missing cat zone. ","") &amp; IF($V546="","Missing valuation basis. ","") &amp; IF($W546="","Missing PD deductible. ","") &amp; IF($X546="","Missing liability limit. ","") &amp; IF($AB546="","Missing technical premium. ","") &amp; IF($AF546="","Missing surplus lines tax %. ",""))))</f>
      </c>
      <c r="AY546" s="44">
        <f>IF($M546="","",IF(ISNUMBER($M546),IF($M546&gt;=Header!$C$18,"YES — refer","No"),""))</f>
      </c>
      <c r="AZ546" s="44">
        <f>IF($AD546="","",IF(ISNUMBER($AD546),IF($AD546&lt;Header!$C$20,"BELOW MIN PREMIUM","OK"),""))</f>
      </c>
      <c r="BA546" s="48" t="inlineStr">
        <is>
          <t xml:space="preserve">Yes</t>
        </is>
      </c>
      <c r="BB546" s="48" t="inlineStr">
        <is>
          <t xml:space="preserve">Yes</t>
        </is>
      </c>
      <c r="BC546" s="46" t="inlineStr">
        <is>
          <t xml:space="preserve">Synthetic demo data</t>
        </is>
      </c>
      <c r="BE546" s="45">
        <f>IF(OR($A546="",$L546="",$H546=""),"",IF(AND(LEFT($L546,2)="06",$H546&gt;1945),"FAIL - pre-war class, year "&amp;$H546,IF(AND(LEFT($L546,2)="07",OR($H546&lt;1946,$H546&gt;1972)),"FAIL - 1946-72 class, year "&amp;$H546,IF(AND(LEFT($L546,2)="08",OR($H546&lt;1973,$H546&gt;1999)),"FAIL - 1973-99 class, year "&amp;$H546,IF(AND(LEFT($L546,2)="09",OR($H546&lt;2000,$H546&gt;2010)),"FAIL - 2000-10 class, year "&amp;$H546,"OK")))))</f>
      </c>
      <c r="BF546" s="45">
        <f>IF($AD546="","",IF(ROUND($AO546+$AP546+$AQ546-$AD546,2)=0,"OK","FAIL - out by "&amp;TEXT($AO546+$AP546+$AQ546-$AD546,"$0.00")))</f>
      </c>
    </row>
    <row r="547" spans="1:58" ht="18.75" customHeight="1" x14ac:dyDescent="0.25">
      <c r="A547" s="30" t="inlineStr">
        <is>
          <t xml:space="preserve">CANON-202511-002918</t>
        </is>
      </c>
      <c r="B547" s="30" t="inlineStr">
        <is>
          <t xml:space="preserve">Mireille Delacroix</t>
        </is>
      </c>
      <c r="C547" s="31">
        <v>45986</v>
      </c>
      <c r="D547" s="32" t="inlineStr">
        <is>
          <t xml:space="preserve">Bound - within authority</t>
        </is>
      </c>
      <c r="E547" s="32" t="inlineStr">
        <is>
          <t xml:space="preserve">New business</t>
        </is>
      </c>
      <c r="F547" s="30" t="inlineStr">
        <is>
          <t xml:space="preserve">B1234EXOTIC26</t>
        </is>
      </c>
      <c r="G547" s="33">
        <f>IF($A547="","",IF($C547="","",YEAR($C547)))</f>
      </c>
      <c r="H547" s="34">
        <v>2003</v>
      </c>
      <c r="I547" s="30" t="inlineStr">
        <is>
          <t xml:space="preserve">Mercedes-Benz</t>
        </is>
      </c>
      <c r="J547" s="30" t="inlineStr">
        <is>
          <t xml:space="preserve">280SL Pagoda</t>
        </is>
      </c>
      <c r="K547" s="30" t="inlineStr">
        <is>
          <t xml:space="preserve">3VX0GU7M5BC6BUB2P</t>
        </is>
      </c>
      <c r="L547" s="32" t="inlineStr">
        <is>
          <t xml:space="preserve">09 - Youngtimer / Collectible (2000-2010)</t>
        </is>
      </c>
      <c r="M547" s="35">
        <v>1580000</v>
      </c>
      <c r="N547" s="32" t="inlineStr">
        <is>
          <t xml:space="preserve">Personal</t>
        </is>
      </c>
      <c r="O547" s="30" t="inlineStr">
        <is>
          <t xml:space="preserve">Personal - regular use</t>
        </is>
      </c>
      <c r="P547" s="30" t="inlineStr">
        <is>
          <t xml:space="preserve">2,500 - 5,000</t>
        </is>
      </c>
      <c r="Q547" s="30" t="inlineStr">
        <is>
          <t xml:space="preserve">Alabama</t>
        </is>
      </c>
      <c r="R547" s="30" t="inlineStr">
        <is>
          <t xml:space="preserve">35203</t>
        </is>
      </c>
      <c r="S547" s="32" t="inlineStr">
        <is>
          <t xml:space="preserve">Tier 2 - Coastal wind (1-25 miles)</t>
        </is>
      </c>
      <c r="T547" s="36">
        <f>IF($A547="","",IF($S547="","",IFERROR(INDEX('[1]natural catastrophe'!$D$6:$D$17,MATCH($S547,'[1]natural catastrophe'!$B$6:$B$17,0)),"?")))</f>
      </c>
      <c r="U547" s="30" t="inlineStr">
        <is>
          <t xml:space="preserve">2% of agreed value, minimum $10,000</t>
        </is>
      </c>
      <c r="V547" s="32" t="inlineStr">
        <is>
          <t xml:space="preserve">Agreed Value</t>
        </is>
      </c>
      <c r="W547" s="30" t="inlineStr">
        <is>
          <t xml:space="preserve">$1,000</t>
        </is>
      </c>
      <c r="X547" s="32" t="inlineStr">
        <is>
          <t xml:space="preserve">$1,000,000 CSL</t>
        </is>
      </c>
      <c r="Y547" s="30"/>
      <c r="Z547" s="30"/>
      <c r="AA547" s="32" t="inlineStr">
        <is>
          <t xml:space="preserve">Surplus Lines</t>
        </is>
      </c>
      <c r="AB547" s="35">
        <v>13227.35</v>
      </c>
      <c r="AC547" s="37">
        <v>0</v>
      </c>
      <c r="AD547" s="38">
        <f>IF(ISNUMBER($AB547),$AB547*(1+N($AC547)),"")</f>
      </c>
      <c r="AE547" s="35">
        <v>350</v>
      </c>
      <c r="AF547" s="35">
        <v>250</v>
      </c>
      <c r="AG547" s="37"/>
      <c r="AH547" s="39">
        <f>IF(ISNUMBER($AD547),($AD547+$AE547+$AF547)*$AG547,"")</f>
      </c>
      <c r="AI547" s="35"/>
      <c r="AJ547" s="38">
        <f>IF(ISNUMBER($AD547),SUM($AD547:$AH547),"")</f>
      </c>
      <c r="AK547" s="40">
        <f>IF(AND(ISNUMBER($AB547),ISNUMBER($AD547)),IF($AB547&gt;0,$AD547/$AB547,""),"")</f>
      </c>
      <c r="AL547" s="32" t="inlineStr">
        <is>
          <t xml:space="preserve">At technical</t>
        </is>
      </c>
      <c r="AM547" s="41">
        <f>IF(ISNUMBER($AD547),Header!$I$3,"")</f>
      </c>
      <c r="AN547" s="39">
        <f>IF(ISNUMBER($AD547),$AO547+$AP547,"")</f>
      </c>
      <c r="AO547" s="39">
        <f>IF(ISNUMBER($AD547),ROUND($AD547*Header!$K$3,2),"")</f>
      </c>
      <c r="AP547" s="39">
        <f>IF(ISNUMBER($AD547),ROUND($AD547*Header!$M$3,2),"")</f>
      </c>
      <c r="AQ547" s="38">
        <f>IF(ISNUMBER($AD547),ROUND($AD547,2)-$AO547-$AP547,"")</f>
      </c>
      <c r="AR547" s="39">
        <f>IF(ISNUMBER($AD547),IF(Header!$D$34="","?",$AD547*Header!$D$34),"")</f>
      </c>
      <c r="AS547" s="39">
        <f>IF(ISNUMBER($AB547),IF(Header!$D$34="","?",$AB547*Header!$D$34),"")</f>
      </c>
      <c r="AT547" s="42">
        <f>IF(AND(ISNUMBER($AB547),$M547&gt;0),$AB547/$M547*100,"")</f>
      </c>
      <c r="AU547" s="42">
        <f>IF(AND(ISNUMBER($AD547),$M547&gt;0),$AD547/$M547*100,"")</f>
      </c>
      <c r="AV547" s="40">
        <f>IF(AND(ISNUMBER($AB547),ISNUMBER($AD547),ABS($AB547)&gt;0),$AD547/$AB547,"")</f>
      </c>
      <c r="AW547" s="39">
        <f>IF(ISNUMBER($AD547),MAX(0,(1-0.55-Header!$O$3)*Header!$Q$3*$AQ547),"")</f>
      </c>
      <c r="AX547" s="43">
        <f>IF($A547="","",IF(TRIM(IF($A547="","Missing certificate ref. ","") &amp; IF($C547="","Missing effective date. ","") &amp; IF($D547="","Missing binding status. ","") &amp; IF($E547="","Missing movement type. ","") &amp; IF($I547="","Missing make. ","") &amp; IF($L547="","Missing vehicle class. ","") &amp; IF($M547="","Missing agreed value. ","") &amp; IF($N547="","Missing policy type. ","") &amp; IF($Q547="","Missing garaging state. ","") &amp; IF($R547="","Missing garaging ZIP. ","") &amp; IF($S547="","Missing cat zone. ","") &amp; IF($V547="","Missing valuation basis. ","") &amp; IF($W547="","Missing PD deductible. ","") &amp; IF($X547="","Missing liability limit. ","") &amp; IF($AB547="","Missing technical premium. ","") &amp; IF($AF547="","Missing surplus lines tax %. ",""))="","PASS","FAIL: "&amp;TRIM(IF($A547="","Missing certificate ref. ","") &amp; IF($C547="","Missing effective date. ","") &amp; IF($D547="","Missing binding status. ","") &amp; IF($E547="","Missing movement type. ","") &amp; IF($I547="","Missing make. ","") &amp; IF($L547="","Missing vehicle class. ","") &amp; IF($M547="","Missing agreed value. ","") &amp; IF($N547="","Missing policy type. ","") &amp; IF($Q547="","Missing garaging state. ","") &amp; IF($R547="","Missing garaging ZIP. ","") &amp; IF($S547="","Missing cat zone. ","") &amp; IF($V547="","Missing valuation basis. ","") &amp; IF($W547="","Missing PD deductible. ","") &amp; IF($X547="","Missing liability limit. ","") &amp; IF($AB547="","Missing technical premium. ","") &amp; IF($AF547="","Missing surplus lines tax %. ",""))))</f>
      </c>
      <c r="AY547" s="44">
        <f>IF($M547="","",IF(ISNUMBER($M547),IF($M547&gt;=Header!$C$18,"YES — refer","No"),""))</f>
      </c>
      <c r="AZ547" s="44">
        <f>IF($AD547="","",IF(ISNUMBER($AD547),IF($AD547&lt;Header!$C$20,"BELOW MIN PREMIUM","OK"),""))</f>
      </c>
      <c r="BA547" s="32" t="inlineStr">
        <is>
          <t xml:space="preserve">Yes</t>
        </is>
      </c>
      <c r="BB547" s="32" t="inlineStr">
        <is>
          <t xml:space="preserve">Yes</t>
        </is>
      </c>
      <c r="BC547" s="30" t="inlineStr">
        <is>
          <t xml:space="preserve">Synthetic demo data</t>
        </is>
      </c>
      <c r="BE547" s="45">
        <f>IF(OR($A547="",$L547="",$H547=""),"",IF(AND(LEFT($L547,2)="06",$H547&gt;1945),"FAIL - pre-war class, year "&amp;$H547,IF(AND(LEFT($L547,2)="07",OR($H547&lt;1946,$H547&gt;1972)),"FAIL - 1946-72 class, year "&amp;$H547,IF(AND(LEFT($L547,2)="08",OR($H547&lt;1973,$H547&gt;1999)),"FAIL - 1973-99 class, year "&amp;$H547,IF(AND(LEFT($L547,2)="09",OR($H547&lt;2000,$H547&gt;2010)),"FAIL - 2000-10 class, year "&amp;$H547,"OK")))))</f>
      </c>
      <c r="BF547" s="45">
        <f>IF($AD547="","",IF(ROUND($AO547+$AP547+$AQ547-$AD547,2)=0,"OK","FAIL - out by "&amp;TEXT($AO547+$AP547+$AQ547-$AD547,"$0.00")))</f>
      </c>
    </row>
    <row r="548" spans="1:58" ht="18.75" customHeight="1" x14ac:dyDescent="0.25">
      <c r="A548" s="46" t="inlineStr">
        <is>
          <t xml:space="preserve">CANON-202511-002919</t>
        </is>
      </c>
      <c r="B548" s="46" t="inlineStr">
        <is>
          <t xml:space="preserve">Aurelio Montoya</t>
        </is>
      </c>
      <c r="C548" s="47">
        <v>45988</v>
      </c>
      <c r="D548" s="48" t="inlineStr">
        <is>
          <t xml:space="preserve">Bound - within authority</t>
        </is>
      </c>
      <c r="E548" s="48" t="inlineStr">
        <is>
          <t xml:space="preserve">New business</t>
        </is>
      </c>
      <c r="F548" s="46" t="inlineStr">
        <is>
          <t xml:space="preserve">B1234EXOTIC26</t>
        </is>
      </c>
      <c r="G548" s="33">
        <f>IF($A548="","",IF($C548="","",YEAR($C548)))</f>
      </c>
      <c r="H548" s="49">
        <v>2014</v>
      </c>
      <c r="I548" s="46" t="inlineStr">
        <is>
          <t xml:space="preserve">Maserati</t>
        </is>
      </c>
      <c r="J548" s="46" t="inlineStr">
        <is>
          <t xml:space="preserve">GranTurismo</t>
        </is>
      </c>
      <c r="K548" s="46" t="inlineStr">
        <is>
          <t xml:space="preserve">8VJNH2253EV4ASFGW</t>
        </is>
      </c>
      <c r="L548" s="48" t="inlineStr">
        <is>
          <t xml:space="preserve">02 - Sports / GT</t>
        </is>
      </c>
      <c r="M548" s="50">
        <v>160000</v>
      </c>
      <c r="N548" s="48" t="inlineStr">
        <is>
          <t xml:space="preserve">Personal</t>
        </is>
      </c>
      <c r="O548" s="46" t="inlineStr">
        <is>
          <t xml:space="preserve">Personal - regular use</t>
        </is>
      </c>
      <c r="P548" s="46" t="inlineStr">
        <is>
          <t xml:space="preserve">2,500 - 5,000</t>
        </is>
      </c>
      <c r="Q548" s="46" t="inlineStr">
        <is>
          <t xml:space="preserve">Idaho</t>
        </is>
      </c>
      <c r="R548" s="46" t="inlineStr">
        <is>
          <t xml:space="preserve">83702</t>
        </is>
      </c>
      <c r="S548" s="48" t="inlineStr">
        <is>
          <t xml:space="preserve">Wildfire - WUI high hazard</t>
        </is>
      </c>
      <c r="T548" s="36">
        <f>IF($A548="","",IF($S548="","",IFERROR(INDEX('[1]natural catastrophe'!$D$6:$D$17,MATCH($S548,'[1]natural catastrophe'!$B$6:$B$17,0)),"?")))</f>
      </c>
      <c r="U548" s="46" t="inlineStr">
        <is>
          <t xml:space="preserve">$5,000</t>
        </is>
      </c>
      <c r="V548" s="48" t="inlineStr">
        <is>
          <t xml:space="preserve">Agreed Value</t>
        </is>
      </c>
      <c r="W548" s="46" t="inlineStr">
        <is>
          <t xml:space="preserve">$1,000</t>
        </is>
      </c>
      <c r="X548" s="48" t="inlineStr">
        <is>
          <t xml:space="preserve">$1,000,000 CSL</t>
        </is>
      </c>
      <c r="Y548" s="46"/>
      <c r="Z548" s="46"/>
      <c r="AA548" s="48" t="inlineStr">
        <is>
          <t xml:space="preserve">Surplus Lines</t>
        </is>
      </c>
      <c r="AB548" s="50">
        <v>2527.96</v>
      </c>
      <c r="AC548" s="51">
        <v>0</v>
      </c>
      <c r="AD548" s="38">
        <f>IF(ISNUMBER($AB548),$AB548*(1+N($AC548)),"")</f>
      </c>
      <c r="AE548" s="50">
        <v>350</v>
      </c>
      <c r="AF548" s="50">
        <v>0</v>
      </c>
      <c r="AG548" s="51"/>
      <c r="AH548" s="39">
        <f>IF(ISNUMBER($AD548),($AD548+$AE548+$AF548)*$AG548,"")</f>
      </c>
      <c r="AI548" s="50"/>
      <c r="AJ548" s="38">
        <f>IF(ISNUMBER($AD548),SUM($AD548:$AH548),"")</f>
      </c>
      <c r="AK548" s="40">
        <f>IF(AND(ISNUMBER($AB548),ISNUMBER($AD548)),IF($AB548&gt;0,$AD548/$AB548,""),"")</f>
      </c>
      <c r="AL548" s="48" t="inlineStr">
        <is>
          <t xml:space="preserve">At technical</t>
        </is>
      </c>
      <c r="AM548" s="41">
        <f>IF(ISNUMBER($AD548),Header!$I$3,"")</f>
      </c>
      <c r="AN548" s="39">
        <f>IF(ISNUMBER($AD548),$AO548+$AP548,"")</f>
      </c>
      <c r="AO548" s="39">
        <f>IF(ISNUMBER($AD548),ROUND($AD548*Header!$K$3,2),"")</f>
      </c>
      <c r="AP548" s="39">
        <f>IF(ISNUMBER($AD548),ROUND($AD548*Header!$M$3,2),"")</f>
      </c>
      <c r="AQ548" s="38">
        <f>IF(ISNUMBER($AD548),ROUND($AD548,2)-$AO548-$AP548,"")</f>
      </c>
      <c r="AR548" s="39">
        <f>IF(ISNUMBER($AD548),IF(Header!$D$34="","?",$AD548*Header!$D$34),"")</f>
      </c>
      <c r="AS548" s="39">
        <f>IF(ISNUMBER($AB548),IF(Header!$D$34="","?",$AB548*Header!$D$34),"")</f>
      </c>
      <c r="AT548" s="42">
        <f>IF(AND(ISNUMBER($AB548),$M548&gt;0),$AB548/$M548*100,"")</f>
      </c>
      <c r="AU548" s="42">
        <f>IF(AND(ISNUMBER($AD548),$M548&gt;0),$AD548/$M548*100,"")</f>
      </c>
      <c r="AV548" s="40">
        <f>IF(AND(ISNUMBER($AB548),ISNUMBER($AD548),ABS($AB548)&gt;0),$AD548/$AB548,"")</f>
      </c>
      <c r="AW548" s="39">
        <f>IF(ISNUMBER($AD548),MAX(0,(1-0.55-Header!$O$3)*Header!$Q$3*$AQ548),"")</f>
      </c>
      <c r="AX548" s="43">
        <f>IF($A548="","",IF(TRIM(IF($A548="","Missing certificate ref. ","") &amp; IF($C548="","Missing effective date. ","") &amp; IF($D548="","Missing binding status. ","") &amp; IF($E548="","Missing movement type. ","") &amp; IF($I548="","Missing make. ","") &amp; IF($L548="","Missing vehicle class. ","") &amp; IF($M548="","Missing agreed value. ","") &amp; IF($N548="","Missing policy type. ","") &amp; IF($Q548="","Missing garaging state. ","") &amp; IF($R548="","Missing garaging ZIP. ","") &amp; IF($S548="","Missing cat zone. ","") &amp; IF($V548="","Missing valuation basis. ","") &amp; IF($W548="","Missing PD deductible. ","") &amp; IF($X548="","Missing liability limit. ","") &amp; IF($AB548="","Missing technical premium. ","") &amp; IF($AF548="","Missing surplus lines tax %. ",""))="","PASS","FAIL: "&amp;TRIM(IF($A548="","Missing certificate ref. ","") &amp; IF($C548="","Missing effective date. ","") &amp; IF($D548="","Missing binding status. ","") &amp; IF($E548="","Missing movement type. ","") &amp; IF($I548="","Missing make. ","") &amp; IF($L548="","Missing vehicle class. ","") &amp; IF($M548="","Missing agreed value. ","") &amp; IF($N548="","Missing policy type. ","") &amp; IF($Q548="","Missing garaging state. ","") &amp; IF($R548="","Missing garaging ZIP. ","") &amp; IF($S548="","Missing cat zone. ","") &amp; IF($V548="","Missing valuation basis. ","") &amp; IF($W548="","Missing PD deductible. ","") &amp; IF($X548="","Missing liability limit. ","") &amp; IF($AB548="","Missing technical premium. ","") &amp; IF($AF548="","Missing surplus lines tax %. ",""))))</f>
      </c>
      <c r="AY548" s="44">
        <f>IF($M548="","",IF(ISNUMBER($M548),IF($M548&gt;=Header!$C$18,"YES — refer","No"),""))</f>
      </c>
      <c r="AZ548" s="44">
        <f>IF($AD548="","",IF(ISNUMBER($AD548),IF($AD548&lt;Header!$C$20,"BELOW MIN PREMIUM","OK"),""))</f>
      </c>
      <c r="BA548" s="48" t="inlineStr">
        <is>
          <t xml:space="preserve">Yes</t>
        </is>
      </c>
      <c r="BB548" s="48" t="inlineStr">
        <is>
          <t xml:space="preserve">Yes</t>
        </is>
      </c>
      <c r="BC548" s="46" t="inlineStr">
        <is>
          <t xml:space="preserve">Synthetic demo data</t>
        </is>
      </c>
      <c r="BE548" s="45">
        <f>IF(OR($A548="",$L548="",$H548=""),"",IF(AND(LEFT($L548,2)="06",$H548&gt;1945),"FAIL - pre-war class, year "&amp;$H548,IF(AND(LEFT($L548,2)="07",OR($H548&lt;1946,$H548&gt;1972)),"FAIL - 1946-72 class, year "&amp;$H548,IF(AND(LEFT($L548,2)="08",OR($H548&lt;1973,$H548&gt;1999)),"FAIL - 1973-99 class, year "&amp;$H548,IF(AND(LEFT($L548,2)="09",OR($H548&lt;2000,$H548&gt;2010)),"FAIL - 2000-10 class, year "&amp;$H548,"OK")))))</f>
      </c>
      <c r="BF548" s="45">
        <f>IF($AD548="","",IF(ROUND($AO548+$AP548+$AQ548-$AD548,2)=0,"OK","FAIL - out by "&amp;TEXT($AO548+$AP548+$AQ548-$AD548,"$0.00")))</f>
      </c>
    </row>
    <row r="549" spans="1:58" ht="18.75" customHeight="1" x14ac:dyDescent="0.25">
      <c r="A549" s="30" t="inlineStr">
        <is>
          <t xml:space="preserve">CANON-202511-002920</t>
        </is>
      </c>
      <c r="B549" s="30" t="inlineStr">
        <is>
          <t xml:space="preserve">Noor Blackwood</t>
        </is>
      </c>
      <c r="C549" s="31">
        <v>45973</v>
      </c>
      <c r="D549" s="32" t="inlineStr">
        <is>
          <t xml:space="preserve">Bound - within authority</t>
        </is>
      </c>
      <c r="E549" s="32" t="inlineStr">
        <is>
          <t xml:space="preserve">New business</t>
        </is>
      </c>
      <c r="F549" s="30" t="inlineStr">
        <is>
          <t xml:space="preserve">B1234EXOTIC26</t>
        </is>
      </c>
      <c r="G549" s="33">
        <f>IF($A549="","",IF($C549="","",YEAR($C549)))</f>
      </c>
      <c r="H549" s="34">
        <v>2006</v>
      </c>
      <c r="I549" s="30" t="inlineStr">
        <is>
          <t xml:space="preserve">McLaren</t>
        </is>
      </c>
      <c r="J549" s="30" t="inlineStr">
        <is>
          <t xml:space="preserve">750S</t>
        </is>
      </c>
      <c r="K549" s="30" t="inlineStr">
        <is>
          <t xml:space="preserve">PG4UYK8FBWW9ZJDRX</t>
        </is>
      </c>
      <c r="L549" s="32" t="inlineStr">
        <is>
          <t xml:space="preserve">03 - Supercar</t>
        </is>
      </c>
      <c r="M549" s="35">
        <v>1950000</v>
      </c>
      <c r="N549" s="32" t="inlineStr">
        <is>
          <t xml:space="preserve">Personal</t>
        </is>
      </c>
      <c r="O549" s="30" t="inlineStr">
        <is>
          <t xml:space="preserve">Personal - regular use</t>
        </is>
      </c>
      <c r="P549" s="30" t="inlineStr">
        <is>
          <t xml:space="preserve">1,000 - 2,500</t>
        </is>
      </c>
      <c r="Q549" s="30" t="inlineStr">
        <is>
          <t xml:space="preserve">Wyoming</t>
        </is>
      </c>
      <c r="R549" s="30" t="inlineStr">
        <is>
          <t xml:space="preserve">82001</t>
        </is>
      </c>
      <c r="S549" s="32" t="inlineStr">
        <is>
          <t xml:space="preserve">Severe convective - hail alley (high)</t>
        </is>
      </c>
      <c r="T549" s="36">
        <f>IF($A549="","",IF($S549="","",IFERROR(INDEX('[1]natural catastrophe'!$D$6:$D$17,MATCH($S549,'[1]natural catastrophe'!$B$6:$B$17,0)),"?")))</f>
      </c>
      <c r="U549" s="30" t="inlineStr">
        <is>
          <t xml:space="preserve">$5,000</t>
        </is>
      </c>
      <c r="V549" s="32" t="inlineStr">
        <is>
          <t xml:space="preserve">Agreed Value</t>
        </is>
      </c>
      <c r="W549" s="30" t="inlineStr">
        <is>
          <t xml:space="preserve">$1,000</t>
        </is>
      </c>
      <c r="X549" s="32" t="inlineStr">
        <is>
          <t xml:space="preserve">$1,000,000 CSL</t>
        </is>
      </c>
      <c r="Y549" s="30"/>
      <c r="Z549" s="30"/>
      <c r="AA549" s="32" t="inlineStr">
        <is>
          <t xml:space="preserve">Surplus Lines</t>
        </is>
      </c>
      <c r="AB549" s="35">
        <v>28955.9</v>
      </c>
      <c r="AC549" s="37">
        <v>0</v>
      </c>
      <c r="AD549" s="38">
        <f>IF(ISNUMBER($AB549),$AB549*(1+N($AC549)),"")</f>
      </c>
      <c r="AE549" s="35">
        <v>350</v>
      </c>
      <c r="AF549" s="35">
        <v>250</v>
      </c>
      <c r="AG549" s="37"/>
      <c r="AH549" s="39">
        <f>IF(ISNUMBER($AD549),($AD549+$AE549+$AF549)*$AG549,"")</f>
      </c>
      <c r="AI549" s="35"/>
      <c r="AJ549" s="38">
        <f>IF(ISNUMBER($AD549),SUM($AD549:$AH549),"")</f>
      </c>
      <c r="AK549" s="40">
        <f>IF(AND(ISNUMBER($AB549),ISNUMBER($AD549)),IF($AB549&gt;0,$AD549/$AB549,""),"")</f>
      </c>
      <c r="AL549" s="32" t="inlineStr">
        <is>
          <t xml:space="preserve">At technical</t>
        </is>
      </c>
      <c r="AM549" s="41">
        <f>IF(ISNUMBER($AD549),Header!$I$3,"")</f>
      </c>
      <c r="AN549" s="39">
        <f>IF(ISNUMBER($AD549),$AO549+$AP549,"")</f>
      </c>
      <c r="AO549" s="39">
        <f>IF(ISNUMBER($AD549),ROUND($AD549*Header!$K$3,2),"")</f>
      </c>
      <c r="AP549" s="39">
        <f>IF(ISNUMBER($AD549),ROUND($AD549*Header!$M$3,2),"")</f>
      </c>
      <c r="AQ549" s="38">
        <f>IF(ISNUMBER($AD549),ROUND($AD549,2)-$AO549-$AP549,"")</f>
      </c>
      <c r="AR549" s="39">
        <f>IF(ISNUMBER($AD549),IF(Header!$D$34="","?",$AD549*Header!$D$34),"")</f>
      </c>
      <c r="AS549" s="39">
        <f>IF(ISNUMBER($AB549),IF(Header!$D$34="","?",$AB549*Header!$D$34),"")</f>
      </c>
      <c r="AT549" s="42">
        <f>IF(AND(ISNUMBER($AB549),$M549&gt;0),$AB549/$M549*100,"")</f>
      </c>
      <c r="AU549" s="42">
        <f>IF(AND(ISNUMBER($AD549),$M549&gt;0),$AD549/$M549*100,"")</f>
      </c>
      <c r="AV549" s="40">
        <f>IF(AND(ISNUMBER($AB549),ISNUMBER($AD549),ABS($AB549)&gt;0),$AD549/$AB549,"")</f>
      </c>
      <c r="AW549" s="39">
        <f>IF(ISNUMBER($AD549),MAX(0,(1-0.55-Header!$O$3)*Header!$Q$3*$AQ549),"")</f>
      </c>
      <c r="AX549" s="43">
        <f>IF($A549="","",IF(TRIM(IF($A549="","Missing certificate ref. ","") &amp; IF($C549="","Missing effective date. ","") &amp; IF($D549="","Missing binding status. ","") &amp; IF($E549="","Missing movement type. ","") &amp; IF($I549="","Missing make. ","") &amp; IF($L549="","Missing vehicle class. ","") &amp; IF($M549="","Missing agreed value. ","") &amp; IF($N549="","Missing policy type. ","") &amp; IF($Q549="","Missing garaging state. ","") &amp; IF($R549="","Missing garaging ZIP. ","") &amp; IF($S549="","Missing cat zone. ","") &amp; IF($V549="","Missing valuation basis. ","") &amp; IF($W549="","Missing PD deductible. ","") &amp; IF($X549="","Missing liability limit. ","") &amp; IF($AB549="","Missing technical premium. ","") &amp; IF($AF549="","Missing surplus lines tax %. ",""))="","PASS","FAIL: "&amp;TRIM(IF($A549="","Missing certificate ref. ","") &amp; IF($C549="","Missing effective date. ","") &amp; IF($D549="","Missing binding status. ","") &amp; IF($E549="","Missing movement type. ","") &amp; IF($I549="","Missing make. ","") &amp; IF($L549="","Missing vehicle class. ","") &amp; IF($M549="","Missing agreed value. ","") &amp; IF($N549="","Missing policy type. ","") &amp; IF($Q549="","Missing garaging state. ","") &amp; IF($R549="","Missing garaging ZIP. ","") &amp; IF($S549="","Missing cat zone. ","") &amp; IF($V549="","Missing valuation basis. ","") &amp; IF($W549="","Missing PD deductible. ","") &amp; IF($X549="","Missing liability limit. ","") &amp; IF($AB549="","Missing technical premium. ","") &amp; IF($AF549="","Missing surplus lines tax %. ",""))))</f>
      </c>
      <c r="AY549" s="44">
        <f>IF($M549="","",IF(ISNUMBER($M549),IF($M549&gt;=Header!$C$18,"YES — refer","No"),""))</f>
      </c>
      <c r="AZ549" s="44">
        <f>IF($AD549="","",IF(ISNUMBER($AD549),IF($AD549&lt;Header!$C$20,"BELOW MIN PREMIUM","OK"),""))</f>
      </c>
      <c r="BA549" s="32" t="inlineStr">
        <is>
          <t xml:space="preserve">Yes</t>
        </is>
      </c>
      <c r="BB549" s="32" t="inlineStr">
        <is>
          <t xml:space="preserve">Yes</t>
        </is>
      </c>
      <c r="BC549" s="30" t="inlineStr">
        <is>
          <t xml:space="preserve">Synthetic demo data</t>
        </is>
      </c>
      <c r="BE549" s="45">
        <f>IF(OR($A549="",$L549="",$H549=""),"",IF(AND(LEFT($L549,2)="06",$H549&gt;1945),"FAIL - pre-war class, year "&amp;$H549,IF(AND(LEFT($L549,2)="07",OR($H549&lt;1946,$H549&gt;1972)),"FAIL - 1946-72 class, year "&amp;$H549,IF(AND(LEFT($L549,2)="08",OR($H549&lt;1973,$H549&gt;1999)),"FAIL - 1973-99 class, year "&amp;$H549,IF(AND(LEFT($L549,2)="09",OR($H549&lt;2000,$H549&gt;2010)),"FAIL - 2000-10 class, year "&amp;$H549,"OK")))))</f>
      </c>
      <c r="BF549" s="45">
        <f>IF($AD549="","",IF(ROUND($AO549+$AP549+$AQ549-$AD549,2)=0,"OK","FAIL - out by "&amp;TEXT($AO549+$AP549+$AQ549-$AD549,"$0.00")))</f>
      </c>
    </row>
    <row r="550" spans="1:58" ht="18.75" customHeight="1" x14ac:dyDescent="0.25">
      <c r="A550" s="46" t="inlineStr">
        <is>
          <t xml:space="preserve">CANON-202511-002921</t>
        </is>
      </c>
      <c r="B550" s="46" t="inlineStr">
        <is>
          <t xml:space="preserve">Sunniva Vasquez</t>
        </is>
      </c>
      <c r="C550" s="47">
        <v>45967</v>
      </c>
      <c r="D550" s="48" t="inlineStr">
        <is>
          <t xml:space="preserve">Bound - within authority</t>
        </is>
      </c>
      <c r="E550" s="48" t="inlineStr">
        <is>
          <t xml:space="preserve">New business</t>
        </is>
      </c>
      <c r="F550" s="46" t="inlineStr">
        <is>
          <t xml:space="preserve">B1234EXOTIC26</t>
        </is>
      </c>
      <c r="G550" s="33">
        <f>IF($A550="","",IF($C550="","",YEAR($C550)))</f>
      </c>
      <c r="H550" s="49">
        <v>2009</v>
      </c>
      <c r="I550" s="46" t="inlineStr">
        <is>
          <t xml:space="preserve">Ferrari</t>
        </is>
      </c>
      <c r="J550" s="46" t="inlineStr">
        <is>
          <t xml:space="preserve">SF90 Stradale</t>
        </is>
      </c>
      <c r="K550" s="46" t="inlineStr">
        <is>
          <t xml:space="preserve">JV40819B69KTA6T45</t>
        </is>
      </c>
      <c r="L550" s="48" t="inlineStr">
        <is>
          <t xml:space="preserve">03 - Supercar</t>
        </is>
      </c>
      <c r="M550" s="50">
        <v>890000</v>
      </c>
      <c r="N550" s="48" t="inlineStr">
        <is>
          <t xml:space="preserve">Personal</t>
        </is>
      </c>
      <c r="O550" s="46" t="inlineStr">
        <is>
          <t xml:space="preserve">Personal - regular use</t>
        </is>
      </c>
      <c r="P550" s="46" t="inlineStr">
        <is>
          <t xml:space="preserve">Under 1,000</t>
        </is>
      </c>
      <c r="Q550" s="46" t="inlineStr">
        <is>
          <t xml:space="preserve">New Hampshire</t>
        </is>
      </c>
      <c r="R550" s="46" t="inlineStr">
        <is>
          <t xml:space="preserve">03301</t>
        </is>
      </c>
      <c r="S550" s="48" t="inlineStr">
        <is>
          <t xml:space="preserve">Tier 3 - Coastal wind (25-100 miles)</t>
        </is>
      </c>
      <c r="T550" s="36">
        <f>IF($A550="","",IF($S550="","",IFERROR(INDEX('[1]natural catastrophe'!$D$6:$D$17,MATCH($S550,'[1]natural catastrophe'!$B$6:$B$17,0)),"?")))</f>
      </c>
      <c r="U550" s="46" t="inlineStr">
        <is>
          <t xml:space="preserve">2% of agreed value, minimum $10,000</t>
        </is>
      </c>
      <c r="V550" s="48" t="inlineStr">
        <is>
          <t xml:space="preserve">Agreed Value</t>
        </is>
      </c>
      <c r="W550" s="46" t="inlineStr">
        <is>
          <t xml:space="preserve">$1,000</t>
        </is>
      </c>
      <c r="X550" s="48" t="inlineStr">
        <is>
          <t xml:space="preserve">$1,000,000 CSL</t>
        </is>
      </c>
      <c r="Y550" s="46"/>
      <c r="Z550" s="46"/>
      <c r="AA550" s="48" t="inlineStr">
        <is>
          <t xml:space="preserve">Surplus Lines</t>
        </is>
      </c>
      <c r="AB550" s="50">
        <v>15253.71</v>
      </c>
      <c r="AC550" s="51">
        <v>0</v>
      </c>
      <c r="AD550" s="38">
        <f>IF(ISNUMBER($AB550),$AB550*(1+N($AC550)),"")</f>
      </c>
      <c r="AE550" s="50">
        <v>350</v>
      </c>
      <c r="AF550" s="50">
        <v>0</v>
      </c>
      <c r="AG550" s="51"/>
      <c r="AH550" s="39">
        <f>IF(ISNUMBER($AD550),($AD550+$AE550+$AF550)*$AG550,"")</f>
      </c>
      <c r="AI550" s="50"/>
      <c r="AJ550" s="38">
        <f>IF(ISNUMBER($AD550),SUM($AD550:$AH550),"")</f>
      </c>
      <c r="AK550" s="40">
        <f>IF(AND(ISNUMBER($AB550),ISNUMBER($AD550)),IF($AB550&gt;0,$AD550/$AB550,""),"")</f>
      </c>
      <c r="AL550" s="48" t="inlineStr">
        <is>
          <t xml:space="preserve">At technical</t>
        </is>
      </c>
      <c r="AM550" s="41">
        <f>IF(ISNUMBER($AD550),Header!$I$3,"")</f>
      </c>
      <c r="AN550" s="39">
        <f>IF(ISNUMBER($AD550),$AO550+$AP550,"")</f>
      </c>
      <c r="AO550" s="39">
        <f>IF(ISNUMBER($AD550),ROUND($AD550*Header!$K$3,2),"")</f>
      </c>
      <c r="AP550" s="39">
        <f>IF(ISNUMBER($AD550),ROUND($AD550*Header!$M$3,2),"")</f>
      </c>
      <c r="AQ550" s="38">
        <f>IF(ISNUMBER($AD550),ROUND($AD550,2)-$AO550-$AP550,"")</f>
      </c>
      <c r="AR550" s="39">
        <f>IF(ISNUMBER($AD550),IF(Header!$D$34="","?",$AD550*Header!$D$34),"")</f>
      </c>
      <c r="AS550" s="39">
        <f>IF(ISNUMBER($AB550),IF(Header!$D$34="","?",$AB550*Header!$D$34),"")</f>
      </c>
      <c r="AT550" s="42">
        <f>IF(AND(ISNUMBER($AB550),$M550&gt;0),$AB550/$M550*100,"")</f>
      </c>
      <c r="AU550" s="42">
        <f>IF(AND(ISNUMBER($AD550),$M550&gt;0),$AD550/$M550*100,"")</f>
      </c>
      <c r="AV550" s="40">
        <f>IF(AND(ISNUMBER($AB550),ISNUMBER($AD550),ABS($AB550)&gt;0),$AD550/$AB550,"")</f>
      </c>
      <c r="AW550" s="39">
        <f>IF(ISNUMBER($AD550),MAX(0,(1-0.55-Header!$O$3)*Header!$Q$3*$AQ550),"")</f>
      </c>
      <c r="AX550" s="43">
        <f>IF($A550="","",IF(TRIM(IF($A550="","Missing certificate ref. ","") &amp; IF($C550="","Missing effective date. ","") &amp; IF($D550="","Missing binding status. ","") &amp; IF($E550="","Missing movement type. ","") &amp; IF($I550="","Missing make. ","") &amp; IF($L550="","Missing vehicle class. ","") &amp; IF($M550="","Missing agreed value. ","") &amp; IF($N550="","Missing policy type. ","") &amp; IF($Q550="","Missing garaging state. ","") &amp; IF($R550="","Missing garaging ZIP. ","") &amp; IF($S550="","Missing cat zone. ","") &amp; IF($V550="","Missing valuation basis. ","") &amp; IF($W550="","Missing PD deductible. ","") &amp; IF($X550="","Missing liability limit. ","") &amp; IF($AB550="","Missing technical premium. ","") &amp; IF($AF550="","Missing surplus lines tax %. ",""))="","PASS","FAIL: "&amp;TRIM(IF($A550="","Missing certificate ref. ","") &amp; IF($C550="","Missing effective date. ","") &amp; IF($D550="","Missing binding status. ","") &amp; IF($E550="","Missing movement type. ","") &amp; IF($I550="","Missing make. ","") &amp; IF($L550="","Missing vehicle class. ","") &amp; IF($M550="","Missing agreed value. ","") &amp; IF($N550="","Missing policy type. ","") &amp; IF($Q550="","Missing garaging state. ","") &amp; IF($R550="","Missing garaging ZIP. ","") &amp; IF($S550="","Missing cat zone. ","") &amp; IF($V550="","Missing valuation basis. ","") &amp; IF($W550="","Missing PD deductible. ","") &amp; IF($X550="","Missing liability limit. ","") &amp; IF($AB550="","Missing technical premium. ","") &amp; IF($AF550="","Missing surplus lines tax %. ",""))))</f>
      </c>
      <c r="AY550" s="44">
        <f>IF($M550="","",IF(ISNUMBER($M550),IF($M550&gt;=Header!$C$18,"YES — refer","No"),""))</f>
      </c>
      <c r="AZ550" s="44">
        <f>IF($AD550="","",IF(ISNUMBER($AD550),IF($AD550&lt;Header!$C$20,"BELOW MIN PREMIUM","OK"),""))</f>
      </c>
      <c r="BA550" s="48" t="inlineStr">
        <is>
          <t xml:space="preserve">Yes</t>
        </is>
      </c>
      <c r="BB550" s="48" t="inlineStr">
        <is>
          <t xml:space="preserve">Yes</t>
        </is>
      </c>
      <c r="BC550" s="46" t="inlineStr">
        <is>
          <t xml:space="preserve">Synthetic demo data</t>
        </is>
      </c>
      <c r="BE550" s="45">
        <f>IF(OR($A550="",$L550="",$H550=""),"",IF(AND(LEFT($L550,2)="06",$H550&gt;1945),"FAIL - pre-war class, year "&amp;$H550,IF(AND(LEFT($L550,2)="07",OR($H550&lt;1946,$H550&gt;1972)),"FAIL - 1946-72 class, year "&amp;$H550,IF(AND(LEFT($L550,2)="08",OR($H550&lt;1973,$H550&gt;1999)),"FAIL - 1973-99 class, year "&amp;$H550,IF(AND(LEFT($L550,2)="09",OR($H550&lt;2000,$H550&gt;2010)),"FAIL - 2000-10 class, year "&amp;$H550,"OK")))))</f>
      </c>
      <c r="BF550" s="45">
        <f>IF($AD550="","",IF(ROUND($AO550+$AP550+$AQ550-$AD550,2)=0,"OK","FAIL - out by "&amp;TEXT($AO550+$AP550+$AQ550-$AD550,"$0.00")))</f>
      </c>
    </row>
    <row r="551" spans="1:58" ht="18.75" customHeight="1" x14ac:dyDescent="0.25">
      <c r="A551" s="30" t="inlineStr">
        <is>
          <t xml:space="preserve">CANON-202511-002922</t>
        </is>
      </c>
      <c r="B551" s="30" t="inlineStr">
        <is>
          <t xml:space="preserve">Beatrix Harrington</t>
        </is>
      </c>
      <c r="C551" s="31">
        <v>45967</v>
      </c>
      <c r="D551" s="32" t="inlineStr">
        <is>
          <t xml:space="preserve">Bound - within authority</t>
        </is>
      </c>
      <c r="E551" s="32" t="inlineStr">
        <is>
          <t xml:space="preserve">New business</t>
        </is>
      </c>
      <c r="F551" s="30" t="inlineStr">
        <is>
          <t xml:space="preserve">B1234EXOTIC26</t>
        </is>
      </c>
      <c r="G551" s="33">
        <f>IF($A551="","",IF($C551="","",YEAR($C551)))</f>
      </c>
      <c r="H551" s="34">
        <v>1965</v>
      </c>
      <c r="I551" s="30" t="inlineStr">
        <is>
          <t xml:space="preserve">Bentley</t>
        </is>
      </c>
      <c r="J551" s="30" t="inlineStr">
        <is>
          <t xml:space="preserve">Continental GT</t>
        </is>
      </c>
      <c r="K551" s="30" t="inlineStr">
        <is>
          <t xml:space="preserve">YTHXW1KNYK76ZYDRZ</t>
        </is>
      </c>
      <c r="L551" s="32" t="inlineStr">
        <is>
          <t xml:space="preserve">02 - Sports / GT</t>
        </is>
      </c>
      <c r="M551" s="35">
        <v>280000</v>
      </c>
      <c r="N551" s="32" t="inlineStr">
        <is>
          <t xml:space="preserve">Personal</t>
        </is>
      </c>
      <c r="O551" s="30" t="inlineStr">
        <is>
          <t xml:space="preserve">Personal - regular use</t>
        </is>
      </c>
      <c r="P551" s="30" t="inlineStr">
        <is>
          <t xml:space="preserve">1,000 - 2,500</t>
        </is>
      </c>
      <c r="Q551" s="30" t="inlineStr">
        <is>
          <t xml:space="preserve">Oregon</t>
        </is>
      </c>
      <c r="R551" s="30" t="inlineStr">
        <is>
          <t xml:space="preserve">97204</t>
        </is>
      </c>
      <c r="S551" s="32" t="inlineStr">
        <is>
          <t xml:space="preserve">Earthquake - high (CA, Cascadia, New Madrid)</t>
        </is>
      </c>
      <c r="T551" s="36">
        <f>IF($A551="","",IF($S551="","",IFERROR(INDEX('[1]natural catastrophe'!$D$6:$D$17,MATCH($S551,'[1]natural catastrophe'!$B$6:$B$17,0)),"?")))</f>
      </c>
      <c r="U551" s="30" t="inlineStr">
        <is>
          <t xml:space="preserve">$5,000</t>
        </is>
      </c>
      <c r="V551" s="32" t="inlineStr">
        <is>
          <t xml:space="preserve">Agreed Value</t>
        </is>
      </c>
      <c r="W551" s="30" t="inlineStr">
        <is>
          <t xml:space="preserve">$1,000</t>
        </is>
      </c>
      <c r="X551" s="32" t="inlineStr">
        <is>
          <t xml:space="preserve">$1,000,000 CSL</t>
        </is>
      </c>
      <c r="Y551" s="30"/>
      <c r="Z551" s="30"/>
      <c r="AA551" s="32" t="inlineStr">
        <is>
          <t xml:space="preserve">Surplus Lines</t>
        </is>
      </c>
      <c r="AB551" s="35">
        <v>4116.48</v>
      </c>
      <c r="AC551" s="37">
        <v>0</v>
      </c>
      <c r="AD551" s="38">
        <f>IF(ISNUMBER($AB551),$AB551*(1+N($AC551)),"")</f>
      </c>
      <c r="AE551" s="35">
        <v>350</v>
      </c>
      <c r="AF551" s="35">
        <v>0</v>
      </c>
      <c r="AG551" s="37"/>
      <c r="AH551" s="39">
        <f>IF(ISNUMBER($AD551),($AD551+$AE551+$AF551)*$AG551,"")</f>
      </c>
      <c r="AI551" s="35"/>
      <c r="AJ551" s="38">
        <f>IF(ISNUMBER($AD551),SUM($AD551:$AH551),"")</f>
      </c>
      <c r="AK551" s="40">
        <f>IF(AND(ISNUMBER($AB551),ISNUMBER($AD551)),IF($AB551&gt;0,$AD551/$AB551,""),"")</f>
      </c>
      <c r="AL551" s="32" t="inlineStr">
        <is>
          <t xml:space="preserve">At technical</t>
        </is>
      </c>
      <c r="AM551" s="41">
        <f>IF(ISNUMBER($AD551),Header!$I$3,"")</f>
      </c>
      <c r="AN551" s="39">
        <f>IF(ISNUMBER($AD551),$AO551+$AP551,"")</f>
      </c>
      <c r="AO551" s="39">
        <f>IF(ISNUMBER($AD551),ROUND($AD551*Header!$K$3,2),"")</f>
      </c>
      <c r="AP551" s="39">
        <f>IF(ISNUMBER($AD551),ROUND($AD551*Header!$M$3,2),"")</f>
      </c>
      <c r="AQ551" s="38">
        <f>IF(ISNUMBER($AD551),ROUND($AD551,2)-$AO551-$AP551,"")</f>
      </c>
      <c r="AR551" s="39">
        <f>IF(ISNUMBER($AD551),IF(Header!$D$34="","?",$AD551*Header!$D$34),"")</f>
      </c>
      <c r="AS551" s="39">
        <f>IF(ISNUMBER($AB551),IF(Header!$D$34="","?",$AB551*Header!$D$34),"")</f>
      </c>
      <c r="AT551" s="42">
        <f>IF(AND(ISNUMBER($AB551),$M551&gt;0),$AB551/$M551*100,"")</f>
      </c>
      <c r="AU551" s="42">
        <f>IF(AND(ISNUMBER($AD551),$M551&gt;0),$AD551/$M551*100,"")</f>
      </c>
      <c r="AV551" s="40">
        <f>IF(AND(ISNUMBER($AB551),ISNUMBER($AD551),ABS($AB551)&gt;0),$AD551/$AB551,"")</f>
      </c>
      <c r="AW551" s="39">
        <f>IF(ISNUMBER($AD551),MAX(0,(1-0.55-Header!$O$3)*Header!$Q$3*$AQ551),"")</f>
      </c>
      <c r="AX551" s="43">
        <f>IF($A551="","",IF(TRIM(IF($A551="","Missing certificate ref. ","") &amp; IF($C551="","Missing effective date. ","") &amp; IF($D551="","Missing binding status. ","") &amp; IF($E551="","Missing movement type. ","") &amp; IF($I551="","Missing make. ","") &amp; IF($L551="","Missing vehicle class. ","") &amp; IF($M551="","Missing agreed value. ","") &amp; IF($N551="","Missing policy type. ","") &amp; IF($Q551="","Missing garaging state. ","") &amp; IF($R551="","Missing garaging ZIP. ","") &amp; IF($S551="","Missing cat zone. ","") &amp; IF($V551="","Missing valuation basis. ","") &amp; IF($W551="","Missing PD deductible. ","") &amp; IF($X551="","Missing liability limit. ","") &amp; IF($AB551="","Missing technical premium. ","") &amp; IF($AF551="","Missing surplus lines tax %. ",""))="","PASS","FAIL: "&amp;TRIM(IF($A551="","Missing certificate ref. ","") &amp; IF($C551="","Missing effective date. ","") &amp; IF($D551="","Missing binding status. ","") &amp; IF($E551="","Missing movement type. ","") &amp; IF($I551="","Missing make. ","") &amp; IF($L551="","Missing vehicle class. ","") &amp; IF($M551="","Missing agreed value. ","") &amp; IF($N551="","Missing policy type. ","") &amp; IF($Q551="","Missing garaging state. ","") &amp; IF($R551="","Missing garaging ZIP. ","") &amp; IF($S551="","Missing cat zone. ","") &amp; IF($V551="","Missing valuation basis. ","") &amp; IF($W551="","Missing PD deductible. ","") &amp; IF($X551="","Missing liability limit. ","") &amp; IF($AB551="","Missing technical premium. ","") &amp; IF($AF551="","Missing surplus lines tax %. ",""))))</f>
      </c>
      <c r="AY551" s="44">
        <f>IF($M551="","",IF(ISNUMBER($M551),IF($M551&gt;=Header!$C$18,"YES — refer","No"),""))</f>
      </c>
      <c r="AZ551" s="44">
        <f>IF($AD551="","",IF(ISNUMBER($AD551),IF($AD551&lt;Header!$C$20,"BELOW MIN PREMIUM","OK"),""))</f>
      </c>
      <c r="BA551" s="32" t="inlineStr">
        <is>
          <t xml:space="preserve">Yes</t>
        </is>
      </c>
      <c r="BB551" s="32" t="inlineStr">
        <is>
          <t xml:space="preserve">Yes</t>
        </is>
      </c>
      <c r="BC551" s="30" t="inlineStr">
        <is>
          <t xml:space="preserve">Synthetic demo data</t>
        </is>
      </c>
      <c r="BE551" s="45">
        <f>IF(OR($A551="",$L551="",$H551=""),"",IF(AND(LEFT($L551,2)="06",$H551&gt;1945),"FAIL - pre-war class, year "&amp;$H551,IF(AND(LEFT($L551,2)="07",OR($H551&lt;1946,$H551&gt;1972)),"FAIL - 1946-72 class, year "&amp;$H551,IF(AND(LEFT($L551,2)="08",OR($H551&lt;1973,$H551&gt;1999)),"FAIL - 1973-99 class, year "&amp;$H551,IF(AND(LEFT($L551,2)="09",OR($H551&lt;2000,$H551&gt;2010)),"FAIL - 2000-10 class, year "&amp;$H551,"OK")))))</f>
      </c>
      <c r="BF551" s="45">
        <f>IF($AD551="","",IF(ROUND($AO551+$AP551+$AQ551-$AD551,2)=0,"OK","FAIL - out by "&amp;TEXT($AO551+$AP551+$AQ551-$AD551,"$0.00")))</f>
      </c>
    </row>
    <row r="552" spans="1:58" ht="18.75" customHeight="1" x14ac:dyDescent="0.25">
      <c r="A552" s="46" t="inlineStr">
        <is>
          <t xml:space="preserve">CANON-202511-002924</t>
        </is>
      </c>
      <c r="B552" s="46" t="inlineStr">
        <is>
          <t xml:space="preserve">Marisol Ashcombe</t>
        </is>
      </c>
      <c r="C552" s="47">
        <v>45983</v>
      </c>
      <c r="D552" s="48" t="inlineStr">
        <is>
          <t xml:space="preserve">Bound - within authority</t>
        </is>
      </c>
      <c r="E552" s="48" t="inlineStr">
        <is>
          <t xml:space="preserve">New business</t>
        </is>
      </c>
      <c r="F552" s="46" t="inlineStr">
        <is>
          <t xml:space="preserve">B1234EXOTIC26</t>
        </is>
      </c>
      <c r="G552" s="33">
        <f>IF($A552="","",IF($C552="","",YEAR($C552)))</f>
      </c>
      <c r="H552" s="49">
        <v>1961</v>
      </c>
      <c r="I552" s="46" t="inlineStr">
        <is>
          <t xml:space="preserve">Porsche</t>
        </is>
      </c>
      <c r="J552" s="46" t="inlineStr">
        <is>
          <t xml:space="preserve">911 Turbo S</t>
        </is>
      </c>
      <c r="K552" s="46" t="inlineStr">
        <is>
          <t xml:space="preserve">SR4RYL4WL5BB8NWUN</t>
        </is>
      </c>
      <c r="L552" s="48" t="inlineStr">
        <is>
          <t xml:space="preserve">02 - Sports / GT</t>
        </is>
      </c>
      <c r="M552" s="50">
        <v>255000</v>
      </c>
      <c r="N552" s="48" t="inlineStr">
        <is>
          <t xml:space="preserve">Personal</t>
        </is>
      </c>
      <c r="O552" s="46" t="inlineStr">
        <is>
          <t xml:space="preserve">Personal - regular use</t>
        </is>
      </c>
      <c r="P552" s="46" t="inlineStr">
        <is>
          <t xml:space="preserve">Under 1,000</t>
        </is>
      </c>
      <c r="Q552" s="46" t="inlineStr">
        <is>
          <t xml:space="preserve">Massachusetts</t>
        </is>
      </c>
      <c r="R552" s="46" t="inlineStr">
        <is>
          <t xml:space="preserve">02108</t>
        </is>
      </c>
      <c r="S552" s="48" t="inlineStr">
        <is>
          <t xml:space="preserve">Tier 3 - Coastal wind (25-100 miles)</t>
        </is>
      </c>
      <c r="T552" s="36">
        <f>IF($A552="","",IF($S552="","",IFERROR(INDEX('[1]natural catastrophe'!$D$6:$D$17,MATCH($S552,'[1]natural catastrophe'!$B$6:$B$17,0)),"?")))</f>
      </c>
      <c r="U552" s="46" t="inlineStr">
        <is>
          <t xml:space="preserve">2% of agreed value, minimum $10,000</t>
        </is>
      </c>
      <c r="V552" s="48" t="inlineStr">
        <is>
          <t xml:space="preserve">Agreed Value</t>
        </is>
      </c>
      <c r="W552" s="46" t="inlineStr">
        <is>
          <t xml:space="preserve">$1,000</t>
        </is>
      </c>
      <c r="X552" s="48" t="inlineStr">
        <is>
          <t xml:space="preserve">$1,000,000 CSL</t>
        </is>
      </c>
      <c r="Y552" s="46"/>
      <c r="Z552" s="46"/>
      <c r="AA552" s="48" t="inlineStr">
        <is>
          <t xml:space="preserve">Surplus Lines</t>
        </is>
      </c>
      <c r="AB552" s="50">
        <v>4147.05</v>
      </c>
      <c r="AC552" s="51">
        <v>0</v>
      </c>
      <c r="AD552" s="38">
        <f>IF(ISNUMBER($AB552),$AB552*(1+N($AC552)),"")</f>
      </c>
      <c r="AE552" s="50">
        <v>350</v>
      </c>
      <c r="AF552" s="50">
        <v>0</v>
      </c>
      <c r="AG552" s="51"/>
      <c r="AH552" s="39">
        <f>IF(ISNUMBER($AD552),($AD552+$AE552+$AF552)*$AG552,"")</f>
      </c>
      <c r="AI552" s="50"/>
      <c r="AJ552" s="38">
        <f>IF(ISNUMBER($AD552),SUM($AD552:$AH552),"")</f>
      </c>
      <c r="AK552" s="40">
        <f>IF(AND(ISNUMBER($AB552),ISNUMBER($AD552)),IF($AB552&gt;0,$AD552/$AB552,""),"")</f>
      </c>
      <c r="AL552" s="48" t="inlineStr">
        <is>
          <t xml:space="preserve">At technical</t>
        </is>
      </c>
      <c r="AM552" s="41">
        <f>IF(ISNUMBER($AD552),Header!$I$3,"")</f>
      </c>
      <c r="AN552" s="39">
        <f>IF(ISNUMBER($AD552),$AO552+$AP552,"")</f>
      </c>
      <c r="AO552" s="39">
        <f>IF(ISNUMBER($AD552),ROUND($AD552*Header!$K$3,2),"")</f>
      </c>
      <c r="AP552" s="39">
        <f>IF(ISNUMBER($AD552),ROUND($AD552*Header!$M$3,2),"")</f>
      </c>
      <c r="AQ552" s="38">
        <f>IF(ISNUMBER($AD552),ROUND($AD552,2)-$AO552-$AP552,"")</f>
      </c>
      <c r="AR552" s="39">
        <f>IF(ISNUMBER($AD552),IF(Header!$D$34="","?",$AD552*Header!$D$34),"")</f>
      </c>
      <c r="AS552" s="39">
        <f>IF(ISNUMBER($AB552),IF(Header!$D$34="","?",$AB552*Header!$D$34),"")</f>
      </c>
      <c r="AT552" s="42">
        <f>IF(AND(ISNUMBER($AB552),$M552&gt;0),$AB552/$M552*100,"")</f>
      </c>
      <c r="AU552" s="42">
        <f>IF(AND(ISNUMBER($AD552),$M552&gt;0),$AD552/$M552*100,"")</f>
      </c>
      <c r="AV552" s="40">
        <f>IF(AND(ISNUMBER($AB552),ISNUMBER($AD552),ABS($AB552)&gt;0),$AD552/$AB552,"")</f>
      </c>
      <c r="AW552" s="39">
        <f>IF(ISNUMBER($AD552),MAX(0,(1-0.55-Header!$O$3)*Header!$Q$3*$AQ552),"")</f>
      </c>
      <c r="AX552" s="43">
        <f>IF($A552="","",IF(TRIM(IF($A552="","Missing certificate ref. ","") &amp; IF($C552="","Missing effective date. ","") &amp; IF($D552="","Missing binding status. ","") &amp; IF($E552="","Missing movement type. ","") &amp; IF($I552="","Missing make. ","") &amp; IF($L552="","Missing vehicle class. ","") &amp; IF($M552="","Missing agreed value. ","") &amp; IF($N552="","Missing policy type. ","") &amp; IF($Q552="","Missing garaging state. ","") &amp; IF($R552="","Missing garaging ZIP. ","") &amp; IF($S552="","Missing cat zone. ","") &amp; IF($V552="","Missing valuation basis. ","") &amp; IF($W552="","Missing PD deductible. ","") &amp; IF($X552="","Missing liability limit. ","") &amp; IF($AB552="","Missing technical premium. ","") &amp; IF($AF552="","Missing surplus lines tax %. ",""))="","PASS","FAIL: "&amp;TRIM(IF($A552="","Missing certificate ref. ","") &amp; IF($C552="","Missing effective date. ","") &amp; IF($D552="","Missing binding status. ","") &amp; IF($E552="","Missing movement type. ","") &amp; IF($I552="","Missing make. ","") &amp; IF($L552="","Missing vehicle class. ","") &amp; IF($M552="","Missing agreed value. ","") &amp; IF($N552="","Missing policy type. ","") &amp; IF($Q552="","Missing garaging state. ","") &amp; IF($R552="","Missing garaging ZIP. ","") &amp; IF($S552="","Missing cat zone. ","") &amp; IF($V552="","Missing valuation basis. ","") &amp; IF($W552="","Missing PD deductible. ","") &amp; IF($X552="","Missing liability limit. ","") &amp; IF($AB552="","Missing technical premium. ","") &amp; IF($AF552="","Missing surplus lines tax %. ",""))))</f>
      </c>
      <c r="AY552" s="44">
        <f>IF($M552="","",IF(ISNUMBER($M552),IF($M552&gt;=Header!$C$18,"YES — refer","No"),""))</f>
      </c>
      <c r="AZ552" s="44">
        <f>IF($AD552="","",IF(ISNUMBER($AD552),IF($AD552&lt;Header!$C$20,"BELOW MIN PREMIUM","OK"),""))</f>
      </c>
      <c r="BA552" s="48" t="inlineStr">
        <is>
          <t xml:space="preserve">Yes</t>
        </is>
      </c>
      <c r="BB552" s="48" t="inlineStr">
        <is>
          <t xml:space="preserve">Yes</t>
        </is>
      </c>
      <c r="BC552" s="46" t="inlineStr">
        <is>
          <t xml:space="preserve">Synthetic demo data</t>
        </is>
      </c>
      <c r="BE552" s="45">
        <f>IF(OR($A552="",$L552="",$H552=""),"",IF(AND(LEFT($L552,2)="06",$H552&gt;1945),"FAIL - pre-war class, year "&amp;$H552,IF(AND(LEFT($L552,2)="07",OR($H552&lt;1946,$H552&gt;1972)),"FAIL - 1946-72 class, year "&amp;$H552,IF(AND(LEFT($L552,2)="08",OR($H552&lt;1973,$H552&gt;1999)),"FAIL - 1973-99 class, year "&amp;$H552,IF(AND(LEFT($L552,2)="09",OR($H552&lt;2000,$H552&gt;2010)),"FAIL - 2000-10 class, year "&amp;$H552,"OK")))))</f>
      </c>
      <c r="BF552" s="45">
        <f>IF($AD552="","",IF(ROUND($AO552+$AP552+$AQ552-$AD552,2)=0,"OK","FAIL - out by "&amp;TEXT($AO552+$AP552+$AQ552-$AD552,"$0.00")))</f>
      </c>
    </row>
    <row r="553" spans="1:58" ht="18.75" customHeight="1" x14ac:dyDescent="0.25">
      <c r="A553" s="30" t="inlineStr">
        <is>
          <t xml:space="preserve">CANON-202511-002925</t>
        </is>
      </c>
      <c r="B553" s="30" t="inlineStr">
        <is>
          <t xml:space="preserve">Beatrix Vasquez</t>
        </is>
      </c>
      <c r="C553" s="31">
        <v>45980</v>
      </c>
      <c r="D553" s="32" t="inlineStr">
        <is>
          <t xml:space="preserve">Bound - within authority</t>
        </is>
      </c>
      <c r="E553" s="32" t="inlineStr">
        <is>
          <t xml:space="preserve">New business</t>
        </is>
      </c>
      <c r="F553" s="30" t="inlineStr">
        <is>
          <t xml:space="preserve">B1234EXOTIC26</t>
        </is>
      </c>
      <c r="G553" s="33">
        <f>IF($A553="","",IF($C553="","",YEAR($C553)))</f>
      </c>
      <c r="H553" s="34">
        <v>2021</v>
      </c>
      <c r="I553" s="30" t="inlineStr">
        <is>
          <t xml:space="preserve">Lamborghini</t>
        </is>
      </c>
      <c r="J553" s="30" t="inlineStr">
        <is>
          <t xml:space="preserve">Huracan EVO</t>
        </is>
      </c>
      <c r="K553" s="30" t="inlineStr">
        <is>
          <t xml:space="preserve">RTUD9N3S0G2NACKK8</t>
        </is>
      </c>
      <c r="L553" s="32" t="inlineStr">
        <is>
          <t xml:space="preserve">03 - Supercar</t>
        </is>
      </c>
      <c r="M553" s="35">
        <v>635000</v>
      </c>
      <c r="N553" s="32" t="inlineStr">
        <is>
          <t xml:space="preserve">Personal</t>
        </is>
      </c>
      <c r="O553" s="30" t="inlineStr">
        <is>
          <t xml:space="preserve">Personal - regular use</t>
        </is>
      </c>
      <c r="P553" s="30" t="inlineStr">
        <is>
          <t xml:space="preserve">2,500 - 5,000</t>
        </is>
      </c>
      <c r="Q553" s="30" t="inlineStr">
        <is>
          <t xml:space="preserve">Oklahoma</t>
        </is>
      </c>
      <c r="R553" s="30" t="inlineStr">
        <is>
          <t xml:space="preserve">73102</t>
        </is>
      </c>
      <c r="S553" s="32" t="inlineStr">
        <is>
          <t xml:space="preserve">Severe convective - hail alley (high)</t>
        </is>
      </c>
      <c r="T553" s="36">
        <f>IF($A553="","",IF($S553="","",IFERROR(INDEX('[1]natural catastrophe'!$D$6:$D$17,MATCH($S553,'[1]natural catastrophe'!$B$6:$B$17,0)),"?")))</f>
      </c>
      <c r="U553" s="30" t="inlineStr">
        <is>
          <t xml:space="preserve">$5,000</t>
        </is>
      </c>
      <c r="V553" s="32" t="inlineStr">
        <is>
          <t xml:space="preserve">Agreed Value</t>
        </is>
      </c>
      <c r="W553" s="30" t="inlineStr">
        <is>
          <t xml:space="preserve">$1,000</t>
        </is>
      </c>
      <c r="X553" s="32" t="inlineStr">
        <is>
          <t xml:space="preserve">$1,000,000 CSL</t>
        </is>
      </c>
      <c r="Y553" s="30"/>
      <c r="Z553" s="30"/>
      <c r="AA553" s="32" t="inlineStr">
        <is>
          <t xml:space="preserve">Surplus Lines</t>
        </is>
      </c>
      <c r="AB553" s="35">
        <v>13185.5</v>
      </c>
      <c r="AC553" s="37">
        <v>0</v>
      </c>
      <c r="AD553" s="38">
        <f>IF(ISNUMBER($AB553),$AB553*(1+N($AC553)),"")</f>
      </c>
      <c r="AE553" s="35">
        <v>350</v>
      </c>
      <c r="AF553" s="35">
        <v>0</v>
      </c>
      <c r="AG553" s="37"/>
      <c r="AH553" s="39">
        <f>IF(ISNUMBER($AD553),($AD553+$AE553+$AF553)*$AG553,"")</f>
      </c>
      <c r="AI553" s="35"/>
      <c r="AJ553" s="38">
        <f>IF(ISNUMBER($AD553),SUM($AD553:$AH553),"")</f>
      </c>
      <c r="AK553" s="40">
        <f>IF(AND(ISNUMBER($AB553),ISNUMBER($AD553)),IF($AB553&gt;0,$AD553/$AB553,""),"")</f>
      </c>
      <c r="AL553" s="32" t="inlineStr">
        <is>
          <t xml:space="preserve">At technical</t>
        </is>
      </c>
      <c r="AM553" s="41">
        <f>IF(ISNUMBER($AD553),Header!$I$3,"")</f>
      </c>
      <c r="AN553" s="39">
        <f>IF(ISNUMBER($AD553),$AO553+$AP553,"")</f>
      </c>
      <c r="AO553" s="39">
        <f>IF(ISNUMBER($AD553),ROUND($AD553*Header!$K$3,2),"")</f>
      </c>
      <c r="AP553" s="39">
        <f>IF(ISNUMBER($AD553),ROUND($AD553*Header!$M$3,2),"")</f>
      </c>
      <c r="AQ553" s="38">
        <f>IF(ISNUMBER($AD553),ROUND($AD553,2)-$AO553-$AP553,"")</f>
      </c>
      <c r="AR553" s="39">
        <f>IF(ISNUMBER($AD553),IF(Header!$D$34="","?",$AD553*Header!$D$34),"")</f>
      </c>
      <c r="AS553" s="39">
        <f>IF(ISNUMBER($AB553),IF(Header!$D$34="","?",$AB553*Header!$D$34),"")</f>
      </c>
      <c r="AT553" s="42">
        <f>IF(AND(ISNUMBER($AB553),$M553&gt;0),$AB553/$M553*100,"")</f>
      </c>
      <c r="AU553" s="42">
        <f>IF(AND(ISNUMBER($AD553),$M553&gt;0),$AD553/$M553*100,"")</f>
      </c>
      <c r="AV553" s="40">
        <f>IF(AND(ISNUMBER($AB553),ISNUMBER($AD553),ABS($AB553)&gt;0),$AD553/$AB553,"")</f>
      </c>
      <c r="AW553" s="39">
        <f>IF(ISNUMBER($AD553),MAX(0,(1-0.55-Header!$O$3)*Header!$Q$3*$AQ553),"")</f>
      </c>
      <c r="AX553" s="43">
        <f>IF($A553="","",IF(TRIM(IF($A553="","Missing certificate ref. ","") &amp; IF($C553="","Missing effective date. ","") &amp; IF($D553="","Missing binding status. ","") &amp; IF($E553="","Missing movement type. ","") &amp; IF($I553="","Missing make. ","") &amp; IF($L553="","Missing vehicle class. ","") &amp; IF($M553="","Missing agreed value. ","") &amp; IF($N553="","Missing policy type. ","") &amp; IF($Q553="","Missing garaging state. ","") &amp; IF($R553="","Missing garaging ZIP. ","") &amp; IF($S553="","Missing cat zone. ","") &amp; IF($V553="","Missing valuation basis. ","") &amp; IF($W553="","Missing PD deductible. ","") &amp; IF($X553="","Missing liability limit. ","") &amp; IF($AB553="","Missing technical premium. ","") &amp; IF($AF553="","Missing surplus lines tax %. ",""))="","PASS","FAIL: "&amp;TRIM(IF($A553="","Missing certificate ref. ","") &amp; IF($C553="","Missing effective date. ","") &amp; IF($D553="","Missing binding status. ","") &amp; IF($E553="","Missing movement type. ","") &amp; IF($I553="","Missing make. ","") &amp; IF($L553="","Missing vehicle class. ","") &amp; IF($M553="","Missing agreed value. ","") &amp; IF($N553="","Missing policy type. ","") &amp; IF($Q553="","Missing garaging state. ","") &amp; IF($R553="","Missing garaging ZIP. ","") &amp; IF($S553="","Missing cat zone. ","") &amp; IF($V553="","Missing valuation basis. ","") &amp; IF($W553="","Missing PD deductible. ","") &amp; IF($X553="","Missing liability limit. ","") &amp; IF($AB553="","Missing technical premium. ","") &amp; IF($AF553="","Missing surplus lines tax %. ",""))))</f>
      </c>
      <c r="AY553" s="44">
        <f>IF($M553="","",IF(ISNUMBER($M553),IF($M553&gt;=Header!$C$18,"YES — refer","No"),""))</f>
      </c>
      <c r="AZ553" s="44">
        <f>IF($AD553="","",IF(ISNUMBER($AD553),IF($AD553&lt;Header!$C$20,"BELOW MIN PREMIUM","OK"),""))</f>
      </c>
      <c r="BA553" s="32" t="inlineStr">
        <is>
          <t xml:space="preserve">Yes</t>
        </is>
      </c>
      <c r="BB553" s="32" t="inlineStr">
        <is>
          <t xml:space="preserve">Yes</t>
        </is>
      </c>
      <c r="BC553" s="30" t="inlineStr">
        <is>
          <t xml:space="preserve">Synthetic demo data</t>
        </is>
      </c>
      <c r="BE553" s="45">
        <f>IF(OR($A553="",$L553="",$H553=""),"",IF(AND(LEFT($L553,2)="06",$H553&gt;1945),"FAIL - pre-war class, year "&amp;$H553,IF(AND(LEFT($L553,2)="07",OR($H553&lt;1946,$H553&gt;1972)),"FAIL - 1946-72 class, year "&amp;$H553,IF(AND(LEFT($L553,2)="08",OR($H553&lt;1973,$H553&gt;1999)),"FAIL - 1973-99 class, year "&amp;$H553,IF(AND(LEFT($L553,2)="09",OR($H553&lt;2000,$H553&gt;2010)),"FAIL - 2000-10 class, year "&amp;$H553,"OK")))))</f>
      </c>
      <c r="BF553" s="45">
        <f>IF($AD553="","",IF(ROUND($AO553+$AP553+$AQ553-$AD553,2)=0,"OK","FAIL - out by "&amp;TEXT($AO553+$AP553+$AQ553-$AD553,"$0.00")))</f>
      </c>
    </row>
    <row r="554" spans="1:58" ht="18.75" customHeight="1" x14ac:dyDescent="0.25">
      <c r="A554" s="46" t="inlineStr">
        <is>
          <t xml:space="preserve">CANON-202511-002926</t>
        </is>
      </c>
      <c r="B554" s="46" t="inlineStr">
        <is>
          <t xml:space="preserve">Lorenzo Kingsford</t>
        </is>
      </c>
      <c r="C554" s="47">
        <v>45964</v>
      </c>
      <c r="D554" s="48" t="inlineStr">
        <is>
          <t xml:space="preserve">Bound - within authority</t>
        </is>
      </c>
      <c r="E554" s="48" t="inlineStr">
        <is>
          <t xml:space="preserve">New business</t>
        </is>
      </c>
      <c r="F554" s="46" t="inlineStr">
        <is>
          <t xml:space="preserve">B1234EXOTIC26</t>
        </is>
      </c>
      <c r="G554" s="33">
        <f>IF($A554="","",IF($C554="","",YEAR($C554)))</f>
      </c>
      <c r="H554" s="49">
        <v>2012</v>
      </c>
      <c r="I554" s="46" t="inlineStr">
        <is>
          <t xml:space="preserve">Ferrari</t>
        </is>
      </c>
      <c r="J554" s="46" t="inlineStr">
        <is>
          <t xml:space="preserve">296 GTB</t>
        </is>
      </c>
      <c r="K554" s="46" t="inlineStr">
        <is>
          <t xml:space="preserve">A8UC90KULN6P2ETY9</t>
        </is>
      </c>
      <c r="L554" s="48" t="inlineStr">
        <is>
          <t xml:space="preserve">03 - Supercar</t>
        </is>
      </c>
      <c r="M554" s="50">
        <v>1950000</v>
      </c>
      <c r="N554" s="48" t="inlineStr">
        <is>
          <t xml:space="preserve">Personal</t>
        </is>
      </c>
      <c r="O554" s="46" t="inlineStr">
        <is>
          <t xml:space="preserve">Personal - regular use</t>
        </is>
      </c>
      <c r="P554" s="46" t="inlineStr">
        <is>
          <t xml:space="preserve">1,000 - 2,500</t>
        </is>
      </c>
      <c r="Q554" s="46" t="inlineStr">
        <is>
          <t xml:space="preserve">Ohio</t>
        </is>
      </c>
      <c r="R554" s="46" t="inlineStr">
        <is>
          <t xml:space="preserve">43215</t>
        </is>
      </c>
      <c r="S554" s="48" t="inlineStr">
        <is>
          <t xml:space="preserve">Severe convective - hail / tornado (moderate)</t>
        </is>
      </c>
      <c r="T554" s="36">
        <f>IF($A554="","",IF($S554="","",IFERROR(INDEX('[1]natural catastrophe'!$D$6:$D$17,MATCH($S554,'[1]natural catastrophe'!$B$6:$B$17,0)),"?")))</f>
      </c>
      <c r="U554" s="46" t="inlineStr">
        <is>
          <t xml:space="preserve">$5,000</t>
        </is>
      </c>
      <c r="V554" s="48" t="inlineStr">
        <is>
          <t xml:space="preserve">Agreed Value</t>
        </is>
      </c>
      <c r="W554" s="46" t="inlineStr">
        <is>
          <t xml:space="preserve">$1,000</t>
        </is>
      </c>
      <c r="X554" s="48" t="inlineStr">
        <is>
          <t xml:space="preserve">$1,000,000 CSL</t>
        </is>
      </c>
      <c r="Y554" s="46"/>
      <c r="Z554" s="46"/>
      <c r="AA554" s="48" t="inlineStr">
        <is>
          <t xml:space="preserve">Surplus Lines</t>
        </is>
      </c>
      <c r="AB554" s="50">
        <v>37615.61</v>
      </c>
      <c r="AC554" s="51">
        <v>0</v>
      </c>
      <c r="AD554" s="38">
        <f>IF(ISNUMBER($AB554),$AB554*(1+N($AC554)),"")</f>
      </c>
      <c r="AE554" s="50">
        <v>350</v>
      </c>
      <c r="AF554" s="50">
        <v>250</v>
      </c>
      <c r="AG554" s="51"/>
      <c r="AH554" s="39">
        <f>IF(ISNUMBER($AD554),($AD554+$AE554+$AF554)*$AG554,"")</f>
      </c>
      <c r="AI554" s="50"/>
      <c r="AJ554" s="38">
        <f>IF(ISNUMBER($AD554),SUM($AD554:$AH554),"")</f>
      </c>
      <c r="AK554" s="40">
        <f>IF(AND(ISNUMBER($AB554),ISNUMBER($AD554)),IF($AB554&gt;0,$AD554/$AB554,""),"")</f>
      </c>
      <c r="AL554" s="48" t="inlineStr">
        <is>
          <t xml:space="preserve">At technical</t>
        </is>
      </c>
      <c r="AM554" s="41">
        <f>IF(ISNUMBER($AD554),Header!$I$3,"")</f>
      </c>
      <c r="AN554" s="39">
        <f>IF(ISNUMBER($AD554),$AO554+$AP554,"")</f>
      </c>
      <c r="AO554" s="39">
        <f>IF(ISNUMBER($AD554),ROUND($AD554*Header!$K$3,2),"")</f>
      </c>
      <c r="AP554" s="39">
        <f>IF(ISNUMBER($AD554),ROUND($AD554*Header!$M$3,2),"")</f>
      </c>
      <c r="AQ554" s="38">
        <f>IF(ISNUMBER($AD554),ROUND($AD554,2)-$AO554-$AP554,"")</f>
      </c>
      <c r="AR554" s="39">
        <f>IF(ISNUMBER($AD554),IF(Header!$D$34="","?",$AD554*Header!$D$34),"")</f>
      </c>
      <c r="AS554" s="39">
        <f>IF(ISNUMBER($AB554),IF(Header!$D$34="","?",$AB554*Header!$D$34),"")</f>
      </c>
      <c r="AT554" s="42">
        <f>IF(AND(ISNUMBER($AB554),$M554&gt;0),$AB554/$M554*100,"")</f>
      </c>
      <c r="AU554" s="42">
        <f>IF(AND(ISNUMBER($AD554),$M554&gt;0),$AD554/$M554*100,"")</f>
      </c>
      <c r="AV554" s="40">
        <f>IF(AND(ISNUMBER($AB554),ISNUMBER($AD554),ABS($AB554)&gt;0),$AD554/$AB554,"")</f>
      </c>
      <c r="AW554" s="39">
        <f>IF(ISNUMBER($AD554),MAX(0,(1-0.55-Header!$O$3)*Header!$Q$3*$AQ554),"")</f>
      </c>
      <c r="AX554" s="43">
        <f>IF($A554="","",IF(TRIM(IF($A554="","Missing certificate ref. ","") &amp; IF($C554="","Missing effective date. ","") &amp; IF($D554="","Missing binding status. ","") &amp; IF($E554="","Missing movement type. ","") &amp; IF($I554="","Missing make. ","") &amp; IF($L554="","Missing vehicle class. ","") &amp; IF($M554="","Missing agreed value. ","") &amp; IF($N554="","Missing policy type. ","") &amp; IF($Q554="","Missing garaging state. ","") &amp; IF($R554="","Missing garaging ZIP. ","") &amp; IF($S554="","Missing cat zone. ","") &amp; IF($V554="","Missing valuation basis. ","") &amp; IF($W554="","Missing PD deductible. ","") &amp; IF($X554="","Missing liability limit. ","") &amp; IF($AB554="","Missing technical premium. ","") &amp; IF($AF554="","Missing surplus lines tax %. ",""))="","PASS","FAIL: "&amp;TRIM(IF($A554="","Missing certificate ref. ","") &amp; IF($C554="","Missing effective date. ","") &amp; IF($D554="","Missing binding status. ","") &amp; IF($E554="","Missing movement type. ","") &amp; IF($I554="","Missing make. ","") &amp; IF($L554="","Missing vehicle class. ","") &amp; IF($M554="","Missing agreed value. ","") &amp; IF($N554="","Missing policy type. ","") &amp; IF($Q554="","Missing garaging state. ","") &amp; IF($R554="","Missing garaging ZIP. ","") &amp; IF($S554="","Missing cat zone. ","") &amp; IF($V554="","Missing valuation basis. ","") &amp; IF($W554="","Missing PD deductible. ","") &amp; IF($X554="","Missing liability limit. ","") &amp; IF($AB554="","Missing technical premium. ","") &amp; IF($AF554="","Missing surplus lines tax %. ",""))))</f>
      </c>
      <c r="AY554" s="44">
        <f>IF($M554="","",IF(ISNUMBER($M554),IF($M554&gt;=Header!$C$18,"YES — refer","No"),""))</f>
      </c>
      <c r="AZ554" s="44">
        <f>IF($AD554="","",IF(ISNUMBER($AD554),IF($AD554&lt;Header!$C$20,"BELOW MIN PREMIUM","OK"),""))</f>
      </c>
      <c r="BA554" s="48" t="inlineStr">
        <is>
          <t xml:space="preserve">Yes</t>
        </is>
      </c>
      <c r="BB554" s="48" t="inlineStr">
        <is>
          <t xml:space="preserve">Yes</t>
        </is>
      </c>
      <c r="BC554" s="46" t="inlineStr">
        <is>
          <t xml:space="preserve">Synthetic demo data</t>
        </is>
      </c>
      <c r="BE554" s="45">
        <f>IF(OR($A554="",$L554="",$H554=""),"",IF(AND(LEFT($L554,2)="06",$H554&gt;1945),"FAIL - pre-war class, year "&amp;$H554,IF(AND(LEFT($L554,2)="07",OR($H554&lt;1946,$H554&gt;1972)),"FAIL - 1946-72 class, year "&amp;$H554,IF(AND(LEFT($L554,2)="08",OR($H554&lt;1973,$H554&gt;1999)),"FAIL - 1973-99 class, year "&amp;$H554,IF(AND(LEFT($L554,2)="09",OR($H554&lt;2000,$H554&gt;2010)),"FAIL - 2000-10 class, year "&amp;$H554,"OK")))))</f>
      </c>
      <c r="BF554" s="45">
        <f>IF($AD554="","",IF(ROUND($AO554+$AP554+$AQ554-$AD554,2)=0,"OK","FAIL - out by "&amp;TEXT($AO554+$AP554+$AQ554-$AD554,"$0.00")))</f>
      </c>
    </row>
    <row r="555" spans="1:58" ht="18.75" customHeight="1" x14ac:dyDescent="0.25">
      <c r="A555" s="30" t="inlineStr">
        <is>
          <t xml:space="preserve">CANON-202511-002927</t>
        </is>
      </c>
      <c r="B555" s="30" t="inlineStr">
        <is>
          <t xml:space="preserve">Horace Nakashima</t>
        </is>
      </c>
      <c r="C555" s="31">
        <v>45987</v>
      </c>
      <c r="D555" s="32" t="inlineStr">
        <is>
          <t xml:space="preserve">Bound - within authority</t>
        </is>
      </c>
      <c r="E555" s="32" t="inlineStr">
        <is>
          <t xml:space="preserve">New business</t>
        </is>
      </c>
      <c r="F555" s="30" t="inlineStr">
        <is>
          <t xml:space="preserve">B1234EXOTIC26</t>
        </is>
      </c>
      <c r="G555" s="33">
        <f>IF($A555="","",IF($C555="","",YEAR($C555)))</f>
      </c>
      <c r="H555" s="34">
        <v>2023</v>
      </c>
      <c r="I555" s="30" t="inlineStr">
        <is>
          <t xml:space="preserve">BMW</t>
        </is>
      </c>
      <c r="J555" s="30" t="inlineStr">
        <is>
          <t xml:space="preserve">M8 Competition</t>
        </is>
      </c>
      <c r="K555" s="30" t="inlineStr">
        <is>
          <t xml:space="preserve">HRGUUKPY3FZZ2GJ1V</t>
        </is>
      </c>
      <c r="L555" s="32" t="inlineStr">
        <is>
          <t xml:space="preserve">02 - Sports / GT</t>
        </is>
      </c>
      <c r="M555" s="35">
        <v>715000</v>
      </c>
      <c r="N555" s="32" t="inlineStr">
        <is>
          <t xml:space="preserve">Personal</t>
        </is>
      </c>
      <c r="O555" s="30" t="inlineStr">
        <is>
          <t xml:space="preserve">Personal - regular use</t>
        </is>
      </c>
      <c r="P555" s="30" t="inlineStr">
        <is>
          <t xml:space="preserve">Under 1,000</t>
        </is>
      </c>
      <c r="Q555" s="30" t="inlineStr">
        <is>
          <t xml:space="preserve">Nebraska</t>
        </is>
      </c>
      <c r="R555" s="30" t="inlineStr">
        <is>
          <t xml:space="preserve">68102</t>
        </is>
      </c>
      <c r="S555" s="32" t="inlineStr">
        <is>
          <t xml:space="preserve">Severe convective - hail alley (high)</t>
        </is>
      </c>
      <c r="T555" s="36">
        <f>IF($A555="","",IF($S555="","",IFERROR(INDEX('[1]natural catastrophe'!$D$6:$D$17,MATCH($S555,'[1]natural catastrophe'!$B$6:$B$17,0)),"?")))</f>
      </c>
      <c r="U555" s="30" t="inlineStr">
        <is>
          <t xml:space="preserve">$5,000</t>
        </is>
      </c>
      <c r="V555" s="32" t="inlineStr">
        <is>
          <t xml:space="preserve">Agreed Value</t>
        </is>
      </c>
      <c r="W555" s="30" t="inlineStr">
        <is>
          <t xml:space="preserve">$1,000</t>
        </is>
      </c>
      <c r="X555" s="32" t="inlineStr">
        <is>
          <t xml:space="preserve">$1,000,000 CSL</t>
        </is>
      </c>
      <c r="Y555" s="30"/>
      <c r="Z555" s="30"/>
      <c r="AA555" s="32" t="inlineStr">
        <is>
          <t xml:space="preserve">Surplus Lines</t>
        </is>
      </c>
      <c r="AB555" s="35">
        <v>10480.73</v>
      </c>
      <c r="AC555" s="37">
        <v>0</v>
      </c>
      <c r="AD555" s="38">
        <f>IF(ISNUMBER($AB555),$AB555*(1+N($AC555)),"")</f>
      </c>
      <c r="AE555" s="35">
        <v>350</v>
      </c>
      <c r="AF555" s="35">
        <v>0</v>
      </c>
      <c r="AG555" s="37"/>
      <c r="AH555" s="39">
        <f>IF(ISNUMBER($AD555),($AD555+$AE555+$AF555)*$AG555,"")</f>
      </c>
      <c r="AI555" s="35"/>
      <c r="AJ555" s="38">
        <f>IF(ISNUMBER($AD555),SUM($AD555:$AH555),"")</f>
      </c>
      <c r="AK555" s="40">
        <f>IF(AND(ISNUMBER($AB555),ISNUMBER($AD555)),IF($AB555&gt;0,$AD555/$AB555,""),"")</f>
      </c>
      <c r="AL555" s="32" t="inlineStr">
        <is>
          <t xml:space="preserve">At technical</t>
        </is>
      </c>
      <c r="AM555" s="41">
        <f>IF(ISNUMBER($AD555),Header!$I$3,"")</f>
      </c>
      <c r="AN555" s="39">
        <f>IF(ISNUMBER($AD555),$AO555+$AP555,"")</f>
      </c>
      <c r="AO555" s="39">
        <f>IF(ISNUMBER($AD555),ROUND($AD555*Header!$K$3,2),"")</f>
      </c>
      <c r="AP555" s="39">
        <f>IF(ISNUMBER($AD555),ROUND($AD555*Header!$M$3,2),"")</f>
      </c>
      <c r="AQ555" s="38">
        <f>IF(ISNUMBER($AD555),ROUND($AD555,2)-$AO555-$AP555,"")</f>
      </c>
      <c r="AR555" s="39">
        <f>IF(ISNUMBER($AD555),IF(Header!$D$34="","?",$AD555*Header!$D$34),"")</f>
      </c>
      <c r="AS555" s="39">
        <f>IF(ISNUMBER($AB555),IF(Header!$D$34="","?",$AB555*Header!$D$34),"")</f>
      </c>
      <c r="AT555" s="42">
        <f>IF(AND(ISNUMBER($AB555),$M555&gt;0),$AB555/$M555*100,"")</f>
      </c>
      <c r="AU555" s="42">
        <f>IF(AND(ISNUMBER($AD555),$M555&gt;0),$AD555/$M555*100,"")</f>
      </c>
      <c r="AV555" s="40">
        <f>IF(AND(ISNUMBER($AB555),ISNUMBER($AD555),ABS($AB555)&gt;0),$AD555/$AB555,"")</f>
      </c>
      <c r="AW555" s="39">
        <f>IF(ISNUMBER($AD555),MAX(0,(1-0.55-Header!$O$3)*Header!$Q$3*$AQ555),"")</f>
      </c>
      <c r="AX555" s="43">
        <f>IF($A555="","",IF(TRIM(IF($A555="","Missing certificate ref. ","") &amp; IF($C555="","Missing effective date. ","") &amp; IF($D555="","Missing binding status. ","") &amp; IF($E555="","Missing movement type. ","") &amp; IF($I555="","Missing make. ","") &amp; IF($L555="","Missing vehicle class. ","") &amp; IF($M555="","Missing agreed value. ","") &amp; IF($N555="","Missing policy type. ","") &amp; IF($Q555="","Missing garaging state. ","") &amp; IF($R555="","Missing garaging ZIP. ","") &amp; IF($S555="","Missing cat zone. ","") &amp; IF($V555="","Missing valuation basis. ","") &amp; IF($W555="","Missing PD deductible. ","") &amp; IF($X555="","Missing liability limit. ","") &amp; IF($AB555="","Missing technical premium. ","") &amp; IF($AF555="","Missing surplus lines tax %. ",""))="","PASS","FAIL: "&amp;TRIM(IF($A555="","Missing certificate ref. ","") &amp; IF($C555="","Missing effective date. ","") &amp; IF($D555="","Missing binding status. ","") &amp; IF($E555="","Missing movement type. ","") &amp; IF($I555="","Missing make. ","") &amp; IF($L555="","Missing vehicle class. ","") &amp; IF($M555="","Missing agreed value. ","") &amp; IF($N555="","Missing policy type. ","") &amp; IF($Q555="","Missing garaging state. ","") &amp; IF($R555="","Missing garaging ZIP. ","") &amp; IF($S555="","Missing cat zone. ","") &amp; IF($V555="","Missing valuation basis. ","") &amp; IF($W555="","Missing PD deductible. ","") &amp; IF($X555="","Missing liability limit. ","") &amp; IF($AB555="","Missing technical premium. ","") &amp; IF($AF555="","Missing surplus lines tax %. ",""))))</f>
      </c>
      <c r="AY555" s="44">
        <f>IF($M555="","",IF(ISNUMBER($M555),IF($M555&gt;=Header!$C$18,"YES — refer","No"),""))</f>
      </c>
      <c r="AZ555" s="44">
        <f>IF($AD555="","",IF(ISNUMBER($AD555),IF($AD555&lt;Header!$C$20,"BELOW MIN PREMIUM","OK"),""))</f>
      </c>
      <c r="BA555" s="32" t="inlineStr">
        <is>
          <t xml:space="preserve">Yes</t>
        </is>
      </c>
      <c r="BB555" s="32" t="inlineStr">
        <is>
          <t xml:space="preserve">Yes</t>
        </is>
      </c>
      <c r="BC555" s="30" t="inlineStr">
        <is>
          <t xml:space="preserve">Synthetic demo data</t>
        </is>
      </c>
      <c r="BE555" s="45">
        <f>IF(OR($A555="",$L555="",$H555=""),"",IF(AND(LEFT($L555,2)="06",$H555&gt;1945),"FAIL - pre-war class, year "&amp;$H555,IF(AND(LEFT($L555,2)="07",OR($H555&lt;1946,$H555&gt;1972)),"FAIL - 1946-72 class, year "&amp;$H555,IF(AND(LEFT($L555,2)="08",OR($H555&lt;1973,$H555&gt;1999)),"FAIL - 1973-99 class, year "&amp;$H555,IF(AND(LEFT($L555,2)="09",OR($H555&lt;2000,$H555&gt;2010)),"FAIL - 2000-10 class, year "&amp;$H555,"OK")))))</f>
      </c>
      <c r="BF555" s="45">
        <f>IF($AD555="","",IF(ROUND($AO555+$AP555+$AQ555-$AD555,2)=0,"OK","FAIL - out by "&amp;TEXT($AO555+$AP555+$AQ555-$AD555,"$0.00")))</f>
      </c>
    </row>
    <row r="556" spans="1:58" ht="18.75" customHeight="1" x14ac:dyDescent="0.25">
      <c r="A556" s="46" t="inlineStr">
        <is>
          <t xml:space="preserve">CANON-202511-002928</t>
        </is>
      </c>
      <c r="B556" s="46" t="inlineStr">
        <is>
          <t xml:space="preserve">Callum Castellanos</t>
        </is>
      </c>
      <c r="C556" s="47">
        <v>45980</v>
      </c>
      <c r="D556" s="48" t="inlineStr">
        <is>
          <t xml:space="preserve">Bound - within authority</t>
        </is>
      </c>
      <c r="E556" s="48" t="inlineStr">
        <is>
          <t xml:space="preserve">New business</t>
        </is>
      </c>
      <c r="F556" s="46" t="inlineStr">
        <is>
          <t xml:space="preserve">B1234EXOTIC26</t>
        </is>
      </c>
      <c r="G556" s="33">
        <f>IF($A556="","",IF($C556="","",YEAR($C556)))</f>
      </c>
      <c r="H556" s="49">
        <v>2013</v>
      </c>
      <c r="I556" s="46" t="inlineStr">
        <is>
          <t xml:space="preserve">Bentley</t>
        </is>
      </c>
      <c r="J556" s="46" t="inlineStr">
        <is>
          <t xml:space="preserve">Continental GT</t>
        </is>
      </c>
      <c r="K556" s="46" t="inlineStr">
        <is>
          <t xml:space="preserve">G77W6967J3WNN9CGV</t>
        </is>
      </c>
      <c r="L556" s="48" t="inlineStr">
        <is>
          <t xml:space="preserve">02 - Sports / GT</t>
        </is>
      </c>
      <c r="M556" s="50">
        <v>615000</v>
      </c>
      <c r="N556" s="48" t="inlineStr">
        <is>
          <t xml:space="preserve">Personal</t>
        </is>
      </c>
      <c r="O556" s="46" t="inlineStr">
        <is>
          <t xml:space="preserve">Personal - regular use</t>
        </is>
      </c>
      <c r="P556" s="46" t="inlineStr">
        <is>
          <t xml:space="preserve">2,500 - 5,000</t>
        </is>
      </c>
      <c r="Q556" s="46" t="inlineStr">
        <is>
          <t xml:space="preserve">Vermont</t>
        </is>
      </c>
      <c r="R556" s="46" t="inlineStr">
        <is>
          <t xml:space="preserve">05601</t>
        </is>
      </c>
      <c r="S556" s="48" t="inlineStr">
        <is>
          <t xml:space="preserve">Low hazard - inland benign</t>
        </is>
      </c>
      <c r="T556" s="36">
        <f>IF($A556="","",IF($S556="","",IFERROR(INDEX('[1]natural catastrophe'!$D$6:$D$17,MATCH($S556,'[1]natural catastrophe'!$B$6:$B$17,0)),"?")))</f>
      </c>
      <c r="U556" s="46" t="inlineStr">
        <is>
          <t xml:space="preserve">$5,000</t>
        </is>
      </c>
      <c r="V556" s="48" t="inlineStr">
        <is>
          <t xml:space="preserve">Agreed Value</t>
        </is>
      </c>
      <c r="W556" s="46" t="inlineStr">
        <is>
          <t xml:space="preserve">$1,000</t>
        </is>
      </c>
      <c r="X556" s="48" t="inlineStr">
        <is>
          <t xml:space="preserve">$1,000,000 CSL</t>
        </is>
      </c>
      <c r="Y556" s="46"/>
      <c r="Z556" s="46"/>
      <c r="AA556" s="48" t="inlineStr">
        <is>
          <t xml:space="preserve">Surplus Lines</t>
        </is>
      </c>
      <c r="AB556" s="50">
        <v>8460.13</v>
      </c>
      <c r="AC556" s="51">
        <v>0</v>
      </c>
      <c r="AD556" s="38">
        <f>IF(ISNUMBER($AB556),$AB556*(1+N($AC556)),"")</f>
      </c>
      <c r="AE556" s="50">
        <v>350</v>
      </c>
      <c r="AF556" s="50">
        <v>0</v>
      </c>
      <c r="AG556" s="51"/>
      <c r="AH556" s="39">
        <f>IF(ISNUMBER($AD556),($AD556+$AE556+$AF556)*$AG556,"")</f>
      </c>
      <c r="AI556" s="50"/>
      <c r="AJ556" s="38">
        <f>IF(ISNUMBER($AD556),SUM($AD556:$AH556),"")</f>
      </c>
      <c r="AK556" s="40">
        <f>IF(AND(ISNUMBER($AB556),ISNUMBER($AD556)),IF($AB556&gt;0,$AD556/$AB556,""),"")</f>
      </c>
      <c r="AL556" s="48" t="inlineStr">
        <is>
          <t xml:space="preserve">At technical</t>
        </is>
      </c>
      <c r="AM556" s="41">
        <f>IF(ISNUMBER($AD556),Header!$I$3,"")</f>
      </c>
      <c r="AN556" s="39">
        <f>IF(ISNUMBER($AD556),$AO556+$AP556,"")</f>
      </c>
      <c r="AO556" s="39">
        <f>IF(ISNUMBER($AD556),ROUND($AD556*Header!$K$3,2),"")</f>
      </c>
      <c r="AP556" s="39">
        <f>IF(ISNUMBER($AD556),ROUND($AD556*Header!$M$3,2),"")</f>
      </c>
      <c r="AQ556" s="38">
        <f>IF(ISNUMBER($AD556),ROUND($AD556,2)-$AO556-$AP556,"")</f>
      </c>
      <c r="AR556" s="39">
        <f>IF(ISNUMBER($AD556),IF(Header!$D$34="","?",$AD556*Header!$D$34),"")</f>
      </c>
      <c r="AS556" s="39">
        <f>IF(ISNUMBER($AB556),IF(Header!$D$34="","?",$AB556*Header!$D$34),"")</f>
      </c>
      <c r="AT556" s="42">
        <f>IF(AND(ISNUMBER($AB556),$M556&gt;0),$AB556/$M556*100,"")</f>
      </c>
      <c r="AU556" s="42">
        <f>IF(AND(ISNUMBER($AD556),$M556&gt;0),$AD556/$M556*100,"")</f>
      </c>
      <c r="AV556" s="40">
        <f>IF(AND(ISNUMBER($AB556),ISNUMBER($AD556),ABS($AB556)&gt;0),$AD556/$AB556,"")</f>
      </c>
      <c r="AW556" s="39">
        <f>IF(ISNUMBER($AD556),MAX(0,(1-0.55-Header!$O$3)*Header!$Q$3*$AQ556),"")</f>
      </c>
      <c r="AX556" s="43">
        <f>IF($A556="","",IF(TRIM(IF($A556="","Missing certificate ref. ","") &amp; IF($C556="","Missing effective date. ","") &amp; IF($D556="","Missing binding status. ","") &amp; IF($E556="","Missing movement type. ","") &amp; IF($I556="","Missing make. ","") &amp; IF($L556="","Missing vehicle class. ","") &amp; IF($M556="","Missing agreed value. ","") &amp; IF($N556="","Missing policy type. ","") &amp; IF($Q556="","Missing garaging state. ","") &amp; IF($R556="","Missing garaging ZIP. ","") &amp; IF($S556="","Missing cat zone. ","") &amp; IF($V556="","Missing valuation basis. ","") &amp; IF($W556="","Missing PD deductible. ","") &amp; IF($X556="","Missing liability limit. ","") &amp; IF($AB556="","Missing technical premium. ","") &amp; IF($AF556="","Missing surplus lines tax %. ",""))="","PASS","FAIL: "&amp;TRIM(IF($A556="","Missing certificate ref. ","") &amp; IF($C556="","Missing effective date. ","") &amp; IF($D556="","Missing binding status. ","") &amp; IF($E556="","Missing movement type. ","") &amp; IF($I556="","Missing make. ","") &amp; IF($L556="","Missing vehicle class. ","") &amp; IF($M556="","Missing agreed value. ","") &amp; IF($N556="","Missing policy type. ","") &amp; IF($Q556="","Missing garaging state. ","") &amp; IF($R556="","Missing garaging ZIP. ","") &amp; IF($S556="","Missing cat zone. ","") &amp; IF($V556="","Missing valuation basis. ","") &amp; IF($W556="","Missing PD deductible. ","") &amp; IF($X556="","Missing liability limit. ","") &amp; IF($AB556="","Missing technical premium. ","") &amp; IF($AF556="","Missing surplus lines tax %. ",""))))</f>
      </c>
      <c r="AY556" s="44">
        <f>IF($M556="","",IF(ISNUMBER($M556),IF($M556&gt;=Header!$C$18,"YES — refer","No"),""))</f>
      </c>
      <c r="AZ556" s="44">
        <f>IF($AD556="","",IF(ISNUMBER($AD556),IF($AD556&lt;Header!$C$20,"BELOW MIN PREMIUM","OK"),""))</f>
      </c>
      <c r="BA556" s="48" t="inlineStr">
        <is>
          <t xml:space="preserve">Yes</t>
        </is>
      </c>
      <c r="BB556" s="48" t="inlineStr">
        <is>
          <t xml:space="preserve">Yes</t>
        </is>
      </c>
      <c r="BC556" s="46" t="inlineStr">
        <is>
          <t xml:space="preserve">Synthetic demo data</t>
        </is>
      </c>
      <c r="BE556" s="45">
        <f>IF(OR($A556="",$L556="",$H556=""),"",IF(AND(LEFT($L556,2)="06",$H556&gt;1945),"FAIL - pre-war class, year "&amp;$H556,IF(AND(LEFT($L556,2)="07",OR($H556&lt;1946,$H556&gt;1972)),"FAIL - 1946-72 class, year "&amp;$H556,IF(AND(LEFT($L556,2)="08",OR($H556&lt;1973,$H556&gt;1999)),"FAIL - 1973-99 class, year "&amp;$H556,IF(AND(LEFT($L556,2)="09",OR($H556&lt;2000,$H556&gt;2010)),"FAIL - 2000-10 class, year "&amp;$H556,"OK")))))</f>
      </c>
      <c r="BF556" s="45">
        <f>IF($AD556="","",IF(ROUND($AO556+$AP556+$AQ556-$AD556,2)=0,"OK","FAIL - out by "&amp;TEXT($AO556+$AP556+$AQ556-$AD556,"$0.00")))</f>
      </c>
    </row>
    <row r="557" spans="1:58" ht="18.75" customHeight="1" x14ac:dyDescent="0.25">
      <c r="A557" s="30" t="inlineStr">
        <is>
          <t xml:space="preserve">CANON-202511-002929</t>
        </is>
      </c>
      <c r="B557" s="30" t="inlineStr">
        <is>
          <t xml:space="preserve">Sunniva Nakashima</t>
        </is>
      </c>
      <c r="C557" s="31">
        <v>45975</v>
      </c>
      <c r="D557" s="32" t="inlineStr">
        <is>
          <t xml:space="preserve">Bound - within authority</t>
        </is>
      </c>
      <c r="E557" s="32" t="inlineStr">
        <is>
          <t xml:space="preserve">New business</t>
        </is>
      </c>
      <c r="F557" s="30" t="inlineStr">
        <is>
          <t xml:space="preserve">B1234EXOTIC26</t>
        </is>
      </c>
      <c r="G557" s="33">
        <f>IF($A557="","",IF($C557="","",YEAR($C557)))</f>
      </c>
      <c r="H557" s="34">
        <v>2010</v>
      </c>
      <c r="I557" s="30" t="inlineStr">
        <is>
          <t xml:space="preserve">Porsche</t>
        </is>
      </c>
      <c r="J557" s="30" t="inlineStr">
        <is>
          <t xml:space="preserve">911 Turbo S</t>
        </is>
      </c>
      <c r="K557" s="30" t="inlineStr">
        <is>
          <t xml:space="preserve">XWAA5B82S8U27M8RA</t>
        </is>
      </c>
      <c r="L557" s="32" t="inlineStr">
        <is>
          <t xml:space="preserve">02 - Sports / GT</t>
        </is>
      </c>
      <c r="M557" s="35">
        <v>430000</v>
      </c>
      <c r="N557" s="32" t="inlineStr">
        <is>
          <t xml:space="preserve">Personal</t>
        </is>
      </c>
      <c r="O557" s="30" t="inlineStr">
        <is>
          <t xml:space="preserve">Personal - regular use</t>
        </is>
      </c>
      <c r="P557" s="30" t="inlineStr">
        <is>
          <t xml:space="preserve">1,000 - 2,500</t>
        </is>
      </c>
      <c r="Q557" s="30" t="inlineStr">
        <is>
          <t xml:space="preserve">Louisiana</t>
        </is>
      </c>
      <c r="R557" s="30" t="inlineStr">
        <is>
          <t xml:space="preserve">70112</t>
        </is>
      </c>
      <c r="S557" s="32" t="inlineStr">
        <is>
          <t xml:space="preserve">Tier 2 - Coastal wind (1-25 miles)</t>
        </is>
      </c>
      <c r="T557" s="36">
        <f>IF($A557="","",IF($S557="","",IFERROR(INDEX('[1]natural catastrophe'!$D$6:$D$17,MATCH($S557,'[1]natural catastrophe'!$B$6:$B$17,0)),"?")))</f>
      </c>
      <c r="U557" s="30" t="inlineStr">
        <is>
          <t xml:space="preserve">2% of agreed value, minimum $10,000</t>
        </is>
      </c>
      <c r="V557" s="32" t="inlineStr">
        <is>
          <t xml:space="preserve">Agreed Value</t>
        </is>
      </c>
      <c r="W557" s="30" t="inlineStr">
        <is>
          <t xml:space="preserve">$1,000</t>
        </is>
      </c>
      <c r="X557" s="32" t="inlineStr">
        <is>
          <t xml:space="preserve">$1,000,000 CSL</t>
        </is>
      </c>
      <c r="Y557" s="30"/>
      <c r="Z557" s="30"/>
      <c r="AA557" s="32" t="inlineStr">
        <is>
          <t xml:space="preserve">Surplus Lines</t>
        </is>
      </c>
      <c r="AB557" s="35">
        <v>6769.3</v>
      </c>
      <c r="AC557" s="37">
        <v>0</v>
      </c>
      <c r="AD557" s="38">
        <f>IF(ISNUMBER($AB557),$AB557*(1+N($AC557)),"")</f>
      </c>
      <c r="AE557" s="35">
        <v>350</v>
      </c>
      <c r="AF557" s="35">
        <v>0</v>
      </c>
      <c r="AG557" s="37"/>
      <c r="AH557" s="39">
        <f>IF(ISNUMBER($AD557),($AD557+$AE557+$AF557)*$AG557,"")</f>
      </c>
      <c r="AI557" s="35"/>
      <c r="AJ557" s="38">
        <f>IF(ISNUMBER($AD557),SUM($AD557:$AH557),"")</f>
      </c>
      <c r="AK557" s="40">
        <f>IF(AND(ISNUMBER($AB557),ISNUMBER($AD557)),IF($AB557&gt;0,$AD557/$AB557,""),"")</f>
      </c>
      <c r="AL557" s="32" t="inlineStr">
        <is>
          <t xml:space="preserve">At technical</t>
        </is>
      </c>
      <c r="AM557" s="41">
        <f>IF(ISNUMBER($AD557),Header!$I$3,"")</f>
      </c>
      <c r="AN557" s="39">
        <f>IF(ISNUMBER($AD557),$AO557+$AP557,"")</f>
      </c>
      <c r="AO557" s="39">
        <f>IF(ISNUMBER($AD557),ROUND($AD557*Header!$K$3,2),"")</f>
      </c>
      <c r="AP557" s="39">
        <f>IF(ISNUMBER($AD557),ROUND($AD557*Header!$M$3,2),"")</f>
      </c>
      <c r="AQ557" s="38">
        <f>IF(ISNUMBER($AD557),ROUND($AD557,2)-$AO557-$AP557,"")</f>
      </c>
      <c r="AR557" s="39">
        <f>IF(ISNUMBER($AD557),IF(Header!$D$34="","?",$AD557*Header!$D$34),"")</f>
      </c>
      <c r="AS557" s="39">
        <f>IF(ISNUMBER($AB557),IF(Header!$D$34="","?",$AB557*Header!$D$34),"")</f>
      </c>
      <c r="AT557" s="42">
        <f>IF(AND(ISNUMBER($AB557),$M557&gt;0),$AB557/$M557*100,"")</f>
      </c>
      <c r="AU557" s="42">
        <f>IF(AND(ISNUMBER($AD557),$M557&gt;0),$AD557/$M557*100,"")</f>
      </c>
      <c r="AV557" s="40">
        <f>IF(AND(ISNUMBER($AB557),ISNUMBER($AD557),ABS($AB557)&gt;0),$AD557/$AB557,"")</f>
      </c>
      <c r="AW557" s="39">
        <f>IF(ISNUMBER($AD557),MAX(0,(1-0.55-Header!$O$3)*Header!$Q$3*$AQ557),"")</f>
      </c>
      <c r="AX557" s="43">
        <f>IF($A557="","",IF(TRIM(IF($A557="","Missing certificate ref. ","") &amp; IF($C557="","Missing effective date. ","") &amp; IF($D557="","Missing binding status. ","") &amp; IF($E557="","Missing movement type. ","") &amp; IF($I557="","Missing make. ","") &amp; IF($L557="","Missing vehicle class. ","") &amp; IF($M557="","Missing agreed value. ","") &amp; IF($N557="","Missing policy type. ","") &amp; IF($Q557="","Missing garaging state. ","") &amp; IF($R557="","Missing garaging ZIP. ","") &amp; IF($S557="","Missing cat zone. ","") &amp; IF($V557="","Missing valuation basis. ","") &amp; IF($W557="","Missing PD deductible. ","") &amp; IF($X557="","Missing liability limit. ","") &amp; IF($AB557="","Missing technical premium. ","") &amp; IF($AF557="","Missing surplus lines tax %. ",""))="","PASS","FAIL: "&amp;TRIM(IF($A557="","Missing certificate ref. ","") &amp; IF($C557="","Missing effective date. ","") &amp; IF($D557="","Missing binding status. ","") &amp; IF($E557="","Missing movement type. ","") &amp; IF($I557="","Missing make. ","") &amp; IF($L557="","Missing vehicle class. ","") &amp; IF($M557="","Missing agreed value. ","") &amp; IF($N557="","Missing policy type. ","") &amp; IF($Q557="","Missing garaging state. ","") &amp; IF($R557="","Missing garaging ZIP. ","") &amp; IF($S557="","Missing cat zone. ","") &amp; IF($V557="","Missing valuation basis. ","") &amp; IF($W557="","Missing PD deductible. ","") &amp; IF($X557="","Missing liability limit. ","") &amp; IF($AB557="","Missing technical premium. ","") &amp; IF($AF557="","Missing surplus lines tax %. ",""))))</f>
      </c>
      <c r="AY557" s="44">
        <f>IF($M557="","",IF(ISNUMBER($M557),IF($M557&gt;=Header!$C$18,"YES — refer","No"),""))</f>
      </c>
      <c r="AZ557" s="44">
        <f>IF($AD557="","",IF(ISNUMBER($AD557),IF($AD557&lt;Header!$C$20,"BELOW MIN PREMIUM","OK"),""))</f>
      </c>
      <c r="BA557" s="32" t="inlineStr">
        <is>
          <t xml:space="preserve">Yes</t>
        </is>
      </c>
      <c r="BB557" s="32" t="inlineStr">
        <is>
          <t xml:space="preserve">Yes</t>
        </is>
      </c>
      <c r="BC557" s="30" t="inlineStr">
        <is>
          <t xml:space="preserve">Synthetic demo data</t>
        </is>
      </c>
      <c r="BE557" s="45">
        <f>IF(OR($A557="",$L557="",$H557=""),"",IF(AND(LEFT($L557,2)="06",$H557&gt;1945),"FAIL - pre-war class, year "&amp;$H557,IF(AND(LEFT($L557,2)="07",OR($H557&lt;1946,$H557&gt;1972)),"FAIL - 1946-72 class, year "&amp;$H557,IF(AND(LEFT($L557,2)="08",OR($H557&lt;1973,$H557&gt;1999)),"FAIL - 1973-99 class, year "&amp;$H557,IF(AND(LEFT($L557,2)="09",OR($H557&lt;2000,$H557&gt;2010)),"FAIL - 2000-10 class, year "&amp;$H557,"OK")))))</f>
      </c>
      <c r="BF557" s="45">
        <f>IF($AD557="","",IF(ROUND($AO557+$AP557+$AQ557-$AD557,2)=0,"OK","FAIL - out by "&amp;TEXT($AO557+$AP557+$AQ557-$AD557,"$0.00")))</f>
      </c>
    </row>
    <row r="558" spans="1:58" ht="18.75" customHeight="1" x14ac:dyDescent="0.25">
      <c r="A558" s="46" t="inlineStr">
        <is>
          <t xml:space="preserve">CANON-202511-002930</t>
        </is>
      </c>
      <c r="B558" s="46" t="inlineStr">
        <is>
          <t xml:space="preserve">Thaddeus Vandermeer</t>
        </is>
      </c>
      <c r="C558" s="47">
        <v>45983</v>
      </c>
      <c r="D558" s="48" t="inlineStr">
        <is>
          <t xml:space="preserve">Bound - within authority</t>
        </is>
      </c>
      <c r="E558" s="48" t="inlineStr">
        <is>
          <t xml:space="preserve">New business</t>
        </is>
      </c>
      <c r="F558" s="46" t="inlineStr">
        <is>
          <t xml:space="preserve">B1234EXOTIC26</t>
        </is>
      </c>
      <c r="G558" s="33">
        <f>IF($A558="","",IF($C558="","",YEAR($C558)))</f>
      </c>
      <c r="H558" s="49">
        <v>1972</v>
      </c>
      <c r="I558" s="46" t="inlineStr">
        <is>
          <t xml:space="preserve">Bugatti</t>
        </is>
      </c>
      <c r="J558" s="46" t="inlineStr">
        <is>
          <t xml:space="preserve">Type 57</t>
        </is>
      </c>
      <c r="K558" s="46" t="inlineStr">
        <is>
          <t xml:space="preserve">6GZ8VWB71AJ3W3RKB</t>
        </is>
      </c>
      <c r="L558" s="48" t="inlineStr">
        <is>
          <t xml:space="preserve">07 - Post-War Classic (1946-1972)</t>
        </is>
      </c>
      <c r="M558" s="50">
        <v>775000</v>
      </c>
      <c r="N558" s="48" t="inlineStr">
        <is>
          <t xml:space="preserve">Personal</t>
        </is>
      </c>
      <c r="O558" s="46" t="inlineStr">
        <is>
          <t xml:space="preserve">Personal - regular use</t>
        </is>
      </c>
      <c r="P558" s="46" t="inlineStr">
        <is>
          <t xml:space="preserve">Under 1,000</t>
        </is>
      </c>
      <c r="Q558" s="46" t="inlineStr">
        <is>
          <t xml:space="preserve">Texas</t>
        </is>
      </c>
      <c r="R558" s="46" t="inlineStr">
        <is>
          <t xml:space="preserve">75201</t>
        </is>
      </c>
      <c r="S558" s="48" t="inlineStr">
        <is>
          <t xml:space="preserve">Tier 2 - Coastal wind (1-25 miles)</t>
        </is>
      </c>
      <c r="T558" s="36">
        <f>IF($A558="","",IF($S558="","",IFERROR(INDEX('[1]natural catastrophe'!$D$6:$D$17,MATCH($S558,'[1]natural catastrophe'!$B$6:$B$17,0)),"?")))</f>
      </c>
      <c r="U558" s="46" t="inlineStr">
        <is>
          <t xml:space="preserve">2% of agreed value, minimum $10,000</t>
        </is>
      </c>
      <c r="V558" s="48" t="inlineStr">
        <is>
          <t xml:space="preserve">Agreed Value</t>
        </is>
      </c>
      <c r="W558" s="46" t="inlineStr">
        <is>
          <t xml:space="preserve">$1,000</t>
        </is>
      </c>
      <c r="X558" s="48" t="inlineStr">
        <is>
          <t xml:space="preserve">$1,000,000 CSL</t>
        </is>
      </c>
      <c r="Y558" s="46"/>
      <c r="Z558" s="46"/>
      <c r="AA558" s="48" t="inlineStr">
        <is>
          <t xml:space="preserve">Surplus Lines</t>
        </is>
      </c>
      <c r="AB558" s="50">
        <v>5875.05</v>
      </c>
      <c r="AC558" s="51">
        <v>0</v>
      </c>
      <c r="AD558" s="38">
        <f>IF(ISNUMBER($AB558),$AB558*(1+N($AC558)),"")</f>
      </c>
      <c r="AE558" s="50">
        <v>350</v>
      </c>
      <c r="AF558" s="50">
        <v>0</v>
      </c>
      <c r="AG558" s="51"/>
      <c r="AH558" s="39">
        <f>IF(ISNUMBER($AD558),($AD558+$AE558+$AF558)*$AG558,"")</f>
      </c>
      <c r="AI558" s="50"/>
      <c r="AJ558" s="38">
        <f>IF(ISNUMBER($AD558),SUM($AD558:$AH558),"")</f>
      </c>
      <c r="AK558" s="40">
        <f>IF(AND(ISNUMBER($AB558),ISNUMBER($AD558)),IF($AB558&gt;0,$AD558/$AB558,""),"")</f>
      </c>
      <c r="AL558" s="48" t="inlineStr">
        <is>
          <t xml:space="preserve">At technical</t>
        </is>
      </c>
      <c r="AM558" s="41">
        <f>IF(ISNUMBER($AD558),Header!$I$3,"")</f>
      </c>
      <c r="AN558" s="39">
        <f>IF(ISNUMBER($AD558),$AO558+$AP558,"")</f>
      </c>
      <c r="AO558" s="39">
        <f>IF(ISNUMBER($AD558),ROUND($AD558*Header!$K$3,2),"")</f>
      </c>
      <c r="AP558" s="39">
        <f>IF(ISNUMBER($AD558),ROUND($AD558*Header!$M$3,2),"")</f>
      </c>
      <c r="AQ558" s="38">
        <f>IF(ISNUMBER($AD558),ROUND($AD558,2)-$AO558-$AP558,"")</f>
      </c>
      <c r="AR558" s="39">
        <f>IF(ISNUMBER($AD558),IF(Header!$D$34="","?",$AD558*Header!$D$34),"")</f>
      </c>
      <c r="AS558" s="39">
        <f>IF(ISNUMBER($AB558),IF(Header!$D$34="","?",$AB558*Header!$D$34),"")</f>
      </c>
      <c r="AT558" s="42">
        <f>IF(AND(ISNUMBER($AB558),$M558&gt;0),$AB558/$M558*100,"")</f>
      </c>
      <c r="AU558" s="42">
        <f>IF(AND(ISNUMBER($AD558),$M558&gt;0),$AD558/$M558*100,"")</f>
      </c>
      <c r="AV558" s="40">
        <f>IF(AND(ISNUMBER($AB558),ISNUMBER($AD558),ABS($AB558)&gt;0),$AD558/$AB558,"")</f>
      </c>
      <c r="AW558" s="39">
        <f>IF(ISNUMBER($AD558),MAX(0,(1-0.55-Header!$O$3)*Header!$Q$3*$AQ558),"")</f>
      </c>
      <c r="AX558" s="43">
        <f>IF($A558="","",IF(TRIM(IF($A558="","Missing certificate ref. ","") &amp; IF($C558="","Missing effective date. ","") &amp; IF($D558="","Missing binding status. ","") &amp; IF($E558="","Missing movement type. ","") &amp; IF($I558="","Missing make. ","") &amp; IF($L558="","Missing vehicle class. ","") &amp; IF($M558="","Missing agreed value. ","") &amp; IF($N558="","Missing policy type. ","") &amp; IF($Q558="","Missing garaging state. ","") &amp; IF($R558="","Missing garaging ZIP. ","") &amp; IF($S558="","Missing cat zone. ","") &amp; IF($V558="","Missing valuation basis. ","") &amp; IF($W558="","Missing PD deductible. ","") &amp; IF($X558="","Missing liability limit. ","") &amp; IF($AB558="","Missing technical premium. ","") &amp; IF($AF558="","Missing surplus lines tax %. ",""))="","PASS","FAIL: "&amp;TRIM(IF($A558="","Missing certificate ref. ","") &amp; IF($C558="","Missing effective date. ","") &amp; IF($D558="","Missing binding status. ","") &amp; IF($E558="","Missing movement type. ","") &amp; IF($I558="","Missing make. ","") &amp; IF($L558="","Missing vehicle class. ","") &amp; IF($M558="","Missing agreed value. ","") &amp; IF($N558="","Missing policy type. ","") &amp; IF($Q558="","Missing garaging state. ","") &amp; IF($R558="","Missing garaging ZIP. ","") &amp; IF($S558="","Missing cat zone. ","") &amp; IF($V558="","Missing valuation basis. ","") &amp; IF($W558="","Missing PD deductible. ","") &amp; IF($X558="","Missing liability limit. ","") &amp; IF($AB558="","Missing technical premium. ","") &amp; IF($AF558="","Missing surplus lines tax %. ",""))))</f>
      </c>
      <c r="AY558" s="44">
        <f>IF($M558="","",IF(ISNUMBER($M558),IF($M558&gt;=Header!$C$18,"YES — refer","No"),""))</f>
      </c>
      <c r="AZ558" s="44">
        <f>IF($AD558="","",IF(ISNUMBER($AD558),IF($AD558&lt;Header!$C$20,"BELOW MIN PREMIUM","OK"),""))</f>
      </c>
      <c r="BA558" s="48" t="inlineStr">
        <is>
          <t xml:space="preserve">Yes</t>
        </is>
      </c>
      <c r="BB558" s="48" t="inlineStr">
        <is>
          <t xml:space="preserve">Yes</t>
        </is>
      </c>
      <c r="BC558" s="46" t="inlineStr">
        <is>
          <t xml:space="preserve">Synthetic demo data</t>
        </is>
      </c>
      <c r="BE558" s="45">
        <f>IF(OR($A558="",$L558="",$H558=""),"",IF(AND(LEFT($L558,2)="06",$H558&gt;1945),"FAIL - pre-war class, year "&amp;$H558,IF(AND(LEFT($L558,2)="07",OR($H558&lt;1946,$H558&gt;1972)),"FAIL - 1946-72 class, year "&amp;$H558,IF(AND(LEFT($L558,2)="08",OR($H558&lt;1973,$H558&gt;1999)),"FAIL - 1973-99 class, year "&amp;$H558,IF(AND(LEFT($L558,2)="09",OR($H558&lt;2000,$H558&gt;2010)),"FAIL - 2000-10 class, year "&amp;$H558,"OK")))))</f>
      </c>
      <c r="BF558" s="45">
        <f>IF($AD558="","",IF(ROUND($AO558+$AP558+$AQ558-$AD558,2)=0,"OK","FAIL - out by "&amp;TEXT($AO558+$AP558+$AQ558-$AD558,"$0.00")))</f>
      </c>
    </row>
    <row r="559" spans="1:58" ht="18.75" customHeight="1" x14ac:dyDescent="0.25">
      <c r="A559" s="30" t="inlineStr">
        <is>
          <t xml:space="preserve">CANON-202511-002931</t>
        </is>
      </c>
      <c r="B559" s="30" t="inlineStr">
        <is>
          <t xml:space="preserve">Cassius Delacroix</t>
        </is>
      </c>
      <c r="C559" s="31">
        <v>45972</v>
      </c>
      <c r="D559" s="32" t="inlineStr">
        <is>
          <t xml:space="preserve">Bound - within authority</t>
        </is>
      </c>
      <c r="E559" s="32" t="inlineStr">
        <is>
          <t xml:space="preserve">New business</t>
        </is>
      </c>
      <c r="F559" s="30" t="inlineStr">
        <is>
          <t xml:space="preserve">B1234EXOTIC26</t>
        </is>
      </c>
      <c r="G559" s="33">
        <f>IF($A559="","",IF($C559="","",YEAR($C559)))</f>
      </c>
      <c r="H559" s="34">
        <v>2005</v>
      </c>
      <c r="I559" s="30" t="inlineStr">
        <is>
          <t xml:space="preserve">Jaguar</t>
        </is>
      </c>
      <c r="J559" s="30" t="inlineStr">
        <is>
          <t xml:space="preserve">E-Type Series 1</t>
        </is>
      </c>
      <c r="K559" s="30" t="inlineStr">
        <is>
          <t xml:space="preserve">9ZAKA9R3KWAX79DJJ</t>
        </is>
      </c>
      <c r="L559" s="32" t="inlineStr">
        <is>
          <t xml:space="preserve">09 - Youngtimer / Collectible (2000-2010)</t>
        </is>
      </c>
      <c r="M559" s="35">
        <v>1315000</v>
      </c>
      <c r="N559" s="32" t="inlineStr">
        <is>
          <t xml:space="preserve">Personal</t>
        </is>
      </c>
      <c r="O559" s="30" t="inlineStr">
        <is>
          <t xml:space="preserve">Personal - regular use</t>
        </is>
      </c>
      <c r="P559" s="30" t="inlineStr">
        <is>
          <t xml:space="preserve">Under 1,000</t>
        </is>
      </c>
      <c r="Q559" s="30" t="inlineStr">
        <is>
          <t xml:space="preserve">Montana</t>
        </is>
      </c>
      <c r="R559" s="30" t="inlineStr">
        <is>
          <t xml:space="preserve">59601</t>
        </is>
      </c>
      <c r="S559" s="32" t="inlineStr">
        <is>
          <t xml:space="preserve">Wildfire - WUI high hazard</t>
        </is>
      </c>
      <c r="T559" s="36">
        <f>IF($A559="","",IF($S559="","",IFERROR(INDEX('[1]natural catastrophe'!$D$6:$D$17,MATCH($S559,'[1]natural catastrophe'!$B$6:$B$17,0)),"?")))</f>
      </c>
      <c r="U559" s="30" t="inlineStr">
        <is>
          <t xml:space="preserve">$5,000</t>
        </is>
      </c>
      <c r="V559" s="32" t="inlineStr">
        <is>
          <t xml:space="preserve">Agreed Value</t>
        </is>
      </c>
      <c r="W559" s="30" t="inlineStr">
        <is>
          <t xml:space="preserve">$1,000</t>
        </is>
      </c>
      <c r="X559" s="32" t="inlineStr">
        <is>
          <t xml:space="preserve">$1,000,000 CSL</t>
        </is>
      </c>
      <c r="Y559" s="30"/>
      <c r="Z559" s="30"/>
      <c r="AA559" s="32" t="inlineStr">
        <is>
          <t xml:space="preserve">Surplus Lines</t>
        </is>
      </c>
      <c r="AB559" s="35">
        <v>8061.59</v>
      </c>
      <c r="AC559" s="37">
        <v>0</v>
      </c>
      <c r="AD559" s="38">
        <f>IF(ISNUMBER($AB559),$AB559*(1+N($AC559)),"")</f>
      </c>
      <c r="AE559" s="35">
        <v>350</v>
      </c>
      <c r="AF559" s="35">
        <v>250</v>
      </c>
      <c r="AG559" s="37"/>
      <c r="AH559" s="39">
        <f>IF(ISNUMBER($AD559),($AD559+$AE559+$AF559)*$AG559,"")</f>
      </c>
      <c r="AI559" s="35"/>
      <c r="AJ559" s="38">
        <f>IF(ISNUMBER($AD559),SUM($AD559:$AH559),"")</f>
      </c>
      <c r="AK559" s="40">
        <f>IF(AND(ISNUMBER($AB559),ISNUMBER($AD559)),IF($AB559&gt;0,$AD559/$AB559,""),"")</f>
      </c>
      <c r="AL559" s="32" t="inlineStr">
        <is>
          <t xml:space="preserve">At technical</t>
        </is>
      </c>
      <c r="AM559" s="41">
        <f>IF(ISNUMBER($AD559),Header!$I$3,"")</f>
      </c>
      <c r="AN559" s="39">
        <f>IF(ISNUMBER($AD559),$AO559+$AP559,"")</f>
      </c>
      <c r="AO559" s="39">
        <f>IF(ISNUMBER($AD559),ROUND($AD559*Header!$K$3,2),"")</f>
      </c>
      <c r="AP559" s="39">
        <f>IF(ISNUMBER($AD559),ROUND($AD559*Header!$M$3,2),"")</f>
      </c>
      <c r="AQ559" s="38">
        <f>IF(ISNUMBER($AD559),ROUND($AD559,2)-$AO559-$AP559,"")</f>
      </c>
      <c r="AR559" s="39">
        <f>IF(ISNUMBER($AD559),IF(Header!$D$34="","?",$AD559*Header!$D$34),"")</f>
      </c>
      <c r="AS559" s="39">
        <f>IF(ISNUMBER($AB559),IF(Header!$D$34="","?",$AB559*Header!$D$34),"")</f>
      </c>
      <c r="AT559" s="42">
        <f>IF(AND(ISNUMBER($AB559),$M559&gt;0),$AB559/$M559*100,"")</f>
      </c>
      <c r="AU559" s="42">
        <f>IF(AND(ISNUMBER($AD559),$M559&gt;0),$AD559/$M559*100,"")</f>
      </c>
      <c r="AV559" s="40">
        <f>IF(AND(ISNUMBER($AB559),ISNUMBER($AD559),ABS($AB559)&gt;0),$AD559/$AB559,"")</f>
      </c>
      <c r="AW559" s="39">
        <f>IF(ISNUMBER($AD559),MAX(0,(1-0.55-Header!$O$3)*Header!$Q$3*$AQ559),"")</f>
      </c>
      <c r="AX559" s="43">
        <f>IF($A559="","",IF(TRIM(IF($A559="","Missing certificate ref. ","") &amp; IF($C559="","Missing effective date. ","") &amp; IF($D559="","Missing binding status. ","") &amp; IF($E559="","Missing movement type. ","") &amp; IF($I559="","Missing make. ","") &amp; IF($L559="","Missing vehicle class. ","") &amp; IF($M559="","Missing agreed value. ","") &amp; IF($N559="","Missing policy type. ","") &amp; IF($Q559="","Missing garaging state. ","") &amp; IF($R559="","Missing garaging ZIP. ","") &amp; IF($S559="","Missing cat zone. ","") &amp; IF($V559="","Missing valuation basis. ","") &amp; IF($W559="","Missing PD deductible. ","") &amp; IF($X559="","Missing liability limit. ","") &amp; IF($AB559="","Missing technical premium. ","") &amp; IF($AF559="","Missing surplus lines tax %. ",""))="","PASS","FAIL: "&amp;TRIM(IF($A559="","Missing certificate ref. ","") &amp; IF($C559="","Missing effective date. ","") &amp; IF($D559="","Missing binding status. ","") &amp; IF($E559="","Missing movement type. ","") &amp; IF($I559="","Missing make. ","") &amp; IF($L559="","Missing vehicle class. ","") &amp; IF($M559="","Missing agreed value. ","") &amp; IF($N559="","Missing policy type. ","") &amp; IF($Q559="","Missing garaging state. ","") &amp; IF($R559="","Missing garaging ZIP. ","") &amp; IF($S559="","Missing cat zone. ","") &amp; IF($V559="","Missing valuation basis. ","") &amp; IF($W559="","Missing PD deductible. ","") &amp; IF($X559="","Missing liability limit. ","") &amp; IF($AB559="","Missing technical premium. ","") &amp; IF($AF559="","Missing surplus lines tax %. ",""))))</f>
      </c>
      <c r="AY559" s="44">
        <f>IF($M559="","",IF(ISNUMBER($M559),IF($M559&gt;=Header!$C$18,"YES — refer","No"),""))</f>
      </c>
      <c r="AZ559" s="44">
        <f>IF($AD559="","",IF(ISNUMBER($AD559),IF($AD559&lt;Header!$C$20,"BELOW MIN PREMIUM","OK"),""))</f>
      </c>
      <c r="BA559" s="32" t="inlineStr">
        <is>
          <t xml:space="preserve">Yes</t>
        </is>
      </c>
      <c r="BB559" s="32" t="inlineStr">
        <is>
          <t xml:space="preserve">Yes</t>
        </is>
      </c>
      <c r="BC559" s="30" t="inlineStr">
        <is>
          <t xml:space="preserve">Synthetic demo data</t>
        </is>
      </c>
      <c r="BE559" s="45">
        <f>IF(OR($A559="",$L559="",$H559=""),"",IF(AND(LEFT($L559,2)="06",$H559&gt;1945),"FAIL - pre-war class, year "&amp;$H559,IF(AND(LEFT($L559,2)="07",OR($H559&lt;1946,$H559&gt;1972)),"FAIL - 1946-72 class, year "&amp;$H559,IF(AND(LEFT($L559,2)="08",OR($H559&lt;1973,$H559&gt;1999)),"FAIL - 1973-99 class, year "&amp;$H559,IF(AND(LEFT($L559,2)="09",OR($H559&lt;2000,$H559&gt;2010)),"FAIL - 2000-10 class, year "&amp;$H559,"OK")))))</f>
      </c>
      <c r="BF559" s="45">
        <f>IF($AD559="","",IF(ROUND($AO559+$AP559+$AQ559-$AD559,2)=0,"OK","FAIL - out by "&amp;TEXT($AO559+$AP559+$AQ559-$AD559,"$0.00")))</f>
      </c>
    </row>
    <row r="560" spans="1:58" ht="18.75" customHeight="1" x14ac:dyDescent="0.25">
      <c r="A560" s="46" t="inlineStr">
        <is>
          <t xml:space="preserve">CANON-202511-002932</t>
        </is>
      </c>
      <c r="B560" s="46" t="inlineStr">
        <is>
          <t xml:space="preserve">Saoirse Delacroix</t>
        </is>
      </c>
      <c r="C560" s="47">
        <v>45970</v>
      </c>
      <c r="D560" s="48" t="inlineStr">
        <is>
          <t xml:space="preserve">Bound - within authority</t>
        </is>
      </c>
      <c r="E560" s="48" t="inlineStr">
        <is>
          <t xml:space="preserve">New business</t>
        </is>
      </c>
      <c r="F560" s="46" t="inlineStr">
        <is>
          <t xml:space="preserve">B1234EXOTIC26</t>
        </is>
      </c>
      <c r="G560" s="33">
        <f>IF($A560="","",IF($C560="","",YEAR($C560)))</f>
      </c>
      <c r="H560" s="49">
        <v>1961</v>
      </c>
      <c r="I560" s="46" t="inlineStr">
        <is>
          <t xml:space="preserve">BMW</t>
        </is>
      </c>
      <c r="J560" s="46" t="inlineStr">
        <is>
          <t xml:space="preserve">M8 Competition</t>
        </is>
      </c>
      <c r="K560" s="46" t="inlineStr">
        <is>
          <t xml:space="preserve">9LL4R2WDLX0L2SCZN</t>
        </is>
      </c>
      <c r="L560" s="48" t="inlineStr">
        <is>
          <t xml:space="preserve">02 - Sports / GT</t>
        </is>
      </c>
      <c r="M560" s="50">
        <v>350000</v>
      </c>
      <c r="N560" s="48" t="inlineStr">
        <is>
          <t xml:space="preserve">Personal</t>
        </is>
      </c>
      <c r="O560" s="46" t="inlineStr">
        <is>
          <t xml:space="preserve">Personal - regular use</t>
        </is>
      </c>
      <c r="P560" s="46" t="inlineStr">
        <is>
          <t xml:space="preserve">Under 1,000</t>
        </is>
      </c>
      <c r="Q560" s="46" t="inlineStr">
        <is>
          <t xml:space="preserve">Pennsylvania</t>
        </is>
      </c>
      <c r="R560" s="46" t="inlineStr">
        <is>
          <t xml:space="preserve">19103</t>
        </is>
      </c>
      <c r="S560" s="48" t="inlineStr">
        <is>
          <t xml:space="preserve">Low hazard - inland benign</t>
        </is>
      </c>
      <c r="T560" s="36">
        <f>IF($A560="","",IF($S560="","",IFERROR(INDEX('[1]natural catastrophe'!$D$6:$D$17,MATCH($S560,'[1]natural catastrophe'!$B$6:$B$17,0)),"?")))</f>
      </c>
      <c r="U560" s="46" t="inlineStr">
        <is>
          <t xml:space="preserve">$5,000</t>
        </is>
      </c>
      <c r="V560" s="48" t="inlineStr">
        <is>
          <t xml:space="preserve">Agreed Value</t>
        </is>
      </c>
      <c r="W560" s="46" t="inlineStr">
        <is>
          <t xml:space="preserve">$1,000</t>
        </is>
      </c>
      <c r="X560" s="48" t="inlineStr">
        <is>
          <t xml:space="preserve">$1,000,000 CSL</t>
        </is>
      </c>
      <c r="Y560" s="46"/>
      <c r="Z560" s="46"/>
      <c r="AA560" s="48" t="inlineStr">
        <is>
          <t xml:space="preserve">Surplus Lines</t>
        </is>
      </c>
      <c r="AB560" s="50">
        <v>4553.63</v>
      </c>
      <c r="AC560" s="51">
        <v>0</v>
      </c>
      <c r="AD560" s="38">
        <f>IF(ISNUMBER($AB560),$AB560*(1+N($AC560)),"")</f>
      </c>
      <c r="AE560" s="50">
        <v>350</v>
      </c>
      <c r="AF560" s="50">
        <v>0</v>
      </c>
      <c r="AG560" s="51"/>
      <c r="AH560" s="39">
        <f>IF(ISNUMBER($AD560),($AD560+$AE560+$AF560)*$AG560,"")</f>
      </c>
      <c r="AI560" s="50"/>
      <c r="AJ560" s="38">
        <f>IF(ISNUMBER($AD560),SUM($AD560:$AH560),"")</f>
      </c>
      <c r="AK560" s="40">
        <f>IF(AND(ISNUMBER($AB560),ISNUMBER($AD560)),IF($AB560&gt;0,$AD560/$AB560,""),"")</f>
      </c>
      <c r="AL560" s="48" t="inlineStr">
        <is>
          <t xml:space="preserve">At technical</t>
        </is>
      </c>
      <c r="AM560" s="41">
        <f>IF(ISNUMBER($AD560),Header!$I$3,"")</f>
      </c>
      <c r="AN560" s="39">
        <f>IF(ISNUMBER($AD560),$AO560+$AP560,"")</f>
      </c>
      <c r="AO560" s="39">
        <f>IF(ISNUMBER($AD560),ROUND($AD560*Header!$K$3,2),"")</f>
      </c>
      <c r="AP560" s="39">
        <f>IF(ISNUMBER($AD560),ROUND($AD560*Header!$M$3,2),"")</f>
      </c>
      <c r="AQ560" s="38">
        <f>IF(ISNUMBER($AD560),ROUND($AD560,2)-$AO560-$AP560,"")</f>
      </c>
      <c r="AR560" s="39">
        <f>IF(ISNUMBER($AD560),IF(Header!$D$34="","?",$AD560*Header!$D$34),"")</f>
      </c>
      <c r="AS560" s="39">
        <f>IF(ISNUMBER($AB560),IF(Header!$D$34="","?",$AB560*Header!$D$34),"")</f>
      </c>
      <c r="AT560" s="42">
        <f>IF(AND(ISNUMBER($AB560),$M560&gt;0),$AB560/$M560*100,"")</f>
      </c>
      <c r="AU560" s="42">
        <f>IF(AND(ISNUMBER($AD560),$M560&gt;0),$AD560/$M560*100,"")</f>
      </c>
      <c r="AV560" s="40">
        <f>IF(AND(ISNUMBER($AB560),ISNUMBER($AD560),ABS($AB560)&gt;0),$AD560/$AB560,"")</f>
      </c>
      <c r="AW560" s="39">
        <f>IF(ISNUMBER($AD560),MAX(0,(1-0.55-Header!$O$3)*Header!$Q$3*$AQ560),"")</f>
      </c>
      <c r="AX560" s="43">
        <f>IF($A560="","",IF(TRIM(IF($A560="","Missing certificate ref. ","") &amp; IF($C560="","Missing effective date. ","") &amp; IF($D560="","Missing binding status. ","") &amp; IF($E560="","Missing movement type. ","") &amp; IF($I560="","Missing make. ","") &amp; IF($L560="","Missing vehicle class. ","") &amp; IF($M560="","Missing agreed value. ","") &amp; IF($N560="","Missing policy type. ","") &amp; IF($Q560="","Missing garaging state. ","") &amp; IF($R560="","Missing garaging ZIP. ","") &amp; IF($S560="","Missing cat zone. ","") &amp; IF($V560="","Missing valuation basis. ","") &amp; IF($W560="","Missing PD deductible. ","") &amp; IF($X560="","Missing liability limit. ","") &amp; IF($AB560="","Missing technical premium. ","") &amp; IF($AF560="","Missing surplus lines tax %. ",""))="","PASS","FAIL: "&amp;TRIM(IF($A560="","Missing certificate ref. ","") &amp; IF($C560="","Missing effective date. ","") &amp; IF($D560="","Missing binding status. ","") &amp; IF($E560="","Missing movement type. ","") &amp; IF($I560="","Missing make. ","") &amp; IF($L560="","Missing vehicle class. ","") &amp; IF($M560="","Missing agreed value. ","") &amp; IF($N560="","Missing policy type. ","") &amp; IF($Q560="","Missing garaging state. ","") &amp; IF($R560="","Missing garaging ZIP. ","") &amp; IF($S560="","Missing cat zone. ","") &amp; IF($V560="","Missing valuation basis. ","") &amp; IF($W560="","Missing PD deductible. ","") &amp; IF($X560="","Missing liability limit. ","") &amp; IF($AB560="","Missing technical premium. ","") &amp; IF($AF560="","Missing surplus lines tax %. ",""))))</f>
      </c>
      <c r="AY560" s="44">
        <f>IF($M560="","",IF(ISNUMBER($M560),IF($M560&gt;=Header!$C$18,"YES — refer","No"),""))</f>
      </c>
      <c r="AZ560" s="44">
        <f>IF($AD560="","",IF(ISNUMBER($AD560),IF($AD560&lt;Header!$C$20,"BELOW MIN PREMIUM","OK"),""))</f>
      </c>
      <c r="BA560" s="48" t="inlineStr">
        <is>
          <t xml:space="preserve">Yes</t>
        </is>
      </c>
      <c r="BB560" s="48" t="inlineStr">
        <is>
          <t xml:space="preserve">Yes</t>
        </is>
      </c>
      <c r="BC560" s="46" t="inlineStr">
        <is>
          <t xml:space="preserve">Synthetic demo data</t>
        </is>
      </c>
      <c r="BE560" s="45">
        <f>IF(OR($A560="",$L560="",$H560=""),"",IF(AND(LEFT($L560,2)="06",$H560&gt;1945),"FAIL - pre-war class, year "&amp;$H560,IF(AND(LEFT($L560,2)="07",OR($H560&lt;1946,$H560&gt;1972)),"FAIL - 1946-72 class, year "&amp;$H560,IF(AND(LEFT($L560,2)="08",OR($H560&lt;1973,$H560&gt;1999)),"FAIL - 1973-99 class, year "&amp;$H560,IF(AND(LEFT($L560,2)="09",OR($H560&lt;2000,$H560&gt;2010)),"FAIL - 2000-10 class, year "&amp;$H560,"OK")))))</f>
      </c>
      <c r="BF560" s="45">
        <f>IF($AD560="","",IF(ROUND($AO560+$AP560+$AQ560-$AD560,2)=0,"OK","FAIL - out by "&amp;TEXT($AO560+$AP560+$AQ560-$AD560,"$0.00")))</f>
      </c>
    </row>
    <row r="561" spans="1:58" ht="18.75" customHeight="1" x14ac:dyDescent="0.25">
      <c r="A561" s="30" t="inlineStr">
        <is>
          <t xml:space="preserve">CANON-202511-002933</t>
        </is>
      </c>
      <c r="B561" s="30" t="inlineStr">
        <is>
          <t xml:space="preserve">Cassius Fairweather</t>
        </is>
      </c>
      <c r="C561" s="31">
        <v>45983</v>
      </c>
      <c r="D561" s="32" t="inlineStr">
        <is>
          <t xml:space="preserve">Bound - within authority</t>
        </is>
      </c>
      <c r="E561" s="32" t="inlineStr">
        <is>
          <t xml:space="preserve">New business</t>
        </is>
      </c>
      <c r="F561" s="30" t="inlineStr">
        <is>
          <t xml:space="preserve">B1234EXOTIC26</t>
        </is>
      </c>
      <c r="G561" s="33">
        <f>IF($A561="","",IF($C561="","",YEAR($C561)))</f>
      </c>
      <c r="H561" s="34">
        <v>1972</v>
      </c>
      <c r="I561" s="30" t="inlineStr">
        <is>
          <t xml:space="preserve">Bentley</t>
        </is>
      </c>
      <c r="J561" s="30" t="inlineStr">
        <is>
          <t xml:space="preserve">Continental GT</t>
        </is>
      </c>
      <c r="K561" s="30" t="inlineStr">
        <is>
          <t xml:space="preserve">LKWB2H4VN0698HX7U</t>
        </is>
      </c>
      <c r="L561" s="32" t="inlineStr">
        <is>
          <t xml:space="preserve">02 - Sports / GT</t>
        </is>
      </c>
      <c r="M561" s="35">
        <v>670000</v>
      </c>
      <c r="N561" s="32" t="inlineStr">
        <is>
          <t xml:space="preserve">Personal</t>
        </is>
      </c>
      <c r="O561" s="30" t="inlineStr">
        <is>
          <t xml:space="preserve">Personal - regular use</t>
        </is>
      </c>
      <c r="P561" s="30" t="inlineStr">
        <is>
          <t xml:space="preserve">1,000 - 2,500</t>
        </is>
      </c>
      <c r="Q561" s="30" t="inlineStr">
        <is>
          <t xml:space="preserve">West Virginia</t>
        </is>
      </c>
      <c r="R561" s="30" t="inlineStr">
        <is>
          <t xml:space="preserve">25301</t>
        </is>
      </c>
      <c r="S561" s="32" t="inlineStr">
        <is>
          <t xml:space="preserve">Low hazard - inland benign</t>
        </is>
      </c>
      <c r="T561" s="36">
        <f>IF($A561="","",IF($S561="","",IFERROR(INDEX('[1]natural catastrophe'!$D$6:$D$17,MATCH($S561,'[1]natural catastrophe'!$B$6:$B$17,0)),"?")))</f>
      </c>
      <c r="U561" s="30" t="inlineStr">
        <is>
          <t xml:space="preserve">$5,000</t>
        </is>
      </c>
      <c r="V561" s="32" t="inlineStr">
        <is>
          <t xml:space="preserve">Agreed Value</t>
        </is>
      </c>
      <c r="W561" s="30" t="inlineStr">
        <is>
          <t xml:space="preserve">$1,000</t>
        </is>
      </c>
      <c r="X561" s="32" t="inlineStr">
        <is>
          <t xml:space="preserve">$1,000,000 CSL</t>
        </is>
      </c>
      <c r="Y561" s="30"/>
      <c r="Z561" s="30"/>
      <c r="AA561" s="32" t="inlineStr">
        <is>
          <t xml:space="preserve">Surplus Lines</t>
        </is>
      </c>
      <c r="AB561" s="35">
        <v>10047.74</v>
      </c>
      <c r="AC561" s="37">
        <v>0</v>
      </c>
      <c r="AD561" s="38">
        <f>IF(ISNUMBER($AB561),$AB561*(1+N($AC561)),"")</f>
      </c>
      <c r="AE561" s="35">
        <v>350</v>
      </c>
      <c r="AF561" s="35">
        <v>0</v>
      </c>
      <c r="AG561" s="37"/>
      <c r="AH561" s="39">
        <f>IF(ISNUMBER($AD561),($AD561+$AE561+$AF561)*$AG561,"")</f>
      </c>
      <c r="AI561" s="35"/>
      <c r="AJ561" s="38">
        <f>IF(ISNUMBER($AD561),SUM($AD561:$AH561),"")</f>
      </c>
      <c r="AK561" s="40">
        <f>IF(AND(ISNUMBER($AB561),ISNUMBER($AD561)),IF($AB561&gt;0,$AD561/$AB561,""),"")</f>
      </c>
      <c r="AL561" s="32" t="inlineStr">
        <is>
          <t xml:space="preserve">At technical</t>
        </is>
      </c>
      <c r="AM561" s="41">
        <f>IF(ISNUMBER($AD561),Header!$I$3,"")</f>
      </c>
      <c r="AN561" s="39">
        <f>IF(ISNUMBER($AD561),$AO561+$AP561,"")</f>
      </c>
      <c r="AO561" s="39">
        <f>IF(ISNUMBER($AD561),ROUND($AD561*Header!$K$3,2),"")</f>
      </c>
      <c r="AP561" s="39">
        <f>IF(ISNUMBER($AD561),ROUND($AD561*Header!$M$3,2),"")</f>
      </c>
      <c r="AQ561" s="38">
        <f>IF(ISNUMBER($AD561),ROUND($AD561,2)-$AO561-$AP561,"")</f>
      </c>
      <c r="AR561" s="39">
        <f>IF(ISNUMBER($AD561),IF(Header!$D$34="","?",$AD561*Header!$D$34),"")</f>
      </c>
      <c r="AS561" s="39">
        <f>IF(ISNUMBER($AB561),IF(Header!$D$34="","?",$AB561*Header!$D$34),"")</f>
      </c>
      <c r="AT561" s="42">
        <f>IF(AND(ISNUMBER($AB561),$M561&gt;0),$AB561/$M561*100,"")</f>
      </c>
      <c r="AU561" s="42">
        <f>IF(AND(ISNUMBER($AD561),$M561&gt;0),$AD561/$M561*100,"")</f>
      </c>
      <c r="AV561" s="40">
        <f>IF(AND(ISNUMBER($AB561),ISNUMBER($AD561),ABS($AB561)&gt;0),$AD561/$AB561,"")</f>
      </c>
      <c r="AW561" s="39">
        <f>IF(ISNUMBER($AD561),MAX(0,(1-0.55-Header!$O$3)*Header!$Q$3*$AQ561),"")</f>
      </c>
      <c r="AX561" s="43">
        <f>IF($A561="","",IF(TRIM(IF($A561="","Missing certificate ref. ","") &amp; IF($C561="","Missing effective date. ","") &amp; IF($D561="","Missing binding status. ","") &amp; IF($E561="","Missing movement type. ","") &amp; IF($I561="","Missing make. ","") &amp; IF($L561="","Missing vehicle class. ","") &amp; IF($M561="","Missing agreed value. ","") &amp; IF($N561="","Missing policy type. ","") &amp; IF($Q561="","Missing garaging state. ","") &amp; IF($R561="","Missing garaging ZIP. ","") &amp; IF($S561="","Missing cat zone. ","") &amp; IF($V561="","Missing valuation basis. ","") &amp; IF($W561="","Missing PD deductible. ","") &amp; IF($X561="","Missing liability limit. ","") &amp; IF($AB561="","Missing technical premium. ","") &amp; IF($AF561="","Missing surplus lines tax %. ",""))="","PASS","FAIL: "&amp;TRIM(IF($A561="","Missing certificate ref. ","") &amp; IF($C561="","Missing effective date. ","") &amp; IF($D561="","Missing binding status. ","") &amp; IF($E561="","Missing movement type. ","") &amp; IF($I561="","Missing make. ","") &amp; IF($L561="","Missing vehicle class. ","") &amp; IF($M561="","Missing agreed value. ","") &amp; IF($N561="","Missing policy type. ","") &amp; IF($Q561="","Missing garaging state. ","") &amp; IF($R561="","Missing garaging ZIP. ","") &amp; IF($S561="","Missing cat zone. ","") &amp; IF($V561="","Missing valuation basis. ","") &amp; IF($W561="","Missing PD deductible. ","") &amp; IF($X561="","Missing liability limit. ","") &amp; IF($AB561="","Missing technical premium. ","") &amp; IF($AF561="","Missing surplus lines tax %. ",""))))</f>
      </c>
      <c r="AY561" s="44">
        <f>IF($M561="","",IF(ISNUMBER($M561),IF($M561&gt;=Header!$C$18,"YES — refer","No"),""))</f>
      </c>
      <c r="AZ561" s="44">
        <f>IF($AD561="","",IF(ISNUMBER($AD561),IF($AD561&lt;Header!$C$20,"BELOW MIN PREMIUM","OK"),""))</f>
      </c>
      <c r="BA561" s="32" t="inlineStr">
        <is>
          <t xml:space="preserve">Yes</t>
        </is>
      </c>
      <c r="BB561" s="32" t="inlineStr">
        <is>
          <t xml:space="preserve">Yes</t>
        </is>
      </c>
      <c r="BC561" s="30" t="inlineStr">
        <is>
          <t xml:space="preserve">Synthetic demo data</t>
        </is>
      </c>
      <c r="BE561" s="45">
        <f>IF(OR($A561="",$L561="",$H561=""),"",IF(AND(LEFT($L561,2)="06",$H561&gt;1945),"FAIL - pre-war class, year "&amp;$H561,IF(AND(LEFT($L561,2)="07",OR($H561&lt;1946,$H561&gt;1972)),"FAIL - 1946-72 class, year "&amp;$H561,IF(AND(LEFT($L561,2)="08",OR($H561&lt;1973,$H561&gt;1999)),"FAIL - 1973-99 class, year "&amp;$H561,IF(AND(LEFT($L561,2)="09",OR($H561&lt;2000,$H561&gt;2010)),"FAIL - 2000-10 class, year "&amp;$H561,"OK")))))</f>
      </c>
      <c r="BF561" s="45">
        <f>IF($AD561="","",IF(ROUND($AO561+$AP561+$AQ561-$AD561,2)=0,"OK","FAIL - out by "&amp;TEXT($AO561+$AP561+$AQ561-$AD561,"$0.00")))</f>
      </c>
    </row>
    <row r="562" spans="1:58" ht="18.75" customHeight="1" x14ac:dyDescent="0.25">
      <c r="A562" s="46" t="inlineStr">
        <is>
          <t xml:space="preserve">CANON-202511-002934</t>
        </is>
      </c>
      <c r="B562" s="46" t="inlineStr">
        <is>
          <t xml:space="preserve">Noor Castellanos</t>
        </is>
      </c>
      <c r="C562" s="47">
        <v>45983</v>
      </c>
      <c r="D562" s="48" t="inlineStr">
        <is>
          <t xml:space="preserve">Bound - within authority</t>
        </is>
      </c>
      <c r="E562" s="48" t="inlineStr">
        <is>
          <t xml:space="preserve">New business</t>
        </is>
      </c>
      <c r="F562" s="46" t="inlineStr">
        <is>
          <t xml:space="preserve">B1234EXOTIC26</t>
        </is>
      </c>
      <c r="G562" s="33">
        <f>IF($A562="","",IF($C562="","",YEAR($C562)))</f>
      </c>
      <c r="H562" s="49">
        <v>2019</v>
      </c>
      <c r="I562" s="46" t="inlineStr">
        <is>
          <t xml:space="preserve">Porsche</t>
        </is>
      </c>
      <c r="J562" s="46" t="inlineStr">
        <is>
          <t xml:space="preserve">911 Turbo S</t>
        </is>
      </c>
      <c r="K562" s="46" t="inlineStr">
        <is>
          <t xml:space="preserve">7UWZC0G20VU9KPDXU</t>
        </is>
      </c>
      <c r="L562" s="48" t="inlineStr">
        <is>
          <t xml:space="preserve">02 - Sports / GT</t>
        </is>
      </c>
      <c r="M562" s="50">
        <v>765000</v>
      </c>
      <c r="N562" s="48" t="inlineStr">
        <is>
          <t xml:space="preserve">Personal</t>
        </is>
      </c>
      <c r="O562" s="46" t="inlineStr">
        <is>
          <t xml:space="preserve">Personal - regular use</t>
        </is>
      </c>
      <c r="P562" s="46" t="inlineStr">
        <is>
          <t xml:space="preserve">2,500 - 5,000</t>
        </is>
      </c>
      <c r="Q562" s="46" t="inlineStr">
        <is>
          <t xml:space="preserve">Florida</t>
        </is>
      </c>
      <c r="R562" s="46" t="inlineStr">
        <is>
          <t xml:space="preserve">33139</t>
        </is>
      </c>
      <c r="S562" s="48" t="inlineStr">
        <is>
          <t xml:space="preserve">Tier 2 - Coastal wind (1-25 miles)</t>
        </is>
      </c>
      <c r="T562" s="36">
        <f>IF($A562="","",IF($S562="","",IFERROR(INDEX('[1]natural catastrophe'!$D$6:$D$17,MATCH($S562,'[1]natural catastrophe'!$B$6:$B$17,0)),"?")))</f>
      </c>
      <c r="U562" s="46" t="inlineStr">
        <is>
          <t xml:space="preserve">2% of agreed value, minimum $10,000</t>
        </is>
      </c>
      <c r="V562" s="48" t="inlineStr">
        <is>
          <t xml:space="preserve">Agreed Value</t>
        </is>
      </c>
      <c r="W562" s="46" t="inlineStr">
        <is>
          <t xml:space="preserve">$1,000</t>
        </is>
      </c>
      <c r="X562" s="48" t="inlineStr">
        <is>
          <t xml:space="preserve">$1,000,000 CSL</t>
        </is>
      </c>
      <c r="Y562" s="46"/>
      <c r="Z562" s="46"/>
      <c r="AA562" s="48" t="inlineStr">
        <is>
          <t xml:space="preserve">Surplus Lines</t>
        </is>
      </c>
      <c r="AB562" s="50">
        <v>12248.75</v>
      </c>
      <c r="AC562" s="51">
        <v>0</v>
      </c>
      <c r="AD562" s="38">
        <f>IF(ISNUMBER($AB562),$AB562*(1+N($AC562)),"")</f>
      </c>
      <c r="AE562" s="50">
        <v>350</v>
      </c>
      <c r="AF562" s="50">
        <v>0</v>
      </c>
      <c r="AG562" s="51"/>
      <c r="AH562" s="39">
        <f>IF(ISNUMBER($AD562),($AD562+$AE562+$AF562)*$AG562,"")</f>
      </c>
      <c r="AI562" s="50"/>
      <c r="AJ562" s="38">
        <f>IF(ISNUMBER($AD562),SUM($AD562:$AH562),"")</f>
      </c>
      <c r="AK562" s="40">
        <f>IF(AND(ISNUMBER($AB562),ISNUMBER($AD562)),IF($AB562&gt;0,$AD562/$AB562,""),"")</f>
      </c>
      <c r="AL562" s="48" t="inlineStr">
        <is>
          <t xml:space="preserve">At technical</t>
        </is>
      </c>
      <c r="AM562" s="41">
        <f>IF(ISNUMBER($AD562),Header!$I$3,"")</f>
      </c>
      <c r="AN562" s="39">
        <f>IF(ISNUMBER($AD562),$AO562+$AP562,"")</f>
      </c>
      <c r="AO562" s="39">
        <f>IF(ISNUMBER($AD562),ROUND($AD562*Header!$K$3,2),"")</f>
      </c>
      <c r="AP562" s="39">
        <f>IF(ISNUMBER($AD562),ROUND($AD562*Header!$M$3,2),"")</f>
      </c>
      <c r="AQ562" s="38">
        <f>IF(ISNUMBER($AD562),ROUND($AD562,2)-$AO562-$AP562,"")</f>
      </c>
      <c r="AR562" s="39">
        <f>IF(ISNUMBER($AD562),IF(Header!$D$34="","?",$AD562*Header!$D$34),"")</f>
      </c>
      <c r="AS562" s="39">
        <f>IF(ISNUMBER($AB562),IF(Header!$D$34="","?",$AB562*Header!$D$34),"")</f>
      </c>
      <c r="AT562" s="42">
        <f>IF(AND(ISNUMBER($AB562),$M562&gt;0),$AB562/$M562*100,"")</f>
      </c>
      <c r="AU562" s="42">
        <f>IF(AND(ISNUMBER($AD562),$M562&gt;0),$AD562/$M562*100,"")</f>
      </c>
      <c r="AV562" s="40">
        <f>IF(AND(ISNUMBER($AB562),ISNUMBER($AD562),ABS($AB562)&gt;0),$AD562/$AB562,"")</f>
      </c>
      <c r="AW562" s="39">
        <f>IF(ISNUMBER($AD562),MAX(0,(1-0.55-Header!$O$3)*Header!$Q$3*$AQ562),"")</f>
      </c>
      <c r="AX562" s="43">
        <f>IF($A562="","",IF(TRIM(IF($A562="","Missing certificate ref. ","") &amp; IF($C562="","Missing effective date. ","") &amp; IF($D562="","Missing binding status. ","") &amp; IF($E562="","Missing movement type. ","") &amp; IF($I562="","Missing make. ","") &amp; IF($L562="","Missing vehicle class. ","") &amp; IF($M562="","Missing agreed value. ","") &amp; IF($N562="","Missing policy type. ","") &amp; IF($Q562="","Missing garaging state. ","") &amp; IF($R562="","Missing garaging ZIP. ","") &amp; IF($S562="","Missing cat zone. ","") &amp; IF($V562="","Missing valuation basis. ","") &amp; IF($W562="","Missing PD deductible. ","") &amp; IF($X562="","Missing liability limit. ","") &amp; IF($AB562="","Missing technical premium. ","") &amp; IF($AF562="","Missing surplus lines tax %. ",""))="","PASS","FAIL: "&amp;TRIM(IF($A562="","Missing certificate ref. ","") &amp; IF($C562="","Missing effective date. ","") &amp; IF($D562="","Missing binding status. ","") &amp; IF($E562="","Missing movement type. ","") &amp; IF($I562="","Missing make. ","") &amp; IF($L562="","Missing vehicle class. ","") &amp; IF($M562="","Missing agreed value. ","") &amp; IF($N562="","Missing policy type. ","") &amp; IF($Q562="","Missing garaging state. ","") &amp; IF($R562="","Missing garaging ZIP. ","") &amp; IF($S562="","Missing cat zone. ","") &amp; IF($V562="","Missing valuation basis. ","") &amp; IF($W562="","Missing PD deductible. ","") &amp; IF($X562="","Missing liability limit. ","") &amp; IF($AB562="","Missing technical premium. ","") &amp; IF($AF562="","Missing surplus lines tax %. ",""))))</f>
      </c>
      <c r="AY562" s="44">
        <f>IF($M562="","",IF(ISNUMBER($M562),IF($M562&gt;=Header!$C$18,"YES — refer","No"),""))</f>
      </c>
      <c r="AZ562" s="44">
        <f>IF($AD562="","",IF(ISNUMBER($AD562),IF($AD562&lt;Header!$C$20,"BELOW MIN PREMIUM","OK"),""))</f>
      </c>
      <c r="BA562" s="48" t="inlineStr">
        <is>
          <t xml:space="preserve">Yes</t>
        </is>
      </c>
      <c r="BB562" s="48" t="inlineStr">
        <is>
          <t xml:space="preserve">Yes</t>
        </is>
      </c>
      <c r="BC562" s="46" t="inlineStr">
        <is>
          <t xml:space="preserve">Synthetic demo data</t>
        </is>
      </c>
      <c r="BE562" s="45">
        <f>IF(OR($A562="",$L562="",$H562=""),"",IF(AND(LEFT($L562,2)="06",$H562&gt;1945),"FAIL - pre-war class, year "&amp;$H562,IF(AND(LEFT($L562,2)="07",OR($H562&lt;1946,$H562&gt;1972)),"FAIL - 1946-72 class, year "&amp;$H562,IF(AND(LEFT($L562,2)="08",OR($H562&lt;1973,$H562&gt;1999)),"FAIL - 1973-99 class, year "&amp;$H562,IF(AND(LEFT($L562,2)="09",OR($H562&lt;2000,$H562&gt;2010)),"FAIL - 2000-10 class, year "&amp;$H562,"OK")))))</f>
      </c>
      <c r="BF562" s="45">
        <f>IF($AD562="","",IF(ROUND($AO562+$AP562+$AQ562-$AD562,2)=0,"OK","FAIL - out by "&amp;TEXT($AO562+$AP562+$AQ562-$AD562,"$0.00")))</f>
      </c>
    </row>
    <row r="563" spans="1:58" ht="18.75" customHeight="1" x14ac:dyDescent="0.25">
      <c r="A563" s="30" t="inlineStr">
        <is>
          <t xml:space="preserve">CANON-202511-002935</t>
        </is>
      </c>
      <c r="B563" s="30" t="inlineStr">
        <is>
          <t xml:space="preserve">Ingrid Pennington</t>
        </is>
      </c>
      <c r="C563" s="31">
        <v>45980</v>
      </c>
      <c r="D563" s="32" t="inlineStr">
        <is>
          <t xml:space="preserve">Bound - within authority</t>
        </is>
      </c>
      <c r="E563" s="32" t="inlineStr">
        <is>
          <t xml:space="preserve">New business</t>
        </is>
      </c>
      <c r="F563" s="30" t="inlineStr">
        <is>
          <t xml:space="preserve">B1234EXOTIC26</t>
        </is>
      </c>
      <c r="G563" s="33">
        <f>IF($A563="","",IF($C563="","",YEAR($C563)))</f>
      </c>
      <c r="H563" s="34">
        <v>1982</v>
      </c>
      <c r="I563" s="30" t="inlineStr">
        <is>
          <t xml:space="preserve">Aston Martin</t>
        </is>
      </c>
      <c r="J563" s="30" t="inlineStr">
        <is>
          <t xml:space="preserve">DB12</t>
        </is>
      </c>
      <c r="K563" s="30" t="inlineStr">
        <is>
          <t xml:space="preserve">STZV8HP1AN86ARM3J</t>
        </is>
      </c>
      <c r="L563" s="32" t="inlineStr">
        <is>
          <t xml:space="preserve">02 - Sports / GT</t>
        </is>
      </c>
      <c r="M563" s="35">
        <v>300000</v>
      </c>
      <c r="N563" s="32" t="inlineStr">
        <is>
          <t xml:space="preserve">Personal</t>
        </is>
      </c>
      <c r="O563" s="30" t="inlineStr">
        <is>
          <t xml:space="preserve">Personal - regular use</t>
        </is>
      </c>
      <c r="P563" s="30" t="inlineStr">
        <is>
          <t xml:space="preserve">Under 1,000</t>
        </is>
      </c>
      <c r="Q563" s="30" t="inlineStr">
        <is>
          <t xml:space="preserve">Michigan</t>
        </is>
      </c>
      <c r="R563" s="30" t="inlineStr">
        <is>
          <t xml:space="preserve">48226</t>
        </is>
      </c>
      <c r="S563" s="32" t="inlineStr">
        <is>
          <t xml:space="preserve">Severe convective - hail / tornado (moderate)</t>
        </is>
      </c>
      <c r="T563" s="36">
        <f>IF($A563="","",IF($S563="","",IFERROR(INDEX('[1]natural catastrophe'!$D$6:$D$17,MATCH($S563,'[1]natural catastrophe'!$B$6:$B$17,0)),"?")))</f>
      </c>
      <c r="U563" s="30" t="inlineStr">
        <is>
          <t xml:space="preserve">$5,000</t>
        </is>
      </c>
      <c r="V563" s="32" t="inlineStr">
        <is>
          <t xml:space="preserve">Agreed Value</t>
        </is>
      </c>
      <c r="W563" s="30" t="inlineStr">
        <is>
          <t xml:space="preserve">$1,000</t>
        </is>
      </c>
      <c r="X563" s="32" t="inlineStr">
        <is>
          <t xml:space="preserve">$1,000,000 CSL</t>
        </is>
      </c>
      <c r="Y563" s="30"/>
      <c r="Z563" s="30"/>
      <c r="AA563" s="32" t="inlineStr">
        <is>
          <t xml:space="preserve">Surplus Lines</t>
        </is>
      </c>
      <c r="AB563" s="35">
        <v>6049.83</v>
      </c>
      <c r="AC563" s="37">
        <v>0</v>
      </c>
      <c r="AD563" s="38">
        <f>IF(ISNUMBER($AB563),$AB563*(1+N($AC563)),"")</f>
      </c>
      <c r="AE563" s="35">
        <v>350</v>
      </c>
      <c r="AF563" s="35">
        <v>0</v>
      </c>
      <c r="AG563" s="37"/>
      <c r="AH563" s="39">
        <f>IF(ISNUMBER($AD563),($AD563+$AE563+$AF563)*$AG563,"")</f>
      </c>
      <c r="AI563" s="35"/>
      <c r="AJ563" s="38">
        <f>IF(ISNUMBER($AD563),SUM($AD563:$AH563),"")</f>
      </c>
      <c r="AK563" s="40">
        <f>IF(AND(ISNUMBER($AB563),ISNUMBER($AD563)),IF($AB563&gt;0,$AD563/$AB563,""),"")</f>
      </c>
      <c r="AL563" s="32" t="inlineStr">
        <is>
          <t xml:space="preserve">At technical</t>
        </is>
      </c>
      <c r="AM563" s="41">
        <f>IF(ISNUMBER($AD563),Header!$I$3,"")</f>
      </c>
      <c r="AN563" s="39">
        <f>IF(ISNUMBER($AD563),$AO563+$AP563,"")</f>
      </c>
      <c r="AO563" s="39">
        <f>IF(ISNUMBER($AD563),ROUND($AD563*Header!$K$3,2),"")</f>
      </c>
      <c r="AP563" s="39">
        <f>IF(ISNUMBER($AD563),ROUND($AD563*Header!$M$3,2),"")</f>
      </c>
      <c r="AQ563" s="38">
        <f>IF(ISNUMBER($AD563),ROUND($AD563,2)-$AO563-$AP563,"")</f>
      </c>
      <c r="AR563" s="39">
        <f>IF(ISNUMBER($AD563),IF(Header!$D$34="","?",$AD563*Header!$D$34),"")</f>
      </c>
      <c r="AS563" s="39">
        <f>IF(ISNUMBER($AB563),IF(Header!$D$34="","?",$AB563*Header!$D$34),"")</f>
      </c>
      <c r="AT563" s="42">
        <f>IF(AND(ISNUMBER($AB563),$M563&gt;0),$AB563/$M563*100,"")</f>
      </c>
      <c r="AU563" s="42">
        <f>IF(AND(ISNUMBER($AD563),$M563&gt;0),$AD563/$M563*100,"")</f>
      </c>
      <c r="AV563" s="40">
        <f>IF(AND(ISNUMBER($AB563),ISNUMBER($AD563),ABS($AB563)&gt;0),$AD563/$AB563,"")</f>
      </c>
      <c r="AW563" s="39">
        <f>IF(ISNUMBER($AD563),MAX(0,(1-0.55-Header!$O$3)*Header!$Q$3*$AQ563),"")</f>
      </c>
      <c r="AX563" s="43">
        <f>IF($A563="","",IF(TRIM(IF($A563="","Missing certificate ref. ","") &amp; IF($C563="","Missing effective date. ","") &amp; IF($D563="","Missing binding status. ","") &amp; IF($E563="","Missing movement type. ","") &amp; IF($I563="","Missing make. ","") &amp; IF($L563="","Missing vehicle class. ","") &amp; IF($M563="","Missing agreed value. ","") &amp; IF($N563="","Missing policy type. ","") &amp; IF($Q563="","Missing garaging state. ","") &amp; IF($R563="","Missing garaging ZIP. ","") &amp; IF($S563="","Missing cat zone. ","") &amp; IF($V563="","Missing valuation basis. ","") &amp; IF($W563="","Missing PD deductible. ","") &amp; IF($X563="","Missing liability limit. ","") &amp; IF($AB563="","Missing technical premium. ","") &amp; IF($AF563="","Missing surplus lines tax %. ",""))="","PASS","FAIL: "&amp;TRIM(IF($A563="","Missing certificate ref. ","") &amp; IF($C563="","Missing effective date. ","") &amp; IF($D563="","Missing binding status. ","") &amp; IF($E563="","Missing movement type. ","") &amp; IF($I563="","Missing make. ","") &amp; IF($L563="","Missing vehicle class. ","") &amp; IF($M563="","Missing agreed value. ","") &amp; IF($N563="","Missing policy type. ","") &amp; IF($Q563="","Missing garaging state. ","") &amp; IF($R563="","Missing garaging ZIP. ","") &amp; IF($S563="","Missing cat zone. ","") &amp; IF($V563="","Missing valuation basis. ","") &amp; IF($W563="","Missing PD deductible. ","") &amp; IF($X563="","Missing liability limit. ","") &amp; IF($AB563="","Missing technical premium. ","") &amp; IF($AF563="","Missing surplus lines tax %. ",""))))</f>
      </c>
      <c r="AY563" s="44">
        <f>IF($M563="","",IF(ISNUMBER($M563),IF($M563&gt;=Header!$C$18,"YES — refer","No"),""))</f>
      </c>
      <c r="AZ563" s="44">
        <f>IF($AD563="","",IF(ISNUMBER($AD563),IF($AD563&lt;Header!$C$20,"BELOW MIN PREMIUM","OK"),""))</f>
      </c>
      <c r="BA563" s="32" t="inlineStr">
        <is>
          <t xml:space="preserve">Yes</t>
        </is>
      </c>
      <c r="BB563" s="32" t="inlineStr">
        <is>
          <t xml:space="preserve">Yes</t>
        </is>
      </c>
      <c r="BC563" s="30" t="inlineStr">
        <is>
          <t xml:space="preserve">Synthetic demo data</t>
        </is>
      </c>
      <c r="BE563" s="45">
        <f>IF(OR($A563="",$L563="",$H563=""),"",IF(AND(LEFT($L563,2)="06",$H563&gt;1945),"FAIL - pre-war class, year "&amp;$H563,IF(AND(LEFT($L563,2)="07",OR($H563&lt;1946,$H563&gt;1972)),"FAIL - 1946-72 class, year "&amp;$H563,IF(AND(LEFT($L563,2)="08",OR($H563&lt;1973,$H563&gt;1999)),"FAIL - 1973-99 class, year "&amp;$H563,IF(AND(LEFT($L563,2)="09",OR($H563&lt;2000,$H563&gt;2010)),"FAIL - 2000-10 class, year "&amp;$H563,"OK")))))</f>
      </c>
      <c r="BF563" s="45">
        <f>IF($AD563="","",IF(ROUND($AO563+$AP563+$AQ563-$AD563,2)=0,"OK","FAIL - out by "&amp;TEXT($AO563+$AP563+$AQ563-$AD563,"$0.00")))</f>
      </c>
    </row>
    <row r="564" spans="1:58" ht="18.75" customHeight="1" x14ac:dyDescent="0.25">
      <c r="A564" s="46" t="inlineStr">
        <is>
          <t xml:space="preserve">CANON-202511-002936</t>
        </is>
      </c>
      <c r="B564" s="46" t="inlineStr">
        <is>
          <t xml:space="preserve">Mireille Rourke</t>
        </is>
      </c>
      <c r="C564" s="47">
        <v>45986</v>
      </c>
      <c r="D564" s="48" t="inlineStr">
        <is>
          <t xml:space="preserve">Bound - within authority</t>
        </is>
      </c>
      <c r="E564" s="48" t="inlineStr">
        <is>
          <t xml:space="preserve">New business</t>
        </is>
      </c>
      <c r="F564" s="46" t="inlineStr">
        <is>
          <t xml:space="preserve">B1234EXOTIC26</t>
        </is>
      </c>
      <c r="G564" s="33">
        <f>IF($A564="","",IF($C564="","",YEAR($C564)))</f>
      </c>
      <c r="H564" s="49">
        <v>2016</v>
      </c>
      <c r="I564" s="46" t="inlineStr">
        <is>
          <t xml:space="preserve">Aston Martin</t>
        </is>
      </c>
      <c r="J564" s="46" t="inlineStr">
        <is>
          <t xml:space="preserve">DB12</t>
        </is>
      </c>
      <c r="K564" s="46" t="inlineStr">
        <is>
          <t xml:space="preserve">LMWSUDV6XTCRVCC99</t>
        </is>
      </c>
      <c r="L564" s="48" t="inlineStr">
        <is>
          <t xml:space="preserve">02 - Sports / GT</t>
        </is>
      </c>
      <c r="M564" s="50">
        <v>1045000</v>
      </c>
      <c r="N564" s="48" t="inlineStr">
        <is>
          <t xml:space="preserve">Personal</t>
        </is>
      </c>
      <c r="O564" s="46" t="inlineStr">
        <is>
          <t xml:space="preserve">Personal - regular use</t>
        </is>
      </c>
      <c r="P564" s="46" t="inlineStr">
        <is>
          <t xml:space="preserve">2,500 - 5,000</t>
        </is>
      </c>
      <c r="Q564" s="46" t="inlineStr">
        <is>
          <t xml:space="preserve">Texas</t>
        </is>
      </c>
      <c r="R564" s="46" t="inlineStr">
        <is>
          <t xml:space="preserve">75201</t>
        </is>
      </c>
      <c r="S564" s="48" t="inlineStr">
        <is>
          <t xml:space="preserve">Tier 2 - Coastal wind (1-25 miles)</t>
        </is>
      </c>
      <c r="T564" s="36">
        <f>IF($A564="","",IF($S564="","",IFERROR(INDEX('[1]natural catastrophe'!$D$6:$D$17,MATCH($S564,'[1]natural catastrophe'!$B$6:$B$17,0)),"?")))</f>
      </c>
      <c r="U564" s="46" t="inlineStr">
        <is>
          <t xml:space="preserve">2% of agreed value, minimum $10,000</t>
        </is>
      </c>
      <c r="V564" s="48" t="inlineStr">
        <is>
          <t xml:space="preserve">Agreed Value</t>
        </is>
      </c>
      <c r="W564" s="46" t="inlineStr">
        <is>
          <t xml:space="preserve">$1,000</t>
        </is>
      </c>
      <c r="X564" s="48" t="inlineStr">
        <is>
          <t xml:space="preserve">$1,000,000 CSL</t>
        </is>
      </c>
      <c r="Y564" s="46"/>
      <c r="Z564" s="46"/>
      <c r="AA564" s="48" t="inlineStr">
        <is>
          <t xml:space="preserve">Surplus Lines</t>
        </is>
      </c>
      <c r="AB564" s="50">
        <v>11465.83</v>
      </c>
      <c r="AC564" s="51">
        <v>0</v>
      </c>
      <c r="AD564" s="38">
        <f>IF(ISNUMBER($AB564),$AB564*(1+N($AC564)),"")</f>
      </c>
      <c r="AE564" s="50">
        <v>350</v>
      </c>
      <c r="AF564" s="50">
        <v>250</v>
      </c>
      <c r="AG564" s="51"/>
      <c r="AH564" s="39">
        <f>IF(ISNUMBER($AD564),($AD564+$AE564+$AF564)*$AG564,"")</f>
      </c>
      <c r="AI564" s="50"/>
      <c r="AJ564" s="38">
        <f>IF(ISNUMBER($AD564),SUM($AD564:$AH564),"")</f>
      </c>
      <c r="AK564" s="40">
        <f>IF(AND(ISNUMBER($AB564),ISNUMBER($AD564)),IF($AB564&gt;0,$AD564/$AB564,""),"")</f>
      </c>
      <c r="AL564" s="48" t="inlineStr">
        <is>
          <t xml:space="preserve">At technical</t>
        </is>
      </c>
      <c r="AM564" s="41">
        <f>IF(ISNUMBER($AD564),Header!$I$3,"")</f>
      </c>
      <c r="AN564" s="39">
        <f>IF(ISNUMBER($AD564),$AO564+$AP564,"")</f>
      </c>
      <c r="AO564" s="39">
        <f>IF(ISNUMBER($AD564),ROUND($AD564*Header!$K$3,2),"")</f>
      </c>
      <c r="AP564" s="39">
        <f>IF(ISNUMBER($AD564),ROUND($AD564*Header!$M$3,2),"")</f>
      </c>
      <c r="AQ564" s="38">
        <f>IF(ISNUMBER($AD564),ROUND($AD564,2)-$AO564-$AP564,"")</f>
      </c>
      <c r="AR564" s="39">
        <f>IF(ISNUMBER($AD564),IF(Header!$D$34="","?",$AD564*Header!$D$34),"")</f>
      </c>
      <c r="AS564" s="39">
        <f>IF(ISNUMBER($AB564),IF(Header!$D$34="","?",$AB564*Header!$D$34),"")</f>
      </c>
      <c r="AT564" s="42">
        <f>IF(AND(ISNUMBER($AB564),$M564&gt;0),$AB564/$M564*100,"")</f>
      </c>
      <c r="AU564" s="42">
        <f>IF(AND(ISNUMBER($AD564),$M564&gt;0),$AD564/$M564*100,"")</f>
      </c>
      <c r="AV564" s="40">
        <f>IF(AND(ISNUMBER($AB564),ISNUMBER($AD564),ABS($AB564)&gt;0),$AD564/$AB564,"")</f>
      </c>
      <c r="AW564" s="39">
        <f>IF(ISNUMBER($AD564),MAX(0,(1-0.55-Header!$O$3)*Header!$Q$3*$AQ564),"")</f>
      </c>
      <c r="AX564" s="43">
        <f>IF($A564="","",IF(TRIM(IF($A564="","Missing certificate ref. ","") &amp; IF($C564="","Missing effective date. ","") &amp; IF($D564="","Missing binding status. ","") &amp; IF($E564="","Missing movement type. ","") &amp; IF($I564="","Missing make. ","") &amp; IF($L564="","Missing vehicle class. ","") &amp; IF($M564="","Missing agreed value. ","") &amp; IF($N564="","Missing policy type. ","") &amp; IF($Q564="","Missing garaging state. ","") &amp; IF($R564="","Missing garaging ZIP. ","") &amp; IF($S564="","Missing cat zone. ","") &amp; IF($V564="","Missing valuation basis. ","") &amp; IF($W564="","Missing PD deductible. ","") &amp; IF($X564="","Missing liability limit. ","") &amp; IF($AB564="","Missing technical premium. ","") &amp; IF($AF564="","Missing surplus lines tax %. ",""))="","PASS","FAIL: "&amp;TRIM(IF($A564="","Missing certificate ref. ","") &amp; IF($C564="","Missing effective date. ","") &amp; IF($D564="","Missing binding status. ","") &amp; IF($E564="","Missing movement type. ","") &amp; IF($I564="","Missing make. ","") &amp; IF($L564="","Missing vehicle class. ","") &amp; IF($M564="","Missing agreed value. ","") &amp; IF($N564="","Missing policy type. ","") &amp; IF($Q564="","Missing garaging state. ","") &amp; IF($R564="","Missing garaging ZIP. ","") &amp; IF($S564="","Missing cat zone. ","") &amp; IF($V564="","Missing valuation basis. ","") &amp; IF($W564="","Missing PD deductible. ","") &amp; IF($X564="","Missing liability limit. ","") &amp; IF($AB564="","Missing technical premium. ","") &amp; IF($AF564="","Missing surplus lines tax %. ",""))))</f>
      </c>
      <c r="AY564" s="44">
        <f>IF($M564="","",IF(ISNUMBER($M564),IF($M564&gt;=Header!$C$18,"YES — refer","No"),""))</f>
      </c>
      <c r="AZ564" s="44">
        <f>IF($AD564="","",IF(ISNUMBER($AD564),IF($AD564&lt;Header!$C$20,"BELOW MIN PREMIUM","OK"),""))</f>
      </c>
      <c r="BA564" s="48" t="inlineStr">
        <is>
          <t xml:space="preserve">Yes</t>
        </is>
      </c>
      <c r="BB564" s="48" t="inlineStr">
        <is>
          <t xml:space="preserve">Yes</t>
        </is>
      </c>
      <c r="BC564" s="46" t="inlineStr">
        <is>
          <t xml:space="preserve">Synthetic demo data</t>
        </is>
      </c>
      <c r="BE564" s="45">
        <f>IF(OR($A564="",$L564="",$H564=""),"",IF(AND(LEFT($L564,2)="06",$H564&gt;1945),"FAIL - pre-war class, year "&amp;$H564,IF(AND(LEFT($L564,2)="07",OR($H564&lt;1946,$H564&gt;1972)),"FAIL - 1946-72 class, year "&amp;$H564,IF(AND(LEFT($L564,2)="08",OR($H564&lt;1973,$H564&gt;1999)),"FAIL - 1973-99 class, year "&amp;$H564,IF(AND(LEFT($L564,2)="09",OR($H564&lt;2000,$H564&gt;2010)),"FAIL - 2000-10 class, year "&amp;$H564,"OK")))))</f>
      </c>
      <c r="BF564" s="45">
        <f>IF($AD564="","",IF(ROUND($AO564+$AP564+$AQ564-$AD564,2)=0,"OK","FAIL - out by "&amp;TEXT($AO564+$AP564+$AQ564-$AD564,"$0.00")))</f>
      </c>
    </row>
    <row r="565" spans="1:58" ht="18.75" customHeight="1" x14ac:dyDescent="0.25">
      <c r="A565" s="30" t="inlineStr">
        <is>
          <t xml:space="preserve">CANON-202511-002937</t>
        </is>
      </c>
      <c r="B565" s="30" t="inlineStr">
        <is>
          <t xml:space="preserve">Ingrid Merriweather</t>
        </is>
      </c>
      <c r="C565" s="31">
        <v>45962</v>
      </c>
      <c r="D565" s="32" t="inlineStr">
        <is>
          <t xml:space="preserve">Bound - within authority</t>
        </is>
      </c>
      <c r="E565" s="32" t="inlineStr">
        <is>
          <t xml:space="preserve">New business</t>
        </is>
      </c>
      <c r="F565" s="30" t="inlineStr">
        <is>
          <t xml:space="preserve">B1234EXOTIC26</t>
        </is>
      </c>
      <c r="G565" s="33">
        <f>IF($A565="","",IF($C565="","",YEAR($C565)))</f>
      </c>
      <c r="H565" s="34">
        <v>1984</v>
      </c>
      <c r="I565" s="30" t="inlineStr">
        <is>
          <t xml:space="preserve">Alfa Romeo</t>
        </is>
      </c>
      <c r="J565" s="30" t="inlineStr">
        <is>
          <t xml:space="preserve">8C 2900</t>
        </is>
      </c>
      <c r="K565" s="30" t="inlineStr">
        <is>
          <t xml:space="preserve">S2C1SWXKHY8CBZN4S</t>
        </is>
      </c>
      <c r="L565" s="32" t="inlineStr">
        <is>
          <t xml:space="preserve">08 - Modern Classic (1973-1999)</t>
        </is>
      </c>
      <c r="M565" s="35">
        <v>1950000</v>
      </c>
      <c r="N565" s="32" t="inlineStr">
        <is>
          <t xml:space="preserve">Personal</t>
        </is>
      </c>
      <c r="O565" s="30" t="inlineStr">
        <is>
          <t xml:space="preserve">Personal - regular use</t>
        </is>
      </c>
      <c r="P565" s="30" t="inlineStr">
        <is>
          <t xml:space="preserve">2,500 - 5,000</t>
        </is>
      </c>
      <c r="Q565" s="30" t="inlineStr">
        <is>
          <t xml:space="preserve">Kansas</t>
        </is>
      </c>
      <c r="R565" s="30" t="inlineStr">
        <is>
          <t xml:space="preserve">66603</t>
        </is>
      </c>
      <c r="S565" s="32" t="inlineStr">
        <is>
          <t xml:space="preserve">Severe convective - hail alley (high)</t>
        </is>
      </c>
      <c r="T565" s="36">
        <f>IF($A565="","",IF($S565="","",IFERROR(INDEX('[1]natural catastrophe'!$D$6:$D$17,MATCH($S565,'[1]natural catastrophe'!$B$6:$B$17,0)),"?")))</f>
      </c>
      <c r="U565" s="30" t="inlineStr">
        <is>
          <t xml:space="preserve">$5,000</t>
        </is>
      </c>
      <c r="V565" s="32" t="inlineStr">
        <is>
          <t xml:space="preserve">Agreed Value</t>
        </is>
      </c>
      <c r="W565" s="30" t="inlineStr">
        <is>
          <t xml:space="preserve">$1,000</t>
        </is>
      </c>
      <c r="X565" s="32" t="inlineStr">
        <is>
          <t xml:space="preserve">$1,000,000 CSL</t>
        </is>
      </c>
      <c r="Y565" s="30"/>
      <c r="Z565" s="30"/>
      <c r="AA565" s="32" t="inlineStr">
        <is>
          <t xml:space="preserve">Surplus Lines</t>
        </is>
      </c>
      <c r="AB565" s="35">
        <v>11156.14</v>
      </c>
      <c r="AC565" s="37">
        <v>0</v>
      </c>
      <c r="AD565" s="38">
        <f>IF(ISNUMBER($AB565),$AB565*(1+N($AC565)),"")</f>
      </c>
      <c r="AE565" s="35">
        <v>350</v>
      </c>
      <c r="AF565" s="35">
        <v>250</v>
      </c>
      <c r="AG565" s="37"/>
      <c r="AH565" s="39">
        <f>IF(ISNUMBER($AD565),($AD565+$AE565+$AF565)*$AG565,"")</f>
      </c>
      <c r="AI565" s="35"/>
      <c r="AJ565" s="38">
        <f>IF(ISNUMBER($AD565),SUM($AD565:$AH565),"")</f>
      </c>
      <c r="AK565" s="40">
        <f>IF(AND(ISNUMBER($AB565),ISNUMBER($AD565)),IF($AB565&gt;0,$AD565/$AB565,""),"")</f>
      </c>
      <c r="AL565" s="32" t="inlineStr">
        <is>
          <t xml:space="preserve">At technical</t>
        </is>
      </c>
      <c r="AM565" s="41">
        <f>IF(ISNUMBER($AD565),Header!$I$3,"")</f>
      </c>
      <c r="AN565" s="39">
        <f>IF(ISNUMBER($AD565),$AO565+$AP565,"")</f>
      </c>
      <c r="AO565" s="39">
        <f>IF(ISNUMBER($AD565),ROUND($AD565*Header!$K$3,2),"")</f>
      </c>
      <c r="AP565" s="39">
        <f>IF(ISNUMBER($AD565),ROUND($AD565*Header!$M$3,2),"")</f>
      </c>
      <c r="AQ565" s="38">
        <f>IF(ISNUMBER($AD565),ROUND($AD565,2)-$AO565-$AP565,"")</f>
      </c>
      <c r="AR565" s="39">
        <f>IF(ISNUMBER($AD565),IF(Header!$D$34="","?",$AD565*Header!$D$34),"")</f>
      </c>
      <c r="AS565" s="39">
        <f>IF(ISNUMBER($AB565),IF(Header!$D$34="","?",$AB565*Header!$D$34),"")</f>
      </c>
      <c r="AT565" s="42">
        <f>IF(AND(ISNUMBER($AB565),$M565&gt;0),$AB565/$M565*100,"")</f>
      </c>
      <c r="AU565" s="42">
        <f>IF(AND(ISNUMBER($AD565),$M565&gt;0),$AD565/$M565*100,"")</f>
      </c>
      <c r="AV565" s="40">
        <f>IF(AND(ISNUMBER($AB565),ISNUMBER($AD565),ABS($AB565)&gt;0),$AD565/$AB565,"")</f>
      </c>
      <c r="AW565" s="39">
        <f>IF(ISNUMBER($AD565),MAX(0,(1-0.55-Header!$O$3)*Header!$Q$3*$AQ565),"")</f>
      </c>
      <c r="AX565" s="43">
        <f>IF($A565="","",IF(TRIM(IF($A565="","Missing certificate ref. ","") &amp; IF($C565="","Missing effective date. ","") &amp; IF($D565="","Missing binding status. ","") &amp; IF($E565="","Missing movement type. ","") &amp; IF($I565="","Missing make. ","") &amp; IF($L565="","Missing vehicle class. ","") &amp; IF($M565="","Missing agreed value. ","") &amp; IF($N565="","Missing policy type. ","") &amp; IF($Q565="","Missing garaging state. ","") &amp; IF($R565="","Missing garaging ZIP. ","") &amp; IF($S565="","Missing cat zone. ","") &amp; IF($V565="","Missing valuation basis. ","") &amp; IF($W565="","Missing PD deductible. ","") &amp; IF($X565="","Missing liability limit. ","") &amp; IF($AB565="","Missing technical premium. ","") &amp; IF($AF565="","Missing surplus lines tax %. ",""))="","PASS","FAIL: "&amp;TRIM(IF($A565="","Missing certificate ref. ","") &amp; IF($C565="","Missing effective date. ","") &amp; IF($D565="","Missing binding status. ","") &amp; IF($E565="","Missing movement type. ","") &amp; IF($I565="","Missing make. ","") &amp; IF($L565="","Missing vehicle class. ","") &amp; IF($M565="","Missing agreed value. ","") &amp; IF($N565="","Missing policy type. ","") &amp; IF($Q565="","Missing garaging state. ","") &amp; IF($R565="","Missing garaging ZIP. ","") &amp; IF($S565="","Missing cat zone. ","") &amp; IF($V565="","Missing valuation basis. ","") &amp; IF($W565="","Missing PD deductible. ","") &amp; IF($X565="","Missing liability limit. ","") &amp; IF($AB565="","Missing technical premium. ","") &amp; IF($AF565="","Missing surplus lines tax %. ",""))))</f>
      </c>
      <c r="AY565" s="44">
        <f>IF($M565="","",IF(ISNUMBER($M565),IF($M565&gt;=Header!$C$18,"YES — refer","No"),""))</f>
      </c>
      <c r="AZ565" s="44">
        <f>IF($AD565="","",IF(ISNUMBER($AD565),IF($AD565&lt;Header!$C$20,"BELOW MIN PREMIUM","OK"),""))</f>
      </c>
      <c r="BA565" s="32" t="inlineStr">
        <is>
          <t xml:space="preserve">Yes</t>
        </is>
      </c>
      <c r="BB565" s="32" t="inlineStr">
        <is>
          <t xml:space="preserve">Yes</t>
        </is>
      </c>
      <c r="BC565" s="30" t="inlineStr">
        <is>
          <t xml:space="preserve">Synthetic demo data</t>
        </is>
      </c>
      <c r="BE565" s="45">
        <f>IF(OR($A565="",$L565="",$H565=""),"",IF(AND(LEFT($L565,2)="06",$H565&gt;1945),"FAIL - pre-war class, year "&amp;$H565,IF(AND(LEFT($L565,2)="07",OR($H565&lt;1946,$H565&gt;1972)),"FAIL - 1946-72 class, year "&amp;$H565,IF(AND(LEFT($L565,2)="08",OR($H565&lt;1973,$H565&gt;1999)),"FAIL - 1973-99 class, year "&amp;$H565,IF(AND(LEFT($L565,2)="09",OR($H565&lt;2000,$H565&gt;2010)),"FAIL - 2000-10 class, year "&amp;$H565,"OK")))))</f>
      </c>
      <c r="BF565" s="45">
        <f>IF($AD565="","",IF(ROUND($AO565+$AP565+$AQ565-$AD565,2)=0,"OK","FAIL - out by "&amp;TEXT($AO565+$AP565+$AQ565-$AD565,"$0.00")))</f>
      </c>
    </row>
    <row r="566" spans="1:58" ht="18.75" customHeight="1" x14ac:dyDescent="0.25">
      <c r="A566" s="46" t="inlineStr">
        <is>
          <t xml:space="preserve">CANON-202511-002938</t>
        </is>
      </c>
      <c r="B566" s="46" t="inlineStr">
        <is>
          <t xml:space="preserve">Thaddeus Thistlewood</t>
        </is>
      </c>
      <c r="C566" s="47">
        <v>45966</v>
      </c>
      <c r="D566" s="48" t="inlineStr">
        <is>
          <t xml:space="preserve">Bound - within authority</t>
        </is>
      </c>
      <c r="E566" s="48" t="inlineStr">
        <is>
          <t xml:space="preserve">New business</t>
        </is>
      </c>
      <c r="F566" s="46" t="inlineStr">
        <is>
          <t xml:space="preserve">B1234EXOTIC26</t>
        </is>
      </c>
      <c r="G566" s="33">
        <f>IF($A566="","",IF($C566="","",YEAR($C566)))</f>
      </c>
      <c r="H566" s="49">
        <v>1986</v>
      </c>
      <c r="I566" s="46" t="inlineStr">
        <is>
          <t xml:space="preserve">Porsche</t>
        </is>
      </c>
      <c r="J566" s="46" t="inlineStr">
        <is>
          <t xml:space="preserve">911 Turbo S</t>
        </is>
      </c>
      <c r="K566" s="46" t="inlineStr">
        <is>
          <t xml:space="preserve">XKCVA0B6DS5RPGV4Z</t>
        </is>
      </c>
      <c r="L566" s="48" t="inlineStr">
        <is>
          <t xml:space="preserve">02 - Sports / GT</t>
        </is>
      </c>
      <c r="M566" s="50">
        <v>540000</v>
      </c>
      <c r="N566" s="48" t="inlineStr">
        <is>
          <t xml:space="preserve">Personal</t>
        </is>
      </c>
      <c r="O566" s="46" t="inlineStr">
        <is>
          <t xml:space="preserve">Personal - regular use</t>
        </is>
      </c>
      <c r="P566" s="46" t="inlineStr">
        <is>
          <t xml:space="preserve">Under 1,000</t>
        </is>
      </c>
      <c r="Q566" s="46" t="inlineStr">
        <is>
          <t xml:space="preserve">Utah</t>
        </is>
      </c>
      <c r="R566" s="46" t="inlineStr">
        <is>
          <t xml:space="preserve">84101</t>
        </is>
      </c>
      <c r="S566" s="48" t="inlineStr">
        <is>
          <t xml:space="preserve">Wildfire - WUI high hazard</t>
        </is>
      </c>
      <c r="T566" s="36">
        <f>IF($A566="","",IF($S566="","",IFERROR(INDEX('[1]natural catastrophe'!$D$6:$D$17,MATCH($S566,'[1]natural catastrophe'!$B$6:$B$17,0)),"?")))</f>
      </c>
      <c r="U566" s="46" t="inlineStr">
        <is>
          <t xml:space="preserve">$5,000</t>
        </is>
      </c>
      <c r="V566" s="48" t="inlineStr">
        <is>
          <t xml:space="preserve">Agreed Value</t>
        </is>
      </c>
      <c r="W566" s="46" t="inlineStr">
        <is>
          <t xml:space="preserve">$1,000</t>
        </is>
      </c>
      <c r="X566" s="48" t="inlineStr">
        <is>
          <t xml:space="preserve">$1,000,000 CSL</t>
        </is>
      </c>
      <c r="Y566" s="46"/>
      <c r="Z566" s="46"/>
      <c r="AA566" s="48" t="inlineStr">
        <is>
          <t xml:space="preserve">Surplus Lines</t>
        </is>
      </c>
      <c r="AB566" s="50">
        <v>8219.96</v>
      </c>
      <c r="AC566" s="51">
        <v>0</v>
      </c>
      <c r="AD566" s="38">
        <f>IF(ISNUMBER($AB566),$AB566*(1+N($AC566)),"")</f>
      </c>
      <c r="AE566" s="50">
        <v>350</v>
      </c>
      <c r="AF566" s="50">
        <v>0</v>
      </c>
      <c r="AG566" s="51"/>
      <c r="AH566" s="39">
        <f>IF(ISNUMBER($AD566),($AD566+$AE566+$AF566)*$AG566,"")</f>
      </c>
      <c r="AI566" s="50"/>
      <c r="AJ566" s="38">
        <f>IF(ISNUMBER($AD566),SUM($AD566:$AH566),"")</f>
      </c>
      <c r="AK566" s="40">
        <f>IF(AND(ISNUMBER($AB566),ISNUMBER($AD566)),IF($AB566&gt;0,$AD566/$AB566,""),"")</f>
      </c>
      <c r="AL566" s="48" t="inlineStr">
        <is>
          <t xml:space="preserve">At technical</t>
        </is>
      </c>
      <c r="AM566" s="41">
        <f>IF(ISNUMBER($AD566),Header!$I$3,"")</f>
      </c>
      <c r="AN566" s="39">
        <f>IF(ISNUMBER($AD566),$AO566+$AP566,"")</f>
      </c>
      <c r="AO566" s="39">
        <f>IF(ISNUMBER($AD566),ROUND($AD566*Header!$K$3,2),"")</f>
      </c>
      <c r="AP566" s="39">
        <f>IF(ISNUMBER($AD566),ROUND($AD566*Header!$M$3,2),"")</f>
      </c>
      <c r="AQ566" s="38">
        <f>IF(ISNUMBER($AD566),ROUND($AD566,2)-$AO566-$AP566,"")</f>
      </c>
      <c r="AR566" s="39">
        <f>IF(ISNUMBER($AD566),IF(Header!$D$34="","?",$AD566*Header!$D$34),"")</f>
      </c>
      <c r="AS566" s="39">
        <f>IF(ISNUMBER($AB566),IF(Header!$D$34="","?",$AB566*Header!$D$34),"")</f>
      </c>
      <c r="AT566" s="42">
        <f>IF(AND(ISNUMBER($AB566),$M566&gt;0),$AB566/$M566*100,"")</f>
      </c>
      <c r="AU566" s="42">
        <f>IF(AND(ISNUMBER($AD566),$M566&gt;0),$AD566/$M566*100,"")</f>
      </c>
      <c r="AV566" s="40">
        <f>IF(AND(ISNUMBER($AB566),ISNUMBER($AD566),ABS($AB566)&gt;0),$AD566/$AB566,"")</f>
      </c>
      <c r="AW566" s="39">
        <f>IF(ISNUMBER($AD566),MAX(0,(1-0.55-Header!$O$3)*Header!$Q$3*$AQ566),"")</f>
      </c>
      <c r="AX566" s="43">
        <f>IF($A566="","",IF(TRIM(IF($A566="","Missing certificate ref. ","") &amp; IF($C566="","Missing effective date. ","") &amp; IF($D566="","Missing binding status. ","") &amp; IF($E566="","Missing movement type. ","") &amp; IF($I566="","Missing make. ","") &amp; IF($L566="","Missing vehicle class. ","") &amp; IF($M566="","Missing agreed value. ","") &amp; IF($N566="","Missing policy type. ","") &amp; IF($Q566="","Missing garaging state. ","") &amp; IF($R566="","Missing garaging ZIP. ","") &amp; IF($S566="","Missing cat zone. ","") &amp; IF($V566="","Missing valuation basis. ","") &amp; IF($W566="","Missing PD deductible. ","") &amp; IF($X566="","Missing liability limit. ","") &amp; IF($AB566="","Missing technical premium. ","") &amp; IF($AF566="","Missing surplus lines tax %. ",""))="","PASS","FAIL: "&amp;TRIM(IF($A566="","Missing certificate ref. ","") &amp; IF($C566="","Missing effective date. ","") &amp; IF($D566="","Missing binding status. ","") &amp; IF($E566="","Missing movement type. ","") &amp; IF($I566="","Missing make. ","") &amp; IF($L566="","Missing vehicle class. ","") &amp; IF($M566="","Missing agreed value. ","") &amp; IF($N566="","Missing policy type. ","") &amp; IF($Q566="","Missing garaging state. ","") &amp; IF($R566="","Missing garaging ZIP. ","") &amp; IF($S566="","Missing cat zone. ","") &amp; IF($V566="","Missing valuation basis. ","") &amp; IF($W566="","Missing PD deductible. ","") &amp; IF($X566="","Missing liability limit. ","") &amp; IF($AB566="","Missing technical premium. ","") &amp; IF($AF566="","Missing surplus lines tax %. ",""))))</f>
      </c>
      <c r="AY566" s="44">
        <f>IF($M566="","",IF(ISNUMBER($M566),IF($M566&gt;=Header!$C$18,"YES — refer","No"),""))</f>
      </c>
      <c r="AZ566" s="44">
        <f>IF($AD566="","",IF(ISNUMBER($AD566),IF($AD566&lt;Header!$C$20,"BELOW MIN PREMIUM","OK"),""))</f>
      </c>
      <c r="BA566" s="48" t="inlineStr">
        <is>
          <t xml:space="preserve">Yes</t>
        </is>
      </c>
      <c r="BB566" s="48" t="inlineStr">
        <is>
          <t xml:space="preserve">Yes</t>
        </is>
      </c>
      <c r="BC566" s="46" t="inlineStr">
        <is>
          <t xml:space="preserve">Synthetic demo data</t>
        </is>
      </c>
      <c r="BE566" s="45">
        <f>IF(OR($A566="",$L566="",$H566=""),"",IF(AND(LEFT($L566,2)="06",$H566&gt;1945),"FAIL - pre-war class, year "&amp;$H566,IF(AND(LEFT($L566,2)="07",OR($H566&lt;1946,$H566&gt;1972)),"FAIL - 1946-72 class, year "&amp;$H566,IF(AND(LEFT($L566,2)="08",OR($H566&lt;1973,$H566&gt;1999)),"FAIL - 1973-99 class, year "&amp;$H566,IF(AND(LEFT($L566,2)="09",OR($H566&lt;2000,$H566&gt;2010)),"FAIL - 2000-10 class, year "&amp;$H566,"OK")))))</f>
      </c>
      <c r="BF566" s="45">
        <f>IF($AD566="","",IF(ROUND($AO566+$AP566+$AQ566-$AD566,2)=0,"OK","FAIL - out by "&amp;TEXT($AO566+$AP566+$AQ566-$AD566,"$0.00")))</f>
      </c>
    </row>
    <row r="567" spans="1:58" ht="18.75" customHeight="1" x14ac:dyDescent="0.25">
      <c r="A567" s="30" t="inlineStr">
        <is>
          <t xml:space="preserve">CANON-202511-002939</t>
        </is>
      </c>
      <c r="B567" s="30" t="inlineStr">
        <is>
          <t xml:space="preserve">Aurelio Rourke</t>
        </is>
      </c>
      <c r="C567" s="31">
        <v>45963</v>
      </c>
      <c r="D567" s="32" t="inlineStr">
        <is>
          <t xml:space="preserve">Bound - within authority</t>
        </is>
      </c>
      <c r="E567" s="32" t="inlineStr">
        <is>
          <t xml:space="preserve">New business</t>
        </is>
      </c>
      <c r="F567" s="30" t="inlineStr">
        <is>
          <t xml:space="preserve">B1234EXOTIC26</t>
        </is>
      </c>
      <c r="G567" s="33">
        <f>IF($A567="","",IF($C567="","",YEAR($C567)))</f>
      </c>
      <c r="H567" s="34">
        <v>1970</v>
      </c>
      <c r="I567" s="30" t="inlineStr">
        <is>
          <t xml:space="preserve">Alfa Romeo</t>
        </is>
      </c>
      <c r="J567" s="30" t="inlineStr">
        <is>
          <t xml:space="preserve">8C 2900</t>
        </is>
      </c>
      <c r="K567" s="30" t="inlineStr">
        <is>
          <t xml:space="preserve">5A6HAT5YCFSH1TYL9</t>
        </is>
      </c>
      <c r="L567" s="32" t="inlineStr">
        <is>
          <t xml:space="preserve">07 - Post-War Classic (1946-1972)</t>
        </is>
      </c>
      <c r="M567" s="35">
        <v>900000</v>
      </c>
      <c r="N567" s="32" t="inlineStr">
        <is>
          <t xml:space="preserve">Personal</t>
        </is>
      </c>
      <c r="O567" s="30" t="inlineStr">
        <is>
          <t xml:space="preserve">Personal - regular use</t>
        </is>
      </c>
      <c r="P567" s="30" t="inlineStr">
        <is>
          <t xml:space="preserve">Under 1,000</t>
        </is>
      </c>
      <c r="Q567" s="30" t="inlineStr">
        <is>
          <t xml:space="preserve">Arkansas</t>
        </is>
      </c>
      <c r="R567" s="30" t="inlineStr">
        <is>
          <t xml:space="preserve">72201</t>
        </is>
      </c>
      <c r="S567" s="32" t="inlineStr">
        <is>
          <t xml:space="preserve">Severe convective - hail / tornado (moderate)</t>
        </is>
      </c>
      <c r="T567" s="36">
        <f>IF($A567="","",IF($S567="","",IFERROR(INDEX('[1]natural catastrophe'!$D$6:$D$17,MATCH($S567,'[1]natural catastrophe'!$B$6:$B$17,0)),"?")))</f>
      </c>
      <c r="U567" s="30" t="inlineStr">
        <is>
          <t xml:space="preserve">$5,000</t>
        </is>
      </c>
      <c r="V567" s="32" t="inlineStr">
        <is>
          <t xml:space="preserve">Agreed Value</t>
        </is>
      </c>
      <c r="W567" s="30" t="inlineStr">
        <is>
          <t xml:space="preserve">$1,000</t>
        </is>
      </c>
      <c r="X567" s="32" t="inlineStr">
        <is>
          <t xml:space="preserve">$1,000,000 CSL</t>
        </is>
      </c>
      <c r="Y567" s="30"/>
      <c r="Z567" s="30"/>
      <c r="AA567" s="32" t="inlineStr">
        <is>
          <t xml:space="preserve">Surplus Lines</t>
        </is>
      </c>
      <c r="AB567" s="35">
        <v>8187.17</v>
      </c>
      <c r="AC567" s="37">
        <v>0</v>
      </c>
      <c r="AD567" s="38">
        <f>IF(ISNUMBER($AB567),$AB567*(1+N($AC567)),"")</f>
      </c>
      <c r="AE567" s="35">
        <v>350</v>
      </c>
      <c r="AF567" s="35">
        <v>0</v>
      </c>
      <c r="AG567" s="37"/>
      <c r="AH567" s="39">
        <f>IF(ISNUMBER($AD567),($AD567+$AE567+$AF567)*$AG567,"")</f>
      </c>
      <c r="AI567" s="35"/>
      <c r="AJ567" s="38">
        <f>IF(ISNUMBER($AD567),SUM($AD567:$AH567),"")</f>
      </c>
      <c r="AK567" s="40">
        <f>IF(AND(ISNUMBER($AB567),ISNUMBER($AD567)),IF($AB567&gt;0,$AD567/$AB567,""),"")</f>
      </c>
      <c r="AL567" s="32" t="inlineStr">
        <is>
          <t xml:space="preserve">At technical</t>
        </is>
      </c>
      <c r="AM567" s="41">
        <f>IF(ISNUMBER($AD567),Header!$I$3,"")</f>
      </c>
      <c r="AN567" s="39">
        <f>IF(ISNUMBER($AD567),$AO567+$AP567,"")</f>
      </c>
      <c r="AO567" s="39">
        <f>IF(ISNUMBER($AD567),ROUND($AD567*Header!$K$3,2),"")</f>
      </c>
      <c r="AP567" s="39">
        <f>IF(ISNUMBER($AD567),ROUND($AD567*Header!$M$3,2),"")</f>
      </c>
      <c r="AQ567" s="38">
        <f>IF(ISNUMBER($AD567),ROUND($AD567,2)-$AO567-$AP567,"")</f>
      </c>
      <c r="AR567" s="39">
        <f>IF(ISNUMBER($AD567),IF(Header!$D$34="","?",$AD567*Header!$D$34),"")</f>
      </c>
      <c r="AS567" s="39">
        <f>IF(ISNUMBER($AB567),IF(Header!$D$34="","?",$AB567*Header!$D$34),"")</f>
      </c>
      <c r="AT567" s="42">
        <f>IF(AND(ISNUMBER($AB567),$M567&gt;0),$AB567/$M567*100,"")</f>
      </c>
      <c r="AU567" s="42">
        <f>IF(AND(ISNUMBER($AD567),$M567&gt;0),$AD567/$M567*100,"")</f>
      </c>
      <c r="AV567" s="40">
        <f>IF(AND(ISNUMBER($AB567),ISNUMBER($AD567),ABS($AB567)&gt;0),$AD567/$AB567,"")</f>
      </c>
      <c r="AW567" s="39">
        <f>IF(ISNUMBER($AD567),MAX(0,(1-0.55-Header!$O$3)*Header!$Q$3*$AQ567),"")</f>
      </c>
      <c r="AX567" s="43">
        <f>IF($A567="","",IF(TRIM(IF($A567="","Missing certificate ref. ","") &amp; IF($C567="","Missing effective date. ","") &amp; IF($D567="","Missing binding status. ","") &amp; IF($E567="","Missing movement type. ","") &amp; IF($I567="","Missing make. ","") &amp; IF($L567="","Missing vehicle class. ","") &amp; IF($M567="","Missing agreed value. ","") &amp; IF($N567="","Missing policy type. ","") &amp; IF($Q567="","Missing garaging state. ","") &amp; IF($R567="","Missing garaging ZIP. ","") &amp; IF($S567="","Missing cat zone. ","") &amp; IF($V567="","Missing valuation basis. ","") &amp; IF($W567="","Missing PD deductible. ","") &amp; IF($X567="","Missing liability limit. ","") &amp; IF($AB567="","Missing technical premium. ","") &amp; IF($AF567="","Missing surplus lines tax %. ",""))="","PASS","FAIL: "&amp;TRIM(IF($A567="","Missing certificate ref. ","") &amp; IF($C567="","Missing effective date. ","") &amp; IF($D567="","Missing binding status. ","") &amp; IF($E567="","Missing movement type. ","") &amp; IF($I567="","Missing make. ","") &amp; IF($L567="","Missing vehicle class. ","") &amp; IF($M567="","Missing agreed value. ","") &amp; IF($N567="","Missing policy type. ","") &amp; IF($Q567="","Missing garaging state. ","") &amp; IF($R567="","Missing garaging ZIP. ","") &amp; IF($S567="","Missing cat zone. ","") &amp; IF($V567="","Missing valuation basis. ","") &amp; IF($W567="","Missing PD deductible. ","") &amp; IF($X567="","Missing liability limit. ","") &amp; IF($AB567="","Missing technical premium. ","") &amp; IF($AF567="","Missing surplus lines tax %. ",""))))</f>
      </c>
      <c r="AY567" s="44">
        <f>IF($M567="","",IF(ISNUMBER($M567),IF($M567&gt;=Header!$C$18,"YES — refer","No"),""))</f>
      </c>
      <c r="AZ567" s="44">
        <f>IF($AD567="","",IF(ISNUMBER($AD567),IF($AD567&lt;Header!$C$20,"BELOW MIN PREMIUM","OK"),""))</f>
      </c>
      <c r="BA567" s="32" t="inlineStr">
        <is>
          <t xml:space="preserve">Yes</t>
        </is>
      </c>
      <c r="BB567" s="32" t="inlineStr">
        <is>
          <t xml:space="preserve">Yes</t>
        </is>
      </c>
      <c r="BC567" s="30" t="inlineStr">
        <is>
          <t xml:space="preserve">Synthetic demo data</t>
        </is>
      </c>
      <c r="BE567" s="45">
        <f>IF(OR($A567="",$L567="",$H567=""),"",IF(AND(LEFT($L567,2)="06",$H567&gt;1945),"FAIL - pre-war class, year "&amp;$H567,IF(AND(LEFT($L567,2)="07",OR($H567&lt;1946,$H567&gt;1972)),"FAIL - 1946-72 class, year "&amp;$H567,IF(AND(LEFT($L567,2)="08",OR($H567&lt;1973,$H567&gt;1999)),"FAIL - 1973-99 class, year "&amp;$H567,IF(AND(LEFT($L567,2)="09",OR($H567&lt;2000,$H567&gt;2010)),"FAIL - 2000-10 class, year "&amp;$H567,"OK")))))</f>
      </c>
      <c r="BF567" s="45">
        <f>IF($AD567="","",IF(ROUND($AO567+$AP567+$AQ567-$AD567,2)=0,"OK","FAIL - out by "&amp;TEXT($AO567+$AP567+$AQ567-$AD567,"$0.00")))</f>
      </c>
    </row>
    <row r="568" spans="1:58" ht="18.75" customHeight="1" x14ac:dyDescent="0.25">
      <c r="A568" s="46" t="inlineStr">
        <is>
          <t xml:space="preserve">CANON-202511-002940</t>
        </is>
      </c>
      <c r="B568" s="46" t="inlineStr">
        <is>
          <t xml:space="preserve">Callum Merriweather</t>
        </is>
      </c>
      <c r="C568" s="47">
        <v>45976</v>
      </c>
      <c r="D568" s="48" t="inlineStr">
        <is>
          <t xml:space="preserve">Bound - within authority</t>
        </is>
      </c>
      <c r="E568" s="48" t="inlineStr">
        <is>
          <t xml:space="preserve">New business</t>
        </is>
      </c>
      <c r="F568" s="46" t="inlineStr">
        <is>
          <t xml:space="preserve">B1234EXOTIC26</t>
        </is>
      </c>
      <c r="G568" s="33">
        <f>IF($A568="","",IF($C568="","",YEAR($C568)))</f>
      </c>
      <c r="H568" s="49">
        <v>1981</v>
      </c>
      <c r="I568" s="46" t="inlineStr">
        <is>
          <t xml:space="preserve">Bentley</t>
        </is>
      </c>
      <c r="J568" s="46" t="inlineStr">
        <is>
          <t xml:space="preserve">Continental GT</t>
        </is>
      </c>
      <c r="K568" s="46" t="inlineStr">
        <is>
          <t xml:space="preserve">8YDYNP2U7LZ6GPFS6</t>
        </is>
      </c>
      <c r="L568" s="48" t="inlineStr">
        <is>
          <t xml:space="preserve">02 - Sports / GT</t>
        </is>
      </c>
      <c r="M568" s="50">
        <v>655000</v>
      </c>
      <c r="N568" s="48" t="inlineStr">
        <is>
          <t xml:space="preserve">Personal</t>
        </is>
      </c>
      <c r="O568" s="46" t="inlineStr">
        <is>
          <t xml:space="preserve">Personal - regular use</t>
        </is>
      </c>
      <c r="P568" s="46" t="inlineStr">
        <is>
          <t xml:space="preserve">1,000 - 2,500</t>
        </is>
      </c>
      <c r="Q568" s="46" t="inlineStr">
        <is>
          <t xml:space="preserve">New York</t>
        </is>
      </c>
      <c r="R568" s="46" t="inlineStr">
        <is>
          <t xml:space="preserve">10022</t>
        </is>
      </c>
      <c r="S568" s="48" t="inlineStr">
        <is>
          <t xml:space="preserve">Tier 3 - Coastal wind (25-100 miles)</t>
        </is>
      </c>
      <c r="T568" s="36">
        <f>IF($A568="","",IF($S568="","",IFERROR(INDEX('[1]natural catastrophe'!$D$6:$D$17,MATCH($S568,'[1]natural catastrophe'!$B$6:$B$17,0)),"?")))</f>
      </c>
      <c r="U568" s="46" t="inlineStr">
        <is>
          <t xml:space="preserve">2% of agreed value, minimum $10,000</t>
        </is>
      </c>
      <c r="V568" s="48" t="inlineStr">
        <is>
          <t xml:space="preserve">Agreed Value</t>
        </is>
      </c>
      <c r="W568" s="46" t="inlineStr">
        <is>
          <t xml:space="preserve">$1,000</t>
        </is>
      </c>
      <c r="X568" s="48" t="inlineStr">
        <is>
          <t xml:space="preserve">$1,000,000 CSL</t>
        </is>
      </c>
      <c r="Y568" s="46"/>
      <c r="Z568" s="46"/>
      <c r="AA568" s="48" t="inlineStr">
        <is>
          <t xml:space="preserve">Surplus Lines</t>
        </is>
      </c>
      <c r="AB568" s="50">
        <v>9453.51</v>
      </c>
      <c r="AC568" s="51">
        <v>0</v>
      </c>
      <c r="AD568" s="38">
        <f>IF(ISNUMBER($AB568),$AB568*(1+N($AC568)),"")</f>
      </c>
      <c r="AE568" s="50">
        <v>350</v>
      </c>
      <c r="AF568" s="50">
        <v>0</v>
      </c>
      <c r="AG568" s="51"/>
      <c r="AH568" s="39">
        <f>IF(ISNUMBER($AD568),($AD568+$AE568+$AF568)*$AG568,"")</f>
      </c>
      <c r="AI568" s="50"/>
      <c r="AJ568" s="38">
        <f>IF(ISNUMBER($AD568),SUM($AD568:$AH568),"")</f>
      </c>
      <c r="AK568" s="40">
        <f>IF(AND(ISNUMBER($AB568),ISNUMBER($AD568)),IF($AB568&gt;0,$AD568/$AB568,""),"")</f>
      </c>
      <c r="AL568" s="48" t="inlineStr">
        <is>
          <t xml:space="preserve">At technical</t>
        </is>
      </c>
      <c r="AM568" s="41">
        <f>IF(ISNUMBER($AD568),Header!$I$3,"")</f>
      </c>
      <c r="AN568" s="39">
        <f>IF(ISNUMBER($AD568),$AO568+$AP568,"")</f>
      </c>
      <c r="AO568" s="39">
        <f>IF(ISNUMBER($AD568),ROUND($AD568*Header!$K$3,2),"")</f>
      </c>
      <c r="AP568" s="39">
        <f>IF(ISNUMBER($AD568),ROUND($AD568*Header!$M$3,2),"")</f>
      </c>
      <c r="AQ568" s="38">
        <f>IF(ISNUMBER($AD568),ROUND($AD568,2)-$AO568-$AP568,"")</f>
      </c>
      <c r="AR568" s="39">
        <f>IF(ISNUMBER($AD568),IF(Header!$D$34="","?",$AD568*Header!$D$34),"")</f>
      </c>
      <c r="AS568" s="39">
        <f>IF(ISNUMBER($AB568),IF(Header!$D$34="","?",$AB568*Header!$D$34),"")</f>
      </c>
      <c r="AT568" s="42">
        <f>IF(AND(ISNUMBER($AB568),$M568&gt;0),$AB568/$M568*100,"")</f>
      </c>
      <c r="AU568" s="42">
        <f>IF(AND(ISNUMBER($AD568),$M568&gt;0),$AD568/$M568*100,"")</f>
      </c>
      <c r="AV568" s="40">
        <f>IF(AND(ISNUMBER($AB568),ISNUMBER($AD568),ABS($AB568)&gt;0),$AD568/$AB568,"")</f>
      </c>
      <c r="AW568" s="39">
        <f>IF(ISNUMBER($AD568),MAX(0,(1-0.55-Header!$O$3)*Header!$Q$3*$AQ568),"")</f>
      </c>
      <c r="AX568" s="43">
        <f>IF($A568="","",IF(TRIM(IF($A568="","Missing certificate ref. ","") &amp; IF($C568="","Missing effective date. ","") &amp; IF($D568="","Missing binding status. ","") &amp; IF($E568="","Missing movement type. ","") &amp; IF($I568="","Missing make. ","") &amp; IF($L568="","Missing vehicle class. ","") &amp; IF($M568="","Missing agreed value. ","") &amp; IF($N568="","Missing policy type. ","") &amp; IF($Q568="","Missing garaging state. ","") &amp; IF($R568="","Missing garaging ZIP. ","") &amp; IF($S568="","Missing cat zone. ","") &amp; IF($V568="","Missing valuation basis. ","") &amp; IF($W568="","Missing PD deductible. ","") &amp; IF($X568="","Missing liability limit. ","") &amp; IF($AB568="","Missing technical premium. ","") &amp; IF($AF568="","Missing surplus lines tax %. ",""))="","PASS","FAIL: "&amp;TRIM(IF($A568="","Missing certificate ref. ","") &amp; IF($C568="","Missing effective date. ","") &amp; IF($D568="","Missing binding status. ","") &amp; IF($E568="","Missing movement type. ","") &amp; IF($I568="","Missing make. ","") &amp; IF($L568="","Missing vehicle class. ","") &amp; IF($M568="","Missing agreed value. ","") &amp; IF($N568="","Missing policy type. ","") &amp; IF($Q568="","Missing garaging state. ","") &amp; IF($R568="","Missing garaging ZIP. ","") &amp; IF($S568="","Missing cat zone. ","") &amp; IF($V568="","Missing valuation basis. ","") &amp; IF($W568="","Missing PD deductible. ","") &amp; IF($X568="","Missing liability limit. ","") &amp; IF($AB568="","Missing technical premium. ","") &amp; IF($AF568="","Missing surplus lines tax %. ",""))))</f>
      </c>
      <c r="AY568" s="44">
        <f>IF($M568="","",IF(ISNUMBER($M568),IF($M568&gt;=Header!$C$18,"YES — refer","No"),""))</f>
      </c>
      <c r="AZ568" s="44">
        <f>IF($AD568="","",IF(ISNUMBER($AD568),IF($AD568&lt;Header!$C$20,"BELOW MIN PREMIUM","OK"),""))</f>
      </c>
      <c r="BA568" s="48" t="inlineStr">
        <is>
          <t xml:space="preserve">Yes</t>
        </is>
      </c>
      <c r="BB568" s="48" t="inlineStr">
        <is>
          <t xml:space="preserve">Yes</t>
        </is>
      </c>
      <c r="BC568" s="46" t="inlineStr">
        <is>
          <t xml:space="preserve">Synthetic demo data</t>
        </is>
      </c>
      <c r="BE568" s="45">
        <f>IF(OR($A568="",$L568="",$H568=""),"",IF(AND(LEFT($L568,2)="06",$H568&gt;1945),"FAIL - pre-war class, year "&amp;$H568,IF(AND(LEFT($L568,2)="07",OR($H568&lt;1946,$H568&gt;1972)),"FAIL - 1946-72 class, year "&amp;$H568,IF(AND(LEFT($L568,2)="08",OR($H568&lt;1973,$H568&gt;1999)),"FAIL - 1973-99 class, year "&amp;$H568,IF(AND(LEFT($L568,2)="09",OR($H568&lt;2000,$H568&gt;2010)),"FAIL - 2000-10 class, year "&amp;$H568,"OK")))))</f>
      </c>
      <c r="BF568" s="45">
        <f>IF($AD568="","",IF(ROUND($AO568+$AP568+$AQ568-$AD568,2)=0,"OK","FAIL - out by "&amp;TEXT($AO568+$AP568+$AQ568-$AD568,"$0.00")))</f>
      </c>
    </row>
    <row r="569" spans="1:58" ht="18.75" customHeight="1" x14ac:dyDescent="0.25">
      <c r="A569" s="30" t="inlineStr">
        <is>
          <t xml:space="preserve">CANON-202511-002941</t>
        </is>
      </c>
      <c r="B569" s="30" t="inlineStr">
        <is>
          <t xml:space="preserve">Fitzgerald Pennington</t>
        </is>
      </c>
      <c r="C569" s="31">
        <v>45974</v>
      </c>
      <c r="D569" s="32" t="inlineStr">
        <is>
          <t xml:space="preserve">Bound - within authority</t>
        </is>
      </c>
      <c r="E569" s="32" t="inlineStr">
        <is>
          <t xml:space="preserve">New business</t>
        </is>
      </c>
      <c r="F569" s="30" t="inlineStr">
        <is>
          <t xml:space="preserve">B1234EXOTIC26</t>
        </is>
      </c>
      <c r="G569" s="33">
        <f>IF($A569="","",IF($C569="","",YEAR($C569)))</f>
      </c>
      <c r="H569" s="34">
        <v>1979</v>
      </c>
      <c r="I569" s="30" t="inlineStr">
        <is>
          <t xml:space="preserve">Bentley</t>
        </is>
      </c>
      <c r="J569" s="30" t="inlineStr">
        <is>
          <t xml:space="preserve">Continental GT</t>
        </is>
      </c>
      <c r="K569" s="30" t="inlineStr">
        <is>
          <t xml:space="preserve">AU78KKL3DNRTMC1TV</t>
        </is>
      </c>
      <c r="L569" s="32" t="inlineStr">
        <is>
          <t xml:space="preserve">02 - Sports / GT</t>
        </is>
      </c>
      <c r="M569" s="35">
        <v>860000</v>
      </c>
      <c r="N569" s="32" t="inlineStr">
        <is>
          <t xml:space="preserve">Personal</t>
        </is>
      </c>
      <c r="O569" s="30" t="inlineStr">
        <is>
          <t xml:space="preserve">Personal - regular use</t>
        </is>
      </c>
      <c r="P569" s="30" t="inlineStr">
        <is>
          <t xml:space="preserve">Under 1,000</t>
        </is>
      </c>
      <c r="Q569" s="30" t="inlineStr">
        <is>
          <t xml:space="preserve">Mississippi</t>
        </is>
      </c>
      <c r="R569" s="30" t="inlineStr">
        <is>
          <t xml:space="preserve">39201</t>
        </is>
      </c>
      <c r="S569" s="32" t="inlineStr">
        <is>
          <t xml:space="preserve">Tier 2 - Coastal wind (1-25 miles)</t>
        </is>
      </c>
      <c r="T569" s="36">
        <f>IF($A569="","",IF($S569="","",IFERROR(INDEX('[1]natural catastrophe'!$D$6:$D$17,MATCH($S569,'[1]natural catastrophe'!$B$6:$B$17,0)),"?")))</f>
      </c>
      <c r="U569" s="30" t="inlineStr">
        <is>
          <t xml:space="preserve">2% of agreed value, minimum $10,000</t>
        </is>
      </c>
      <c r="V569" s="32" t="inlineStr">
        <is>
          <t xml:space="preserve">Agreed Value</t>
        </is>
      </c>
      <c r="W569" s="30" t="inlineStr">
        <is>
          <t xml:space="preserve">$1,000</t>
        </is>
      </c>
      <c r="X569" s="32" t="inlineStr">
        <is>
          <t xml:space="preserve">$1,000,000 CSL</t>
        </is>
      </c>
      <c r="Y569" s="30"/>
      <c r="Z569" s="30"/>
      <c r="AA569" s="32" t="inlineStr">
        <is>
          <t xml:space="preserve">Surplus Lines</t>
        </is>
      </c>
      <c r="AB569" s="35">
        <v>11539.51</v>
      </c>
      <c r="AC569" s="37">
        <v>0</v>
      </c>
      <c r="AD569" s="38">
        <f>IF(ISNUMBER($AB569),$AB569*(1+N($AC569)),"")</f>
      </c>
      <c r="AE569" s="35">
        <v>350</v>
      </c>
      <c r="AF569" s="35">
        <v>0</v>
      </c>
      <c r="AG569" s="37"/>
      <c r="AH569" s="39">
        <f>IF(ISNUMBER($AD569),($AD569+$AE569+$AF569)*$AG569,"")</f>
      </c>
      <c r="AI569" s="35"/>
      <c r="AJ569" s="38">
        <f>IF(ISNUMBER($AD569),SUM($AD569:$AH569),"")</f>
      </c>
      <c r="AK569" s="40">
        <f>IF(AND(ISNUMBER($AB569),ISNUMBER($AD569)),IF($AB569&gt;0,$AD569/$AB569,""),"")</f>
      </c>
      <c r="AL569" s="32" t="inlineStr">
        <is>
          <t xml:space="preserve">At technical</t>
        </is>
      </c>
      <c r="AM569" s="41">
        <f>IF(ISNUMBER($AD569),Header!$I$3,"")</f>
      </c>
      <c r="AN569" s="39">
        <f>IF(ISNUMBER($AD569),$AO569+$AP569,"")</f>
      </c>
      <c r="AO569" s="39">
        <f>IF(ISNUMBER($AD569),ROUND($AD569*Header!$K$3,2),"")</f>
      </c>
      <c r="AP569" s="39">
        <f>IF(ISNUMBER($AD569),ROUND($AD569*Header!$M$3,2),"")</f>
      </c>
      <c r="AQ569" s="38">
        <f>IF(ISNUMBER($AD569),ROUND($AD569,2)-$AO569-$AP569,"")</f>
      </c>
      <c r="AR569" s="39">
        <f>IF(ISNUMBER($AD569),IF(Header!$D$34="","?",$AD569*Header!$D$34),"")</f>
      </c>
      <c r="AS569" s="39">
        <f>IF(ISNUMBER($AB569),IF(Header!$D$34="","?",$AB569*Header!$D$34),"")</f>
      </c>
      <c r="AT569" s="42">
        <f>IF(AND(ISNUMBER($AB569),$M569&gt;0),$AB569/$M569*100,"")</f>
      </c>
      <c r="AU569" s="42">
        <f>IF(AND(ISNUMBER($AD569),$M569&gt;0),$AD569/$M569*100,"")</f>
      </c>
      <c r="AV569" s="40">
        <f>IF(AND(ISNUMBER($AB569),ISNUMBER($AD569),ABS($AB569)&gt;0),$AD569/$AB569,"")</f>
      </c>
      <c r="AW569" s="39">
        <f>IF(ISNUMBER($AD569),MAX(0,(1-0.55-Header!$O$3)*Header!$Q$3*$AQ569),"")</f>
      </c>
      <c r="AX569" s="43">
        <f>IF($A569="","",IF(TRIM(IF($A569="","Missing certificate ref. ","") &amp; IF($C569="","Missing effective date. ","") &amp; IF($D569="","Missing binding status. ","") &amp; IF($E569="","Missing movement type. ","") &amp; IF($I569="","Missing make. ","") &amp; IF($L569="","Missing vehicle class. ","") &amp; IF($M569="","Missing agreed value. ","") &amp; IF($N569="","Missing policy type. ","") &amp; IF($Q569="","Missing garaging state. ","") &amp; IF($R569="","Missing garaging ZIP. ","") &amp; IF($S569="","Missing cat zone. ","") &amp; IF($V569="","Missing valuation basis. ","") &amp; IF($W569="","Missing PD deductible. ","") &amp; IF($X569="","Missing liability limit. ","") &amp; IF($AB569="","Missing technical premium. ","") &amp; IF($AF569="","Missing surplus lines tax %. ",""))="","PASS","FAIL: "&amp;TRIM(IF($A569="","Missing certificate ref. ","") &amp; IF($C569="","Missing effective date. ","") &amp; IF($D569="","Missing binding status. ","") &amp; IF($E569="","Missing movement type. ","") &amp; IF($I569="","Missing make. ","") &amp; IF($L569="","Missing vehicle class. ","") &amp; IF($M569="","Missing agreed value. ","") &amp; IF($N569="","Missing policy type. ","") &amp; IF($Q569="","Missing garaging state. ","") &amp; IF($R569="","Missing garaging ZIP. ","") &amp; IF($S569="","Missing cat zone. ","") &amp; IF($V569="","Missing valuation basis. ","") &amp; IF($W569="","Missing PD deductible. ","") &amp; IF($X569="","Missing liability limit. ","") &amp; IF($AB569="","Missing technical premium. ","") &amp; IF($AF569="","Missing surplus lines tax %. ",""))))</f>
      </c>
      <c r="AY569" s="44">
        <f>IF($M569="","",IF(ISNUMBER($M569),IF($M569&gt;=Header!$C$18,"YES — refer","No"),""))</f>
      </c>
      <c r="AZ569" s="44">
        <f>IF($AD569="","",IF(ISNUMBER($AD569),IF($AD569&lt;Header!$C$20,"BELOW MIN PREMIUM","OK"),""))</f>
      </c>
      <c r="BA569" s="32" t="inlineStr">
        <is>
          <t xml:space="preserve">Yes</t>
        </is>
      </c>
      <c r="BB569" s="32" t="inlineStr">
        <is>
          <t xml:space="preserve">Yes</t>
        </is>
      </c>
      <c r="BC569" s="30" t="inlineStr">
        <is>
          <t xml:space="preserve">Synthetic demo data</t>
        </is>
      </c>
      <c r="BE569" s="45">
        <f>IF(OR($A569="",$L569="",$H569=""),"",IF(AND(LEFT($L569,2)="06",$H569&gt;1945),"FAIL - pre-war class, year "&amp;$H569,IF(AND(LEFT($L569,2)="07",OR($H569&lt;1946,$H569&gt;1972)),"FAIL - 1946-72 class, year "&amp;$H569,IF(AND(LEFT($L569,2)="08",OR($H569&lt;1973,$H569&gt;1999)),"FAIL - 1973-99 class, year "&amp;$H569,IF(AND(LEFT($L569,2)="09",OR($H569&lt;2000,$H569&gt;2010)),"FAIL - 2000-10 class, year "&amp;$H569,"OK")))))</f>
      </c>
      <c r="BF569" s="45">
        <f>IF($AD569="","",IF(ROUND($AO569+$AP569+$AQ569-$AD569,2)=0,"OK","FAIL - out by "&amp;TEXT($AO569+$AP569+$AQ569-$AD569,"$0.00")))</f>
      </c>
    </row>
    <row r="570" spans="1:58" ht="18.75" customHeight="1" x14ac:dyDescent="0.25">
      <c r="A570" s="46" t="inlineStr">
        <is>
          <t xml:space="preserve">CANON-202511-002942</t>
        </is>
      </c>
      <c r="B570" s="46" t="inlineStr">
        <is>
          <t xml:space="preserve">Thaddeus Vasquez</t>
        </is>
      </c>
      <c r="C570" s="47">
        <v>45963</v>
      </c>
      <c r="D570" s="48" t="inlineStr">
        <is>
          <t xml:space="preserve">Bound - within authority</t>
        </is>
      </c>
      <c r="E570" s="48" t="inlineStr">
        <is>
          <t xml:space="preserve">New business</t>
        </is>
      </c>
      <c r="F570" s="46" t="inlineStr">
        <is>
          <t xml:space="preserve">B1234EXOTIC26</t>
        </is>
      </c>
      <c r="G570" s="33">
        <f>IF($A570="","",IF($C570="","",YEAR($C570)))</f>
      </c>
      <c r="H570" s="49">
        <v>1966</v>
      </c>
      <c r="I570" s="46" t="inlineStr">
        <is>
          <t xml:space="preserve">Bugatti</t>
        </is>
      </c>
      <c r="J570" s="46" t="inlineStr">
        <is>
          <t xml:space="preserve">Type 57</t>
        </is>
      </c>
      <c r="K570" s="46" t="inlineStr">
        <is>
          <t xml:space="preserve">NG1B5NJDHM5BD5K8F</t>
        </is>
      </c>
      <c r="L570" s="48" t="inlineStr">
        <is>
          <t xml:space="preserve">07 - Post-War Classic (1946-1972)</t>
        </is>
      </c>
      <c r="M570" s="50">
        <v>1250000</v>
      </c>
      <c r="N570" s="48" t="inlineStr">
        <is>
          <t xml:space="preserve">Personal</t>
        </is>
      </c>
      <c r="O570" s="46" t="inlineStr">
        <is>
          <t xml:space="preserve">Personal - regular use</t>
        </is>
      </c>
      <c r="P570" s="46" t="inlineStr">
        <is>
          <t xml:space="preserve">1,000 - 2,500</t>
        </is>
      </c>
      <c r="Q570" s="46" t="inlineStr">
        <is>
          <t xml:space="preserve">Ohio</t>
        </is>
      </c>
      <c r="R570" s="46" t="inlineStr">
        <is>
          <t xml:space="preserve">43215</t>
        </is>
      </c>
      <c r="S570" s="48" t="inlineStr">
        <is>
          <t xml:space="preserve">Severe convective - hail / tornado (moderate)</t>
        </is>
      </c>
      <c r="T570" s="36">
        <f>IF($A570="","",IF($S570="","",IFERROR(INDEX('[1]natural catastrophe'!$D$6:$D$17,MATCH($S570,'[1]natural catastrophe'!$B$6:$B$17,0)),"?")))</f>
      </c>
      <c r="U570" s="46" t="inlineStr">
        <is>
          <t xml:space="preserve">$5,000</t>
        </is>
      </c>
      <c r="V570" s="48" t="inlineStr">
        <is>
          <t xml:space="preserve">Agreed Value</t>
        </is>
      </c>
      <c r="W570" s="46" t="inlineStr">
        <is>
          <t xml:space="preserve">$1,000</t>
        </is>
      </c>
      <c r="X570" s="48" t="inlineStr">
        <is>
          <t xml:space="preserve">$1,000,000 CSL</t>
        </is>
      </c>
      <c r="Y570" s="46"/>
      <c r="Z570" s="46"/>
      <c r="AA570" s="48" t="inlineStr">
        <is>
          <t xml:space="preserve">Surplus Lines</t>
        </is>
      </c>
      <c r="AB570" s="50">
        <v>10247.84</v>
      </c>
      <c r="AC570" s="51">
        <v>0</v>
      </c>
      <c r="AD570" s="38">
        <f>IF(ISNUMBER($AB570),$AB570*(1+N($AC570)),"")</f>
      </c>
      <c r="AE570" s="50">
        <v>350</v>
      </c>
      <c r="AF570" s="50">
        <v>250</v>
      </c>
      <c r="AG570" s="51"/>
      <c r="AH570" s="39">
        <f>IF(ISNUMBER($AD570),($AD570+$AE570+$AF570)*$AG570,"")</f>
      </c>
      <c r="AI570" s="50"/>
      <c r="AJ570" s="38">
        <f>IF(ISNUMBER($AD570),SUM($AD570:$AH570),"")</f>
      </c>
      <c r="AK570" s="40">
        <f>IF(AND(ISNUMBER($AB570),ISNUMBER($AD570)),IF($AB570&gt;0,$AD570/$AB570,""),"")</f>
      </c>
      <c r="AL570" s="48" t="inlineStr">
        <is>
          <t xml:space="preserve">At technical</t>
        </is>
      </c>
      <c r="AM570" s="41">
        <f>IF(ISNUMBER($AD570),Header!$I$3,"")</f>
      </c>
      <c r="AN570" s="39">
        <f>IF(ISNUMBER($AD570),$AO570+$AP570,"")</f>
      </c>
      <c r="AO570" s="39">
        <f>IF(ISNUMBER($AD570),ROUND($AD570*Header!$K$3,2),"")</f>
      </c>
      <c r="AP570" s="39">
        <f>IF(ISNUMBER($AD570),ROUND($AD570*Header!$M$3,2),"")</f>
      </c>
      <c r="AQ570" s="38">
        <f>IF(ISNUMBER($AD570),ROUND($AD570,2)-$AO570-$AP570,"")</f>
      </c>
      <c r="AR570" s="39">
        <f>IF(ISNUMBER($AD570),IF(Header!$D$34="","?",$AD570*Header!$D$34),"")</f>
      </c>
      <c r="AS570" s="39">
        <f>IF(ISNUMBER($AB570),IF(Header!$D$34="","?",$AB570*Header!$D$34),"")</f>
      </c>
      <c r="AT570" s="42">
        <f>IF(AND(ISNUMBER($AB570),$M570&gt;0),$AB570/$M570*100,"")</f>
      </c>
      <c r="AU570" s="42">
        <f>IF(AND(ISNUMBER($AD570),$M570&gt;0),$AD570/$M570*100,"")</f>
      </c>
      <c r="AV570" s="40">
        <f>IF(AND(ISNUMBER($AB570),ISNUMBER($AD570),ABS($AB570)&gt;0),$AD570/$AB570,"")</f>
      </c>
      <c r="AW570" s="39">
        <f>IF(ISNUMBER($AD570),MAX(0,(1-0.55-Header!$O$3)*Header!$Q$3*$AQ570),"")</f>
      </c>
      <c r="AX570" s="43">
        <f>IF($A570="","",IF(TRIM(IF($A570="","Missing certificate ref. ","") &amp; IF($C570="","Missing effective date. ","") &amp; IF($D570="","Missing binding status. ","") &amp; IF($E570="","Missing movement type. ","") &amp; IF($I570="","Missing make. ","") &amp; IF($L570="","Missing vehicle class. ","") &amp; IF($M570="","Missing agreed value. ","") &amp; IF($N570="","Missing policy type. ","") &amp; IF($Q570="","Missing garaging state. ","") &amp; IF($R570="","Missing garaging ZIP. ","") &amp; IF($S570="","Missing cat zone. ","") &amp; IF($V570="","Missing valuation basis. ","") &amp; IF($W570="","Missing PD deductible. ","") &amp; IF($X570="","Missing liability limit. ","") &amp; IF($AB570="","Missing technical premium. ","") &amp; IF($AF570="","Missing surplus lines tax %. ",""))="","PASS","FAIL: "&amp;TRIM(IF($A570="","Missing certificate ref. ","") &amp; IF($C570="","Missing effective date. ","") &amp; IF($D570="","Missing binding status. ","") &amp; IF($E570="","Missing movement type. ","") &amp; IF($I570="","Missing make. ","") &amp; IF($L570="","Missing vehicle class. ","") &amp; IF($M570="","Missing agreed value. ","") &amp; IF($N570="","Missing policy type. ","") &amp; IF($Q570="","Missing garaging state. ","") &amp; IF($R570="","Missing garaging ZIP. ","") &amp; IF($S570="","Missing cat zone. ","") &amp; IF($V570="","Missing valuation basis. ","") &amp; IF($W570="","Missing PD deductible. ","") &amp; IF($X570="","Missing liability limit. ","") &amp; IF($AB570="","Missing technical premium. ","") &amp; IF($AF570="","Missing surplus lines tax %. ",""))))</f>
      </c>
      <c r="AY570" s="44">
        <f>IF($M570="","",IF(ISNUMBER($M570),IF($M570&gt;=Header!$C$18,"YES — refer","No"),""))</f>
      </c>
      <c r="AZ570" s="44">
        <f>IF($AD570="","",IF(ISNUMBER($AD570),IF($AD570&lt;Header!$C$20,"BELOW MIN PREMIUM","OK"),""))</f>
      </c>
      <c r="BA570" s="48" t="inlineStr">
        <is>
          <t xml:space="preserve">Yes</t>
        </is>
      </c>
      <c r="BB570" s="48" t="inlineStr">
        <is>
          <t xml:space="preserve">Yes</t>
        </is>
      </c>
      <c r="BC570" s="46" t="inlineStr">
        <is>
          <t xml:space="preserve">Synthetic demo data</t>
        </is>
      </c>
      <c r="BE570" s="45">
        <f>IF(OR($A570="",$L570="",$H570=""),"",IF(AND(LEFT($L570,2)="06",$H570&gt;1945),"FAIL - pre-war class, year "&amp;$H570,IF(AND(LEFT($L570,2)="07",OR($H570&lt;1946,$H570&gt;1972)),"FAIL - 1946-72 class, year "&amp;$H570,IF(AND(LEFT($L570,2)="08",OR($H570&lt;1973,$H570&gt;1999)),"FAIL - 1973-99 class, year "&amp;$H570,IF(AND(LEFT($L570,2)="09",OR($H570&lt;2000,$H570&gt;2010)),"FAIL - 2000-10 class, year "&amp;$H570,"OK")))))</f>
      </c>
      <c r="BF570" s="45">
        <f>IF($AD570="","",IF(ROUND($AO570+$AP570+$AQ570-$AD570,2)=0,"OK","FAIL - out by "&amp;TEXT($AO570+$AP570+$AQ570-$AD570,"$0.00")))</f>
      </c>
    </row>
    <row r="571" spans="1:58" ht="18.75" customHeight="1" x14ac:dyDescent="0.25">
      <c r="A571" s="30" t="inlineStr">
        <is>
          <t xml:space="preserve">CANON-202511-002943</t>
        </is>
      </c>
      <c r="B571" s="30" t="inlineStr">
        <is>
          <t xml:space="preserve">Saoirse Fairweather</t>
        </is>
      </c>
      <c r="C571" s="31">
        <v>45989</v>
      </c>
      <c r="D571" s="32" t="inlineStr">
        <is>
          <t xml:space="preserve">Bound - within authority</t>
        </is>
      </c>
      <c r="E571" s="32" t="inlineStr">
        <is>
          <t xml:space="preserve">New business</t>
        </is>
      </c>
      <c r="F571" s="30" t="inlineStr">
        <is>
          <t xml:space="preserve">B1234EXOTIC26</t>
        </is>
      </c>
      <c r="G571" s="33">
        <f>IF($A571="","",IF($C571="","",YEAR($C571)))</f>
      </c>
      <c r="H571" s="34">
        <v>1956</v>
      </c>
      <c r="I571" s="30" t="inlineStr">
        <is>
          <t xml:space="preserve">Bentley</t>
        </is>
      </c>
      <c r="J571" s="30" t="inlineStr">
        <is>
          <t xml:space="preserve">Continental GT</t>
        </is>
      </c>
      <c r="K571" s="30" t="inlineStr">
        <is>
          <t xml:space="preserve">YR7ZBS326XM2UV4Z3</t>
        </is>
      </c>
      <c r="L571" s="32" t="inlineStr">
        <is>
          <t xml:space="preserve">02 - Sports / GT</t>
        </is>
      </c>
      <c r="M571" s="35">
        <v>400000</v>
      </c>
      <c r="N571" s="32" t="inlineStr">
        <is>
          <t xml:space="preserve">Personal</t>
        </is>
      </c>
      <c r="O571" s="30" t="inlineStr">
        <is>
          <t xml:space="preserve">Personal - regular use</t>
        </is>
      </c>
      <c r="P571" s="30" t="inlineStr">
        <is>
          <t xml:space="preserve">Under 1,000</t>
        </is>
      </c>
      <c r="Q571" s="30" t="inlineStr">
        <is>
          <t xml:space="preserve">Florida</t>
        </is>
      </c>
      <c r="R571" s="30" t="inlineStr">
        <is>
          <t xml:space="preserve">33139</t>
        </is>
      </c>
      <c r="S571" s="32" t="inlineStr">
        <is>
          <t xml:space="preserve">Tier 2 - Coastal wind (1-25 miles)</t>
        </is>
      </c>
      <c r="T571" s="36">
        <f>IF($A571="","",IF($S571="","",IFERROR(INDEX('[1]natural catastrophe'!$D$6:$D$17,MATCH($S571,'[1]natural catastrophe'!$B$6:$B$17,0)),"?")))</f>
      </c>
      <c r="U571" s="30" t="inlineStr">
        <is>
          <t xml:space="preserve">2% of agreed value, minimum $10,000</t>
        </is>
      </c>
      <c r="V571" s="32" t="inlineStr">
        <is>
          <t xml:space="preserve">Agreed Value</t>
        </is>
      </c>
      <c r="W571" s="30" t="inlineStr">
        <is>
          <t xml:space="preserve">$1,000</t>
        </is>
      </c>
      <c r="X571" s="32" t="inlineStr">
        <is>
          <t xml:space="preserve">$1,000,000 CSL</t>
        </is>
      </c>
      <c r="Y571" s="30"/>
      <c r="Z571" s="30"/>
      <c r="AA571" s="32" t="inlineStr">
        <is>
          <t xml:space="preserve">Surplus Lines</t>
        </is>
      </c>
      <c r="AB571" s="35">
        <v>7389.9</v>
      </c>
      <c r="AC571" s="37">
        <v>0</v>
      </c>
      <c r="AD571" s="38">
        <f>IF(ISNUMBER($AB571),$AB571*(1+N($AC571)),"")</f>
      </c>
      <c r="AE571" s="35">
        <v>350</v>
      </c>
      <c r="AF571" s="35">
        <v>0</v>
      </c>
      <c r="AG571" s="37"/>
      <c r="AH571" s="39">
        <f>IF(ISNUMBER($AD571),($AD571+$AE571+$AF571)*$AG571,"")</f>
      </c>
      <c r="AI571" s="35"/>
      <c r="AJ571" s="38">
        <f>IF(ISNUMBER($AD571),SUM($AD571:$AH571),"")</f>
      </c>
      <c r="AK571" s="40">
        <f>IF(AND(ISNUMBER($AB571),ISNUMBER($AD571)),IF($AB571&gt;0,$AD571/$AB571,""),"")</f>
      </c>
      <c r="AL571" s="32" t="inlineStr">
        <is>
          <t xml:space="preserve">At technical</t>
        </is>
      </c>
      <c r="AM571" s="41">
        <f>IF(ISNUMBER($AD571),Header!$I$3,"")</f>
      </c>
      <c r="AN571" s="39">
        <f>IF(ISNUMBER($AD571),$AO571+$AP571,"")</f>
      </c>
      <c r="AO571" s="39">
        <f>IF(ISNUMBER($AD571),ROUND($AD571*Header!$K$3,2),"")</f>
      </c>
      <c r="AP571" s="39">
        <f>IF(ISNUMBER($AD571),ROUND($AD571*Header!$M$3,2),"")</f>
      </c>
      <c r="AQ571" s="38">
        <f>IF(ISNUMBER($AD571),ROUND($AD571,2)-$AO571-$AP571,"")</f>
      </c>
      <c r="AR571" s="39">
        <f>IF(ISNUMBER($AD571),IF(Header!$D$34="","?",$AD571*Header!$D$34),"")</f>
      </c>
      <c r="AS571" s="39">
        <f>IF(ISNUMBER($AB571),IF(Header!$D$34="","?",$AB571*Header!$D$34),"")</f>
      </c>
      <c r="AT571" s="42">
        <f>IF(AND(ISNUMBER($AB571),$M571&gt;0),$AB571/$M571*100,"")</f>
      </c>
      <c r="AU571" s="42">
        <f>IF(AND(ISNUMBER($AD571),$M571&gt;0),$AD571/$M571*100,"")</f>
      </c>
      <c r="AV571" s="40">
        <f>IF(AND(ISNUMBER($AB571),ISNUMBER($AD571),ABS($AB571)&gt;0),$AD571/$AB571,"")</f>
      </c>
      <c r="AW571" s="39">
        <f>IF(ISNUMBER($AD571),MAX(0,(1-0.55-Header!$O$3)*Header!$Q$3*$AQ571),"")</f>
      </c>
      <c r="AX571" s="43">
        <f>IF($A571="","",IF(TRIM(IF($A571="","Missing certificate ref. ","") &amp; IF($C571="","Missing effective date. ","") &amp; IF($D571="","Missing binding status. ","") &amp; IF($E571="","Missing movement type. ","") &amp; IF($I571="","Missing make. ","") &amp; IF($L571="","Missing vehicle class. ","") &amp; IF($M571="","Missing agreed value. ","") &amp; IF($N571="","Missing policy type. ","") &amp; IF($Q571="","Missing garaging state. ","") &amp; IF($R571="","Missing garaging ZIP. ","") &amp; IF($S571="","Missing cat zone. ","") &amp; IF($V571="","Missing valuation basis. ","") &amp; IF($W571="","Missing PD deductible. ","") &amp; IF($X571="","Missing liability limit. ","") &amp; IF($AB571="","Missing technical premium. ","") &amp; IF($AF571="","Missing surplus lines tax %. ",""))="","PASS","FAIL: "&amp;TRIM(IF($A571="","Missing certificate ref. ","") &amp; IF($C571="","Missing effective date. ","") &amp; IF($D571="","Missing binding status. ","") &amp; IF($E571="","Missing movement type. ","") &amp; IF($I571="","Missing make. ","") &amp; IF($L571="","Missing vehicle class. ","") &amp; IF($M571="","Missing agreed value. ","") &amp; IF($N571="","Missing policy type. ","") &amp; IF($Q571="","Missing garaging state. ","") &amp; IF($R571="","Missing garaging ZIP. ","") &amp; IF($S571="","Missing cat zone. ","") &amp; IF($V571="","Missing valuation basis. ","") &amp; IF($W571="","Missing PD deductible. ","") &amp; IF($X571="","Missing liability limit. ","") &amp; IF($AB571="","Missing technical premium. ","") &amp; IF($AF571="","Missing surplus lines tax %. ",""))))</f>
      </c>
      <c r="AY571" s="44">
        <f>IF($M571="","",IF(ISNUMBER($M571),IF($M571&gt;=Header!$C$18,"YES — refer","No"),""))</f>
      </c>
      <c r="AZ571" s="44">
        <f>IF($AD571="","",IF(ISNUMBER($AD571),IF($AD571&lt;Header!$C$20,"BELOW MIN PREMIUM","OK"),""))</f>
      </c>
      <c r="BA571" s="32" t="inlineStr">
        <is>
          <t xml:space="preserve">Yes</t>
        </is>
      </c>
      <c r="BB571" s="32" t="inlineStr">
        <is>
          <t xml:space="preserve">Yes</t>
        </is>
      </c>
      <c r="BC571" s="30" t="inlineStr">
        <is>
          <t xml:space="preserve">Synthetic demo data</t>
        </is>
      </c>
      <c r="BE571" s="45">
        <f>IF(OR($A571="",$L571="",$H571=""),"",IF(AND(LEFT($L571,2)="06",$H571&gt;1945),"FAIL - pre-war class, year "&amp;$H571,IF(AND(LEFT($L571,2)="07",OR($H571&lt;1946,$H571&gt;1972)),"FAIL - 1946-72 class, year "&amp;$H571,IF(AND(LEFT($L571,2)="08",OR($H571&lt;1973,$H571&gt;1999)),"FAIL - 1973-99 class, year "&amp;$H571,IF(AND(LEFT($L571,2)="09",OR($H571&lt;2000,$H571&gt;2010)),"FAIL - 2000-10 class, year "&amp;$H571,"OK")))))</f>
      </c>
      <c r="BF571" s="45">
        <f>IF($AD571="","",IF(ROUND($AO571+$AP571+$AQ571-$AD571,2)=0,"OK","FAIL - out by "&amp;TEXT($AO571+$AP571+$AQ571-$AD571,"$0.00")))</f>
      </c>
    </row>
    <row r="572" spans="1:58" ht="18.75" customHeight="1" x14ac:dyDescent="0.25">
      <c r="A572" s="46" t="inlineStr">
        <is>
          <t xml:space="preserve">CANON-202511-002944</t>
        </is>
      </c>
      <c r="B572" s="46" t="inlineStr">
        <is>
          <t xml:space="preserve">Fenwick Okonkwo</t>
        </is>
      </c>
      <c r="C572" s="47">
        <v>45976</v>
      </c>
      <c r="D572" s="48" t="inlineStr">
        <is>
          <t xml:space="preserve">Bound - within authority</t>
        </is>
      </c>
      <c r="E572" s="48" t="inlineStr">
        <is>
          <t xml:space="preserve">New business</t>
        </is>
      </c>
      <c r="F572" s="46" t="inlineStr">
        <is>
          <t xml:space="preserve">B1234EXOTIC26</t>
        </is>
      </c>
      <c r="G572" s="33">
        <f>IF($A572="","",IF($C572="","",YEAR($C572)))</f>
      </c>
      <c r="H572" s="49">
        <v>1957</v>
      </c>
      <c r="I572" s="46" t="inlineStr">
        <is>
          <t xml:space="preserve">Lamborghini</t>
        </is>
      </c>
      <c r="J572" s="46" t="inlineStr">
        <is>
          <t xml:space="preserve">Huracan EVO</t>
        </is>
      </c>
      <c r="K572" s="46" t="inlineStr">
        <is>
          <t xml:space="preserve">SGZMZ5EN1M3541VNC</t>
        </is>
      </c>
      <c r="L572" s="48" t="inlineStr">
        <is>
          <t xml:space="preserve">03 - Supercar</t>
        </is>
      </c>
      <c r="M572" s="50">
        <v>825000</v>
      </c>
      <c r="N572" s="48" t="inlineStr">
        <is>
          <t xml:space="preserve">Personal</t>
        </is>
      </c>
      <c r="O572" s="46" t="inlineStr">
        <is>
          <t xml:space="preserve">Personal - regular use</t>
        </is>
      </c>
      <c r="P572" s="46" t="inlineStr">
        <is>
          <t xml:space="preserve">1,000 - 2,500</t>
        </is>
      </c>
      <c r="Q572" s="46" t="inlineStr">
        <is>
          <t xml:space="preserve">New Mexico</t>
        </is>
      </c>
      <c r="R572" s="46" t="inlineStr">
        <is>
          <t xml:space="preserve">87501</t>
        </is>
      </c>
      <c r="S572" s="48" t="inlineStr">
        <is>
          <t xml:space="preserve">Wildfire - WUI high hazard</t>
        </is>
      </c>
      <c r="T572" s="36">
        <f>IF($A572="","",IF($S572="","",IFERROR(INDEX('[1]natural catastrophe'!$D$6:$D$17,MATCH($S572,'[1]natural catastrophe'!$B$6:$B$17,0)),"?")))</f>
      </c>
      <c r="U572" s="46" t="inlineStr">
        <is>
          <t xml:space="preserve">$5,000</t>
        </is>
      </c>
      <c r="V572" s="48" t="inlineStr">
        <is>
          <t xml:space="preserve">Agreed Value</t>
        </is>
      </c>
      <c r="W572" s="46" t="inlineStr">
        <is>
          <t xml:space="preserve">$1,000</t>
        </is>
      </c>
      <c r="X572" s="48" t="inlineStr">
        <is>
          <t xml:space="preserve">$1,000,000 CSL</t>
        </is>
      </c>
      <c r="Y572" s="46"/>
      <c r="Z572" s="46"/>
      <c r="AA572" s="48" t="inlineStr">
        <is>
          <t xml:space="preserve">Surplus Lines</t>
        </is>
      </c>
      <c r="AB572" s="50">
        <v>17402.68</v>
      </c>
      <c r="AC572" s="51">
        <v>0</v>
      </c>
      <c r="AD572" s="38">
        <f>IF(ISNUMBER($AB572),$AB572*(1+N($AC572)),"")</f>
      </c>
      <c r="AE572" s="50">
        <v>350</v>
      </c>
      <c r="AF572" s="50">
        <v>0</v>
      </c>
      <c r="AG572" s="51"/>
      <c r="AH572" s="39">
        <f>IF(ISNUMBER($AD572),($AD572+$AE572+$AF572)*$AG572,"")</f>
      </c>
      <c r="AI572" s="50"/>
      <c r="AJ572" s="38">
        <f>IF(ISNUMBER($AD572),SUM($AD572:$AH572),"")</f>
      </c>
      <c r="AK572" s="40">
        <f>IF(AND(ISNUMBER($AB572),ISNUMBER($AD572)),IF($AB572&gt;0,$AD572/$AB572,""),"")</f>
      </c>
      <c r="AL572" s="48" t="inlineStr">
        <is>
          <t xml:space="preserve">At technical</t>
        </is>
      </c>
      <c r="AM572" s="41">
        <f>IF(ISNUMBER($AD572),Header!$I$3,"")</f>
      </c>
      <c r="AN572" s="39">
        <f>IF(ISNUMBER($AD572),$AO572+$AP572,"")</f>
      </c>
      <c r="AO572" s="39">
        <f>IF(ISNUMBER($AD572),ROUND($AD572*Header!$K$3,2),"")</f>
      </c>
      <c r="AP572" s="39">
        <f>IF(ISNUMBER($AD572),ROUND($AD572*Header!$M$3,2),"")</f>
      </c>
      <c r="AQ572" s="38">
        <f>IF(ISNUMBER($AD572),ROUND($AD572,2)-$AO572-$AP572,"")</f>
      </c>
      <c r="AR572" s="39">
        <f>IF(ISNUMBER($AD572),IF(Header!$D$34="","?",$AD572*Header!$D$34),"")</f>
      </c>
      <c r="AS572" s="39">
        <f>IF(ISNUMBER($AB572),IF(Header!$D$34="","?",$AB572*Header!$D$34),"")</f>
      </c>
      <c r="AT572" s="42">
        <f>IF(AND(ISNUMBER($AB572),$M572&gt;0),$AB572/$M572*100,"")</f>
      </c>
      <c r="AU572" s="42">
        <f>IF(AND(ISNUMBER($AD572),$M572&gt;0),$AD572/$M572*100,"")</f>
      </c>
      <c r="AV572" s="40">
        <f>IF(AND(ISNUMBER($AB572),ISNUMBER($AD572),ABS($AB572)&gt;0),$AD572/$AB572,"")</f>
      </c>
      <c r="AW572" s="39">
        <f>IF(ISNUMBER($AD572),MAX(0,(1-0.55-Header!$O$3)*Header!$Q$3*$AQ572),"")</f>
      </c>
      <c r="AX572" s="43">
        <f>IF($A572="","",IF(TRIM(IF($A572="","Missing certificate ref. ","") &amp; IF($C572="","Missing effective date. ","") &amp; IF($D572="","Missing binding status. ","") &amp; IF($E572="","Missing movement type. ","") &amp; IF($I572="","Missing make. ","") &amp; IF($L572="","Missing vehicle class. ","") &amp; IF($M572="","Missing agreed value. ","") &amp; IF($N572="","Missing policy type. ","") &amp; IF($Q572="","Missing garaging state. ","") &amp; IF($R572="","Missing garaging ZIP. ","") &amp; IF($S572="","Missing cat zone. ","") &amp; IF($V572="","Missing valuation basis. ","") &amp; IF($W572="","Missing PD deductible. ","") &amp; IF($X572="","Missing liability limit. ","") &amp; IF($AB572="","Missing technical premium. ","") &amp; IF($AF572="","Missing surplus lines tax %. ",""))="","PASS","FAIL: "&amp;TRIM(IF($A572="","Missing certificate ref. ","") &amp; IF($C572="","Missing effective date. ","") &amp; IF($D572="","Missing binding status. ","") &amp; IF($E572="","Missing movement type. ","") &amp; IF($I572="","Missing make. ","") &amp; IF($L572="","Missing vehicle class. ","") &amp; IF($M572="","Missing agreed value. ","") &amp; IF($N572="","Missing policy type. ","") &amp; IF($Q572="","Missing garaging state. ","") &amp; IF($R572="","Missing garaging ZIP. ","") &amp; IF($S572="","Missing cat zone. ","") &amp; IF($V572="","Missing valuation basis. ","") &amp; IF($W572="","Missing PD deductible. ","") &amp; IF($X572="","Missing liability limit. ","") &amp; IF($AB572="","Missing technical premium. ","") &amp; IF($AF572="","Missing surplus lines tax %. ",""))))</f>
      </c>
      <c r="AY572" s="44">
        <f>IF($M572="","",IF(ISNUMBER($M572),IF($M572&gt;=Header!$C$18,"YES — refer","No"),""))</f>
      </c>
      <c r="AZ572" s="44">
        <f>IF($AD572="","",IF(ISNUMBER($AD572),IF($AD572&lt;Header!$C$20,"BELOW MIN PREMIUM","OK"),""))</f>
      </c>
      <c r="BA572" s="48" t="inlineStr">
        <is>
          <t xml:space="preserve">Yes</t>
        </is>
      </c>
      <c r="BB572" s="48" t="inlineStr">
        <is>
          <t xml:space="preserve">Yes</t>
        </is>
      </c>
      <c r="BC572" s="46" t="inlineStr">
        <is>
          <t xml:space="preserve">Synthetic demo data</t>
        </is>
      </c>
      <c r="BE572" s="45">
        <f>IF(OR($A572="",$L572="",$H572=""),"",IF(AND(LEFT($L572,2)="06",$H572&gt;1945),"FAIL - pre-war class, year "&amp;$H572,IF(AND(LEFT($L572,2)="07",OR($H572&lt;1946,$H572&gt;1972)),"FAIL - 1946-72 class, year "&amp;$H572,IF(AND(LEFT($L572,2)="08",OR($H572&lt;1973,$H572&gt;1999)),"FAIL - 1973-99 class, year "&amp;$H572,IF(AND(LEFT($L572,2)="09",OR($H572&lt;2000,$H572&gt;2010)),"FAIL - 2000-10 class, year "&amp;$H572,"OK")))))</f>
      </c>
      <c r="BF572" s="45">
        <f>IF($AD572="","",IF(ROUND($AO572+$AP572+$AQ572-$AD572,2)=0,"OK","FAIL - out by "&amp;TEXT($AO572+$AP572+$AQ572-$AD572,"$0.00")))</f>
      </c>
    </row>
    <row r="573" spans="1:58" ht="18.75" customHeight="1" x14ac:dyDescent="0.25">
      <c r="A573" s="30" t="inlineStr">
        <is>
          <t xml:space="preserve">CANON-202511-002946</t>
        </is>
      </c>
      <c r="B573" s="30" t="inlineStr">
        <is>
          <t xml:space="preserve">Marisol Vandermeer</t>
        </is>
      </c>
      <c r="C573" s="31">
        <v>45963</v>
      </c>
      <c r="D573" s="32" t="inlineStr">
        <is>
          <t xml:space="preserve">Bound - within authority</t>
        </is>
      </c>
      <c r="E573" s="32" t="inlineStr">
        <is>
          <t xml:space="preserve">New business</t>
        </is>
      </c>
      <c r="F573" s="30" t="inlineStr">
        <is>
          <t xml:space="preserve">B1234EXOTIC26</t>
        </is>
      </c>
      <c r="G573" s="33">
        <f>IF($A573="","",IF($C573="","",YEAR($C573)))</f>
      </c>
      <c r="H573" s="34">
        <v>1957</v>
      </c>
      <c r="I573" s="30" t="inlineStr">
        <is>
          <t xml:space="preserve">Ferrari</t>
        </is>
      </c>
      <c r="J573" s="30" t="inlineStr">
        <is>
          <t xml:space="preserve">SF90 Stradale</t>
        </is>
      </c>
      <c r="K573" s="30" t="inlineStr">
        <is>
          <t xml:space="preserve">5JK57UKYEAP8MMRTA</t>
        </is>
      </c>
      <c r="L573" s="32" t="inlineStr">
        <is>
          <t xml:space="preserve">03 - Supercar</t>
        </is>
      </c>
      <c r="M573" s="35">
        <v>810000</v>
      </c>
      <c r="N573" s="32" t="inlineStr">
        <is>
          <t xml:space="preserve">Personal</t>
        </is>
      </c>
      <c r="O573" s="30" t="inlineStr">
        <is>
          <t xml:space="preserve">Personal - regular use</t>
        </is>
      </c>
      <c r="P573" s="30" t="inlineStr">
        <is>
          <t xml:space="preserve">Under 1,000</t>
        </is>
      </c>
      <c r="Q573" s="30" t="inlineStr">
        <is>
          <t xml:space="preserve">New York</t>
        </is>
      </c>
      <c r="R573" s="30" t="inlineStr">
        <is>
          <t xml:space="preserve">10022</t>
        </is>
      </c>
      <c r="S573" s="32" t="inlineStr">
        <is>
          <t xml:space="preserve">Tier 3 - Coastal wind (25-100 miles)</t>
        </is>
      </c>
      <c r="T573" s="36">
        <f>IF($A573="","",IF($S573="","",IFERROR(INDEX('[1]natural catastrophe'!$D$6:$D$17,MATCH($S573,'[1]natural catastrophe'!$B$6:$B$17,0)),"?")))</f>
      </c>
      <c r="U573" s="30" t="inlineStr">
        <is>
          <t xml:space="preserve">2% of agreed value, minimum $10,000</t>
        </is>
      </c>
      <c r="V573" s="32" t="inlineStr">
        <is>
          <t xml:space="preserve">Agreed Value</t>
        </is>
      </c>
      <c r="W573" s="30" t="inlineStr">
        <is>
          <t xml:space="preserve">$1,000</t>
        </is>
      </c>
      <c r="X573" s="32" t="inlineStr">
        <is>
          <t xml:space="preserve">$1,000,000 CSL</t>
        </is>
      </c>
      <c r="Y573" s="30"/>
      <c r="Z573" s="30"/>
      <c r="AA573" s="32" t="inlineStr">
        <is>
          <t xml:space="preserve">Surplus Lines</t>
        </is>
      </c>
      <c r="AB573" s="35">
        <v>17086.27</v>
      </c>
      <c r="AC573" s="37">
        <v>0</v>
      </c>
      <c r="AD573" s="38">
        <f>IF(ISNUMBER($AB573),$AB573*(1+N($AC573)),"")</f>
      </c>
      <c r="AE573" s="35">
        <v>350</v>
      </c>
      <c r="AF573" s="35">
        <v>0</v>
      </c>
      <c r="AG573" s="37"/>
      <c r="AH573" s="39">
        <f>IF(ISNUMBER($AD573),($AD573+$AE573+$AF573)*$AG573,"")</f>
      </c>
      <c r="AI573" s="35"/>
      <c r="AJ573" s="38">
        <f>IF(ISNUMBER($AD573),SUM($AD573:$AH573),"")</f>
      </c>
      <c r="AK573" s="40">
        <f>IF(AND(ISNUMBER($AB573),ISNUMBER($AD573)),IF($AB573&gt;0,$AD573/$AB573,""),"")</f>
      </c>
      <c r="AL573" s="32" t="inlineStr">
        <is>
          <t xml:space="preserve">At technical</t>
        </is>
      </c>
      <c r="AM573" s="41">
        <f>IF(ISNUMBER($AD573),Header!$I$3,"")</f>
      </c>
      <c r="AN573" s="39">
        <f>IF(ISNUMBER($AD573),$AO573+$AP573,"")</f>
      </c>
      <c r="AO573" s="39">
        <f>IF(ISNUMBER($AD573),ROUND($AD573*Header!$K$3,2),"")</f>
      </c>
      <c r="AP573" s="39">
        <f>IF(ISNUMBER($AD573),ROUND($AD573*Header!$M$3,2),"")</f>
      </c>
      <c r="AQ573" s="38">
        <f>IF(ISNUMBER($AD573),ROUND($AD573,2)-$AO573-$AP573,"")</f>
      </c>
      <c r="AR573" s="39">
        <f>IF(ISNUMBER($AD573),IF(Header!$D$34="","?",$AD573*Header!$D$34),"")</f>
      </c>
      <c r="AS573" s="39">
        <f>IF(ISNUMBER($AB573),IF(Header!$D$34="","?",$AB573*Header!$D$34),"")</f>
      </c>
      <c r="AT573" s="42">
        <f>IF(AND(ISNUMBER($AB573),$M573&gt;0),$AB573/$M573*100,"")</f>
      </c>
      <c r="AU573" s="42">
        <f>IF(AND(ISNUMBER($AD573),$M573&gt;0),$AD573/$M573*100,"")</f>
      </c>
      <c r="AV573" s="40">
        <f>IF(AND(ISNUMBER($AB573),ISNUMBER($AD573),ABS($AB573)&gt;0),$AD573/$AB573,"")</f>
      </c>
      <c r="AW573" s="39">
        <f>IF(ISNUMBER($AD573),MAX(0,(1-0.55-Header!$O$3)*Header!$Q$3*$AQ573),"")</f>
      </c>
      <c r="AX573" s="43">
        <f>IF($A573="","",IF(TRIM(IF($A573="","Missing certificate ref. ","") &amp; IF($C573="","Missing effective date. ","") &amp; IF($D573="","Missing binding status. ","") &amp; IF($E573="","Missing movement type. ","") &amp; IF($I573="","Missing make. ","") &amp; IF($L573="","Missing vehicle class. ","") &amp; IF($M573="","Missing agreed value. ","") &amp; IF($N573="","Missing policy type. ","") &amp; IF($Q573="","Missing garaging state. ","") &amp; IF($R573="","Missing garaging ZIP. ","") &amp; IF($S573="","Missing cat zone. ","") &amp; IF($V573="","Missing valuation basis. ","") &amp; IF($W573="","Missing PD deductible. ","") &amp; IF($X573="","Missing liability limit. ","") &amp; IF($AB573="","Missing technical premium. ","") &amp; IF($AF573="","Missing surplus lines tax %. ",""))="","PASS","FAIL: "&amp;TRIM(IF($A573="","Missing certificate ref. ","") &amp; IF($C573="","Missing effective date. ","") &amp; IF($D573="","Missing binding status. ","") &amp; IF($E573="","Missing movement type. ","") &amp; IF($I573="","Missing make. ","") &amp; IF($L573="","Missing vehicle class. ","") &amp; IF($M573="","Missing agreed value. ","") &amp; IF($N573="","Missing policy type. ","") &amp; IF($Q573="","Missing garaging state. ","") &amp; IF($R573="","Missing garaging ZIP. ","") &amp; IF($S573="","Missing cat zone. ","") &amp; IF($V573="","Missing valuation basis. ","") &amp; IF($W573="","Missing PD deductible. ","") &amp; IF($X573="","Missing liability limit. ","") &amp; IF($AB573="","Missing technical premium. ","") &amp; IF($AF573="","Missing surplus lines tax %. ",""))))</f>
      </c>
      <c r="AY573" s="44">
        <f>IF($M573="","",IF(ISNUMBER($M573),IF($M573&gt;=Header!$C$18,"YES — refer","No"),""))</f>
      </c>
      <c r="AZ573" s="44">
        <f>IF($AD573="","",IF(ISNUMBER($AD573),IF($AD573&lt;Header!$C$20,"BELOW MIN PREMIUM","OK"),""))</f>
      </c>
      <c r="BA573" s="32" t="inlineStr">
        <is>
          <t xml:space="preserve">Yes</t>
        </is>
      </c>
      <c r="BB573" s="32" t="inlineStr">
        <is>
          <t xml:space="preserve">Yes</t>
        </is>
      </c>
      <c r="BC573" s="30" t="inlineStr">
        <is>
          <t xml:space="preserve">Synthetic demo data</t>
        </is>
      </c>
      <c r="BE573" s="45">
        <f>IF(OR($A573="",$L573="",$H573=""),"",IF(AND(LEFT($L573,2)="06",$H573&gt;1945),"FAIL - pre-war class, year "&amp;$H573,IF(AND(LEFT($L573,2)="07",OR($H573&lt;1946,$H573&gt;1972)),"FAIL - 1946-72 class, year "&amp;$H573,IF(AND(LEFT($L573,2)="08",OR($H573&lt;1973,$H573&gt;1999)),"FAIL - 1973-99 class, year "&amp;$H573,IF(AND(LEFT($L573,2)="09",OR($H573&lt;2000,$H573&gt;2010)),"FAIL - 2000-10 class, year "&amp;$H573,"OK")))))</f>
      </c>
      <c r="BF573" s="45">
        <f>IF($AD573="","",IF(ROUND($AO573+$AP573+$AQ573-$AD573,2)=0,"OK","FAIL - out by "&amp;TEXT($AO573+$AP573+$AQ573-$AD573,"$0.00")))</f>
      </c>
    </row>
    <row r="574" spans="1:58" ht="18.75" customHeight="1" x14ac:dyDescent="0.25">
      <c r="A574" s="46" t="inlineStr">
        <is>
          <t xml:space="preserve">CANON-202511-002948</t>
        </is>
      </c>
      <c r="B574" s="46" t="inlineStr">
        <is>
          <t xml:space="preserve">Cassius Vandermeer</t>
        </is>
      </c>
      <c r="C574" s="47">
        <v>45983</v>
      </c>
      <c r="D574" s="48" t="inlineStr">
        <is>
          <t xml:space="preserve">Bound - within authority</t>
        </is>
      </c>
      <c r="E574" s="48" t="inlineStr">
        <is>
          <t xml:space="preserve">New business</t>
        </is>
      </c>
      <c r="F574" s="46" t="inlineStr">
        <is>
          <t xml:space="preserve">B1234EXOTIC26</t>
        </is>
      </c>
      <c r="G574" s="33">
        <f>IF($A574="","",IF($C574="","",YEAR($C574)))</f>
      </c>
      <c r="H574" s="49">
        <v>1996</v>
      </c>
      <c r="I574" s="46" t="inlineStr">
        <is>
          <t xml:space="preserve">Alfa Romeo</t>
        </is>
      </c>
      <c r="J574" s="46" t="inlineStr">
        <is>
          <t xml:space="preserve">8C 2900</t>
        </is>
      </c>
      <c r="K574" s="46" t="inlineStr">
        <is>
          <t xml:space="preserve">A9F038VXGRNX69KCN</t>
        </is>
      </c>
      <c r="L574" s="48" t="inlineStr">
        <is>
          <t xml:space="preserve">08 - Modern Classic (1973-1999)</t>
        </is>
      </c>
      <c r="M574" s="50">
        <v>1950000</v>
      </c>
      <c r="N574" s="48" t="inlineStr">
        <is>
          <t xml:space="preserve">Personal</t>
        </is>
      </c>
      <c r="O574" s="46" t="inlineStr">
        <is>
          <t xml:space="preserve">Personal - regular use</t>
        </is>
      </c>
      <c r="P574" s="46" t="inlineStr">
        <is>
          <t xml:space="preserve">1,000 - 2,500</t>
        </is>
      </c>
      <c r="Q574" s="46" t="inlineStr">
        <is>
          <t xml:space="preserve">Kansas</t>
        </is>
      </c>
      <c r="R574" s="46" t="inlineStr">
        <is>
          <t xml:space="preserve">66603</t>
        </is>
      </c>
      <c r="S574" s="48" t="inlineStr">
        <is>
          <t xml:space="preserve">Severe convective - hail alley (high)</t>
        </is>
      </c>
      <c r="T574" s="36">
        <f>IF($A574="","",IF($S574="","",IFERROR(INDEX('[1]natural catastrophe'!$D$6:$D$17,MATCH($S574,'[1]natural catastrophe'!$B$6:$B$17,0)),"?")))</f>
      </c>
      <c r="U574" s="46" t="inlineStr">
        <is>
          <t xml:space="preserve">$5,000</t>
        </is>
      </c>
      <c r="V574" s="48" t="inlineStr">
        <is>
          <t xml:space="preserve">Agreed Value</t>
        </is>
      </c>
      <c r="W574" s="46" t="inlineStr">
        <is>
          <t xml:space="preserve">$1,000</t>
        </is>
      </c>
      <c r="X574" s="48" t="inlineStr">
        <is>
          <t xml:space="preserve">$1,000,000 CSL</t>
        </is>
      </c>
      <c r="Y574" s="46"/>
      <c r="Z574" s="46"/>
      <c r="AA574" s="48" t="inlineStr">
        <is>
          <t xml:space="preserve">Surplus Lines</t>
        </is>
      </c>
      <c r="AB574" s="50">
        <v>11156.14</v>
      </c>
      <c r="AC574" s="51">
        <v>0</v>
      </c>
      <c r="AD574" s="38">
        <f>IF(ISNUMBER($AB574),$AB574*(1+N($AC574)),"")</f>
      </c>
      <c r="AE574" s="50">
        <v>350</v>
      </c>
      <c r="AF574" s="50">
        <v>250</v>
      </c>
      <c r="AG574" s="51"/>
      <c r="AH574" s="39">
        <f>IF(ISNUMBER($AD574),($AD574+$AE574+$AF574)*$AG574,"")</f>
      </c>
      <c r="AI574" s="50"/>
      <c r="AJ574" s="38">
        <f>IF(ISNUMBER($AD574),SUM($AD574:$AH574),"")</f>
      </c>
      <c r="AK574" s="40">
        <f>IF(AND(ISNUMBER($AB574),ISNUMBER($AD574)),IF($AB574&gt;0,$AD574/$AB574,""),"")</f>
      </c>
      <c r="AL574" s="48" t="inlineStr">
        <is>
          <t xml:space="preserve">At technical</t>
        </is>
      </c>
      <c r="AM574" s="41">
        <f>IF(ISNUMBER($AD574),Header!$I$3,"")</f>
      </c>
      <c r="AN574" s="39">
        <f>IF(ISNUMBER($AD574),$AO574+$AP574,"")</f>
      </c>
      <c r="AO574" s="39">
        <f>IF(ISNUMBER($AD574),ROUND($AD574*Header!$K$3,2),"")</f>
      </c>
      <c r="AP574" s="39">
        <f>IF(ISNUMBER($AD574),ROUND($AD574*Header!$M$3,2),"")</f>
      </c>
      <c r="AQ574" s="38">
        <f>IF(ISNUMBER($AD574),ROUND($AD574,2)-$AO574-$AP574,"")</f>
      </c>
      <c r="AR574" s="39">
        <f>IF(ISNUMBER($AD574),IF(Header!$D$34="","?",$AD574*Header!$D$34),"")</f>
      </c>
      <c r="AS574" s="39">
        <f>IF(ISNUMBER($AB574),IF(Header!$D$34="","?",$AB574*Header!$D$34),"")</f>
      </c>
      <c r="AT574" s="42">
        <f>IF(AND(ISNUMBER($AB574),$M574&gt;0),$AB574/$M574*100,"")</f>
      </c>
      <c r="AU574" s="42">
        <f>IF(AND(ISNUMBER($AD574),$M574&gt;0),$AD574/$M574*100,"")</f>
      </c>
      <c r="AV574" s="40">
        <f>IF(AND(ISNUMBER($AB574),ISNUMBER($AD574),ABS($AB574)&gt;0),$AD574/$AB574,"")</f>
      </c>
      <c r="AW574" s="39">
        <f>IF(ISNUMBER($AD574),MAX(0,(1-0.55-Header!$O$3)*Header!$Q$3*$AQ574),"")</f>
      </c>
      <c r="AX574" s="43">
        <f>IF($A574="","",IF(TRIM(IF($A574="","Missing certificate ref. ","") &amp; IF($C574="","Missing effective date. ","") &amp; IF($D574="","Missing binding status. ","") &amp; IF($E574="","Missing movement type. ","") &amp; IF($I574="","Missing make. ","") &amp; IF($L574="","Missing vehicle class. ","") &amp; IF($M574="","Missing agreed value. ","") &amp; IF($N574="","Missing policy type. ","") &amp; IF($Q574="","Missing garaging state. ","") &amp; IF($R574="","Missing garaging ZIP. ","") &amp; IF($S574="","Missing cat zone. ","") &amp; IF($V574="","Missing valuation basis. ","") &amp; IF($W574="","Missing PD deductible. ","") &amp; IF($X574="","Missing liability limit. ","") &amp; IF($AB574="","Missing technical premium. ","") &amp; IF($AF574="","Missing surplus lines tax %. ",""))="","PASS","FAIL: "&amp;TRIM(IF($A574="","Missing certificate ref. ","") &amp; IF($C574="","Missing effective date. ","") &amp; IF($D574="","Missing binding status. ","") &amp; IF($E574="","Missing movement type. ","") &amp; IF($I574="","Missing make. ","") &amp; IF($L574="","Missing vehicle class. ","") &amp; IF($M574="","Missing agreed value. ","") &amp; IF($N574="","Missing policy type. ","") &amp; IF($Q574="","Missing garaging state. ","") &amp; IF($R574="","Missing garaging ZIP. ","") &amp; IF($S574="","Missing cat zone. ","") &amp; IF($V574="","Missing valuation basis. ","") &amp; IF($W574="","Missing PD deductible. ","") &amp; IF($X574="","Missing liability limit. ","") &amp; IF($AB574="","Missing technical premium. ","") &amp; IF($AF574="","Missing surplus lines tax %. ",""))))</f>
      </c>
      <c r="AY574" s="44">
        <f>IF($M574="","",IF(ISNUMBER($M574),IF($M574&gt;=Header!$C$18,"YES — refer","No"),""))</f>
      </c>
      <c r="AZ574" s="44">
        <f>IF($AD574="","",IF(ISNUMBER($AD574),IF($AD574&lt;Header!$C$20,"BELOW MIN PREMIUM","OK"),""))</f>
      </c>
      <c r="BA574" s="48" t="inlineStr">
        <is>
          <t xml:space="preserve">Yes</t>
        </is>
      </c>
      <c r="BB574" s="48" t="inlineStr">
        <is>
          <t xml:space="preserve">Yes</t>
        </is>
      </c>
      <c r="BC574" s="46" t="inlineStr">
        <is>
          <t xml:space="preserve">Synthetic demo data</t>
        </is>
      </c>
      <c r="BE574" s="45">
        <f>IF(OR($A574="",$L574="",$H574=""),"",IF(AND(LEFT($L574,2)="06",$H574&gt;1945),"FAIL - pre-war class, year "&amp;$H574,IF(AND(LEFT($L574,2)="07",OR($H574&lt;1946,$H574&gt;1972)),"FAIL - 1946-72 class, year "&amp;$H574,IF(AND(LEFT($L574,2)="08",OR($H574&lt;1973,$H574&gt;1999)),"FAIL - 1973-99 class, year "&amp;$H574,IF(AND(LEFT($L574,2)="09",OR($H574&lt;2000,$H574&gt;2010)),"FAIL - 2000-10 class, year "&amp;$H574,"OK")))))</f>
      </c>
      <c r="BF574" s="45">
        <f>IF($AD574="","",IF(ROUND($AO574+$AP574+$AQ574-$AD574,2)=0,"OK","FAIL - out by "&amp;TEXT($AO574+$AP574+$AQ574-$AD574,"$0.00")))</f>
      </c>
    </row>
    <row r="575" spans="1:58" ht="18.75" customHeight="1" x14ac:dyDescent="0.25">
      <c r="A575" s="30" t="inlineStr">
        <is>
          <t xml:space="preserve">CANON-202511-002949</t>
        </is>
      </c>
      <c r="B575" s="30" t="inlineStr">
        <is>
          <t xml:space="preserve">Emiliano Rourke</t>
        </is>
      </c>
      <c r="C575" s="31">
        <v>45970</v>
      </c>
      <c r="D575" s="32" t="inlineStr">
        <is>
          <t xml:space="preserve">Bound - within authority</t>
        </is>
      </c>
      <c r="E575" s="32" t="inlineStr">
        <is>
          <t xml:space="preserve">New business</t>
        </is>
      </c>
      <c r="F575" s="30" t="inlineStr">
        <is>
          <t xml:space="preserve">B1234EXOTIC26</t>
        </is>
      </c>
      <c r="G575" s="33">
        <f>IF($A575="","",IF($C575="","",YEAR($C575)))</f>
      </c>
      <c r="H575" s="34">
        <v>1978</v>
      </c>
      <c r="I575" s="30" t="inlineStr">
        <is>
          <t xml:space="preserve">Ferrari</t>
        </is>
      </c>
      <c r="J575" s="30" t="inlineStr">
        <is>
          <t xml:space="preserve">296 GTB</t>
        </is>
      </c>
      <c r="K575" s="30" t="inlineStr">
        <is>
          <t xml:space="preserve">D6H319FJMXLP4BN7F</t>
        </is>
      </c>
      <c r="L575" s="32" t="inlineStr">
        <is>
          <t xml:space="preserve">03 - Supercar</t>
        </is>
      </c>
      <c r="M575" s="35">
        <v>725000</v>
      </c>
      <c r="N575" s="32" t="inlineStr">
        <is>
          <t xml:space="preserve">Personal</t>
        </is>
      </c>
      <c r="O575" s="30" t="inlineStr">
        <is>
          <t xml:space="preserve">Personal - regular use</t>
        </is>
      </c>
      <c r="P575" s="30" t="inlineStr">
        <is>
          <t xml:space="preserve">1,000 - 2,500</t>
        </is>
      </c>
      <c r="Q575" s="30" t="inlineStr">
        <is>
          <t xml:space="preserve">Maryland</t>
        </is>
      </c>
      <c r="R575" s="30" t="inlineStr">
        <is>
          <t xml:space="preserve">21201</t>
        </is>
      </c>
      <c r="S575" s="32" t="inlineStr">
        <is>
          <t xml:space="preserve">Tier 3 - Coastal wind (25-100 miles)</t>
        </is>
      </c>
      <c r="T575" s="36">
        <f>IF($A575="","",IF($S575="","",IFERROR(INDEX('[1]natural catastrophe'!$D$6:$D$17,MATCH($S575,'[1]natural catastrophe'!$B$6:$B$17,0)),"?")))</f>
      </c>
      <c r="U575" s="30" t="inlineStr">
        <is>
          <t xml:space="preserve">2% of agreed value, minimum $10,000</t>
        </is>
      </c>
      <c r="V575" s="32" t="inlineStr">
        <is>
          <t xml:space="preserve">Agreed Value</t>
        </is>
      </c>
      <c r="W575" s="30" t="inlineStr">
        <is>
          <t xml:space="preserve">$1,000</t>
        </is>
      </c>
      <c r="X575" s="32" t="inlineStr">
        <is>
          <t xml:space="preserve">$1,000,000 CSL</t>
        </is>
      </c>
      <c r="Y575" s="30"/>
      <c r="Z575" s="30"/>
      <c r="AA575" s="32" t="inlineStr">
        <is>
          <t xml:space="preserve">Surplus Lines</t>
        </is>
      </c>
      <c r="AB575" s="35">
        <v>11350.47</v>
      </c>
      <c r="AC575" s="37">
        <v>0</v>
      </c>
      <c r="AD575" s="38">
        <f>IF(ISNUMBER($AB575),$AB575*(1+N($AC575)),"")</f>
      </c>
      <c r="AE575" s="35">
        <v>350</v>
      </c>
      <c r="AF575" s="35">
        <v>0</v>
      </c>
      <c r="AG575" s="37"/>
      <c r="AH575" s="39">
        <f>IF(ISNUMBER($AD575),($AD575+$AE575+$AF575)*$AG575,"")</f>
      </c>
      <c r="AI575" s="35"/>
      <c r="AJ575" s="38">
        <f>IF(ISNUMBER($AD575),SUM($AD575:$AH575),"")</f>
      </c>
      <c r="AK575" s="40">
        <f>IF(AND(ISNUMBER($AB575),ISNUMBER($AD575)),IF($AB575&gt;0,$AD575/$AB575,""),"")</f>
      </c>
      <c r="AL575" s="32" t="inlineStr">
        <is>
          <t xml:space="preserve">At technical</t>
        </is>
      </c>
      <c r="AM575" s="41">
        <f>IF(ISNUMBER($AD575),Header!$I$3,"")</f>
      </c>
      <c r="AN575" s="39">
        <f>IF(ISNUMBER($AD575),$AO575+$AP575,"")</f>
      </c>
      <c r="AO575" s="39">
        <f>IF(ISNUMBER($AD575),ROUND($AD575*Header!$K$3,2),"")</f>
      </c>
      <c r="AP575" s="39">
        <f>IF(ISNUMBER($AD575),ROUND($AD575*Header!$M$3,2),"")</f>
      </c>
      <c r="AQ575" s="38">
        <f>IF(ISNUMBER($AD575),ROUND($AD575,2)-$AO575-$AP575,"")</f>
      </c>
      <c r="AR575" s="39">
        <f>IF(ISNUMBER($AD575),IF(Header!$D$34="","?",$AD575*Header!$D$34),"")</f>
      </c>
      <c r="AS575" s="39">
        <f>IF(ISNUMBER($AB575),IF(Header!$D$34="","?",$AB575*Header!$D$34),"")</f>
      </c>
      <c r="AT575" s="42">
        <f>IF(AND(ISNUMBER($AB575),$M575&gt;0),$AB575/$M575*100,"")</f>
      </c>
      <c r="AU575" s="42">
        <f>IF(AND(ISNUMBER($AD575),$M575&gt;0),$AD575/$M575*100,"")</f>
      </c>
      <c r="AV575" s="40">
        <f>IF(AND(ISNUMBER($AB575),ISNUMBER($AD575),ABS($AB575)&gt;0),$AD575/$AB575,"")</f>
      </c>
      <c r="AW575" s="39">
        <f>IF(ISNUMBER($AD575),MAX(0,(1-0.55-Header!$O$3)*Header!$Q$3*$AQ575),"")</f>
      </c>
      <c r="AX575" s="43">
        <f>IF($A575="","",IF(TRIM(IF($A575="","Missing certificate ref. ","") &amp; IF($C575="","Missing effective date. ","") &amp; IF($D575="","Missing binding status. ","") &amp; IF($E575="","Missing movement type. ","") &amp; IF($I575="","Missing make. ","") &amp; IF($L575="","Missing vehicle class. ","") &amp; IF($M575="","Missing agreed value. ","") &amp; IF($N575="","Missing policy type. ","") &amp; IF($Q575="","Missing garaging state. ","") &amp; IF($R575="","Missing garaging ZIP. ","") &amp; IF($S575="","Missing cat zone. ","") &amp; IF($V575="","Missing valuation basis. ","") &amp; IF($W575="","Missing PD deductible. ","") &amp; IF($X575="","Missing liability limit. ","") &amp; IF($AB575="","Missing technical premium. ","") &amp; IF($AF575="","Missing surplus lines tax %. ",""))="","PASS","FAIL: "&amp;TRIM(IF($A575="","Missing certificate ref. ","") &amp; IF($C575="","Missing effective date. ","") &amp; IF($D575="","Missing binding status. ","") &amp; IF($E575="","Missing movement type. ","") &amp; IF($I575="","Missing make. ","") &amp; IF($L575="","Missing vehicle class. ","") &amp; IF($M575="","Missing agreed value. ","") &amp; IF($N575="","Missing policy type. ","") &amp; IF($Q575="","Missing garaging state. ","") &amp; IF($R575="","Missing garaging ZIP. ","") &amp; IF($S575="","Missing cat zone. ","") &amp; IF($V575="","Missing valuation basis. ","") &amp; IF($W575="","Missing PD deductible. ","") &amp; IF($X575="","Missing liability limit. ","") &amp; IF($AB575="","Missing technical premium. ","") &amp; IF($AF575="","Missing surplus lines tax %. ",""))))</f>
      </c>
      <c r="AY575" s="44">
        <f>IF($M575="","",IF(ISNUMBER($M575),IF($M575&gt;=Header!$C$18,"YES — refer","No"),""))</f>
      </c>
      <c r="AZ575" s="44">
        <f>IF($AD575="","",IF(ISNUMBER($AD575),IF($AD575&lt;Header!$C$20,"BELOW MIN PREMIUM","OK"),""))</f>
      </c>
      <c r="BA575" s="32" t="inlineStr">
        <is>
          <t xml:space="preserve">Yes</t>
        </is>
      </c>
      <c r="BB575" s="32" t="inlineStr">
        <is>
          <t xml:space="preserve">Yes</t>
        </is>
      </c>
      <c r="BC575" s="30" t="inlineStr">
        <is>
          <t xml:space="preserve">Synthetic demo data</t>
        </is>
      </c>
      <c r="BE575" s="45">
        <f>IF(OR($A575="",$L575="",$H575=""),"",IF(AND(LEFT($L575,2)="06",$H575&gt;1945),"FAIL - pre-war class, year "&amp;$H575,IF(AND(LEFT($L575,2)="07",OR($H575&lt;1946,$H575&gt;1972)),"FAIL - 1946-72 class, year "&amp;$H575,IF(AND(LEFT($L575,2)="08",OR($H575&lt;1973,$H575&gt;1999)),"FAIL - 1973-99 class, year "&amp;$H575,IF(AND(LEFT($L575,2)="09",OR($H575&lt;2000,$H575&gt;2010)),"FAIL - 2000-10 class, year "&amp;$H575,"OK")))))</f>
      </c>
      <c r="BF575" s="45">
        <f>IF($AD575="","",IF(ROUND($AO575+$AP575+$AQ575-$AD575,2)=0,"OK","FAIL - out by "&amp;TEXT($AO575+$AP575+$AQ575-$AD575,"$0.00")))</f>
      </c>
    </row>
    <row r="576" spans="1:58" ht="18.75" customHeight="1" x14ac:dyDescent="0.25">
      <c r="A576" s="46" t="inlineStr">
        <is>
          <t xml:space="preserve">CANON-202511-002950</t>
        </is>
      </c>
      <c r="B576" s="46" t="inlineStr">
        <is>
          <t xml:space="preserve">Lorenzo Vasquez</t>
        </is>
      </c>
      <c r="C576" s="47">
        <v>45984</v>
      </c>
      <c r="D576" s="48" t="inlineStr">
        <is>
          <t xml:space="preserve">Bound - within authority</t>
        </is>
      </c>
      <c r="E576" s="48" t="inlineStr">
        <is>
          <t xml:space="preserve">New business</t>
        </is>
      </c>
      <c r="F576" s="46" t="inlineStr">
        <is>
          <t xml:space="preserve">B1234EXOTIC26</t>
        </is>
      </c>
      <c r="G576" s="33">
        <f>IF($A576="","",IF($C576="","",YEAR($C576)))</f>
      </c>
      <c r="H576" s="49">
        <v>1956</v>
      </c>
      <c r="I576" s="46" t="inlineStr">
        <is>
          <t xml:space="preserve">Lamborghini</t>
        </is>
      </c>
      <c r="J576" s="46" t="inlineStr">
        <is>
          <t xml:space="preserve">Huracan EVO</t>
        </is>
      </c>
      <c r="K576" s="46" t="inlineStr">
        <is>
          <t xml:space="preserve">8X3TE39GK3WZ84P13</t>
        </is>
      </c>
      <c r="L576" s="48" t="inlineStr">
        <is>
          <t xml:space="preserve">03 - Supercar</t>
        </is>
      </c>
      <c r="M576" s="50">
        <v>490000</v>
      </c>
      <c r="N576" s="48" t="inlineStr">
        <is>
          <t xml:space="preserve">Personal</t>
        </is>
      </c>
      <c r="O576" s="46" t="inlineStr">
        <is>
          <t xml:space="preserve">Personal - regular use</t>
        </is>
      </c>
      <c r="P576" s="46" t="inlineStr">
        <is>
          <t xml:space="preserve">1,000 - 2,500</t>
        </is>
      </c>
      <c r="Q576" s="46" t="inlineStr">
        <is>
          <t xml:space="preserve">Ohio</t>
        </is>
      </c>
      <c r="R576" s="46" t="inlineStr">
        <is>
          <t xml:space="preserve">43215</t>
        </is>
      </c>
      <c r="S576" s="48" t="inlineStr">
        <is>
          <t xml:space="preserve">Severe convective - hail / tornado (moderate)</t>
        </is>
      </c>
      <c r="T576" s="36">
        <f>IF($A576="","",IF($S576="","",IFERROR(INDEX('[1]natural catastrophe'!$D$6:$D$17,MATCH($S576,'[1]natural catastrophe'!$B$6:$B$17,0)),"?")))</f>
      </c>
      <c r="U576" s="46" t="inlineStr">
        <is>
          <t xml:space="preserve">$5,000</t>
        </is>
      </c>
      <c r="V576" s="48" t="inlineStr">
        <is>
          <t xml:space="preserve">Agreed Value</t>
        </is>
      </c>
      <c r="W576" s="46" t="inlineStr">
        <is>
          <t xml:space="preserve">$1,000</t>
        </is>
      </c>
      <c r="X576" s="48" t="inlineStr">
        <is>
          <t xml:space="preserve">$1,000,000 CSL</t>
        </is>
      </c>
      <c r="Y576" s="46"/>
      <c r="Z576" s="46"/>
      <c r="AA576" s="48" t="inlineStr">
        <is>
          <t xml:space="preserve">Surplus Lines</t>
        </is>
      </c>
      <c r="AB576" s="50">
        <v>13587.43</v>
      </c>
      <c r="AC576" s="51">
        <v>0</v>
      </c>
      <c r="AD576" s="38">
        <f>IF(ISNUMBER($AB576),$AB576*(1+N($AC576)),"")</f>
      </c>
      <c r="AE576" s="50">
        <v>350</v>
      </c>
      <c r="AF576" s="50">
        <v>0</v>
      </c>
      <c r="AG576" s="51"/>
      <c r="AH576" s="39">
        <f>IF(ISNUMBER($AD576),($AD576+$AE576+$AF576)*$AG576,"")</f>
      </c>
      <c r="AI576" s="50"/>
      <c r="AJ576" s="38">
        <f>IF(ISNUMBER($AD576),SUM($AD576:$AH576),"")</f>
      </c>
      <c r="AK576" s="40">
        <f>IF(AND(ISNUMBER($AB576),ISNUMBER($AD576)),IF($AB576&gt;0,$AD576/$AB576,""),"")</f>
      </c>
      <c r="AL576" s="48" t="inlineStr">
        <is>
          <t xml:space="preserve">At technical</t>
        </is>
      </c>
      <c r="AM576" s="41">
        <f>IF(ISNUMBER($AD576),Header!$I$3,"")</f>
      </c>
      <c r="AN576" s="39">
        <f>IF(ISNUMBER($AD576),$AO576+$AP576,"")</f>
      </c>
      <c r="AO576" s="39">
        <f>IF(ISNUMBER($AD576),ROUND($AD576*Header!$K$3,2),"")</f>
      </c>
      <c r="AP576" s="39">
        <f>IF(ISNUMBER($AD576),ROUND($AD576*Header!$M$3,2),"")</f>
      </c>
      <c r="AQ576" s="38">
        <f>IF(ISNUMBER($AD576),ROUND($AD576,2)-$AO576-$AP576,"")</f>
      </c>
      <c r="AR576" s="39">
        <f>IF(ISNUMBER($AD576),IF(Header!$D$34="","?",$AD576*Header!$D$34),"")</f>
      </c>
      <c r="AS576" s="39">
        <f>IF(ISNUMBER($AB576),IF(Header!$D$34="","?",$AB576*Header!$D$34),"")</f>
      </c>
      <c r="AT576" s="42">
        <f>IF(AND(ISNUMBER($AB576),$M576&gt;0),$AB576/$M576*100,"")</f>
      </c>
      <c r="AU576" s="42">
        <f>IF(AND(ISNUMBER($AD576),$M576&gt;0),$AD576/$M576*100,"")</f>
      </c>
      <c r="AV576" s="40">
        <f>IF(AND(ISNUMBER($AB576),ISNUMBER($AD576),ABS($AB576)&gt;0),$AD576/$AB576,"")</f>
      </c>
      <c r="AW576" s="39">
        <f>IF(ISNUMBER($AD576),MAX(0,(1-0.55-Header!$O$3)*Header!$Q$3*$AQ576),"")</f>
      </c>
      <c r="AX576" s="43">
        <f>IF($A576="","",IF(TRIM(IF($A576="","Missing certificate ref. ","") &amp; IF($C576="","Missing effective date. ","") &amp; IF($D576="","Missing binding status. ","") &amp; IF($E576="","Missing movement type. ","") &amp; IF($I576="","Missing make. ","") &amp; IF($L576="","Missing vehicle class. ","") &amp; IF($M576="","Missing agreed value. ","") &amp; IF($N576="","Missing policy type. ","") &amp; IF($Q576="","Missing garaging state. ","") &amp; IF($R576="","Missing garaging ZIP. ","") &amp; IF($S576="","Missing cat zone. ","") &amp; IF($V576="","Missing valuation basis. ","") &amp; IF($W576="","Missing PD deductible. ","") &amp; IF($X576="","Missing liability limit. ","") &amp; IF($AB576="","Missing technical premium. ","") &amp; IF($AF576="","Missing surplus lines tax %. ",""))="","PASS","FAIL: "&amp;TRIM(IF($A576="","Missing certificate ref. ","") &amp; IF($C576="","Missing effective date. ","") &amp; IF($D576="","Missing binding status. ","") &amp; IF($E576="","Missing movement type. ","") &amp; IF($I576="","Missing make. ","") &amp; IF($L576="","Missing vehicle class. ","") &amp; IF($M576="","Missing agreed value. ","") &amp; IF($N576="","Missing policy type. ","") &amp; IF($Q576="","Missing garaging state. ","") &amp; IF($R576="","Missing garaging ZIP. ","") &amp; IF($S576="","Missing cat zone. ","") &amp; IF($V576="","Missing valuation basis. ","") &amp; IF($W576="","Missing PD deductible. ","") &amp; IF($X576="","Missing liability limit. ","") &amp; IF($AB576="","Missing technical premium. ","") &amp; IF($AF576="","Missing surplus lines tax %. ",""))))</f>
      </c>
      <c r="AY576" s="44">
        <f>IF($M576="","",IF(ISNUMBER($M576),IF($M576&gt;=Header!$C$18,"YES — refer","No"),""))</f>
      </c>
      <c r="AZ576" s="44">
        <f>IF($AD576="","",IF(ISNUMBER($AD576),IF($AD576&lt;Header!$C$20,"BELOW MIN PREMIUM","OK"),""))</f>
      </c>
      <c r="BA576" s="48" t="inlineStr">
        <is>
          <t xml:space="preserve">Yes</t>
        </is>
      </c>
      <c r="BB576" s="48" t="inlineStr">
        <is>
          <t xml:space="preserve">Yes</t>
        </is>
      </c>
      <c r="BC576" s="46" t="inlineStr">
        <is>
          <t xml:space="preserve">Synthetic demo data</t>
        </is>
      </c>
      <c r="BE576" s="45">
        <f>IF(OR($A576="",$L576="",$H576=""),"",IF(AND(LEFT($L576,2)="06",$H576&gt;1945),"FAIL - pre-war class, year "&amp;$H576,IF(AND(LEFT($L576,2)="07",OR($H576&lt;1946,$H576&gt;1972)),"FAIL - 1946-72 class, year "&amp;$H576,IF(AND(LEFT($L576,2)="08",OR($H576&lt;1973,$H576&gt;1999)),"FAIL - 1973-99 class, year "&amp;$H576,IF(AND(LEFT($L576,2)="09",OR($H576&lt;2000,$H576&gt;2010)),"FAIL - 2000-10 class, year "&amp;$H576,"OK")))))</f>
      </c>
      <c r="BF576" s="45">
        <f>IF($AD576="","",IF(ROUND($AO576+$AP576+$AQ576-$AD576,2)=0,"OK","FAIL - out by "&amp;TEXT($AO576+$AP576+$AQ576-$AD576,"$0.00")))</f>
      </c>
    </row>
    <row r="577" spans="1:58" ht="18.75" customHeight="1" x14ac:dyDescent="0.25">
      <c r="A577" s="30" t="inlineStr">
        <is>
          <t xml:space="preserve">CANON-202511-002951</t>
        </is>
      </c>
      <c r="B577" s="30" t="inlineStr">
        <is>
          <t xml:space="preserve">Everett Thistlewood</t>
        </is>
      </c>
      <c r="C577" s="31">
        <v>45969</v>
      </c>
      <c r="D577" s="32" t="inlineStr">
        <is>
          <t xml:space="preserve">Bound - within authority</t>
        </is>
      </c>
      <c r="E577" s="32" t="inlineStr">
        <is>
          <t xml:space="preserve">New business</t>
        </is>
      </c>
      <c r="F577" s="30" t="inlineStr">
        <is>
          <t xml:space="preserve">B1234EXOTIC26</t>
        </is>
      </c>
      <c r="G577" s="33">
        <f>IF($A577="","",IF($C577="","",YEAR($C577)))</f>
      </c>
      <c r="H577" s="34">
        <v>1971</v>
      </c>
      <c r="I577" s="30" t="inlineStr">
        <is>
          <t xml:space="preserve">Maserati</t>
        </is>
      </c>
      <c r="J577" s="30" t="inlineStr">
        <is>
          <t xml:space="preserve">GranTurismo</t>
        </is>
      </c>
      <c r="K577" s="30" t="inlineStr">
        <is>
          <t xml:space="preserve">AN2SS3JF6HZHZDZZV</t>
        </is>
      </c>
      <c r="L577" s="32" t="inlineStr">
        <is>
          <t xml:space="preserve">02 - Sports / GT</t>
        </is>
      </c>
      <c r="M577" s="35">
        <v>1065000</v>
      </c>
      <c r="N577" s="32" t="inlineStr">
        <is>
          <t xml:space="preserve">Personal</t>
        </is>
      </c>
      <c r="O577" s="30" t="inlineStr">
        <is>
          <t xml:space="preserve">Personal - regular use</t>
        </is>
      </c>
      <c r="P577" s="30" t="inlineStr">
        <is>
          <t xml:space="preserve">2,500 - 5,000</t>
        </is>
      </c>
      <c r="Q577" s="30" t="inlineStr">
        <is>
          <t xml:space="preserve">Vermont</t>
        </is>
      </c>
      <c r="R577" s="30" t="inlineStr">
        <is>
          <t xml:space="preserve">05601</t>
        </is>
      </c>
      <c r="S577" s="32" t="inlineStr">
        <is>
          <t xml:space="preserve">Low hazard - inland benign</t>
        </is>
      </c>
      <c r="T577" s="36">
        <f>IF($A577="","",IF($S577="","",IFERROR(INDEX('[1]natural catastrophe'!$D$6:$D$17,MATCH($S577,'[1]natural catastrophe'!$B$6:$B$17,0)),"?")))</f>
      </c>
      <c r="U577" s="30" t="inlineStr">
        <is>
          <t xml:space="preserve">$5,000</t>
        </is>
      </c>
      <c r="V577" s="32" t="inlineStr">
        <is>
          <t xml:space="preserve">Agreed Value</t>
        </is>
      </c>
      <c r="W577" s="30" t="inlineStr">
        <is>
          <t xml:space="preserve">$1,000</t>
        </is>
      </c>
      <c r="X577" s="32" t="inlineStr">
        <is>
          <t xml:space="preserve">$1,000,000 CSL</t>
        </is>
      </c>
      <c r="Y577" s="30"/>
      <c r="Z577" s="30"/>
      <c r="AA577" s="32" t="inlineStr">
        <is>
          <t xml:space="preserve">Surplus Lines</t>
        </is>
      </c>
      <c r="AB577" s="35">
        <v>12396.55</v>
      </c>
      <c r="AC577" s="37">
        <v>0</v>
      </c>
      <c r="AD577" s="38">
        <f>IF(ISNUMBER($AB577),$AB577*(1+N($AC577)),"")</f>
      </c>
      <c r="AE577" s="35">
        <v>350</v>
      </c>
      <c r="AF577" s="35">
        <v>250</v>
      </c>
      <c r="AG577" s="37"/>
      <c r="AH577" s="39">
        <f>IF(ISNUMBER($AD577),($AD577+$AE577+$AF577)*$AG577,"")</f>
      </c>
      <c r="AI577" s="35"/>
      <c r="AJ577" s="38">
        <f>IF(ISNUMBER($AD577),SUM($AD577:$AH577),"")</f>
      </c>
      <c r="AK577" s="40">
        <f>IF(AND(ISNUMBER($AB577),ISNUMBER($AD577)),IF($AB577&gt;0,$AD577/$AB577,""),"")</f>
      </c>
      <c r="AL577" s="32" t="inlineStr">
        <is>
          <t xml:space="preserve">At technical</t>
        </is>
      </c>
      <c r="AM577" s="41">
        <f>IF(ISNUMBER($AD577),Header!$I$3,"")</f>
      </c>
      <c r="AN577" s="39">
        <f>IF(ISNUMBER($AD577),$AO577+$AP577,"")</f>
      </c>
      <c r="AO577" s="39">
        <f>IF(ISNUMBER($AD577),ROUND($AD577*Header!$K$3,2),"")</f>
      </c>
      <c r="AP577" s="39">
        <f>IF(ISNUMBER($AD577),ROUND($AD577*Header!$M$3,2),"")</f>
      </c>
      <c r="AQ577" s="38">
        <f>IF(ISNUMBER($AD577),ROUND($AD577,2)-$AO577-$AP577,"")</f>
      </c>
      <c r="AR577" s="39">
        <f>IF(ISNUMBER($AD577),IF(Header!$D$34="","?",$AD577*Header!$D$34),"")</f>
      </c>
      <c r="AS577" s="39">
        <f>IF(ISNUMBER($AB577),IF(Header!$D$34="","?",$AB577*Header!$D$34),"")</f>
      </c>
      <c r="AT577" s="42">
        <f>IF(AND(ISNUMBER($AB577),$M577&gt;0),$AB577/$M577*100,"")</f>
      </c>
      <c r="AU577" s="42">
        <f>IF(AND(ISNUMBER($AD577),$M577&gt;0),$AD577/$M577*100,"")</f>
      </c>
      <c r="AV577" s="40">
        <f>IF(AND(ISNUMBER($AB577),ISNUMBER($AD577),ABS($AB577)&gt;0),$AD577/$AB577,"")</f>
      </c>
      <c r="AW577" s="39">
        <f>IF(ISNUMBER($AD577),MAX(0,(1-0.55-Header!$O$3)*Header!$Q$3*$AQ577),"")</f>
      </c>
      <c r="AX577" s="43">
        <f>IF($A577="","",IF(TRIM(IF($A577="","Missing certificate ref. ","") &amp; IF($C577="","Missing effective date. ","") &amp; IF($D577="","Missing binding status. ","") &amp; IF($E577="","Missing movement type. ","") &amp; IF($I577="","Missing make. ","") &amp; IF($L577="","Missing vehicle class. ","") &amp; IF($M577="","Missing agreed value. ","") &amp; IF($N577="","Missing policy type. ","") &amp; IF($Q577="","Missing garaging state. ","") &amp; IF($R577="","Missing garaging ZIP. ","") &amp; IF($S577="","Missing cat zone. ","") &amp; IF($V577="","Missing valuation basis. ","") &amp; IF($W577="","Missing PD deductible. ","") &amp; IF($X577="","Missing liability limit. ","") &amp; IF($AB577="","Missing technical premium. ","") &amp; IF($AF577="","Missing surplus lines tax %. ",""))="","PASS","FAIL: "&amp;TRIM(IF($A577="","Missing certificate ref. ","") &amp; IF($C577="","Missing effective date. ","") &amp; IF($D577="","Missing binding status. ","") &amp; IF($E577="","Missing movement type. ","") &amp; IF($I577="","Missing make. ","") &amp; IF($L577="","Missing vehicle class. ","") &amp; IF($M577="","Missing agreed value. ","") &amp; IF($N577="","Missing policy type. ","") &amp; IF($Q577="","Missing garaging state. ","") &amp; IF($R577="","Missing garaging ZIP. ","") &amp; IF($S577="","Missing cat zone. ","") &amp; IF($V577="","Missing valuation basis. ","") &amp; IF($W577="","Missing PD deductible. ","") &amp; IF($X577="","Missing liability limit. ","") &amp; IF($AB577="","Missing technical premium. ","") &amp; IF($AF577="","Missing surplus lines tax %. ",""))))</f>
      </c>
      <c r="AY577" s="44">
        <f>IF($M577="","",IF(ISNUMBER($M577),IF($M577&gt;=Header!$C$18,"YES — refer","No"),""))</f>
      </c>
      <c r="AZ577" s="44">
        <f>IF($AD577="","",IF(ISNUMBER($AD577),IF($AD577&lt;Header!$C$20,"BELOW MIN PREMIUM","OK"),""))</f>
      </c>
      <c r="BA577" s="32" t="inlineStr">
        <is>
          <t xml:space="preserve">Yes</t>
        </is>
      </c>
      <c r="BB577" s="32" t="inlineStr">
        <is>
          <t xml:space="preserve">Yes</t>
        </is>
      </c>
      <c r="BC577" s="30" t="inlineStr">
        <is>
          <t xml:space="preserve">Synthetic demo data</t>
        </is>
      </c>
      <c r="BE577" s="45">
        <f>IF(OR($A577="",$L577="",$H577=""),"",IF(AND(LEFT($L577,2)="06",$H577&gt;1945),"FAIL - pre-war class, year "&amp;$H577,IF(AND(LEFT($L577,2)="07",OR($H577&lt;1946,$H577&gt;1972)),"FAIL - 1946-72 class, year "&amp;$H577,IF(AND(LEFT($L577,2)="08",OR($H577&lt;1973,$H577&gt;1999)),"FAIL - 1973-99 class, year "&amp;$H577,IF(AND(LEFT($L577,2)="09",OR($H577&lt;2000,$H577&gt;2010)),"FAIL - 2000-10 class, year "&amp;$H577,"OK")))))</f>
      </c>
      <c r="BF577" s="45">
        <f>IF($AD577="","",IF(ROUND($AO577+$AP577+$AQ577-$AD577,2)=0,"OK","FAIL - out by "&amp;TEXT($AO577+$AP577+$AQ577-$AD577,"$0.00")))</f>
      </c>
    </row>
    <row r="578" spans="1:58" ht="18.75" customHeight="1" x14ac:dyDescent="0.25">
      <c r="A578" s="46" t="inlineStr">
        <is>
          <t xml:space="preserve">CANON-202511-002952</t>
        </is>
      </c>
      <c r="B578" s="46" t="inlineStr">
        <is>
          <t xml:space="preserve">Sunniva Kingsford</t>
        </is>
      </c>
      <c r="C578" s="47">
        <v>45978</v>
      </c>
      <c r="D578" s="48" t="inlineStr">
        <is>
          <t xml:space="preserve">Bound - within authority</t>
        </is>
      </c>
      <c r="E578" s="48" t="inlineStr">
        <is>
          <t xml:space="preserve">New business</t>
        </is>
      </c>
      <c r="F578" s="46" t="inlineStr">
        <is>
          <t xml:space="preserve">B1234EXOTIC26</t>
        </is>
      </c>
      <c r="G578" s="33">
        <f>IF($A578="","",IF($C578="","",YEAR($C578)))</f>
      </c>
      <c r="H578" s="49">
        <v>1992</v>
      </c>
      <c r="I578" s="46" t="inlineStr">
        <is>
          <t xml:space="preserve">Singer</t>
        </is>
      </c>
      <c r="J578" s="46" t="inlineStr">
        <is>
          <t xml:space="preserve">911 Reimagined</t>
        </is>
      </c>
      <c r="K578" s="46" t="inlineStr">
        <is>
          <t xml:space="preserve">E81B3FUXU9CGRTP72</t>
        </is>
      </c>
      <c r="L578" s="48" t="inlineStr">
        <is>
          <t xml:space="preserve">11 - Restomod / Coachbuilt / Bespoke</t>
        </is>
      </c>
      <c r="M578" s="50">
        <v>510000</v>
      </c>
      <c r="N578" s="48" t="inlineStr">
        <is>
          <t xml:space="preserve">Personal</t>
        </is>
      </c>
      <c r="O578" s="46" t="inlineStr">
        <is>
          <t xml:space="preserve">Personal - regular use</t>
        </is>
      </c>
      <c r="P578" s="46" t="inlineStr">
        <is>
          <t xml:space="preserve">Under 1,000</t>
        </is>
      </c>
      <c r="Q578" s="46" t="inlineStr">
        <is>
          <t xml:space="preserve">Nebraska</t>
        </is>
      </c>
      <c r="R578" s="46" t="inlineStr">
        <is>
          <t xml:space="preserve">68102</t>
        </is>
      </c>
      <c r="S578" s="48" t="inlineStr">
        <is>
          <t xml:space="preserve">Severe convective - hail alley (high)</t>
        </is>
      </c>
      <c r="T578" s="36">
        <f>IF($A578="","",IF($S578="","",IFERROR(INDEX('[1]natural catastrophe'!$D$6:$D$17,MATCH($S578,'[1]natural catastrophe'!$B$6:$B$17,0)),"?")))</f>
      </c>
      <c r="U578" s="46" t="inlineStr">
        <is>
          <t xml:space="preserve">$5,000</t>
        </is>
      </c>
      <c r="V578" s="48" t="inlineStr">
        <is>
          <t xml:space="preserve">Agreed Value</t>
        </is>
      </c>
      <c r="W578" s="46" t="inlineStr">
        <is>
          <t xml:space="preserve">$1,000</t>
        </is>
      </c>
      <c r="X578" s="48" t="inlineStr">
        <is>
          <t xml:space="preserve">$1,000,000 CSL</t>
        </is>
      </c>
      <c r="Y578" s="46"/>
      <c r="Z578" s="46"/>
      <c r="AA578" s="48" t="inlineStr">
        <is>
          <t xml:space="preserve">Surplus Lines</t>
        </is>
      </c>
      <c r="AB578" s="50">
        <v>8970.92</v>
      </c>
      <c r="AC578" s="51">
        <v>0</v>
      </c>
      <c r="AD578" s="38">
        <f>IF(ISNUMBER($AB578),$AB578*(1+N($AC578)),"")</f>
      </c>
      <c r="AE578" s="50">
        <v>350</v>
      </c>
      <c r="AF578" s="50">
        <v>0</v>
      </c>
      <c r="AG578" s="51"/>
      <c r="AH578" s="39">
        <f>IF(ISNUMBER($AD578),($AD578+$AE578+$AF578)*$AG578,"")</f>
      </c>
      <c r="AI578" s="50"/>
      <c r="AJ578" s="38">
        <f>IF(ISNUMBER($AD578),SUM($AD578:$AH578),"")</f>
      </c>
      <c r="AK578" s="40">
        <f>IF(AND(ISNUMBER($AB578),ISNUMBER($AD578)),IF($AB578&gt;0,$AD578/$AB578,""),"")</f>
      </c>
      <c r="AL578" s="48" t="inlineStr">
        <is>
          <t xml:space="preserve">At technical</t>
        </is>
      </c>
      <c r="AM578" s="41">
        <f>IF(ISNUMBER($AD578),Header!$I$3,"")</f>
      </c>
      <c r="AN578" s="39">
        <f>IF(ISNUMBER($AD578),$AO578+$AP578,"")</f>
      </c>
      <c r="AO578" s="39">
        <f>IF(ISNUMBER($AD578),ROUND($AD578*Header!$K$3,2),"")</f>
      </c>
      <c r="AP578" s="39">
        <f>IF(ISNUMBER($AD578),ROUND($AD578*Header!$M$3,2),"")</f>
      </c>
      <c r="AQ578" s="38">
        <f>IF(ISNUMBER($AD578),ROUND($AD578,2)-$AO578-$AP578,"")</f>
      </c>
      <c r="AR578" s="39">
        <f>IF(ISNUMBER($AD578),IF(Header!$D$34="","?",$AD578*Header!$D$34),"")</f>
      </c>
      <c r="AS578" s="39">
        <f>IF(ISNUMBER($AB578),IF(Header!$D$34="","?",$AB578*Header!$D$34),"")</f>
      </c>
      <c r="AT578" s="42">
        <f>IF(AND(ISNUMBER($AB578),$M578&gt;0),$AB578/$M578*100,"")</f>
      </c>
      <c r="AU578" s="42">
        <f>IF(AND(ISNUMBER($AD578),$M578&gt;0),$AD578/$M578*100,"")</f>
      </c>
      <c r="AV578" s="40">
        <f>IF(AND(ISNUMBER($AB578),ISNUMBER($AD578),ABS($AB578)&gt;0),$AD578/$AB578,"")</f>
      </c>
      <c r="AW578" s="39">
        <f>IF(ISNUMBER($AD578),MAX(0,(1-0.55-Header!$O$3)*Header!$Q$3*$AQ578),"")</f>
      </c>
      <c r="AX578" s="43">
        <f>IF($A578="","",IF(TRIM(IF($A578="","Missing certificate ref. ","") &amp; IF($C578="","Missing effective date. ","") &amp; IF($D578="","Missing binding status. ","") &amp; IF($E578="","Missing movement type. ","") &amp; IF($I578="","Missing make. ","") &amp; IF($L578="","Missing vehicle class. ","") &amp; IF($M578="","Missing agreed value. ","") &amp; IF($N578="","Missing policy type. ","") &amp; IF($Q578="","Missing garaging state. ","") &amp; IF($R578="","Missing garaging ZIP. ","") &amp; IF($S578="","Missing cat zone. ","") &amp; IF($V578="","Missing valuation basis. ","") &amp; IF($W578="","Missing PD deductible. ","") &amp; IF($X578="","Missing liability limit. ","") &amp; IF($AB578="","Missing technical premium. ","") &amp; IF($AF578="","Missing surplus lines tax %. ",""))="","PASS","FAIL: "&amp;TRIM(IF($A578="","Missing certificate ref. ","") &amp; IF($C578="","Missing effective date. ","") &amp; IF($D578="","Missing binding status. ","") &amp; IF($E578="","Missing movement type. ","") &amp; IF($I578="","Missing make. ","") &amp; IF($L578="","Missing vehicle class. ","") &amp; IF($M578="","Missing agreed value. ","") &amp; IF($N578="","Missing policy type. ","") &amp; IF($Q578="","Missing garaging state. ","") &amp; IF($R578="","Missing garaging ZIP. ","") &amp; IF($S578="","Missing cat zone. ","") &amp; IF($V578="","Missing valuation basis. ","") &amp; IF($W578="","Missing PD deductible. ","") &amp; IF($X578="","Missing liability limit. ","") &amp; IF($AB578="","Missing technical premium. ","") &amp; IF($AF578="","Missing surplus lines tax %. ",""))))</f>
      </c>
      <c r="AY578" s="44">
        <f>IF($M578="","",IF(ISNUMBER($M578),IF($M578&gt;=Header!$C$18,"YES — refer","No"),""))</f>
      </c>
      <c r="AZ578" s="44">
        <f>IF($AD578="","",IF(ISNUMBER($AD578),IF($AD578&lt;Header!$C$20,"BELOW MIN PREMIUM","OK"),""))</f>
      </c>
      <c r="BA578" s="48" t="inlineStr">
        <is>
          <t xml:space="preserve">Yes</t>
        </is>
      </c>
      <c r="BB578" s="48" t="inlineStr">
        <is>
          <t xml:space="preserve">Yes</t>
        </is>
      </c>
      <c r="BC578" s="46" t="inlineStr">
        <is>
          <t xml:space="preserve">Synthetic demo data</t>
        </is>
      </c>
      <c r="BE578" s="45">
        <f>IF(OR($A578="",$L578="",$H578=""),"",IF(AND(LEFT($L578,2)="06",$H578&gt;1945),"FAIL - pre-war class, year "&amp;$H578,IF(AND(LEFT($L578,2)="07",OR($H578&lt;1946,$H578&gt;1972)),"FAIL - 1946-72 class, year "&amp;$H578,IF(AND(LEFT($L578,2)="08",OR($H578&lt;1973,$H578&gt;1999)),"FAIL - 1973-99 class, year "&amp;$H578,IF(AND(LEFT($L578,2)="09",OR($H578&lt;2000,$H578&gt;2010)),"FAIL - 2000-10 class, year "&amp;$H578,"OK")))))</f>
      </c>
      <c r="BF578" s="45">
        <f>IF($AD578="","",IF(ROUND($AO578+$AP578+$AQ578-$AD578,2)=0,"OK","FAIL - out by "&amp;TEXT($AO578+$AP578+$AQ578-$AD578,"$0.00")))</f>
      </c>
    </row>
    <row r="579" spans="1:58" ht="18.75" customHeight="1" x14ac:dyDescent="0.25">
      <c r="A579" s="30" t="inlineStr">
        <is>
          <t xml:space="preserve">CANON-202511-002953</t>
        </is>
      </c>
      <c r="B579" s="30" t="inlineStr">
        <is>
          <t xml:space="preserve">Emiliano Ashcombe</t>
        </is>
      </c>
      <c r="C579" s="31">
        <v>45969</v>
      </c>
      <c r="D579" s="32" t="inlineStr">
        <is>
          <t xml:space="preserve">Bound - within authority</t>
        </is>
      </c>
      <c r="E579" s="32" t="inlineStr">
        <is>
          <t xml:space="preserve">New business</t>
        </is>
      </c>
      <c r="F579" s="30" t="inlineStr">
        <is>
          <t xml:space="preserve">B1234EXOTIC26</t>
        </is>
      </c>
      <c r="G579" s="33">
        <f>IF($A579="","",IF($C579="","",YEAR($C579)))</f>
      </c>
      <c r="H579" s="34">
        <v>1973</v>
      </c>
      <c r="I579" s="30" t="inlineStr">
        <is>
          <t xml:space="preserve">Ferrari</t>
        </is>
      </c>
      <c r="J579" s="30" t="inlineStr">
        <is>
          <t xml:space="preserve">SF90 Stradale</t>
        </is>
      </c>
      <c r="K579" s="30" t="inlineStr">
        <is>
          <t xml:space="preserve">P47PK4NSK3XPL23G6</t>
        </is>
      </c>
      <c r="L579" s="32" t="inlineStr">
        <is>
          <t xml:space="preserve">03 - Supercar</t>
        </is>
      </c>
      <c r="M579" s="35">
        <v>510000</v>
      </c>
      <c r="N579" s="32" t="inlineStr">
        <is>
          <t xml:space="preserve">Personal</t>
        </is>
      </c>
      <c r="O579" s="30" t="inlineStr">
        <is>
          <t xml:space="preserve">Personal - regular use</t>
        </is>
      </c>
      <c r="P579" s="30" t="inlineStr">
        <is>
          <t xml:space="preserve">1,000 - 2,500</t>
        </is>
      </c>
      <c r="Q579" s="30" t="inlineStr">
        <is>
          <t xml:space="preserve">South Carolina</t>
        </is>
      </c>
      <c r="R579" s="30" t="inlineStr">
        <is>
          <t xml:space="preserve">29401</t>
        </is>
      </c>
      <c r="S579" s="32" t="inlineStr">
        <is>
          <t xml:space="preserve">Tier 2 - Coastal wind (1-25 miles)</t>
        </is>
      </c>
      <c r="T579" s="36">
        <f>IF($A579="","",IF($S579="","",IFERROR(INDEX('[1]natural catastrophe'!$D$6:$D$17,MATCH($S579,'[1]natural catastrophe'!$B$6:$B$17,0)),"?")))</f>
      </c>
      <c r="U579" s="30" t="inlineStr">
        <is>
          <t xml:space="preserve">2% of agreed value, minimum $10,000</t>
        </is>
      </c>
      <c r="V579" s="32" t="inlineStr">
        <is>
          <t xml:space="preserve">Agreed Value</t>
        </is>
      </c>
      <c r="W579" s="30" t="inlineStr">
        <is>
          <t xml:space="preserve">$1,000</t>
        </is>
      </c>
      <c r="X579" s="32" t="inlineStr">
        <is>
          <t xml:space="preserve">$1,000,000 CSL</t>
        </is>
      </c>
      <c r="Y579" s="30"/>
      <c r="Z579" s="30"/>
      <c r="AA579" s="32" t="inlineStr">
        <is>
          <t xml:space="preserve">Surplus Lines</t>
        </is>
      </c>
      <c r="AB579" s="35">
        <v>10421.83</v>
      </c>
      <c r="AC579" s="37">
        <v>0</v>
      </c>
      <c r="AD579" s="38">
        <f>IF(ISNUMBER($AB579),$AB579*(1+N($AC579)),"")</f>
      </c>
      <c r="AE579" s="35">
        <v>350</v>
      </c>
      <c r="AF579" s="35">
        <v>0</v>
      </c>
      <c r="AG579" s="37"/>
      <c r="AH579" s="39">
        <f>IF(ISNUMBER($AD579),($AD579+$AE579+$AF579)*$AG579,"")</f>
      </c>
      <c r="AI579" s="35"/>
      <c r="AJ579" s="38">
        <f>IF(ISNUMBER($AD579),SUM($AD579:$AH579),"")</f>
      </c>
      <c r="AK579" s="40">
        <f>IF(AND(ISNUMBER($AB579),ISNUMBER($AD579)),IF($AB579&gt;0,$AD579/$AB579,""),"")</f>
      </c>
      <c r="AL579" s="32" t="inlineStr">
        <is>
          <t xml:space="preserve">At technical</t>
        </is>
      </c>
      <c r="AM579" s="41">
        <f>IF(ISNUMBER($AD579),Header!$I$3,"")</f>
      </c>
      <c r="AN579" s="39">
        <f>IF(ISNUMBER($AD579),$AO579+$AP579,"")</f>
      </c>
      <c r="AO579" s="39">
        <f>IF(ISNUMBER($AD579),ROUND($AD579*Header!$K$3,2),"")</f>
      </c>
      <c r="AP579" s="39">
        <f>IF(ISNUMBER($AD579),ROUND($AD579*Header!$M$3,2),"")</f>
      </c>
      <c r="AQ579" s="38">
        <f>IF(ISNUMBER($AD579),ROUND($AD579,2)-$AO579-$AP579,"")</f>
      </c>
      <c r="AR579" s="39">
        <f>IF(ISNUMBER($AD579),IF(Header!$D$34="","?",$AD579*Header!$D$34),"")</f>
      </c>
      <c r="AS579" s="39">
        <f>IF(ISNUMBER($AB579),IF(Header!$D$34="","?",$AB579*Header!$D$34),"")</f>
      </c>
      <c r="AT579" s="42">
        <f>IF(AND(ISNUMBER($AB579),$M579&gt;0),$AB579/$M579*100,"")</f>
      </c>
      <c r="AU579" s="42">
        <f>IF(AND(ISNUMBER($AD579),$M579&gt;0),$AD579/$M579*100,"")</f>
      </c>
      <c r="AV579" s="40">
        <f>IF(AND(ISNUMBER($AB579),ISNUMBER($AD579),ABS($AB579)&gt;0),$AD579/$AB579,"")</f>
      </c>
      <c r="AW579" s="39">
        <f>IF(ISNUMBER($AD579),MAX(0,(1-0.55-Header!$O$3)*Header!$Q$3*$AQ579),"")</f>
      </c>
      <c r="AX579" s="43">
        <f>IF($A579="","",IF(TRIM(IF($A579="","Missing certificate ref. ","") &amp; IF($C579="","Missing effective date. ","") &amp; IF($D579="","Missing binding status. ","") &amp; IF($E579="","Missing movement type. ","") &amp; IF($I579="","Missing make. ","") &amp; IF($L579="","Missing vehicle class. ","") &amp; IF($M579="","Missing agreed value. ","") &amp; IF($N579="","Missing policy type. ","") &amp; IF($Q579="","Missing garaging state. ","") &amp; IF($R579="","Missing garaging ZIP. ","") &amp; IF($S579="","Missing cat zone. ","") &amp; IF($V579="","Missing valuation basis. ","") &amp; IF($W579="","Missing PD deductible. ","") &amp; IF($X579="","Missing liability limit. ","") &amp; IF($AB579="","Missing technical premium. ","") &amp; IF($AF579="","Missing surplus lines tax %. ",""))="","PASS","FAIL: "&amp;TRIM(IF($A579="","Missing certificate ref. ","") &amp; IF($C579="","Missing effective date. ","") &amp; IF($D579="","Missing binding status. ","") &amp; IF($E579="","Missing movement type. ","") &amp; IF($I579="","Missing make. ","") &amp; IF($L579="","Missing vehicle class. ","") &amp; IF($M579="","Missing agreed value. ","") &amp; IF($N579="","Missing policy type. ","") &amp; IF($Q579="","Missing garaging state. ","") &amp; IF($R579="","Missing garaging ZIP. ","") &amp; IF($S579="","Missing cat zone. ","") &amp; IF($V579="","Missing valuation basis. ","") &amp; IF($W579="","Missing PD deductible. ","") &amp; IF($X579="","Missing liability limit. ","") &amp; IF($AB579="","Missing technical premium. ","") &amp; IF($AF579="","Missing surplus lines tax %. ",""))))</f>
      </c>
      <c r="AY579" s="44">
        <f>IF($M579="","",IF(ISNUMBER($M579),IF($M579&gt;=Header!$C$18,"YES — refer","No"),""))</f>
      </c>
      <c r="AZ579" s="44">
        <f>IF($AD579="","",IF(ISNUMBER($AD579),IF($AD579&lt;Header!$C$20,"BELOW MIN PREMIUM","OK"),""))</f>
      </c>
      <c r="BA579" s="32" t="inlineStr">
        <is>
          <t xml:space="preserve">Yes</t>
        </is>
      </c>
      <c r="BB579" s="32" t="inlineStr">
        <is>
          <t xml:space="preserve">Yes</t>
        </is>
      </c>
      <c r="BC579" s="30" t="inlineStr">
        <is>
          <t xml:space="preserve">Synthetic demo data</t>
        </is>
      </c>
      <c r="BE579" s="45">
        <f>IF(OR($A579="",$L579="",$H579=""),"",IF(AND(LEFT($L579,2)="06",$H579&gt;1945),"FAIL - pre-war class, year "&amp;$H579,IF(AND(LEFT($L579,2)="07",OR($H579&lt;1946,$H579&gt;1972)),"FAIL - 1946-72 class, year "&amp;$H579,IF(AND(LEFT($L579,2)="08",OR($H579&lt;1973,$H579&gt;1999)),"FAIL - 1973-99 class, year "&amp;$H579,IF(AND(LEFT($L579,2)="09",OR($H579&lt;2000,$H579&gt;2010)),"FAIL - 2000-10 class, year "&amp;$H579,"OK")))))</f>
      </c>
      <c r="BF579" s="45">
        <f>IF($AD579="","",IF(ROUND($AO579+$AP579+$AQ579-$AD579,2)=0,"OK","FAIL - out by "&amp;TEXT($AO579+$AP579+$AQ579-$AD579,"$0.00")))</f>
      </c>
    </row>
  </sheetData>
  <mergeCells count="10">
    <mergeCell ref="AT3:AY3"/>
    <mergeCell ref="AZ3:BD3"/>
    <mergeCell ref="A1:AS1"/>
    <mergeCell ref="A2:AS2"/>
    <mergeCell ref="A3:G3"/>
    <mergeCell ref="H3:Q3"/>
    <mergeCell ref="R3:V3"/>
    <mergeCell ref="W3:AB3"/>
    <mergeCell ref="AC3:AN3"/>
    <mergeCell ref="AO3:AS3"/>
  </mergeCell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0">
        <x14:dataValidation type="list" allowBlank="1" xr:uid="{00000000-0002-0000-0200-000000000000}">
          <x14:formula1>
            <xm:f>Lists!$B$5:$B$11</xm:f>
          </x14:formula1>
          <x14:formula2>
            <xm:f>0</xm:f>
          </x14:formula2>
          <xm:sqref>D5:D579</xm:sqref>
        </x14:dataValidation>
        <x14:dataValidation type="list" allowBlank="1" xr:uid="{00000000-0002-0000-0200-000001000000}">
          <x14:formula1>
            <xm:f>Lists!$A$5:$A$11</xm:f>
          </x14:formula1>
          <x14:formula2>
            <xm:f>0</xm:f>
          </x14:formula2>
          <xm:sqref>E5:E579</xm:sqref>
        </x14:dataValidation>
        <x14:dataValidation type="list" allowBlank="1" xr:uid="{00000000-0002-0000-0200-000002000000}">
          <x14:formula1>
            <xm:f>Lists!$D$5:$D$16</xm:f>
          </x14:formula1>
          <x14:formula2>
            <xm:f>0</xm:f>
          </x14:formula2>
          <xm:sqref>L5:L579</xm:sqref>
        </x14:dataValidation>
        <x14:dataValidation type="list" allowBlank="1" xr:uid="{00000000-0002-0000-0200-000003000000}">
          <x14:formula1>
            <xm:f>Lists!$C$5:$C$6</xm:f>
          </x14:formula1>
          <x14:formula2>
            <xm:f>0</xm:f>
          </x14:formula2>
          <xm:sqref>N5:N579</xm:sqref>
        </x14:dataValidation>
        <x14:dataValidation type="list" allowBlank="1" xr:uid="{00000000-0002-0000-0200-000004000000}">
          <x14:formula1>
            <xm:f>Lists!$G$5:$G$16</xm:f>
          </x14:formula1>
          <x14:formula2>
            <xm:f>0</xm:f>
          </x14:formula2>
          <xm:sqref>S5:S579</xm:sqref>
        </x14:dataValidation>
        <x14:dataValidation type="list" allowBlank="1" xr:uid="{00000000-0002-0000-0200-000005000000}">
          <x14:formula1>
            <xm:f>Lists!$E$5:$E$8</xm:f>
          </x14:formula1>
          <x14:formula2>
            <xm:f>0</xm:f>
          </x14:formula2>
          <xm:sqref>V5:V579</xm:sqref>
        </x14:dataValidation>
        <x14:dataValidation type="list" allowBlank="1" xr:uid="{00000000-0002-0000-0200-000006000000}">
          <x14:formula1>
            <xm:f>Lists!$F$5:$F$10</xm:f>
          </x14:formula1>
          <x14:formula2>
            <xm:f>0</xm:f>
          </x14:formula2>
          <xm:sqref>X5:X579</xm:sqref>
        </x14:dataValidation>
        <x14:dataValidation type="list" allowBlank="1" xr:uid="{00000000-0002-0000-0200-000007000000}">
          <x14:formula1>
            <xm:f>Lists!$K$5:$K$7</xm:f>
          </x14:formula1>
          <x14:formula2>
            <xm:f>0</xm:f>
          </x14:formula2>
          <xm:sqref>AA5:AA579</xm:sqref>
        </x14:dataValidation>
        <x14:dataValidation type="list" allowBlank="1" xr:uid="{00000000-0002-0000-0200-000008000000}">
          <x14:formula1>
            <xm:f>Lists!$H$5:$H$8</xm:f>
          </x14:formula1>
          <x14:formula2>
            <xm:f>0</xm:f>
          </x14:formula2>
          <xm:sqref>AL5:AL579</xm:sqref>
        </x14:dataValidation>
        <x14:dataValidation type="list" allowBlank="1" xr:uid="{00000000-0002-0000-0200-000009000000}">
          <x14:formula1>
            <xm:f>Lists!$J$5:$J$6</xm:f>
          </x14:formula1>
          <x14:formula2>
            <xm:f>0</xm:f>
          </x14:formula2>
          <xm:sqref>BA5:BB579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53"/>
  <sheetViews>
    <sheetView showGridLines="0" zoomScaleNormal="100" workbookViewId="0"/>
  </sheetViews>
  <sheetFormatPr defaultColWidth="8.5703125" defaultRowHeight="15" x14ac:dyDescent="0.25"/>
  <cols>
    <col min="1" max="1" width="2" customWidth="1"/>
    <col min="2" max="2" width="46" customWidth="1"/>
    <col min="3" max="4" width="18" customWidth="1"/>
    <col min="5" max="6" width="16" customWidth="1"/>
    <col min="7" max="7" width="62" customWidth="1"/>
  </cols>
  <sheetData>
    <row r="1" spans="1:7" ht="25.5" customHeight="1" x14ac:dyDescent="0.25">
      <c r="A1" s="69" t="s">
        <v>260</v>
      </c>
      <c r="B1" s="69"/>
      <c r="C1" s="69"/>
      <c r="D1" s="69"/>
      <c r="E1" s="69"/>
      <c r="F1" s="69"/>
      <c r="G1" s="69"/>
    </row>
    <row r="2" spans="1:7" ht="15" customHeight="1" x14ac:dyDescent="0.25">
      <c r="A2" s="70" t="s">
        <v>261</v>
      </c>
      <c r="B2" s="70"/>
      <c r="C2" s="70"/>
      <c r="D2" s="70"/>
      <c r="E2" s="70"/>
      <c r="F2" s="70"/>
      <c r="G2" s="70"/>
    </row>
    <row r="4" spans="1:7" ht="18" customHeight="1" x14ac:dyDescent="0.25">
      <c r="B4" s="68" t="s">
        <v>262</v>
      </c>
      <c r="C4" s="68"/>
      <c r="D4" s="68"/>
      <c r="E4" s="68"/>
      <c r="F4" s="68"/>
      <c r="G4" s="68"/>
    </row>
    <row r="5" spans="1:7" ht="15" customHeight="1" x14ac:dyDescent="0.25">
      <c r="B5" s="25" t="s">
        <v>263</v>
      </c>
      <c r="C5" s="22">
        <f>SUMIF('UW Bordereaux'!$D$5:$D$579,"Bound*",'UW Bordereaux'!$AD$5:$AD$579)</f>
      </c>
    </row>
    <row r="6" spans="1:7" ht="15" customHeight="1" x14ac:dyDescent="0.25">
      <c r="B6" s="23" t="s">
        <v>264</v>
      </c>
      <c r="C6" s="52">
        <f>-SUMIF('UW Bordereaux'!$D$5:$D$579,"Bound*",'UW Bordereaux'!$AN$5:$AN$579)</f>
      </c>
    </row>
    <row r="7" spans="1:7" ht="15" customHeight="1" x14ac:dyDescent="0.25">
      <c r="B7" s="25" t="s">
        <v>265</v>
      </c>
      <c r="C7" s="22">
        <f>SUMIF('UW Bordereaux'!$D$5:$D$579,"Bound*",'UW Bordereaux'!$AQ$5:$AQ$579)</f>
      </c>
    </row>
    <row r="8" spans="1:7" ht="15" customHeight="1" x14ac:dyDescent="0.25">
      <c r="B8" s="23" t="s">
        <v>266</v>
      </c>
      <c r="C8" s="52">
        <f>C5+C6-C7</f>
      </c>
    </row>
    <row r="9" spans="1:7" ht="15" customHeight="1" x14ac:dyDescent="0.25">
      <c r="B9" s="23" t="s">
        <v>267</v>
      </c>
      <c r="C9" s="52">
        <f>C8</f>
      </c>
      <c r="D9" s="53" t="str">
        <f>IF(ABS(C9)&lt;1,"AGREES","INVESTIGATE — variance exceeds $1")</f>
      </c>
    </row>
    <row r="10" spans="1:7" ht="15" customHeight="1" x14ac:dyDescent="0.25">
      <c r="B10" s="23" t="s">
        <v>104</v>
      </c>
      <c r="C10" s="52">
        <f>SUMIF('UW Bordereaux'!$D$5:$D$579,"Bound*",'UW Bordereaux'!$AE$5:$AE$579)</f>
      </c>
    </row>
    <row r="11" spans="1:7" ht="15" customHeight="1" x14ac:dyDescent="0.25">
      <c r="B11" s="23" t="s">
        <v>105</v>
      </c>
      <c r="C11" s="52">
        <f>SUMIF('UW Bordereaux'!$D$5:$D$579,"Bound*",'UW Bordereaux'!$AH$5:$AH$579)</f>
      </c>
    </row>
    <row r="12" spans="1:7" ht="15" customHeight="1" x14ac:dyDescent="0.25">
      <c r="B12" s="25" t="s">
        <v>268</v>
      </c>
      <c r="C12" s="22">
        <f>SUMIF('UW Bordereaux'!$D$5:$D$579,"Bound*",'UW Bordereaux'!$AI$5:$AI$579)</f>
      </c>
    </row>
    <row r="13" spans="1:7" ht="15" customHeight="1" x14ac:dyDescent="0.25">
      <c r="B13" s="23" t="s">
        <v>269</v>
      </c>
      <c r="C13" s="52">
        <f>C5+C10+C11</f>
      </c>
    </row>
    <row r="14" spans="1:7" ht="15" customHeight="1" x14ac:dyDescent="0.25">
      <c r="B14" s="23" t="s">
        <v>267</v>
      </c>
      <c r="C14" s="54">
        <f>C12-C13</f>
      </c>
      <c r="D14" s="53" t="str">
        <f>IF(ABS(C14)&lt;1,"AGREES","INVESTIGATE — variance exceeds $1")</f>
      </c>
    </row>
    <row r="15" spans="1:7" ht="15" customHeight="1" x14ac:dyDescent="0.25">
      <c r="B15" s="23" t="s">
        <v>270</v>
      </c>
      <c r="C15" s="52">
        <f>SUMIF('UW Bordereaux'!$D$5:$D$579,"Bound*",'UW Bordereaux'!$AD$5:$AD$579)*Header!$D$24</f>
      </c>
    </row>
    <row r="16" spans="1:7" ht="15" customHeight="1" x14ac:dyDescent="0.25">
      <c r="B16" s="23" t="s">
        <v>271</v>
      </c>
      <c r="C16" s="52">
        <f>SUMIF('UW Bordereaux'!$D$5:$D$579,"Bound*",'UW Bordereaux'!$AD$5:$AD$579)*Header!$D$34</f>
      </c>
    </row>
    <row r="18" spans="2:7" ht="18" customHeight="1" x14ac:dyDescent="0.25">
      <c r="B18" s="68" t="s">
        <v>272</v>
      </c>
      <c r="C18" s="68"/>
      <c r="D18" s="68"/>
      <c r="E18" s="68"/>
      <c r="F18" s="68"/>
      <c r="G18" s="68"/>
    </row>
    <row r="19" spans="2:7" ht="27.75" customHeight="1" x14ac:dyDescent="0.25">
      <c r="B19" s="12" t="s">
        <v>273</v>
      </c>
      <c r="C19" s="12" t="s">
        <v>274</v>
      </c>
      <c r="D19" s="12" t="s">
        <v>174</v>
      </c>
    </row>
    <row r="20" spans="2:7" ht="25.5" customHeight="1" x14ac:dyDescent="0.25">
      <c r="B20" s="55" t="s">
        <v>275</v>
      </c>
      <c r="C20" s="76" t="str">
        <f>IF(COUNTIFS('UW Bordereaux'!$D$5:$D$579,"Bound*",'UW Bordereaux'!$A$5:$A$579,"")=0,"PASS","FAIL — "&amp;COUNTIFS('UW Bordereaux'!$D$5:$D$579,"Bound*",'UW Bordereaux'!$A$5:$A$579,"")&amp;" bound risks missing certificate")</f>
      </c>
      <c r="D20" s="76"/>
      <c r="E20" s="76"/>
      <c r="F20" s="78"/>
      <c r="G20" s="78"/>
    </row>
    <row r="21" spans="2:7" ht="25.5" customHeight="1" x14ac:dyDescent="0.25">
      <c r="B21" s="56" t="s">
        <v>276</v>
      </c>
      <c r="C21" s="75" t="str">
        <f>IF(SUMPRODUCT((LEN('UW Bordereaux'!$A$5:$A$579)&gt;0)*(LEN('UW Bordereaux'!$D$5:$D$579)=0))=0,"PASS","FAIL — "&amp;SUMPRODUCT((LEN('UW Bordereaux'!$A$5:$A$579)&gt;0)*(LEN('UW Bordereaux'!$D$5:$D$579)=0))&amp;" rows missing status")</f>
      </c>
      <c r="D21" s="75"/>
      <c r="E21" s="75"/>
      <c r="F21" s="79"/>
      <c r="G21" s="79"/>
    </row>
    <row r="22" spans="2:7" ht="25.5" customHeight="1" x14ac:dyDescent="0.25">
      <c r="B22" s="55" t="s">
        <v>277</v>
      </c>
      <c r="C22" s="76" t="str">
        <f>IF(COUNTIFS('UW Bordereaux'!$D$5:$D$579,"Bound*",'UW Bordereaux'!$C$5:$C$579,"")=0,"PASS","FAIL — "&amp;COUNTIFS('UW Bordereaux'!$D$5:$D$579,"Bound*",'UW Bordereaux'!$C$5:$C$579,"")&amp;" bound risks missing effective date")</f>
      </c>
      <c r="D22" s="76"/>
      <c r="E22" s="76"/>
      <c r="F22" s="78"/>
      <c r="G22" s="78"/>
    </row>
    <row r="23" spans="2:7" ht="25.5" customHeight="1" x14ac:dyDescent="0.25">
      <c r="B23" s="56" t="s">
        <v>278</v>
      </c>
      <c r="C23" s="75" t="str">
        <f>IF(COUNTIFS('UW Bordereaux'!$D$5:$D$579,"Bound*",'UW Bordereaux'!$AB$5:$AB$579,"")=0,"PASS","FAIL — "&amp;COUNTIFS('UW Bordereaux'!$D$5:$D$579,"Bound*",'UW Bordereaux'!$AB$5:$AB$579,"")&amp;" bound risks missing technical premium")</f>
      </c>
      <c r="D23" s="75"/>
      <c r="E23" s="75"/>
      <c r="F23" s="79"/>
      <c r="G23" s="79"/>
    </row>
    <row r="24" spans="2:7" ht="25.5" customHeight="1" x14ac:dyDescent="0.25">
      <c r="B24" s="55" t="s">
        <v>279</v>
      </c>
      <c r="C24" s="76" t="str">
        <f>IF(COUNTIFS('UW Bordereaux'!$D$5:$D$579,"Bound*",'UW Bordereaux'!$AF$5:$AF$579,"")=0,"PASS","FAIL — "&amp;COUNTIFS('UW Bordereaux'!$D$5:$D$579,"Bound*",'UW Bordereaux'!$AF$5:$AF$579,"")&amp;" bound risks missing SL tax rate")</f>
      </c>
      <c r="D24" s="76"/>
      <c r="E24" s="76"/>
      <c r="F24" s="78" t="s">
        <v>280</v>
      </c>
      <c r="G24" s="78"/>
    </row>
    <row r="25" spans="2:7" ht="25.5" customHeight="1" x14ac:dyDescent="0.25">
      <c r="B25" s="56" t="s">
        <v>281</v>
      </c>
      <c r="C25" s="75" t="str">
        <f>IF(SUMPRODUCT(('UW Bordereaux'!$M$5:$M$579&lt;0)*('UW Bordereaux'!$A$5:$A$579&lt;&gt;""))=0,"PASS","FAIL — negative agreed value detected")</f>
      </c>
      <c r="D25" s="75"/>
      <c r="E25" s="75"/>
      <c r="F25" s="79"/>
      <c r="G25" s="79"/>
    </row>
    <row r="26" spans="2:7" ht="25.5" customHeight="1" x14ac:dyDescent="0.25">
      <c r="B26" s="55" t="s">
        <v>282</v>
      </c>
      <c r="C26" s="76" t="str">
        <f>IF(SUMPRODUCT(('UW Bordereaux'!$M$5:$M$579&lt;100000)*('UW Bordereaux'!$M$5:$M$579&gt;0)*('UW Bordereaux'!$A$5:$A$579&lt;&gt;""))=0,"PASS","FAIL — "&amp;SUMPRODUCT(('UW Bordereaux'!$M$5:$M$579&lt;100000)*('UW Bordereaux'!$M$5:$M$579&gt;0)*('UW Bordereaux'!$A$5:$A$579&lt;&gt;""))&amp;" risks below $100,000 minimum")</f>
      </c>
      <c r="D26" s="76"/>
      <c r="E26" s="76"/>
      <c r="F26" s="78"/>
      <c r="G26" s="78"/>
    </row>
    <row r="27" spans="2:7" ht="25.5" customHeight="1" x14ac:dyDescent="0.25">
      <c r="B27" s="56" t="s">
        <v>283</v>
      </c>
      <c r="C27" s="75" t="str">
        <f>IF(ROUND(Header!$D$34,4)=1,"PASS","FAIL — panel signs "&amp;TEXT(Header!$D$34,"0.00%")&amp;", must equal 100%")</f>
      </c>
      <c r="D27" s="75"/>
      <c r="E27" s="75"/>
      <c r="F27" s="79"/>
      <c r="G27" s="79"/>
    </row>
    <row r="28" spans="2:7" ht="25.5" customHeight="1" x14ac:dyDescent="0.25">
      <c r="B28" s="55" t="s">
        <v>284</v>
      </c>
      <c r="C28" s="76" t="str">
        <f>IF(COUNTIFS('UW Bordereaux'!$AJ$5:$AJ$579,"&lt;0.85",'UW Bordereaux'!$D$5:$D$579,"Bound*")=0,"PASS","WARN — "&amp;COUNTIFS('UW Bordereaux'!$AJ$5:$AJ$579,"&lt;0.85",'UW Bordereaux'!$D$5:$D$579,"Bound*")&amp;" risks below 85% rate adequacy")</f>
      </c>
      <c r="D28" s="76"/>
      <c r="E28" s="76"/>
      <c r="F28" s="78" t="s">
        <v>285</v>
      </c>
      <c r="G28" s="78"/>
    </row>
    <row r="29" spans="2:7" ht="25.5" customHeight="1" x14ac:dyDescent="0.25">
      <c r="B29" s="56" t="s">
        <v>286</v>
      </c>
      <c r="C29" s="75" t="str">
        <f>COUNTIFS('UW Bordereaux'!$M$5:$M$579,"&gt;="&amp;Header!$C$18,'UW Bordereaux'!$D$5:$D$579,"Bound*")&amp;" risk(s) at or above $2m AV — confirm individual referral is on file"</f>
      </c>
      <c r="D29" s="75"/>
      <c r="E29" s="75"/>
      <c r="F29" s="79"/>
      <c r="G29" s="79"/>
    </row>
    <row r="30" spans="2:7" ht="25.5" customHeight="1" x14ac:dyDescent="0.25">
      <c r="B30" s="55" t="s">
        <v>287</v>
      </c>
      <c r="C30" s="76" t="str">
        <f>COUNTIF('UW Bordereaux'!$AK$5:$AK$579,"BEYOND AUTHORITY")&amp;" risk(s) — confirm approval is on file in the Referral Log"</f>
      </c>
      <c r="D30" s="76"/>
      <c r="E30" s="76"/>
      <c r="F30" s="78"/>
      <c r="G30" s="78"/>
    </row>
    <row r="31" spans="2:7" ht="25.5" customHeight="1" x14ac:dyDescent="0.25">
      <c r="B31" s="56" t="s">
        <v>288</v>
      </c>
      <c r="C31" s="75" t="str">
        <f>IF(COUNTIF('UW Bordereaux'!$AW$5:$AW$579,"FAIL*")=0,"PASS — all mandatory fields complete","FAIL — "&amp;COUNTIF('UW Bordereaux'!$AW$5:$AW$579,"FAIL*")&amp;" rows with missing mandatory fields")</f>
      </c>
      <c r="D31" s="75"/>
      <c r="E31" s="75"/>
      <c r="F31" s="79" t="s">
        <v>289</v>
      </c>
      <c r="G31" s="79"/>
    </row>
    <row r="33" spans="2:7" ht="25.5" customHeight="1" x14ac:dyDescent="0.25">
      <c r="B33" s="57" t="s">
        <v>290</v>
      </c>
      <c r="C33" s="76" t="str">
        <f>IF(COUNTIF('UW Bordereaux'!$BE$5:$BE$579,"FAIL*")=0,"PASS","FAIL - "&amp;COUNTIF('UW Bordereaux'!$BE$5:$BE$579,"FAIL*")&amp;" rows where vehicle year falls outside its class era")</f>
      </c>
      <c r="D33" s="76"/>
      <c r="E33" s="76"/>
    </row>
    <row r="34" spans="2:7" ht="25.5" customHeight="1" x14ac:dyDescent="0.25">
      <c r="B34" s="56" t="s">
        <v>291</v>
      </c>
      <c r="C34" s="75" t="str">
        <f>IF(COUNTIF('UW Bordereaux'!$BF$5:$BF$579,"FAIL*")=0,"PASS - all rows foot to the cent","FAIL - "&amp;COUNTIF('UW Bordereaux'!$BF$5:$BF$579,"FAIL*")&amp;" rows do not foot")</f>
      </c>
      <c r="D34" s="75"/>
      <c r="E34" s="75"/>
    </row>
    <row r="35" spans="2:7" ht="25.5" customHeight="1" x14ac:dyDescent="0.25">
      <c r="B35" s="55" t="s">
        <v>292</v>
      </c>
      <c r="C35" s="76" t="str">
        <f>IF(ROUND(Header!$K$3+Header!$M$3-Header!$I$3,6)=0,"PASS","FAIL - broker + Torque &lt;&gt; total ceding")</f>
      </c>
      <c r="D35" s="76"/>
      <c r="E35" s="76"/>
    </row>
    <row r="36" spans="2:7" ht="25.5" customHeight="1" x14ac:dyDescent="0.25">
      <c r="B36" s="56" t="s">
        <v>293</v>
      </c>
      <c r="C36" s="75" t="str">
        <f>IF(AND(ROUND(Header!$D$34,6)=1,COUNTIF(Header!$D$24:$D$33,0.1)=10),"PASS - 10 markets at 10% each","CHECK - lines are not 10 x 10%")</f>
      </c>
      <c r="D36" s="75"/>
      <c r="E36" s="75"/>
    </row>
    <row r="39" spans="2:7" x14ac:dyDescent="0.25">
      <c r="B39" s="68" t="s">
        <v>294</v>
      </c>
      <c r="C39" s="68"/>
      <c r="D39" s="68"/>
      <c r="E39" s="68"/>
      <c r="F39" s="68"/>
      <c r="G39" s="68"/>
    </row>
    <row r="40" spans="2:7" x14ac:dyDescent="0.25">
      <c r="B40" s="25" t="s">
        <v>295</v>
      </c>
      <c r="C40" s="58">
        <f>SUMIF('UW Bordereaux'!$D$5:$D$579,"Bound*",'UW Bordereaux'!$AD$5:$AD$579)</f>
      </c>
    </row>
    <row r="41" spans="2:7" x14ac:dyDescent="0.25">
      <c r="B41" s="55" t="s">
        <v>296</v>
      </c>
      <c r="C41" s="59">
        <f>SUMIF('UW Bordereaux'!$D$5:$D$579,"Bound*",'UW Bordereaux'!$AO$5:$AO$579)</f>
      </c>
    </row>
    <row r="42" spans="2:7" x14ac:dyDescent="0.25">
      <c r="B42" s="55" t="s">
        <v>297</v>
      </c>
      <c r="C42" s="59">
        <f>SUMIF('UW Bordereaux'!$D$5:$D$579,"Bound*",'UW Bordereaux'!$AP$5:$AP$579)</f>
      </c>
    </row>
    <row r="43" spans="2:7" x14ac:dyDescent="0.25">
      <c r="B43" s="55" t="s">
        <v>298</v>
      </c>
      <c r="C43" s="59">
        <f>SUMIF('UW Bordereaux'!$D$5:$D$579,"Bound*",'UW Bordereaux'!$AQ$5:$AQ$579)</f>
      </c>
    </row>
    <row r="44" spans="2:7" x14ac:dyDescent="0.25">
      <c r="B44" s="55" t="s">
        <v>299</v>
      </c>
      <c r="C44" s="59">
        <f>C41+C42+C43</f>
      </c>
    </row>
    <row r="45" spans="2:7" x14ac:dyDescent="0.25">
      <c r="B45" s="25" t="s">
        <v>300</v>
      </c>
      <c r="C45" s="58">
        <f>C44-C40</f>
      </c>
      <c r="D45" s="53" t="str">
        <f>IF(ABS(C45)&lt;0.005,"AGREES to the cent","INVESTIGATE - components do not foot")</f>
      </c>
    </row>
    <row r="46" spans="2:7" x14ac:dyDescent="0.25">
      <c r="B46" s="55" t="s">
        <v>301</v>
      </c>
      <c r="C46" s="60">
        <f>IFERROR(C41/C40,0)</f>
      </c>
    </row>
    <row r="47" spans="2:7" x14ac:dyDescent="0.25">
      <c r="B47" s="55" t="s">
        <v>302</v>
      </c>
      <c r="C47" s="60">
        <f>IFERROR(C42/C40,0)</f>
      </c>
    </row>
    <row r="48" spans="2:7" x14ac:dyDescent="0.25">
      <c r="B48" s="55" t="s">
        <v>303</v>
      </c>
      <c r="C48" s="60">
        <f>IFERROR(C43/C40,0)</f>
      </c>
    </row>
    <row r="49" spans="2:7" x14ac:dyDescent="0.25">
      <c r="B49" s="55" t="s">
        <v>304</v>
      </c>
      <c r="C49" s="60">
        <f>IFERROR(C43/C40*0.1,0)</f>
      </c>
    </row>
    <row r="51" spans="2:7" ht="15" customHeight="1" x14ac:dyDescent="0.25">
      <c r="B51" s="77" t="s">
        <v>305</v>
      </c>
      <c r="C51" s="77"/>
      <c r="D51" s="77"/>
      <c r="E51" s="77"/>
      <c r="F51" s="77"/>
      <c r="G51" s="77"/>
    </row>
    <row r="52" spans="2:7" x14ac:dyDescent="0.25">
      <c r="B52" s="77"/>
      <c r="C52" s="77"/>
      <c r="D52" s="77"/>
      <c r="E52" s="77"/>
      <c r="F52" s="77"/>
      <c r="G52" s="77"/>
    </row>
    <row r="53" spans="2:7" x14ac:dyDescent="0.25">
      <c r="B53" s="77"/>
      <c r="C53" s="77"/>
      <c r="D53" s="77"/>
      <c r="E53" s="77"/>
      <c r="F53" s="77"/>
      <c r="G53" s="77"/>
    </row>
  </sheetData>
  <mergeCells count="34">
    <mergeCell ref="A1:G1"/>
    <mergeCell ref="A2:G2"/>
    <mergeCell ref="B4:G4"/>
    <mergeCell ref="B18:G18"/>
    <mergeCell ref="C20:E20"/>
    <mergeCell ref="F20:G20"/>
    <mergeCell ref="C21:E21"/>
    <mergeCell ref="F21:G21"/>
    <mergeCell ref="C22:E22"/>
    <mergeCell ref="F22:G22"/>
    <mergeCell ref="C23:E23"/>
    <mergeCell ref="F23:G23"/>
    <mergeCell ref="C24:E24"/>
    <mergeCell ref="F24:G24"/>
    <mergeCell ref="C25:E25"/>
    <mergeCell ref="F25:G25"/>
    <mergeCell ref="C26:E26"/>
    <mergeCell ref="F26:G26"/>
    <mergeCell ref="C27:E27"/>
    <mergeCell ref="F27:G27"/>
    <mergeCell ref="C28:E28"/>
    <mergeCell ref="F28:G28"/>
    <mergeCell ref="C29:E29"/>
    <mergeCell ref="F29:G29"/>
    <mergeCell ref="C30:E30"/>
    <mergeCell ref="F30:G30"/>
    <mergeCell ref="C31:E31"/>
    <mergeCell ref="F31:G31"/>
    <mergeCell ref="C33:E33"/>
    <mergeCell ref="C34:E34"/>
    <mergeCell ref="C35:E35"/>
    <mergeCell ref="C36:E36"/>
    <mergeCell ref="B39:G39"/>
    <mergeCell ref="B51:G53"/>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59"/>
  <sheetViews>
    <sheetView showGridLines="0" zoomScaleNormal="100" workbookViewId="0"/>
  </sheetViews>
  <sheetFormatPr defaultColWidth="8.5703125" defaultRowHeight="15" x14ac:dyDescent="0.25"/>
  <cols>
    <col min="1" max="1" width="2" customWidth="1"/>
    <col min="2" max="2" width="6" customWidth="1"/>
    <col min="3" max="3" width="32" customWidth="1"/>
    <col min="4" max="5" width="20" customWidth="1"/>
    <col min="6" max="6" width="88" customWidth="1"/>
  </cols>
  <sheetData>
    <row r="1" spans="1:6" ht="25.5" customHeight="1" x14ac:dyDescent="0.25">
      <c r="A1" s="69" t="s">
        <v>306</v>
      </c>
      <c r="B1" s="69"/>
      <c r="C1" s="69"/>
      <c r="D1" s="69"/>
      <c r="E1" s="69"/>
      <c r="F1" s="69"/>
    </row>
    <row r="2" spans="1:6" ht="15" customHeight="1" x14ac:dyDescent="0.25">
      <c r="A2" s="70" t="s">
        <v>307</v>
      </c>
      <c r="B2" s="70"/>
      <c r="C2" s="70"/>
      <c r="D2" s="70"/>
      <c r="E2" s="70"/>
      <c r="F2" s="70"/>
    </row>
    <row r="4" spans="1:6" ht="27.75" customHeight="1" x14ac:dyDescent="0.25">
      <c r="B4" s="12" t="s">
        <v>308</v>
      </c>
      <c r="C4" s="12" t="s">
        <v>309</v>
      </c>
      <c r="D4" s="12" t="s">
        <v>310</v>
      </c>
      <c r="E4" s="12" t="s">
        <v>311</v>
      </c>
    </row>
    <row r="5" spans="1:6" ht="25.5" customHeight="1" x14ac:dyDescent="0.25">
      <c r="B5" s="61" t="s">
        <v>312</v>
      </c>
      <c r="C5" s="62" t="s">
        <v>121</v>
      </c>
      <c r="D5" s="61" t="s">
        <v>313</v>
      </c>
      <c r="E5" s="81" t="s">
        <v>314</v>
      </c>
      <c r="F5" s="81"/>
    </row>
    <row r="6" spans="1:6" ht="25.5" customHeight="1" x14ac:dyDescent="0.25">
      <c r="B6" s="63" t="s">
        <v>315</v>
      </c>
      <c r="C6" s="64" t="s">
        <v>122</v>
      </c>
      <c r="D6" s="63" t="s">
        <v>313</v>
      </c>
      <c r="E6" s="80"/>
      <c r="F6" s="80"/>
    </row>
    <row r="7" spans="1:6" ht="25.5" customHeight="1" x14ac:dyDescent="0.25">
      <c r="B7" s="61" t="s">
        <v>316</v>
      </c>
      <c r="C7" s="62" t="s">
        <v>123</v>
      </c>
      <c r="D7" s="61" t="s">
        <v>317</v>
      </c>
      <c r="E7" s="81"/>
      <c r="F7" s="81"/>
    </row>
    <row r="8" spans="1:6" ht="25.5" customHeight="1" x14ac:dyDescent="0.25">
      <c r="B8" s="63" t="s">
        <v>318</v>
      </c>
      <c r="C8" s="64" t="s">
        <v>124</v>
      </c>
      <c r="D8" s="63" t="s">
        <v>319</v>
      </c>
      <c r="E8" s="80"/>
      <c r="F8" s="80"/>
    </row>
    <row r="9" spans="1:6" ht="25.5" customHeight="1" x14ac:dyDescent="0.25">
      <c r="B9" s="61" t="s">
        <v>320</v>
      </c>
      <c r="C9" s="62" t="s">
        <v>125</v>
      </c>
      <c r="D9" s="61" t="s">
        <v>319</v>
      </c>
      <c r="E9" s="81"/>
      <c r="F9" s="81"/>
    </row>
    <row r="10" spans="1:6" ht="25.5" customHeight="1" x14ac:dyDescent="0.25">
      <c r="B10" s="63" t="s">
        <v>321</v>
      </c>
      <c r="C10" s="64" t="s">
        <v>126</v>
      </c>
      <c r="D10" s="63" t="s">
        <v>313</v>
      </c>
      <c r="E10" s="80"/>
      <c r="F10" s="80"/>
    </row>
    <row r="11" spans="1:6" ht="25.5" customHeight="1" x14ac:dyDescent="0.25">
      <c r="B11" s="61" t="s">
        <v>322</v>
      </c>
      <c r="C11" s="62" t="s">
        <v>48</v>
      </c>
      <c r="D11" s="65" t="s">
        <v>323</v>
      </c>
      <c r="E11" s="81" t="s">
        <v>324</v>
      </c>
      <c r="F11" s="81"/>
    </row>
    <row r="12" spans="1:6" ht="25.5" customHeight="1" x14ac:dyDescent="0.25">
      <c r="B12" s="63" t="s">
        <v>325</v>
      </c>
      <c r="C12" s="64" t="s">
        <v>127</v>
      </c>
      <c r="D12" s="63" t="s">
        <v>326</v>
      </c>
      <c r="E12" s="80"/>
      <c r="F12" s="80"/>
    </row>
    <row r="13" spans="1:6" ht="25.5" customHeight="1" x14ac:dyDescent="0.25">
      <c r="B13" s="61" t="s">
        <v>327</v>
      </c>
      <c r="C13" s="62" t="s">
        <v>128</v>
      </c>
      <c r="D13" s="61" t="s">
        <v>313</v>
      </c>
      <c r="E13" s="81"/>
      <c r="F13" s="81"/>
    </row>
    <row r="14" spans="1:6" ht="25.5" customHeight="1" x14ac:dyDescent="0.25">
      <c r="B14" s="63" t="s">
        <v>328</v>
      </c>
      <c r="C14" s="64" t="s">
        <v>129</v>
      </c>
      <c r="D14" s="63" t="s">
        <v>313</v>
      </c>
      <c r="E14" s="80"/>
      <c r="F14" s="80"/>
    </row>
    <row r="15" spans="1:6" ht="25.5" customHeight="1" x14ac:dyDescent="0.25">
      <c r="B15" s="61" t="s">
        <v>329</v>
      </c>
      <c r="C15" s="62" t="s">
        <v>130</v>
      </c>
      <c r="D15" s="61" t="s">
        <v>313</v>
      </c>
      <c r="E15" s="81"/>
      <c r="F15" s="81"/>
    </row>
    <row r="16" spans="1:6" ht="25.5" customHeight="1" x14ac:dyDescent="0.25">
      <c r="B16" s="63" t="s">
        <v>330</v>
      </c>
      <c r="C16" s="64" t="s">
        <v>131</v>
      </c>
      <c r="D16" s="63" t="s">
        <v>319</v>
      </c>
      <c r="E16" s="80"/>
      <c r="F16" s="80"/>
    </row>
    <row r="17" spans="2:6" ht="25.5" customHeight="1" x14ac:dyDescent="0.25">
      <c r="B17" s="61" t="s">
        <v>331</v>
      </c>
      <c r="C17" s="62" t="s">
        <v>132</v>
      </c>
      <c r="D17" s="61" t="s">
        <v>332</v>
      </c>
      <c r="E17" s="81"/>
      <c r="F17" s="81"/>
    </row>
    <row r="18" spans="2:6" ht="25.5" customHeight="1" x14ac:dyDescent="0.25">
      <c r="B18" s="63" t="s">
        <v>333</v>
      </c>
      <c r="C18" s="64" t="s">
        <v>133</v>
      </c>
      <c r="D18" s="63" t="s">
        <v>319</v>
      </c>
      <c r="E18" s="80"/>
      <c r="F18" s="80"/>
    </row>
    <row r="19" spans="2:6" ht="25.5" customHeight="1" x14ac:dyDescent="0.25">
      <c r="B19" s="61" t="s">
        <v>334</v>
      </c>
      <c r="C19" s="62" t="s">
        <v>134</v>
      </c>
      <c r="D19" s="61" t="s">
        <v>313</v>
      </c>
      <c r="E19" s="81"/>
      <c r="F19" s="81"/>
    </row>
    <row r="20" spans="2:6" ht="25.5" customHeight="1" x14ac:dyDescent="0.25">
      <c r="B20" s="63" t="s">
        <v>335</v>
      </c>
      <c r="C20" s="64" t="s">
        <v>135</v>
      </c>
      <c r="D20" s="63" t="s">
        <v>313</v>
      </c>
      <c r="E20" s="80"/>
      <c r="F20" s="80"/>
    </row>
    <row r="21" spans="2:6" ht="25.5" customHeight="1" x14ac:dyDescent="0.25">
      <c r="B21" s="61" t="s">
        <v>336</v>
      </c>
      <c r="C21" s="62" t="s">
        <v>136</v>
      </c>
      <c r="D21" s="61" t="s">
        <v>313</v>
      </c>
      <c r="E21" s="81"/>
      <c r="F21" s="81"/>
    </row>
    <row r="22" spans="2:6" ht="25.5" customHeight="1" x14ac:dyDescent="0.25">
      <c r="B22" s="63" t="s">
        <v>337</v>
      </c>
      <c r="C22" s="64" t="s">
        <v>137</v>
      </c>
      <c r="D22" s="63" t="s">
        <v>313</v>
      </c>
      <c r="E22" s="80"/>
      <c r="F22" s="80"/>
    </row>
    <row r="23" spans="2:6" ht="25.5" customHeight="1" x14ac:dyDescent="0.25">
      <c r="B23" s="61" t="s">
        <v>338</v>
      </c>
      <c r="C23" s="62" t="s">
        <v>138</v>
      </c>
      <c r="D23" s="61" t="s">
        <v>319</v>
      </c>
      <c r="E23" s="81"/>
      <c r="F23" s="81"/>
    </row>
    <row r="24" spans="2:6" ht="25.5" customHeight="1" x14ac:dyDescent="0.25">
      <c r="B24" s="63" t="s">
        <v>339</v>
      </c>
      <c r="C24" s="64" t="s">
        <v>139</v>
      </c>
      <c r="D24" s="66" t="s">
        <v>323</v>
      </c>
      <c r="E24" s="80" t="s">
        <v>340</v>
      </c>
      <c r="F24" s="80"/>
    </row>
    <row r="25" spans="2:6" ht="25.5" customHeight="1" x14ac:dyDescent="0.25">
      <c r="B25" s="61" t="s">
        <v>341</v>
      </c>
      <c r="C25" s="62" t="s">
        <v>140</v>
      </c>
      <c r="D25" s="61" t="s">
        <v>313</v>
      </c>
      <c r="E25" s="81"/>
      <c r="F25" s="81"/>
    </row>
    <row r="26" spans="2:6" ht="25.5" customHeight="1" x14ac:dyDescent="0.25">
      <c r="B26" s="63" t="s">
        <v>342</v>
      </c>
      <c r="C26" s="64" t="s">
        <v>141</v>
      </c>
      <c r="D26" s="63" t="s">
        <v>319</v>
      </c>
      <c r="E26" s="80"/>
      <c r="F26" s="80"/>
    </row>
    <row r="27" spans="2:6" ht="25.5" customHeight="1" x14ac:dyDescent="0.25">
      <c r="B27" s="61" t="s">
        <v>343</v>
      </c>
      <c r="C27" s="62" t="s">
        <v>142</v>
      </c>
      <c r="D27" s="61" t="s">
        <v>313</v>
      </c>
      <c r="E27" s="81"/>
      <c r="F27" s="81"/>
    </row>
    <row r="28" spans="2:6" ht="25.5" customHeight="1" x14ac:dyDescent="0.25">
      <c r="B28" s="63" t="s">
        <v>344</v>
      </c>
      <c r="C28" s="64" t="s">
        <v>143</v>
      </c>
      <c r="D28" s="63" t="s">
        <v>319</v>
      </c>
      <c r="E28" s="80"/>
      <c r="F28" s="80"/>
    </row>
    <row r="29" spans="2:6" ht="25.5" customHeight="1" x14ac:dyDescent="0.25">
      <c r="B29" s="61" t="s">
        <v>345</v>
      </c>
      <c r="C29" s="62" t="s">
        <v>144</v>
      </c>
      <c r="D29" s="61" t="s">
        <v>313</v>
      </c>
      <c r="E29" s="81"/>
      <c r="F29" s="81"/>
    </row>
    <row r="30" spans="2:6" ht="25.5" customHeight="1" x14ac:dyDescent="0.25">
      <c r="B30" s="63" t="s">
        <v>346</v>
      </c>
      <c r="C30" s="64" t="s">
        <v>145</v>
      </c>
      <c r="D30" s="63" t="s">
        <v>313</v>
      </c>
      <c r="E30" s="80"/>
      <c r="F30" s="80"/>
    </row>
    <row r="31" spans="2:6" ht="25.5" customHeight="1" x14ac:dyDescent="0.25">
      <c r="B31" s="61" t="s">
        <v>347</v>
      </c>
      <c r="C31" s="62" t="s">
        <v>146</v>
      </c>
      <c r="D31" s="61" t="s">
        <v>319</v>
      </c>
      <c r="E31" s="81"/>
      <c r="F31" s="81"/>
    </row>
    <row r="32" spans="2:6" ht="25.5" customHeight="1" x14ac:dyDescent="0.25">
      <c r="B32" s="63" t="s">
        <v>348</v>
      </c>
      <c r="C32" s="64" t="s">
        <v>147</v>
      </c>
      <c r="D32" s="63" t="s">
        <v>332</v>
      </c>
      <c r="E32" s="80" t="s">
        <v>349</v>
      </c>
      <c r="F32" s="80"/>
    </row>
    <row r="33" spans="2:6" ht="25.5" customHeight="1" x14ac:dyDescent="0.25">
      <c r="B33" s="61" t="s">
        <v>350</v>
      </c>
      <c r="C33" s="62" t="s">
        <v>148</v>
      </c>
      <c r="D33" s="61" t="s">
        <v>351</v>
      </c>
      <c r="E33" s="81" t="s">
        <v>352</v>
      </c>
      <c r="F33" s="81"/>
    </row>
    <row r="34" spans="2:6" ht="25.5" customHeight="1" x14ac:dyDescent="0.25">
      <c r="B34" s="63" t="s">
        <v>353</v>
      </c>
      <c r="C34" s="64" t="s">
        <v>149</v>
      </c>
      <c r="D34" s="66" t="s">
        <v>323</v>
      </c>
      <c r="E34" s="80" t="s">
        <v>354</v>
      </c>
      <c r="F34" s="80"/>
    </row>
    <row r="35" spans="2:6" ht="25.5" customHeight="1" x14ac:dyDescent="0.25">
      <c r="B35" s="61" t="s">
        <v>355</v>
      </c>
      <c r="C35" s="62" t="s">
        <v>150</v>
      </c>
      <c r="D35" s="61" t="s">
        <v>332</v>
      </c>
      <c r="E35" s="81"/>
      <c r="F35" s="81"/>
    </row>
    <row r="36" spans="2:6" ht="25.5" customHeight="1" x14ac:dyDescent="0.25">
      <c r="B36" s="63" t="s">
        <v>356</v>
      </c>
      <c r="C36" s="64" t="s">
        <v>151</v>
      </c>
      <c r="D36" s="63" t="s">
        <v>332</v>
      </c>
      <c r="E36" s="80"/>
      <c r="F36" s="80"/>
    </row>
    <row r="37" spans="2:6" ht="25.5" customHeight="1" x14ac:dyDescent="0.25">
      <c r="B37" s="61" t="s">
        <v>357</v>
      </c>
      <c r="C37" s="62" t="s">
        <v>152</v>
      </c>
      <c r="D37" s="61" t="s">
        <v>351</v>
      </c>
      <c r="E37" s="81"/>
      <c r="F37" s="81"/>
    </row>
    <row r="38" spans="2:6" ht="25.5" customHeight="1" x14ac:dyDescent="0.25">
      <c r="B38" s="63" t="s">
        <v>358</v>
      </c>
      <c r="C38" s="64" t="s">
        <v>153</v>
      </c>
      <c r="D38" s="66" t="s">
        <v>323</v>
      </c>
      <c r="E38" s="80" t="s">
        <v>359</v>
      </c>
      <c r="F38" s="80"/>
    </row>
    <row r="39" spans="2:6" ht="25.5" customHeight="1" x14ac:dyDescent="0.25">
      <c r="B39" s="61" t="s">
        <v>360</v>
      </c>
      <c r="C39" s="62" t="s">
        <v>154</v>
      </c>
      <c r="D39" s="61" t="s">
        <v>332</v>
      </c>
      <c r="E39" s="81"/>
      <c r="F39" s="81"/>
    </row>
    <row r="40" spans="2:6" ht="25.5" customHeight="1" x14ac:dyDescent="0.25">
      <c r="B40" s="63" t="s">
        <v>361</v>
      </c>
      <c r="C40" s="64" t="s">
        <v>155</v>
      </c>
      <c r="D40" s="66" t="s">
        <v>323</v>
      </c>
      <c r="E40" s="80" t="s">
        <v>362</v>
      </c>
      <c r="F40" s="80"/>
    </row>
    <row r="41" spans="2:6" ht="25.5" customHeight="1" x14ac:dyDescent="0.25">
      <c r="B41" s="61" t="s">
        <v>363</v>
      </c>
      <c r="C41" s="62" t="s">
        <v>156</v>
      </c>
      <c r="D41" s="65" t="s">
        <v>323</v>
      </c>
      <c r="E41" s="81" t="s">
        <v>364</v>
      </c>
      <c r="F41" s="81"/>
    </row>
    <row r="42" spans="2:6" ht="25.5" customHeight="1" x14ac:dyDescent="0.25">
      <c r="B42" s="63" t="s">
        <v>365</v>
      </c>
      <c r="C42" s="64" t="s">
        <v>157</v>
      </c>
      <c r="D42" s="63" t="s">
        <v>319</v>
      </c>
      <c r="E42" s="80" t="s">
        <v>366</v>
      </c>
      <c r="F42" s="80"/>
    </row>
    <row r="43" spans="2:6" ht="25.5" customHeight="1" x14ac:dyDescent="0.25">
      <c r="B43" s="61" t="s">
        <v>367</v>
      </c>
      <c r="C43" s="62" t="s">
        <v>158</v>
      </c>
      <c r="D43" s="65" t="s">
        <v>323</v>
      </c>
      <c r="E43" s="81" t="s">
        <v>368</v>
      </c>
      <c r="F43" s="81"/>
    </row>
    <row r="44" spans="2:6" ht="25.5" customHeight="1" x14ac:dyDescent="0.25">
      <c r="B44" s="63" t="s">
        <v>369</v>
      </c>
      <c r="C44" s="64" t="s">
        <v>159</v>
      </c>
      <c r="D44" s="66" t="s">
        <v>323</v>
      </c>
      <c r="E44" s="80" t="s">
        <v>370</v>
      </c>
      <c r="F44" s="80"/>
    </row>
    <row r="45" spans="2:6" ht="25.5" customHeight="1" x14ac:dyDescent="0.25">
      <c r="B45" s="61" t="s">
        <v>371</v>
      </c>
      <c r="C45" s="62" t="s">
        <v>372</v>
      </c>
      <c r="D45" s="65" t="s">
        <v>323</v>
      </c>
      <c r="E45" s="81" t="s">
        <v>370</v>
      </c>
      <c r="F45" s="81"/>
    </row>
    <row r="46" spans="2:6" ht="25.5" customHeight="1" x14ac:dyDescent="0.25">
      <c r="B46" s="63" t="s">
        <v>373</v>
      </c>
      <c r="C46" s="64" t="s">
        <v>374</v>
      </c>
      <c r="D46" s="66" t="s">
        <v>323</v>
      </c>
      <c r="E46" s="80" t="s">
        <v>370</v>
      </c>
      <c r="F46" s="80"/>
    </row>
    <row r="47" spans="2:6" ht="25.5" customHeight="1" x14ac:dyDescent="0.25">
      <c r="B47" s="61" t="s">
        <v>375</v>
      </c>
      <c r="C47" s="62" t="s">
        <v>265</v>
      </c>
      <c r="D47" s="65" t="s">
        <v>323</v>
      </c>
      <c r="E47" s="81" t="s">
        <v>376</v>
      </c>
      <c r="F47" s="81"/>
    </row>
    <row r="48" spans="2:6" ht="25.5" customHeight="1" x14ac:dyDescent="0.25">
      <c r="B48" s="63" t="s">
        <v>377</v>
      </c>
      <c r="C48" s="64" t="s">
        <v>163</v>
      </c>
      <c r="D48" s="66" t="s">
        <v>323</v>
      </c>
      <c r="E48" s="80" t="s">
        <v>378</v>
      </c>
      <c r="F48" s="80"/>
    </row>
    <row r="49" spans="2:6" ht="25.5" customHeight="1" x14ac:dyDescent="0.25">
      <c r="B49" s="61" t="s">
        <v>379</v>
      </c>
      <c r="C49" s="62" t="s">
        <v>164</v>
      </c>
      <c r="D49" s="65" t="s">
        <v>323</v>
      </c>
      <c r="E49" s="81"/>
      <c r="F49" s="81"/>
    </row>
    <row r="50" spans="2:6" ht="25.5" customHeight="1" x14ac:dyDescent="0.25">
      <c r="B50" s="63" t="s">
        <v>380</v>
      </c>
      <c r="C50" s="64" t="s">
        <v>165</v>
      </c>
      <c r="D50" s="66" t="s">
        <v>323</v>
      </c>
      <c r="E50" s="80"/>
      <c r="F50" s="80"/>
    </row>
    <row r="51" spans="2:6" ht="25.5" customHeight="1" x14ac:dyDescent="0.25">
      <c r="B51" s="61" t="s">
        <v>381</v>
      </c>
      <c r="C51" s="62" t="s">
        <v>166</v>
      </c>
      <c r="D51" s="65" t="s">
        <v>323</v>
      </c>
      <c r="E51" s="81"/>
      <c r="F51" s="81"/>
    </row>
    <row r="52" spans="2:6" ht="25.5" customHeight="1" x14ac:dyDescent="0.25">
      <c r="B52" s="63" t="s">
        <v>382</v>
      </c>
      <c r="C52" s="64" t="s">
        <v>167</v>
      </c>
      <c r="D52" s="66" t="s">
        <v>323</v>
      </c>
      <c r="E52" s="80"/>
      <c r="F52" s="80"/>
    </row>
    <row r="53" spans="2:6" ht="25.5" customHeight="1" x14ac:dyDescent="0.25">
      <c r="B53" s="61" t="s">
        <v>383</v>
      </c>
      <c r="C53" s="62" t="s">
        <v>168</v>
      </c>
      <c r="D53" s="65" t="s">
        <v>323</v>
      </c>
      <c r="E53" s="81"/>
      <c r="F53" s="81"/>
    </row>
    <row r="54" spans="2:6" ht="25.5" customHeight="1" x14ac:dyDescent="0.25">
      <c r="B54" s="63" t="s">
        <v>384</v>
      </c>
      <c r="C54" s="64" t="s">
        <v>169</v>
      </c>
      <c r="D54" s="66" t="s">
        <v>323</v>
      </c>
      <c r="E54" s="80" t="s">
        <v>385</v>
      </c>
      <c r="F54" s="80"/>
    </row>
    <row r="55" spans="2:6" ht="25.5" customHeight="1" x14ac:dyDescent="0.25">
      <c r="B55" s="61" t="s">
        <v>386</v>
      </c>
      <c r="C55" s="62" t="s">
        <v>170</v>
      </c>
      <c r="D55" s="65" t="s">
        <v>323</v>
      </c>
      <c r="E55" s="81" t="s">
        <v>387</v>
      </c>
      <c r="F55" s="81"/>
    </row>
    <row r="56" spans="2:6" ht="25.5" customHeight="1" x14ac:dyDescent="0.25">
      <c r="B56" s="63" t="s">
        <v>388</v>
      </c>
      <c r="C56" s="64" t="s">
        <v>171</v>
      </c>
      <c r="D56" s="66" t="s">
        <v>323</v>
      </c>
      <c r="E56" s="80" t="s">
        <v>389</v>
      </c>
      <c r="F56" s="80"/>
    </row>
    <row r="57" spans="2:6" ht="25.5" customHeight="1" x14ac:dyDescent="0.25">
      <c r="B57" s="61" t="s">
        <v>390</v>
      </c>
      <c r="C57" s="62" t="s">
        <v>172</v>
      </c>
      <c r="D57" s="61" t="s">
        <v>319</v>
      </c>
      <c r="E57" s="81"/>
      <c r="F57" s="81"/>
    </row>
    <row r="58" spans="2:6" ht="25.5" customHeight="1" x14ac:dyDescent="0.25">
      <c r="B58" s="63" t="s">
        <v>391</v>
      </c>
      <c r="C58" s="64" t="s">
        <v>173</v>
      </c>
      <c r="D58" s="63" t="s">
        <v>319</v>
      </c>
      <c r="E58" s="80"/>
      <c r="F58" s="80"/>
    </row>
    <row r="59" spans="2:6" ht="25.5" customHeight="1" x14ac:dyDescent="0.25">
      <c r="B59" s="61" t="s">
        <v>392</v>
      </c>
      <c r="C59" s="62" t="s">
        <v>174</v>
      </c>
      <c r="D59" s="61" t="s">
        <v>313</v>
      </c>
      <c r="E59" s="81"/>
      <c r="F59" s="81"/>
    </row>
  </sheetData>
  <mergeCells count="57">
    <mergeCell ref="A1:F1"/>
    <mergeCell ref="A2:F2"/>
    <mergeCell ref="E5:F5"/>
    <mergeCell ref="E6:F6"/>
    <mergeCell ref="E7:F7"/>
    <mergeCell ref="E8:F8"/>
    <mergeCell ref="E9:F9"/>
    <mergeCell ref="E10:F10"/>
    <mergeCell ref="E11:F11"/>
    <mergeCell ref="E12:F12"/>
    <mergeCell ref="E13:F13"/>
    <mergeCell ref="E14:F14"/>
    <mergeCell ref="E15:F15"/>
    <mergeCell ref="E16:F16"/>
    <mergeCell ref="E17:F17"/>
    <mergeCell ref="E18:F18"/>
    <mergeCell ref="E19:F19"/>
    <mergeCell ref="E20:F20"/>
    <mergeCell ref="E21:F21"/>
    <mergeCell ref="E22:F22"/>
    <mergeCell ref="E23:F23"/>
    <mergeCell ref="E24:F24"/>
    <mergeCell ref="E25:F25"/>
    <mergeCell ref="E26:F26"/>
    <mergeCell ref="E27:F27"/>
    <mergeCell ref="E28:F28"/>
    <mergeCell ref="E29:F29"/>
    <mergeCell ref="E30:F30"/>
    <mergeCell ref="E31:F31"/>
    <mergeCell ref="E32:F32"/>
    <mergeCell ref="E33:F33"/>
    <mergeCell ref="E34:F34"/>
    <mergeCell ref="E35:F35"/>
    <mergeCell ref="E36:F36"/>
    <mergeCell ref="E37:F37"/>
    <mergeCell ref="E38:F38"/>
    <mergeCell ref="E39:F39"/>
    <mergeCell ref="E40:F40"/>
    <mergeCell ref="E41:F41"/>
    <mergeCell ref="E42:F42"/>
    <mergeCell ref="E43:F43"/>
    <mergeCell ref="E44:F44"/>
    <mergeCell ref="E45:F45"/>
    <mergeCell ref="E46:F46"/>
    <mergeCell ref="E47:F47"/>
    <mergeCell ref="E48:F48"/>
    <mergeCell ref="E49:F49"/>
    <mergeCell ref="E50:F50"/>
    <mergeCell ref="E51:F51"/>
    <mergeCell ref="E52:F52"/>
    <mergeCell ref="E58:F58"/>
    <mergeCell ref="E59:F59"/>
    <mergeCell ref="E53:F53"/>
    <mergeCell ref="E54:F54"/>
    <mergeCell ref="E55:F55"/>
    <mergeCell ref="E56:F56"/>
    <mergeCell ref="E57:F57"/>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16"/>
  <sheetViews>
    <sheetView showGridLines="0" zoomScaleNormal="100" workbookViewId="0">
      <pane ySplit="4" topLeftCell="A5" activePane="bottomLeft" state="frozen"/>
      <selection pane="bottomLeft"/>
    </sheetView>
  </sheetViews>
  <sheetFormatPr defaultColWidth="8.5703125" defaultRowHeight="15" x14ac:dyDescent="0.25"/>
  <cols>
    <col min="1" max="1" width="26" customWidth="1"/>
    <col min="2" max="2" width="27" customWidth="1"/>
    <col min="3" max="3" width="18" customWidth="1"/>
    <col min="4" max="4" width="42" customWidth="1"/>
    <col min="5" max="5" width="36" customWidth="1"/>
    <col min="6" max="6" width="18" customWidth="1"/>
    <col min="7" max="7" width="42" customWidth="1"/>
    <col min="8" max="11" width="18" customWidth="1"/>
  </cols>
  <sheetData>
    <row r="1" spans="1:14" ht="25.5" customHeight="1" x14ac:dyDescent="0.25">
      <c r="A1" s="69" t="s">
        <v>393</v>
      </c>
      <c r="B1" s="69"/>
      <c r="C1" s="69"/>
      <c r="D1" s="69"/>
      <c r="E1" s="69"/>
      <c r="F1" s="69"/>
      <c r="G1" s="69"/>
      <c r="H1" s="69"/>
      <c r="I1" s="69"/>
      <c r="J1" s="69"/>
      <c r="K1" s="69"/>
      <c r="L1" s="69"/>
      <c r="M1" s="69"/>
      <c r="N1" s="69"/>
    </row>
    <row r="2" spans="1:14" ht="15" customHeight="1" x14ac:dyDescent="0.25">
      <c r="A2" s="70" t="s">
        <v>394</v>
      </c>
      <c r="B2" s="70"/>
      <c r="C2" s="70"/>
      <c r="D2" s="70"/>
      <c r="E2" s="70"/>
      <c r="F2" s="70"/>
      <c r="G2" s="70"/>
      <c r="H2" s="70"/>
      <c r="I2" s="70"/>
      <c r="J2" s="70"/>
      <c r="K2" s="70"/>
      <c r="L2" s="70"/>
      <c r="M2" s="70"/>
      <c r="N2" s="70"/>
    </row>
    <row r="4" spans="1:14" ht="30" customHeight="1" x14ac:dyDescent="0.25">
      <c r="A4" s="12" t="s">
        <v>395</v>
      </c>
      <c r="B4" s="12" t="s">
        <v>396</v>
      </c>
      <c r="C4" s="12" t="s">
        <v>397</v>
      </c>
      <c r="D4" s="12" t="s">
        <v>398</v>
      </c>
      <c r="E4" s="12" t="s">
        <v>399</v>
      </c>
      <c r="F4" s="12" t="s">
        <v>400</v>
      </c>
      <c r="G4" s="12" t="s">
        <v>401</v>
      </c>
      <c r="H4" s="12" t="s">
        <v>402</v>
      </c>
      <c r="I4" s="12" t="s">
        <v>332</v>
      </c>
      <c r="J4" s="12" t="s">
        <v>403</v>
      </c>
      <c r="K4" s="12" t="s">
        <v>404</v>
      </c>
    </row>
    <row r="5" spans="1:14" ht="15" customHeight="1" x14ac:dyDescent="0.25">
      <c r="A5" s="55" t="s">
        <v>180</v>
      </c>
      <c r="B5" s="55" t="s">
        <v>179</v>
      </c>
      <c r="C5" s="55" t="s">
        <v>185</v>
      </c>
      <c r="D5" s="55" t="s">
        <v>405</v>
      </c>
      <c r="E5" s="55" t="s">
        <v>192</v>
      </c>
      <c r="F5" s="55" t="s">
        <v>406</v>
      </c>
      <c r="G5" s="55" t="s">
        <v>190</v>
      </c>
      <c r="H5" s="55" t="s">
        <v>407</v>
      </c>
      <c r="I5" s="55" t="s">
        <v>58</v>
      </c>
      <c r="J5" s="55" t="s">
        <v>408</v>
      </c>
      <c r="K5" s="55" t="s">
        <v>196</v>
      </c>
    </row>
    <row r="6" spans="1:14" ht="15" customHeight="1" x14ac:dyDescent="0.25">
      <c r="A6" s="55" t="s">
        <v>409</v>
      </c>
      <c r="B6" s="55" t="s">
        <v>199</v>
      </c>
      <c r="C6" s="55" t="s">
        <v>229</v>
      </c>
      <c r="D6" s="55" t="s">
        <v>244</v>
      </c>
      <c r="E6" s="55" t="s">
        <v>209</v>
      </c>
      <c r="F6" s="55" t="s">
        <v>410</v>
      </c>
      <c r="G6" s="55" t="s">
        <v>247</v>
      </c>
      <c r="H6" s="55" t="s">
        <v>411</v>
      </c>
      <c r="I6" s="55" t="s">
        <v>412</v>
      </c>
      <c r="J6" s="55" t="s">
        <v>413</v>
      </c>
      <c r="K6" s="55" t="s">
        <v>414</v>
      </c>
    </row>
    <row r="7" spans="1:14" ht="15" customHeight="1" x14ac:dyDescent="0.25">
      <c r="A7" s="55" t="s">
        <v>415</v>
      </c>
      <c r="B7" s="55" t="s">
        <v>416</v>
      </c>
      <c r="D7" s="55" t="s">
        <v>184</v>
      </c>
      <c r="E7" s="55" t="s">
        <v>236</v>
      </c>
      <c r="F7" s="55" t="s">
        <v>194</v>
      </c>
      <c r="G7" s="55" t="s">
        <v>417</v>
      </c>
      <c r="H7" s="55" t="s">
        <v>418</v>
      </c>
      <c r="I7" s="55" t="s">
        <v>419</v>
      </c>
      <c r="K7" s="55" t="s">
        <v>420</v>
      </c>
    </row>
    <row r="8" spans="1:14" ht="15" customHeight="1" x14ac:dyDescent="0.25">
      <c r="A8" s="55" t="s">
        <v>421</v>
      </c>
      <c r="B8" s="55" t="s">
        <v>422</v>
      </c>
      <c r="D8" s="55" t="s">
        <v>203</v>
      </c>
      <c r="E8" s="55" t="s">
        <v>423</v>
      </c>
      <c r="F8" s="55" t="s">
        <v>222</v>
      </c>
      <c r="G8" s="55" t="s">
        <v>424</v>
      </c>
      <c r="H8" s="55" t="s">
        <v>425</v>
      </c>
      <c r="I8" s="55" t="s">
        <v>426</v>
      </c>
    </row>
    <row r="9" spans="1:14" ht="15" customHeight="1" x14ac:dyDescent="0.25">
      <c r="A9" s="55" t="s">
        <v>427</v>
      </c>
      <c r="B9" s="55" t="s">
        <v>428</v>
      </c>
      <c r="D9" s="55" t="s">
        <v>429</v>
      </c>
      <c r="F9" s="55" t="s">
        <v>211</v>
      </c>
      <c r="G9" s="55" t="s">
        <v>430</v>
      </c>
    </row>
    <row r="10" spans="1:14" ht="15" customHeight="1" x14ac:dyDescent="0.25">
      <c r="A10" s="55" t="s">
        <v>431</v>
      </c>
      <c r="B10" s="55" t="s">
        <v>432</v>
      </c>
      <c r="D10" s="55" t="s">
        <v>433</v>
      </c>
      <c r="F10" s="55" t="s">
        <v>434</v>
      </c>
      <c r="G10" s="55" t="s">
        <v>208</v>
      </c>
    </row>
    <row r="11" spans="1:14" ht="15" customHeight="1" x14ac:dyDescent="0.25">
      <c r="A11" s="55" t="s">
        <v>435</v>
      </c>
      <c r="B11" s="55" t="s">
        <v>436</v>
      </c>
      <c r="D11" s="55" t="s">
        <v>217</v>
      </c>
      <c r="G11" s="55" t="s">
        <v>257</v>
      </c>
    </row>
    <row r="12" spans="1:14" ht="15" customHeight="1" x14ac:dyDescent="0.25">
      <c r="D12" s="55" t="s">
        <v>437</v>
      </c>
      <c r="G12" s="55" t="s">
        <v>438</v>
      </c>
    </row>
    <row r="13" spans="1:14" ht="15" customHeight="1" x14ac:dyDescent="0.25">
      <c r="D13" s="55" t="s">
        <v>439</v>
      </c>
      <c r="G13" s="55" t="s">
        <v>440</v>
      </c>
    </row>
    <row r="14" spans="1:14" ht="15" customHeight="1" x14ac:dyDescent="0.25">
      <c r="D14" s="55" t="s">
        <v>441</v>
      </c>
      <c r="G14" s="55" t="s">
        <v>442</v>
      </c>
    </row>
    <row r="15" spans="1:14" ht="15" customHeight="1" x14ac:dyDescent="0.25">
      <c r="D15" s="55" t="s">
        <v>254</v>
      </c>
      <c r="G15" s="55" t="s">
        <v>443</v>
      </c>
    </row>
    <row r="16" spans="1:14" ht="15" customHeight="1" x14ac:dyDescent="0.25">
      <c r="D16" s="55" t="s">
        <v>444</v>
      </c>
      <c r="G16" s="55" t="s">
        <v>234</v>
      </c>
    </row>
  </sheetData>
  <mergeCells count="2">
    <mergeCell ref="A1:N1"/>
    <mergeCell ref="A2:N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README</vt:lpstr>
      <vt:lpstr>Header</vt:lpstr>
      <vt:lpstr>UW Bordereaux</vt:lpstr>
      <vt:lpstr>Reconciliation</vt:lpstr>
      <vt:lpstr>Field Definitions</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Joshua Broedel</cp:lastModifiedBy>
  <cp:revision>0</cp:revision>
  <dcterms:created xsi:type="dcterms:W3CDTF">2026-08-28T19:27:55Z</dcterms:created>
  <dcterms:modified xsi:type="dcterms:W3CDTF">2026-08-28T20:32:23Z</dcterms:modified>
  <dc:language>en-US</dc:language>
</cp:coreProperties>
</file>