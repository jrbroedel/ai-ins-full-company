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ss Ratio" sheetId="2" state="visible" r:id="rId2"/>
    <sheet xmlns:r="http://schemas.openxmlformats.org/officeDocument/2006/relationships" name="Claims Register" sheetId="3" state="visible" r:id="rId3"/>
    <sheet xmlns:r="http://schemas.openxmlformats.org/officeDocument/2006/relationships" name="By Loss Month" sheetId="4" state="visible" r:id="rId4"/>
  </sheets>
  <definedNames>
    <definedName name="_xlnm._FilterDatabase" localSheetId="2" hidden="1">'Claims Register'!$A$4:$I$396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0.0000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5" fontId="5" fillId="5" borderId="1" pivotButton="0" quotePrefix="0" xfId="0"/>
    <xf numFmtId="165" fontId="4" fillId="0" borderId="1" pivotButton="0" quotePrefix="0" xfId="0"/>
    <xf numFmtId="166" fontId="4" fillId="0" borderId="1" pivotButton="0" quotePrefix="0" xfId="0"/>
    <xf numFmtId="3" fontId="5" fillId="0" borderId="1" pivotButton="0" quotePrefix="0" xfId="0"/>
    <xf numFmtId="3" fontId="4" fillId="0" borderId="1" pivotButton="0" quotePrefix="0" xfId="0"/>
    <xf numFmtId="164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5" fillId="0" borderId="0" pivotButton="0" quotePrefix="0" xfId="0"/>
    <xf numFmtId="164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04 · Claims BDX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Register</t>
        </is>
      </c>
      <c r="C8" s="3" t="inlineStr">
        <is>
          <t>392 policy-period claims on bound policies, by date of loss.</t>
        </is>
      </c>
    </row>
    <row r="9">
      <c r="A9" s="3" t="inlineStr">
        <is>
          <t>Loss span</t>
        </is>
      </c>
      <c r="C9" s="3" t="inlineStr">
        <is>
          <t>2025-08-25 → 2027-06-25 (extends past the 12 submission months).</t>
        </is>
      </c>
    </row>
    <row r="10">
      <c r="A10" s="3" t="inlineStr">
        <is>
          <t>Total incurred</t>
        </is>
      </c>
      <c r="C10" s="3" t="inlineStr">
        <is>
          <t>$31,881,964.07</t>
        </is>
      </c>
    </row>
    <row r="11">
      <c r="A11" s="3" t="inlineStr">
        <is>
          <t>Loss ratio</t>
        </is>
      </c>
      <c r="C11" s="3" t="inlineStr">
        <is>
          <t>0.5600  (incurred ÷ GWP) — PC band 10%</t>
        </is>
      </c>
    </row>
    <row r="12">
      <c r="A12" s="3" t="inlineStr">
        <is>
          <t>Status values</t>
        </is>
      </c>
      <c r="C12" s="3" t="inlineStr">
        <is>
          <t>Artifact uses closed/open (closed = settled/paid); shown as-is.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</cols>
  <sheetData>
    <row r="1" ht="22" customHeight="1">
      <c r="A1" s="4" t="inlineStr">
        <is>
          <t>Loss Ratio Reconciliation</t>
        </is>
      </c>
    </row>
    <row r="2">
      <c r="A2" s="5" t="inlineStr">
        <is>
          <t>Incurred ÷ Bound premium, bound book only. Under the 0.60 PC hurdle → bonus pays at the 10% band.</t>
        </is>
      </c>
    </row>
    <row r="4">
      <c r="A4" s="6" t="inlineStr">
        <is>
          <t>Metric</t>
        </is>
      </c>
      <c r="B4" s="6" t="inlineStr">
        <is>
          <t>Formula / value</t>
        </is>
      </c>
      <c r="C4" s="6" t="inlineStr">
        <is>
          <t>Artifact</t>
        </is>
      </c>
    </row>
    <row r="5">
      <c r="A5" s="7" t="inlineStr">
        <is>
          <t>Total incurred losses</t>
        </is>
      </c>
      <c r="B5" s="8">
        <f>'Claims Register'!H397</f>
        <v/>
      </c>
      <c r="C5" s="9" t="n"/>
    </row>
    <row r="6">
      <c r="A6" s="7" t="inlineStr">
        <is>
          <t>Bound GWP (artifact)</t>
        </is>
      </c>
      <c r="B6" s="9" t="n"/>
      <c r="C6" s="10" t="n">
        <v>56932078.7</v>
      </c>
    </row>
    <row r="7">
      <c r="A7" s="7" t="inlineStr">
        <is>
          <t>Loss Ratio (incurred ÷ GWP)</t>
        </is>
      </c>
      <c r="B7" s="11">
        <f>'Claims Register'!H397/56932078.7</f>
        <v/>
      </c>
      <c r="C7" s="9" t="n"/>
    </row>
    <row r="8">
      <c r="A8" s="7" t="inlineStr">
        <is>
          <t>Target loss ratio</t>
        </is>
      </c>
      <c r="B8" s="9" t="n"/>
      <c r="C8" s="12" t="n">
        <v>0.5600000000000001</v>
      </c>
    </row>
    <row r="9">
      <c r="A9" s="7" t="inlineStr">
        <is>
          <t>Artifact loss_ratio</t>
        </is>
      </c>
      <c r="B9" s="9" t="n"/>
      <c r="C9" s="12" t="n">
        <v>0.5600000000000001</v>
      </c>
    </row>
    <row r="10">
      <c r="A10" s="7" t="inlineStr">
        <is>
          <t>Profit-commission band</t>
        </is>
      </c>
      <c r="B10" s="9" t="n"/>
      <c r="C10" s="13" t="n">
        <v>0.1</v>
      </c>
    </row>
    <row r="11">
      <c r="A11" s="7" t="inlineStr">
        <is>
          <t>Claim count</t>
        </is>
      </c>
      <c r="B11" s="14">
        <f>COUNTA('Claims Register'!A5:A396)</f>
        <v/>
      </c>
      <c r="C11" s="15" t="n">
        <v>392</v>
      </c>
    </row>
    <row r="12">
      <c r="A12" s="7" t="inlineStr">
        <is>
          <t>Claims referencing non-bound policy</t>
        </is>
      </c>
      <c r="B12" s="14" t="n">
        <v>0</v>
      </c>
      <c r="C12" s="9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I3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" customWidth="1" min="4" max="4"/>
    <col width="30" customWidth="1" min="5" max="5"/>
    <col width="13" customWidth="1" min="6" max="6"/>
    <col width="11" customWidth="1" min="7" max="7"/>
    <col width="22" customWidth="1" min="8" max="8"/>
    <col width="9" customWidth="1" min="9" max="9"/>
  </cols>
  <sheetData>
    <row r="1" ht="22" customHeight="1">
      <c r="A1" s="4" t="inlineStr">
        <is>
          <t>Claims BDX — Policy-Period Claims Register</t>
        </is>
      </c>
    </row>
    <row r="2">
      <c r="A2" s="5" t="inlineStr">
        <is>
          <t>Continuous register, by date of loss. Claims on bound policies only. Losses span beyond the 12 submission months (late binds carry losses into the next year); reported by date of loss.</t>
        </is>
      </c>
    </row>
    <row r="4">
      <c r="A4" s="6" t="inlineStr">
        <is>
          <t>Claim ID</t>
        </is>
      </c>
      <c r="B4" s="6" t="inlineStr">
        <is>
          <t>Policy Number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Policy ID</t>
        </is>
      </c>
      <c r="F4" s="6" t="inlineStr">
        <is>
          <t>Date of Loss</t>
        </is>
      </c>
      <c r="G4" s="6" t="inlineStr">
        <is>
          <t>Loss Month</t>
        </is>
      </c>
      <c r="H4" s="6" t="inlineStr">
        <is>
          <t>Incurred (Paid+Reserves)</t>
        </is>
      </c>
      <c r="I4" s="6" t="inlineStr">
        <is>
          <t>Status</t>
        </is>
      </c>
    </row>
    <row r="5">
      <c r="A5" s="3" t="inlineStr">
        <is>
          <t>098cfef7-9905-52e7-a754-b908ebcaf164</t>
        </is>
      </c>
      <c r="B5" s="3" t="inlineStr">
        <is>
          <t>CANON-202508-000428</t>
        </is>
      </c>
      <c r="C5" s="3" t="inlineStr">
        <is>
          <t>Callum Whitlock</t>
        </is>
      </c>
      <c r="D5" s="3" t="inlineStr">
        <is>
          <t>AR</t>
        </is>
      </c>
      <c r="E5" s="3" t="inlineStr">
        <is>
          <t>73bf63d3-be33-5c4a-a37a-679d9b512761</t>
        </is>
      </c>
      <c r="F5" s="3" t="inlineStr">
        <is>
          <t>2025-08-25</t>
        </is>
      </c>
      <c r="G5" s="3" t="inlineStr">
        <is>
          <t>2025-08</t>
        </is>
      </c>
      <c r="H5" s="16" t="n">
        <v>5683.28</v>
      </c>
      <c r="I5" s="3" t="inlineStr">
        <is>
          <t>closed</t>
        </is>
      </c>
    </row>
    <row r="6">
      <c r="A6" s="17" t="inlineStr">
        <is>
          <t>483e2173-d8f6-530a-9bcc-8ad67f4ee045</t>
        </is>
      </c>
      <c r="B6" s="17" t="inlineStr">
        <is>
          <t>CANON-202508-000044</t>
        </is>
      </c>
      <c r="C6" s="17" t="inlineStr">
        <is>
          <t>Ingrid Fairweather</t>
        </is>
      </c>
      <c r="D6" s="17" t="inlineStr">
        <is>
          <t>UT</t>
        </is>
      </c>
      <c r="E6" s="17" t="inlineStr">
        <is>
          <t>700a84dc-6a02-5584-a3c4-c4a4dc2f9e70</t>
        </is>
      </c>
      <c r="F6" s="17" t="inlineStr">
        <is>
          <t>2025-09-03</t>
        </is>
      </c>
      <c r="G6" s="17" t="inlineStr">
        <is>
          <t>2025-09</t>
        </is>
      </c>
      <c r="H6" s="18" t="n">
        <v>11365.5</v>
      </c>
      <c r="I6" s="17" t="inlineStr">
        <is>
          <t>closed</t>
        </is>
      </c>
    </row>
    <row r="7">
      <c r="A7" s="3" t="inlineStr">
        <is>
          <t>9c969591-a157-5a24-97c0-c8f1bccb82fb</t>
        </is>
      </c>
      <c r="B7" s="3" t="inlineStr">
        <is>
          <t>CANON-202509-000717</t>
        </is>
      </c>
      <c r="C7" s="3" t="inlineStr">
        <is>
          <t>Everett Pennington</t>
        </is>
      </c>
      <c r="D7" s="3" t="inlineStr">
        <is>
          <t>HI</t>
        </is>
      </c>
      <c r="E7" s="3" t="inlineStr">
        <is>
          <t>5c34fdc6-7e70-5c1b-8f3c-8a94906e1430</t>
        </is>
      </c>
      <c r="F7" s="3" t="inlineStr">
        <is>
          <t>2025-09-19</t>
        </is>
      </c>
      <c r="G7" s="3" t="inlineStr">
        <is>
          <t>2025-09</t>
        </is>
      </c>
      <c r="H7" s="16" t="n">
        <v>6520.09</v>
      </c>
      <c r="I7" s="3" t="inlineStr">
        <is>
          <t>closed</t>
        </is>
      </c>
    </row>
    <row r="8">
      <c r="A8" s="17" t="inlineStr">
        <is>
          <t>9b975f07-eba7-5171-acc2-7fc5fe025c7f</t>
        </is>
      </c>
      <c r="B8" s="17" t="inlineStr">
        <is>
          <t>CANON-202509-001073</t>
        </is>
      </c>
      <c r="C8" s="17" t="inlineStr">
        <is>
          <t>Ottilie Kingsford</t>
        </is>
      </c>
      <c r="D8" s="17" t="inlineStr">
        <is>
          <t>GA</t>
        </is>
      </c>
      <c r="E8" s="17" t="inlineStr">
        <is>
          <t>ad099721-b38f-5eaf-b4ad-ec7eb5620497</t>
        </is>
      </c>
      <c r="F8" s="17" t="inlineStr">
        <is>
          <t>2025-10-06</t>
        </is>
      </c>
      <c r="G8" s="17" t="inlineStr">
        <is>
          <t>2025-10</t>
        </is>
      </c>
      <c r="H8" s="18" t="n">
        <v>924193.6</v>
      </c>
      <c r="I8" s="17" t="inlineStr">
        <is>
          <t>closed</t>
        </is>
      </c>
    </row>
    <row r="9">
      <c r="A9" s="3" t="inlineStr">
        <is>
          <t>7bf7c326-6b9e-5e90-8b06-15124f590445</t>
        </is>
      </c>
      <c r="B9" s="3" t="inlineStr">
        <is>
          <t>CANON-202508-000548</t>
        </is>
      </c>
      <c r="C9" s="3" t="inlineStr">
        <is>
          <t>Anouk Nakashima</t>
        </is>
      </c>
      <c r="D9" s="3" t="inlineStr">
        <is>
          <t>GA</t>
        </is>
      </c>
      <c r="E9" s="3" t="inlineStr">
        <is>
          <t>0fff1a25-7e27-5211-b35c-06d6161dcb7a</t>
        </is>
      </c>
      <c r="F9" s="3" t="inlineStr">
        <is>
          <t>2025-10-21</t>
        </is>
      </c>
      <c r="G9" s="3" t="inlineStr">
        <is>
          <t>2025-10</t>
        </is>
      </c>
      <c r="H9" s="16" t="n">
        <v>30309.7</v>
      </c>
      <c r="I9" s="3" t="inlineStr">
        <is>
          <t>open</t>
        </is>
      </c>
    </row>
    <row r="10">
      <c r="A10" s="17" t="inlineStr">
        <is>
          <t>f64cafcc-41bc-53f1-b7c8-9af4f59870ab</t>
        </is>
      </c>
      <c r="B10" s="17" t="inlineStr">
        <is>
          <t>CANON-202508-000480</t>
        </is>
      </c>
      <c r="C10" s="17" t="inlineStr">
        <is>
          <t>Anouk Merriweather</t>
        </is>
      </c>
      <c r="D10" s="17" t="inlineStr">
        <is>
          <t>NV</t>
        </is>
      </c>
      <c r="E10" s="17" t="inlineStr">
        <is>
          <t>5756f356-85c7-5b9b-aca3-8f3e39b0e080</t>
        </is>
      </c>
      <c r="F10" s="17" t="inlineStr">
        <is>
          <t>2025-10-24</t>
        </is>
      </c>
      <c r="G10" s="17" t="inlineStr">
        <is>
          <t>2025-10</t>
        </is>
      </c>
      <c r="H10" s="18" t="n">
        <v>33563.31</v>
      </c>
      <c r="I10" s="17" t="inlineStr">
        <is>
          <t>closed</t>
        </is>
      </c>
    </row>
    <row r="11">
      <c r="A11" s="3" t="inlineStr">
        <is>
          <t>2756d547-6b36-5131-b7a9-febe252612c1</t>
        </is>
      </c>
      <c r="B11" s="3" t="inlineStr">
        <is>
          <t>CANON-202509-000908</t>
        </is>
      </c>
      <c r="C11" s="3" t="inlineStr">
        <is>
          <t>Anouk Harrington</t>
        </is>
      </c>
      <c r="D11" s="3" t="inlineStr">
        <is>
          <t>PA</t>
        </is>
      </c>
      <c r="E11" s="3" t="inlineStr">
        <is>
          <t>73021779-9ec5-5f23-9b1b-aa106ec058ba</t>
        </is>
      </c>
      <c r="F11" s="3" t="inlineStr">
        <is>
          <t>2025-10-24</t>
        </is>
      </c>
      <c r="G11" s="3" t="inlineStr">
        <is>
          <t>2025-10</t>
        </is>
      </c>
      <c r="H11" s="16" t="n">
        <v>31196.09</v>
      </c>
      <c r="I11" s="3" t="inlineStr">
        <is>
          <t>closed</t>
        </is>
      </c>
    </row>
    <row r="12">
      <c r="A12" s="17" t="inlineStr">
        <is>
          <t>82a3b4c4-402d-5ca5-bee4-7116384ae6a8</t>
        </is>
      </c>
      <c r="B12" s="17" t="inlineStr">
        <is>
          <t>CANON-202509-000960</t>
        </is>
      </c>
      <c r="C12" s="17" t="inlineStr">
        <is>
          <t>Everett Larsson</t>
        </is>
      </c>
      <c r="D12" s="17" t="inlineStr">
        <is>
          <t>FL</t>
        </is>
      </c>
      <c r="E12" s="17" t="inlineStr">
        <is>
          <t>89fe466a-f25c-547d-924b-ad180532d125</t>
        </is>
      </c>
      <c r="F12" s="17" t="inlineStr">
        <is>
          <t>2025-11-15</t>
        </is>
      </c>
      <c r="G12" s="17" t="inlineStr">
        <is>
          <t>2025-11</t>
        </is>
      </c>
      <c r="H12" s="18" t="n">
        <v>35714.86</v>
      </c>
      <c r="I12" s="17" t="inlineStr">
        <is>
          <t>closed</t>
        </is>
      </c>
    </row>
    <row r="13">
      <c r="A13" s="3" t="inlineStr">
        <is>
          <t>824c686b-5831-5b41-8c1a-f53ea55ec264</t>
        </is>
      </c>
      <c r="B13" s="3" t="inlineStr">
        <is>
          <t>CANON-202511-001736</t>
        </is>
      </c>
      <c r="C13" s="3" t="inlineStr">
        <is>
          <t>Beatrix Delacroix</t>
        </is>
      </c>
      <c r="D13" s="3" t="inlineStr">
        <is>
          <t>NE</t>
        </is>
      </c>
      <c r="E13" s="3" t="inlineStr">
        <is>
          <t>601feb08-d95b-5eab-b202-b94a6a476a98</t>
        </is>
      </c>
      <c r="F13" s="3" t="inlineStr">
        <is>
          <t>2025-12-02</t>
        </is>
      </c>
      <c r="G13" s="3" t="inlineStr">
        <is>
          <t>2025-12</t>
        </is>
      </c>
      <c r="H13" s="16" t="n">
        <v>31270.88</v>
      </c>
      <c r="I13" s="3" t="inlineStr">
        <is>
          <t>closed</t>
        </is>
      </c>
    </row>
    <row r="14">
      <c r="A14" s="17" t="inlineStr">
        <is>
          <t>ca99128b-935f-5424-989c-ca5edb625a1c</t>
        </is>
      </c>
      <c r="B14" s="17" t="inlineStr">
        <is>
          <t>CANON-202510-001288</t>
        </is>
      </c>
      <c r="C14" s="17" t="inlineStr">
        <is>
          <t>Fitzgerald Underwood</t>
        </is>
      </c>
      <c r="D14" s="17" t="inlineStr">
        <is>
          <t>HI</t>
        </is>
      </c>
      <c r="E14" s="17" t="inlineStr">
        <is>
          <t>63b684e1-d8cf-5e99-ad1e-fdbcfb6110e1</t>
        </is>
      </c>
      <c r="F14" s="17" t="inlineStr">
        <is>
          <t>2025-12-04</t>
        </is>
      </c>
      <c r="G14" s="17" t="inlineStr">
        <is>
          <t>2025-12</t>
        </is>
      </c>
      <c r="H14" s="18" t="n">
        <v>34192.82</v>
      </c>
      <c r="I14" s="17" t="inlineStr">
        <is>
          <t>open</t>
        </is>
      </c>
    </row>
    <row r="15">
      <c r="A15" s="3" t="inlineStr">
        <is>
          <t>6435757d-2ea6-5bf6-85a2-1e5c342d20d4</t>
        </is>
      </c>
      <c r="B15" s="3" t="inlineStr">
        <is>
          <t>CANON-202509-000862</t>
        </is>
      </c>
      <c r="C15" s="3" t="inlineStr">
        <is>
          <t>Delphine Blackwood</t>
        </is>
      </c>
      <c r="D15" s="3" t="inlineStr">
        <is>
          <t>NH</t>
        </is>
      </c>
      <c r="E15" s="3" t="inlineStr">
        <is>
          <t>879b6437-4a9c-5d70-8790-05bd80df05ec</t>
        </is>
      </c>
      <c r="F15" s="3" t="inlineStr">
        <is>
          <t>2025-12-07</t>
        </is>
      </c>
      <c r="G15" s="3" t="inlineStr">
        <is>
          <t>2025-12</t>
        </is>
      </c>
      <c r="H15" s="16" t="n">
        <v>10925.03</v>
      </c>
      <c r="I15" s="3" t="inlineStr">
        <is>
          <t>open</t>
        </is>
      </c>
    </row>
    <row r="16">
      <c r="A16" s="17" t="inlineStr">
        <is>
          <t>0bb85bd4-0283-5236-a617-9e8641eb832c</t>
        </is>
      </c>
      <c r="B16" s="17" t="inlineStr">
        <is>
          <t>CANON-202511-001886</t>
        </is>
      </c>
      <c r="C16" s="17" t="inlineStr">
        <is>
          <t>Noor Blackwood</t>
        </is>
      </c>
      <c r="D16" s="17" t="inlineStr">
        <is>
          <t>CT</t>
        </is>
      </c>
      <c r="E16" s="17" t="inlineStr">
        <is>
          <t>084934d1-fdf6-50d6-b48a-09d3d138a7de</t>
        </is>
      </c>
      <c r="F16" s="17" t="inlineStr">
        <is>
          <t>2025-12-08</t>
        </is>
      </c>
      <c r="G16" s="17" t="inlineStr">
        <is>
          <t>2025-12</t>
        </is>
      </c>
      <c r="H16" s="18" t="n">
        <v>29191.33</v>
      </c>
      <c r="I16" s="17" t="inlineStr">
        <is>
          <t>closed</t>
        </is>
      </c>
    </row>
    <row r="17">
      <c r="A17" s="3" t="inlineStr">
        <is>
          <t>93ecef55-3e34-5c73-9dce-104fadf65a7c</t>
        </is>
      </c>
      <c r="B17" s="3" t="inlineStr">
        <is>
          <t>CANON-202508-000127</t>
        </is>
      </c>
      <c r="C17" s="3" t="inlineStr">
        <is>
          <t>Marisol Ashcombe</t>
        </is>
      </c>
      <c r="D17" s="3" t="inlineStr">
        <is>
          <t>WA</t>
        </is>
      </c>
      <c r="E17" s="3" t="inlineStr">
        <is>
          <t>8de09615-5667-5e95-8382-9918a054fa20</t>
        </is>
      </c>
      <c r="F17" s="3" t="inlineStr">
        <is>
          <t>2025-12-11</t>
        </is>
      </c>
      <c r="G17" s="3" t="inlineStr">
        <is>
          <t>2025-12</t>
        </is>
      </c>
      <c r="H17" s="16" t="n">
        <v>36746.34</v>
      </c>
      <c r="I17" s="3" t="inlineStr">
        <is>
          <t>open</t>
        </is>
      </c>
    </row>
    <row r="18">
      <c r="A18" s="17" t="inlineStr">
        <is>
          <t>df439066-4c2f-5564-956b-bac2b859dde6</t>
        </is>
      </c>
      <c r="B18" s="17" t="inlineStr">
        <is>
          <t>CANON-202510-001610</t>
        </is>
      </c>
      <c r="C18" s="17" t="inlineStr">
        <is>
          <t>Ingrid Larsson</t>
        </is>
      </c>
      <c r="D18" s="17" t="inlineStr">
        <is>
          <t>AR</t>
        </is>
      </c>
      <c r="E18" s="17" t="inlineStr">
        <is>
          <t>d28a9446-806c-51a1-83a3-853c4f22448f</t>
        </is>
      </c>
      <c r="F18" s="17" t="inlineStr">
        <is>
          <t>2025-12-13</t>
        </is>
      </c>
      <c r="G18" s="17" t="inlineStr">
        <is>
          <t>2025-12</t>
        </is>
      </c>
      <c r="H18" s="18" t="n">
        <v>119030.7</v>
      </c>
      <c r="I18" s="17" t="inlineStr">
        <is>
          <t>closed</t>
        </is>
      </c>
    </row>
    <row r="19">
      <c r="A19" s="3" t="inlineStr">
        <is>
          <t>84b7b1b1-1a6a-5498-b015-5785157b72c6</t>
        </is>
      </c>
      <c r="B19" s="3" t="inlineStr">
        <is>
          <t>CANON-202510-001711</t>
        </is>
      </c>
      <c r="C19" s="3" t="inlineStr">
        <is>
          <t>Desmond Fairweather</t>
        </is>
      </c>
      <c r="D19" s="3" t="inlineStr">
        <is>
          <t>FL</t>
        </is>
      </c>
      <c r="E19" s="3" t="inlineStr">
        <is>
          <t>8be01aee-9faf-59cf-94d0-39bb0afde576</t>
        </is>
      </c>
      <c r="F19" s="3" t="inlineStr">
        <is>
          <t>2025-12-15</t>
        </is>
      </c>
      <c r="G19" s="3" t="inlineStr">
        <is>
          <t>2025-12</t>
        </is>
      </c>
      <c r="H19" s="16" t="n">
        <v>34594.59</v>
      </c>
      <c r="I19" s="3" t="inlineStr">
        <is>
          <t>closed</t>
        </is>
      </c>
    </row>
    <row r="20">
      <c r="A20" s="17" t="inlineStr">
        <is>
          <t>a3e54439-c025-5f69-9d92-49ba8a982ac1</t>
        </is>
      </c>
      <c r="B20" s="17" t="inlineStr">
        <is>
          <t>CANON-202512-002862</t>
        </is>
      </c>
      <c r="C20" s="17" t="inlineStr">
        <is>
          <t>Callum Blackwood</t>
        </is>
      </c>
      <c r="D20" s="17" t="inlineStr">
        <is>
          <t>CO</t>
        </is>
      </c>
      <c r="E20" s="17" t="inlineStr">
        <is>
          <t>77ab2543-747f-5a42-bc3f-6cc085a0da5f</t>
        </is>
      </c>
      <c r="F20" s="17" t="inlineStr">
        <is>
          <t>2025-12-19</t>
        </is>
      </c>
      <c r="G20" s="17" t="inlineStr">
        <is>
          <t>2025-12</t>
        </is>
      </c>
      <c r="H20" s="18" t="n">
        <v>39262.53</v>
      </c>
      <c r="I20" s="17" t="inlineStr">
        <is>
          <t>closed</t>
        </is>
      </c>
    </row>
    <row r="21">
      <c r="A21" s="3" t="inlineStr">
        <is>
          <t>109a0220-c2be-5c65-a9b7-f4ac99a70c62</t>
        </is>
      </c>
      <c r="B21" s="3" t="inlineStr">
        <is>
          <t>CANON-202511-001756</t>
        </is>
      </c>
      <c r="C21" s="3" t="inlineStr">
        <is>
          <t>Fenwick Farkas</t>
        </is>
      </c>
      <c r="D21" s="3" t="inlineStr">
        <is>
          <t>TX</t>
        </is>
      </c>
      <c r="E21" s="3" t="inlineStr">
        <is>
          <t>ed59a98e-9a93-5dba-887e-58bc0f5a483e</t>
        </is>
      </c>
      <c r="F21" s="3" t="inlineStr">
        <is>
          <t>2025-12-24</t>
        </is>
      </c>
      <c r="G21" s="3" t="inlineStr">
        <is>
          <t>2025-12</t>
        </is>
      </c>
      <c r="H21" s="16" t="n">
        <v>100756.18</v>
      </c>
      <c r="I21" s="3" t="inlineStr">
        <is>
          <t>closed</t>
        </is>
      </c>
    </row>
    <row r="22">
      <c r="A22" s="17" t="inlineStr">
        <is>
          <t>e7b73b4d-58d7-5fd6-864f-ea26070ddf54</t>
        </is>
      </c>
      <c r="B22" s="17" t="inlineStr">
        <is>
          <t>CANON-202511-002220</t>
        </is>
      </c>
      <c r="C22" s="17" t="inlineStr">
        <is>
          <t>Ramona Montoya</t>
        </is>
      </c>
      <c r="D22" s="17" t="inlineStr">
        <is>
          <t>PA</t>
        </is>
      </c>
      <c r="E22" s="17" t="inlineStr">
        <is>
          <t>8a0169c4-bda2-51ce-8a13-ed1fe77f7772</t>
        </is>
      </c>
      <c r="F22" s="17" t="inlineStr">
        <is>
          <t>2025-12-27</t>
        </is>
      </c>
      <c r="G22" s="17" t="inlineStr">
        <is>
          <t>2025-12</t>
        </is>
      </c>
      <c r="H22" s="18" t="n">
        <v>182051.86</v>
      </c>
      <c r="I22" s="17" t="inlineStr">
        <is>
          <t>closed</t>
        </is>
      </c>
    </row>
    <row r="23">
      <c r="A23" s="3" t="inlineStr">
        <is>
          <t>766187e8-63c2-5bad-a6f0-dad41880f8fb</t>
        </is>
      </c>
      <c r="B23" s="3" t="inlineStr">
        <is>
          <t>CANON-202511-001760</t>
        </is>
      </c>
      <c r="C23" s="3" t="inlineStr">
        <is>
          <t>Everett Fairweather</t>
        </is>
      </c>
      <c r="D23" s="3" t="inlineStr">
        <is>
          <t>LA</t>
        </is>
      </c>
      <c r="E23" s="3" t="inlineStr">
        <is>
          <t>ce8de72d-1552-5259-8b17-8eeb05263f3f</t>
        </is>
      </c>
      <c r="F23" s="3" t="inlineStr">
        <is>
          <t>2025-12-30</t>
        </is>
      </c>
      <c r="G23" s="3" t="inlineStr">
        <is>
          <t>2025-12</t>
        </is>
      </c>
      <c r="H23" s="16" t="n">
        <v>16109.55</v>
      </c>
      <c r="I23" s="3" t="inlineStr">
        <is>
          <t>closed</t>
        </is>
      </c>
    </row>
    <row r="24">
      <c r="A24" s="17" t="inlineStr">
        <is>
          <t>27ff164e-54ad-5387-ac56-d11592c761c7</t>
        </is>
      </c>
      <c r="B24" s="17" t="inlineStr">
        <is>
          <t>CANON-202508-000147</t>
        </is>
      </c>
      <c r="C24" s="17" t="inlineStr">
        <is>
          <t>Delphine Delacroix</t>
        </is>
      </c>
      <c r="D24" s="17" t="inlineStr">
        <is>
          <t>IN</t>
        </is>
      </c>
      <c r="E24" s="17" t="inlineStr">
        <is>
          <t>96e94da2-9227-596f-815a-82eaefd278b1</t>
        </is>
      </c>
      <c r="F24" s="17" t="inlineStr">
        <is>
          <t>2026-01-01</t>
        </is>
      </c>
      <c r="G24" s="17" t="inlineStr">
        <is>
          <t>2026-01</t>
        </is>
      </c>
      <c r="H24" s="18" t="n">
        <v>16843.3</v>
      </c>
      <c r="I24" s="17" t="inlineStr">
        <is>
          <t>closed</t>
        </is>
      </c>
    </row>
    <row r="25">
      <c r="A25" s="3" t="inlineStr">
        <is>
          <t>4bd9f6ed-012c-550f-8325-d1b0a063e929</t>
        </is>
      </c>
      <c r="B25" s="3" t="inlineStr">
        <is>
          <t>CANON-202509-000717</t>
        </is>
      </c>
      <c r="C25" s="3" t="inlineStr">
        <is>
          <t>Everett Pennington</t>
        </is>
      </c>
      <c r="D25" s="3" t="inlineStr">
        <is>
          <t>HI</t>
        </is>
      </c>
      <c r="E25" s="3" t="inlineStr">
        <is>
          <t>5c34fdc6-7e70-5c1b-8f3c-8a94906e1430</t>
        </is>
      </c>
      <c r="F25" s="3" t="inlineStr">
        <is>
          <t>2026-01-03</t>
        </is>
      </c>
      <c r="G25" s="3" t="inlineStr">
        <is>
          <t>2026-01</t>
        </is>
      </c>
      <c r="H25" s="16" t="n">
        <v>25060.54</v>
      </c>
      <c r="I25" s="3" t="inlineStr">
        <is>
          <t>closed</t>
        </is>
      </c>
    </row>
    <row r="26">
      <c r="A26" s="17" t="inlineStr">
        <is>
          <t>548b3345-d77f-50fe-ae01-09c6355af844</t>
        </is>
      </c>
      <c r="B26" s="17" t="inlineStr">
        <is>
          <t>CANON-202509-001000</t>
        </is>
      </c>
      <c r="C26" s="17" t="inlineStr">
        <is>
          <t>Horace Vandermeer</t>
        </is>
      </c>
      <c r="D26" s="17" t="inlineStr">
        <is>
          <t>AZ</t>
        </is>
      </c>
      <c r="E26" s="17" t="inlineStr">
        <is>
          <t>8f69694d-5702-5f86-955b-4f97f845cff6</t>
        </is>
      </c>
      <c r="F26" s="17" t="inlineStr">
        <is>
          <t>2026-01-07</t>
        </is>
      </c>
      <c r="G26" s="17" t="inlineStr">
        <is>
          <t>2026-01</t>
        </is>
      </c>
      <c r="H26" s="18" t="n">
        <v>107988.12</v>
      </c>
      <c r="I26" s="17" t="inlineStr">
        <is>
          <t>closed</t>
        </is>
      </c>
    </row>
    <row r="27">
      <c r="A27" s="3" t="inlineStr">
        <is>
          <t>b3ea081b-1006-54e8-8271-2dff2cc8669c</t>
        </is>
      </c>
      <c r="B27" s="3" t="inlineStr">
        <is>
          <t>CANON-202512-002466</t>
        </is>
      </c>
      <c r="C27" s="3" t="inlineStr">
        <is>
          <t>Wilhelmina Harrington</t>
        </is>
      </c>
      <c r="D27" s="3" t="inlineStr">
        <is>
          <t>WY</t>
        </is>
      </c>
      <c r="E27" s="3" t="inlineStr">
        <is>
          <t>ab235017-122a-51ee-bbaf-7060fcbfa240</t>
        </is>
      </c>
      <c r="F27" s="3" t="inlineStr">
        <is>
          <t>2026-01-07</t>
        </is>
      </c>
      <c r="G27" s="3" t="inlineStr">
        <is>
          <t>2026-01</t>
        </is>
      </c>
      <c r="H27" s="16" t="n">
        <v>31156.91</v>
      </c>
      <c r="I27" s="3" t="inlineStr">
        <is>
          <t>closed</t>
        </is>
      </c>
    </row>
    <row r="28">
      <c r="A28" s="17" t="inlineStr">
        <is>
          <t>e9619a06-a7b5-57a4-8ae5-100c7fb4e86d</t>
        </is>
      </c>
      <c r="B28" s="17" t="inlineStr">
        <is>
          <t>CANON-202508-000127</t>
        </is>
      </c>
      <c r="C28" s="17" t="inlineStr">
        <is>
          <t>Marisol Ashcombe</t>
        </is>
      </c>
      <c r="D28" s="17" t="inlineStr">
        <is>
          <t>WA</t>
        </is>
      </c>
      <c r="E28" s="17" t="inlineStr">
        <is>
          <t>8de09615-5667-5e95-8382-9918a054fa20</t>
        </is>
      </c>
      <c r="F28" s="17" t="inlineStr">
        <is>
          <t>2026-01-08</t>
        </is>
      </c>
      <c r="G28" s="17" t="inlineStr">
        <is>
          <t>2026-01</t>
        </is>
      </c>
      <c r="H28" s="18" t="n">
        <v>28270.94</v>
      </c>
      <c r="I28" s="17" t="inlineStr">
        <is>
          <t>closed</t>
        </is>
      </c>
    </row>
    <row r="29">
      <c r="A29" s="3" t="inlineStr">
        <is>
          <t>c20d9cc0-9f96-5095-aae2-ee36c9f47fad</t>
        </is>
      </c>
      <c r="B29" s="3" t="inlineStr">
        <is>
          <t>CANON-202512-002524</t>
        </is>
      </c>
      <c r="C29" s="3" t="inlineStr">
        <is>
          <t>Saoirse Kingsford</t>
        </is>
      </c>
      <c r="D29" s="3" t="inlineStr">
        <is>
          <t>AK</t>
        </is>
      </c>
      <c r="E29" s="3" t="inlineStr">
        <is>
          <t>22acc66f-17d6-5744-b284-f15189ca69c1</t>
        </is>
      </c>
      <c r="F29" s="3" t="inlineStr">
        <is>
          <t>2026-01-10</t>
        </is>
      </c>
      <c r="G29" s="3" t="inlineStr">
        <is>
          <t>2026-01</t>
        </is>
      </c>
      <c r="H29" s="16" t="n">
        <v>38235.04</v>
      </c>
      <c r="I29" s="3" t="inlineStr">
        <is>
          <t>open</t>
        </is>
      </c>
    </row>
    <row r="30">
      <c r="A30" s="17" t="inlineStr">
        <is>
          <t>702ab262-0bbb-5628-b92a-8e4a40efccce</t>
        </is>
      </c>
      <c r="B30" s="17" t="inlineStr">
        <is>
          <t>CANON-202509-000908</t>
        </is>
      </c>
      <c r="C30" s="17" t="inlineStr">
        <is>
          <t>Anouk Harrington</t>
        </is>
      </c>
      <c r="D30" s="17" t="inlineStr">
        <is>
          <t>PA</t>
        </is>
      </c>
      <c r="E30" s="17" t="inlineStr">
        <is>
          <t>73021779-9ec5-5f23-9b1b-aa106ec058ba</t>
        </is>
      </c>
      <c r="F30" s="17" t="inlineStr">
        <is>
          <t>2026-01-11</t>
        </is>
      </c>
      <c r="G30" s="17" t="inlineStr">
        <is>
          <t>2026-01</t>
        </is>
      </c>
      <c r="H30" s="18" t="n">
        <v>54256.95</v>
      </c>
      <c r="I30" s="17" t="inlineStr">
        <is>
          <t>open</t>
        </is>
      </c>
    </row>
    <row r="31">
      <c r="A31" s="3" t="inlineStr">
        <is>
          <t>ed4f237e-3964-5051-be26-6286f5eac8bd</t>
        </is>
      </c>
      <c r="B31" s="3" t="inlineStr">
        <is>
          <t>CANON-202512-002911</t>
        </is>
      </c>
      <c r="C31" s="3" t="inlineStr">
        <is>
          <t>Ingrid Whitlock</t>
        </is>
      </c>
      <c r="D31" s="3" t="inlineStr">
        <is>
          <t>NE</t>
        </is>
      </c>
      <c r="E31" s="3" t="inlineStr">
        <is>
          <t>cb2e6b00-9928-5efa-ba7d-43b30f81df33</t>
        </is>
      </c>
      <c r="F31" s="3" t="inlineStr">
        <is>
          <t>2026-01-12</t>
        </is>
      </c>
      <c r="G31" s="3" t="inlineStr">
        <is>
          <t>2026-01</t>
        </is>
      </c>
      <c r="H31" s="16" t="n">
        <v>31880.46</v>
      </c>
      <c r="I31" s="3" t="inlineStr">
        <is>
          <t>closed</t>
        </is>
      </c>
    </row>
    <row r="32">
      <c r="A32" s="17" t="inlineStr">
        <is>
          <t>94e0d0ff-ac9d-504c-941c-b1eac4c7874e</t>
        </is>
      </c>
      <c r="B32" s="17" t="inlineStr">
        <is>
          <t>CANON-202510-001509</t>
        </is>
      </c>
      <c r="C32" s="17" t="inlineStr">
        <is>
          <t>Callum Ashcombe</t>
        </is>
      </c>
      <c r="D32" s="17" t="inlineStr">
        <is>
          <t>IL</t>
        </is>
      </c>
      <c r="E32" s="17" t="inlineStr">
        <is>
          <t>818fe37a-1037-5201-b586-262b5b3621cc</t>
        </is>
      </c>
      <c r="F32" s="17" t="inlineStr">
        <is>
          <t>2026-01-14</t>
        </is>
      </c>
      <c r="G32" s="17" t="inlineStr">
        <is>
          <t>2026-01</t>
        </is>
      </c>
      <c r="H32" s="18" t="n">
        <v>27083.88</v>
      </c>
      <c r="I32" s="17" t="inlineStr">
        <is>
          <t>closed</t>
        </is>
      </c>
    </row>
    <row r="33">
      <c r="A33" s="3" t="inlineStr">
        <is>
          <t>a2147f69-878f-5157-9777-240964a1924e</t>
        </is>
      </c>
      <c r="B33" s="3" t="inlineStr">
        <is>
          <t>CANON-202508-000151</t>
        </is>
      </c>
      <c r="C33" s="3" t="inlineStr">
        <is>
          <t>Lorenzo Vasquez</t>
        </is>
      </c>
      <c r="D33" s="3" t="inlineStr">
        <is>
          <t>NY</t>
        </is>
      </c>
      <c r="E33" s="3" t="inlineStr">
        <is>
          <t>c34e9dde-a877-560d-8687-72b8b46a852a</t>
        </is>
      </c>
      <c r="F33" s="3" t="inlineStr">
        <is>
          <t>2026-01-16</t>
        </is>
      </c>
      <c r="G33" s="3" t="inlineStr">
        <is>
          <t>2026-01</t>
        </is>
      </c>
      <c r="H33" s="16" t="n">
        <v>28367.23</v>
      </c>
      <c r="I33" s="3" t="inlineStr">
        <is>
          <t>closed</t>
        </is>
      </c>
    </row>
    <row r="34">
      <c r="A34" s="17" t="inlineStr">
        <is>
          <t>ea8ff086-82e5-5ddc-a96e-02a5ff67964d</t>
        </is>
      </c>
      <c r="B34" s="17" t="inlineStr">
        <is>
          <t>CANON-202512-002498</t>
        </is>
      </c>
      <c r="C34" s="17" t="inlineStr">
        <is>
          <t>Beatrix Larsson</t>
        </is>
      </c>
      <c r="D34" s="17" t="inlineStr">
        <is>
          <t>DE</t>
        </is>
      </c>
      <c r="E34" s="17" t="inlineStr">
        <is>
          <t>6420c679-a5b3-5ead-9d82-37e489e2fd70</t>
        </is>
      </c>
      <c r="F34" s="17" t="inlineStr">
        <is>
          <t>2026-01-16</t>
        </is>
      </c>
      <c r="G34" s="17" t="inlineStr">
        <is>
          <t>2026-01</t>
        </is>
      </c>
      <c r="H34" s="18" t="n">
        <v>119411.66</v>
      </c>
      <c r="I34" s="17" t="inlineStr">
        <is>
          <t>closed</t>
        </is>
      </c>
    </row>
    <row r="35">
      <c r="A35" s="3" t="inlineStr">
        <is>
          <t>282f52dc-6ac8-5445-8c9f-9f099b606ab1</t>
        </is>
      </c>
      <c r="B35" s="3" t="inlineStr">
        <is>
          <t>CANON-202510-001292</t>
        </is>
      </c>
      <c r="C35" s="3" t="inlineStr">
        <is>
          <t>Wilhelmina Bellandi</t>
        </is>
      </c>
      <c r="D35" s="3" t="inlineStr">
        <is>
          <t>NY</t>
        </is>
      </c>
      <c r="E35" s="3" t="inlineStr">
        <is>
          <t>8ff5dea4-c3e9-5672-9337-6f8846bbb70e</t>
        </is>
      </c>
      <c r="F35" s="3" t="inlineStr">
        <is>
          <t>2026-01-18</t>
        </is>
      </c>
      <c r="G35" s="3" t="inlineStr">
        <is>
          <t>2026-01</t>
        </is>
      </c>
      <c r="H35" s="16" t="n">
        <v>96552.67</v>
      </c>
      <c r="I35" s="3" t="inlineStr">
        <is>
          <t>closed</t>
        </is>
      </c>
    </row>
    <row r="36">
      <c r="A36" s="17" t="inlineStr">
        <is>
          <t>2b36899c-6a2a-5319-a037-0fe9f2fde39e</t>
        </is>
      </c>
      <c r="B36" s="17" t="inlineStr">
        <is>
          <t>CANON-202512-003043</t>
        </is>
      </c>
      <c r="C36" s="17" t="inlineStr">
        <is>
          <t>Wilhelmina Whitlock</t>
        </is>
      </c>
      <c r="D36" s="17" t="inlineStr">
        <is>
          <t>UT</t>
        </is>
      </c>
      <c r="E36" s="17" t="inlineStr">
        <is>
          <t>7418dcc8-d38d-5275-b849-5d0ac97782da</t>
        </is>
      </c>
      <c r="F36" s="17" t="inlineStr">
        <is>
          <t>2026-01-19</t>
        </is>
      </c>
      <c r="G36" s="17" t="inlineStr">
        <is>
          <t>2026-01</t>
        </is>
      </c>
      <c r="H36" s="18" t="n">
        <v>28921.99</v>
      </c>
      <c r="I36" s="17" t="inlineStr">
        <is>
          <t>closed</t>
        </is>
      </c>
    </row>
    <row r="37">
      <c r="A37" s="3" t="inlineStr">
        <is>
          <t>14609191-a85f-5688-8edb-bc0a649edc76</t>
        </is>
      </c>
      <c r="B37" s="3" t="inlineStr">
        <is>
          <t>CANON-202512-002898</t>
        </is>
      </c>
      <c r="C37" s="3" t="inlineStr">
        <is>
          <t>Emiliano Okonkwo</t>
        </is>
      </c>
      <c r="D37" s="3" t="inlineStr">
        <is>
          <t>KY</t>
        </is>
      </c>
      <c r="E37" s="3" t="inlineStr">
        <is>
          <t>0e94cf61-85f5-5708-83c7-5cf24f11912f</t>
        </is>
      </c>
      <c r="F37" s="3" t="inlineStr">
        <is>
          <t>2026-01-21</t>
        </is>
      </c>
      <c r="G37" s="3" t="inlineStr">
        <is>
          <t>2026-01</t>
        </is>
      </c>
      <c r="H37" s="16" t="n">
        <v>30325.99</v>
      </c>
      <c r="I37" s="3" t="inlineStr">
        <is>
          <t>closed</t>
        </is>
      </c>
    </row>
    <row r="38">
      <c r="A38" s="17" t="inlineStr">
        <is>
          <t>cab8e777-267b-5bf4-b6bc-c4137d43bb3f</t>
        </is>
      </c>
      <c r="B38" s="17" t="inlineStr">
        <is>
          <t>CANON-202508-000243</t>
        </is>
      </c>
      <c r="C38" s="17" t="inlineStr">
        <is>
          <t>Wilhelmina Harrington</t>
        </is>
      </c>
      <c r="D38" s="17" t="inlineStr">
        <is>
          <t>DE</t>
        </is>
      </c>
      <c r="E38" s="17" t="inlineStr">
        <is>
          <t>83fb3a64-81aa-54c3-8ef6-e494dcd6acb7</t>
        </is>
      </c>
      <c r="F38" s="17" t="inlineStr">
        <is>
          <t>2026-01-23</t>
        </is>
      </c>
      <c r="G38" s="17" t="inlineStr">
        <is>
          <t>2026-01</t>
        </is>
      </c>
      <c r="H38" s="18" t="n">
        <v>13275.75</v>
      </c>
      <c r="I38" s="17" t="inlineStr">
        <is>
          <t>closed</t>
        </is>
      </c>
    </row>
    <row r="39">
      <c r="A39" s="3" t="inlineStr">
        <is>
          <t>85a16910-1fa9-54ef-8c8d-9e83f349ddb9</t>
        </is>
      </c>
      <c r="B39" s="3" t="inlineStr">
        <is>
          <t>CANON-202509-000795</t>
        </is>
      </c>
      <c r="C39" s="3" t="inlineStr">
        <is>
          <t>Anouk Ashcombe</t>
        </is>
      </c>
      <c r="D39" s="3" t="inlineStr">
        <is>
          <t>MA</t>
        </is>
      </c>
      <c r="E39" s="3" t="inlineStr">
        <is>
          <t>b929746b-d027-5d86-9f4a-26f065b1e2cf</t>
        </is>
      </c>
      <c r="F39" s="3" t="inlineStr">
        <is>
          <t>2026-01-23</t>
        </is>
      </c>
      <c r="G39" s="3" t="inlineStr">
        <is>
          <t>2026-01</t>
        </is>
      </c>
      <c r="H39" s="16" t="n">
        <v>33252.89</v>
      </c>
      <c r="I39" s="3" t="inlineStr">
        <is>
          <t>closed</t>
        </is>
      </c>
    </row>
    <row r="40">
      <c r="A40" s="17" t="inlineStr">
        <is>
          <t>84d8e5e9-5b2f-564a-8a27-0d6786dc123a</t>
        </is>
      </c>
      <c r="B40" s="17" t="inlineStr">
        <is>
          <t>CANON-202512-002707</t>
        </is>
      </c>
      <c r="C40" s="17" t="inlineStr">
        <is>
          <t>Anouk Okonkwo</t>
        </is>
      </c>
      <c r="D40" s="17" t="inlineStr">
        <is>
          <t>DE</t>
        </is>
      </c>
      <c r="E40" s="17" t="inlineStr">
        <is>
          <t>257efa0c-d20b-55af-9500-d063ba3388c5</t>
        </is>
      </c>
      <c r="F40" s="17" t="inlineStr">
        <is>
          <t>2026-01-24</t>
        </is>
      </c>
      <c r="G40" s="17" t="inlineStr">
        <is>
          <t>2026-01</t>
        </is>
      </c>
      <c r="H40" s="18" t="n">
        <v>32397.91</v>
      </c>
      <c r="I40" s="17" t="inlineStr">
        <is>
          <t>closed</t>
        </is>
      </c>
    </row>
    <row r="41">
      <c r="A41" s="3" t="inlineStr">
        <is>
          <t>ee969350-cc0d-53f2-a486-ed61aeabf6e1</t>
        </is>
      </c>
      <c r="B41" s="3" t="inlineStr">
        <is>
          <t>CANON-202512-002964</t>
        </is>
      </c>
      <c r="C41" s="3" t="inlineStr">
        <is>
          <t>Priya Fairweather</t>
        </is>
      </c>
      <c r="D41" s="3" t="inlineStr">
        <is>
          <t>KS</t>
        </is>
      </c>
      <c r="E41" s="3" t="inlineStr">
        <is>
          <t>985865f3-f936-5087-86e1-1824b3e31e3c</t>
        </is>
      </c>
      <c r="F41" s="3" t="inlineStr">
        <is>
          <t>2026-01-24</t>
        </is>
      </c>
      <c r="G41" s="3" t="inlineStr">
        <is>
          <t>2026-01</t>
        </is>
      </c>
      <c r="H41" s="16" t="n">
        <v>37868.41</v>
      </c>
      <c r="I41" s="3" t="inlineStr">
        <is>
          <t>closed</t>
        </is>
      </c>
    </row>
    <row r="42">
      <c r="A42" s="17" t="inlineStr">
        <is>
          <t>97055c54-c2f3-5d55-b685-6e2efb1849b9</t>
        </is>
      </c>
      <c r="B42" s="17" t="inlineStr">
        <is>
          <t>CANON-202511-001881</t>
        </is>
      </c>
      <c r="C42" s="17" t="inlineStr">
        <is>
          <t>Ingrid Fairweather</t>
        </is>
      </c>
      <c r="D42" s="17" t="inlineStr">
        <is>
          <t>CA</t>
        </is>
      </c>
      <c r="E42" s="17" t="inlineStr">
        <is>
          <t>c3e80adc-e69e-58a8-afaa-95a1640c53bd</t>
        </is>
      </c>
      <c r="F42" s="17" t="inlineStr">
        <is>
          <t>2026-01-28</t>
        </is>
      </c>
      <c r="G42" s="17" t="inlineStr">
        <is>
          <t>2026-01</t>
        </is>
      </c>
      <c r="H42" s="18" t="n">
        <v>12637.23</v>
      </c>
      <c r="I42" s="17" t="inlineStr">
        <is>
          <t>open</t>
        </is>
      </c>
    </row>
    <row r="43">
      <c r="A43" s="3" t="inlineStr">
        <is>
          <t>5eec649f-19dc-5ed7-8741-18f548d794ee</t>
        </is>
      </c>
      <c r="B43" s="3" t="inlineStr">
        <is>
          <t>CANON-202511-001839</t>
        </is>
      </c>
      <c r="C43" s="3" t="inlineStr">
        <is>
          <t>Emiliano Kingsford</t>
        </is>
      </c>
      <c r="D43" s="3" t="inlineStr">
        <is>
          <t>CT</t>
        </is>
      </c>
      <c r="E43" s="3" t="inlineStr">
        <is>
          <t>b2e67575-7d0d-57fe-8bce-b92c59a142d6</t>
        </is>
      </c>
      <c r="F43" s="3" t="inlineStr">
        <is>
          <t>2026-01-29</t>
        </is>
      </c>
      <c r="G43" s="3" t="inlineStr">
        <is>
          <t>2026-01</t>
        </is>
      </c>
      <c r="H43" s="16" t="n">
        <v>35400</v>
      </c>
      <c r="I43" s="3" t="inlineStr">
        <is>
          <t>open</t>
        </is>
      </c>
    </row>
    <row r="44">
      <c r="A44" s="17" t="inlineStr">
        <is>
          <t>344ddd8d-d4a7-5efa-91cf-bf4f68b0a0ee</t>
        </is>
      </c>
      <c r="B44" s="17" t="inlineStr">
        <is>
          <t>CANON-202512-002393</t>
        </is>
      </c>
      <c r="C44" s="17" t="inlineStr">
        <is>
          <t>Cassius Nakashima</t>
        </is>
      </c>
      <c r="D44" s="17" t="inlineStr">
        <is>
          <t>CA</t>
        </is>
      </c>
      <c r="E44" s="17" t="inlineStr">
        <is>
          <t>f531f0ff-6a18-5d23-87a9-548b135ca217</t>
        </is>
      </c>
      <c r="F44" s="17" t="inlineStr">
        <is>
          <t>2026-01-30</t>
        </is>
      </c>
      <c r="G44" s="17" t="inlineStr">
        <is>
          <t>2026-01</t>
        </is>
      </c>
      <c r="H44" s="18" t="n">
        <v>37268.83</v>
      </c>
      <c r="I44" s="17" t="inlineStr">
        <is>
          <t>open</t>
        </is>
      </c>
    </row>
    <row r="45">
      <c r="A45" s="3" t="inlineStr">
        <is>
          <t>3ea8289c-bb47-5ede-a325-610c41a6fb26</t>
        </is>
      </c>
      <c r="B45" s="3" t="inlineStr">
        <is>
          <t>CANON-202509-001090</t>
        </is>
      </c>
      <c r="C45" s="3" t="inlineStr">
        <is>
          <t>Ramona Ashcombe</t>
        </is>
      </c>
      <c r="D45" s="3" t="inlineStr">
        <is>
          <t>LA</t>
        </is>
      </c>
      <c r="E45" s="3" t="inlineStr">
        <is>
          <t>9e5e9bb5-c8da-542b-8348-9ec1398a4758</t>
        </is>
      </c>
      <c r="F45" s="3" t="inlineStr">
        <is>
          <t>2026-01-31</t>
        </is>
      </c>
      <c r="G45" s="3" t="inlineStr">
        <is>
          <t>2026-01</t>
        </is>
      </c>
      <c r="H45" s="16" t="n">
        <v>123854.71</v>
      </c>
      <c r="I45" s="3" t="inlineStr">
        <is>
          <t>open</t>
        </is>
      </c>
    </row>
    <row r="46">
      <c r="A46" s="17" t="inlineStr">
        <is>
          <t>a99cefa6-03f8-5656-9550-cdb2e1740db4</t>
        </is>
      </c>
      <c r="B46" s="17" t="inlineStr">
        <is>
          <t>CANON-202509-001091</t>
        </is>
      </c>
      <c r="C46" s="17" t="inlineStr">
        <is>
          <t>Ingrid Harrington</t>
        </is>
      </c>
      <c r="D46" s="17" t="inlineStr">
        <is>
          <t>VA</t>
        </is>
      </c>
      <c r="E46" s="17" t="inlineStr">
        <is>
          <t>349e6189-c77a-5ebb-a1b9-3d13c985141f</t>
        </is>
      </c>
      <c r="F46" s="17" t="inlineStr">
        <is>
          <t>2026-02-05</t>
        </is>
      </c>
      <c r="G46" s="17" t="inlineStr">
        <is>
          <t>2026-02</t>
        </is>
      </c>
      <c r="H46" s="18" t="n">
        <v>16746.09</v>
      </c>
      <c r="I46" s="17" t="inlineStr">
        <is>
          <t>closed</t>
        </is>
      </c>
    </row>
    <row r="47">
      <c r="A47" s="3" t="inlineStr">
        <is>
          <t>19002eea-dcfe-5a04-8748-17a29366ffd8</t>
        </is>
      </c>
      <c r="B47" s="3" t="inlineStr">
        <is>
          <t>CANON-202512-002868</t>
        </is>
      </c>
      <c r="C47" s="3" t="inlineStr">
        <is>
          <t>Priya Vasquez</t>
        </is>
      </c>
      <c r="D47" s="3" t="inlineStr">
        <is>
          <t>NH</t>
        </is>
      </c>
      <c r="E47" s="3" t="inlineStr">
        <is>
          <t>2be6bd43-c6c3-58eb-bf12-cd1862d6fe95</t>
        </is>
      </c>
      <c r="F47" s="3" t="inlineStr">
        <is>
          <t>2026-02-11</t>
        </is>
      </c>
      <c r="G47" s="3" t="inlineStr">
        <is>
          <t>2026-02</t>
        </is>
      </c>
      <c r="H47" s="16" t="n">
        <v>20910.48</v>
      </c>
      <c r="I47" s="3" t="inlineStr">
        <is>
          <t>closed</t>
        </is>
      </c>
    </row>
    <row r="48">
      <c r="A48" s="17" t="inlineStr">
        <is>
          <t>3a70689d-ab5b-50ce-9110-196a31334f61</t>
        </is>
      </c>
      <c r="B48" s="17" t="inlineStr">
        <is>
          <t>CANON-202511-002145</t>
        </is>
      </c>
      <c r="C48" s="17" t="inlineStr">
        <is>
          <t>Anouk Larsson</t>
        </is>
      </c>
      <c r="D48" s="17" t="inlineStr">
        <is>
          <t>WI</t>
        </is>
      </c>
      <c r="E48" s="17" t="inlineStr">
        <is>
          <t>dcc93d52-d357-5dea-ba13-e0d23f0c3949</t>
        </is>
      </c>
      <c r="F48" s="17" t="inlineStr">
        <is>
          <t>2026-02-12</t>
        </is>
      </c>
      <c r="G48" s="17" t="inlineStr">
        <is>
          <t>2026-02</t>
        </is>
      </c>
      <c r="H48" s="18" t="n">
        <v>20336.94</v>
      </c>
      <c r="I48" s="17" t="inlineStr">
        <is>
          <t>closed</t>
        </is>
      </c>
    </row>
    <row r="49">
      <c r="A49" s="3" t="inlineStr">
        <is>
          <t>e018f0e1-deed-5ef0-8dc0-3c88f7c6fab1</t>
        </is>
      </c>
      <c r="B49" s="3" t="inlineStr">
        <is>
          <t>CANON-202508-000150</t>
        </is>
      </c>
      <c r="C49" s="3" t="inlineStr">
        <is>
          <t>Thaddeus Merriweather</t>
        </is>
      </c>
      <c r="D49" s="3" t="inlineStr">
        <is>
          <t>OK</t>
        </is>
      </c>
      <c r="E49" s="3" t="inlineStr">
        <is>
          <t>f29c3d23-59d1-57d4-8b49-135e05359679</t>
        </is>
      </c>
      <c r="F49" s="3" t="inlineStr">
        <is>
          <t>2026-02-14</t>
        </is>
      </c>
      <c r="G49" s="3" t="inlineStr">
        <is>
          <t>2026-02</t>
        </is>
      </c>
      <c r="H49" s="16" t="n">
        <v>29699.19</v>
      </c>
      <c r="I49" s="3" t="inlineStr">
        <is>
          <t>closed</t>
        </is>
      </c>
    </row>
    <row r="50">
      <c r="A50" s="17" t="inlineStr">
        <is>
          <t>fc26b2dc-1891-5fc3-8fff-fdbb8aeb4013</t>
        </is>
      </c>
      <c r="B50" s="17" t="inlineStr">
        <is>
          <t>CANON-202509-000696</t>
        </is>
      </c>
      <c r="C50" s="17" t="inlineStr">
        <is>
          <t>Ottilie Pennington</t>
        </is>
      </c>
      <c r="D50" s="17" t="inlineStr">
        <is>
          <t>WA</t>
        </is>
      </c>
      <c r="E50" s="17" t="inlineStr">
        <is>
          <t>94a5ce34-4136-5f20-a0bd-9661ba0ed4a0</t>
        </is>
      </c>
      <c r="F50" s="17" t="inlineStr">
        <is>
          <t>2026-02-15</t>
        </is>
      </c>
      <c r="G50" s="17" t="inlineStr">
        <is>
          <t>2026-02</t>
        </is>
      </c>
      <c r="H50" s="18" t="n">
        <v>15844.58</v>
      </c>
      <c r="I50" s="17" t="inlineStr">
        <is>
          <t>closed</t>
        </is>
      </c>
    </row>
    <row r="51">
      <c r="A51" s="3" t="inlineStr">
        <is>
          <t>dd7545d2-8fed-59ad-9a7a-de6504226cc4</t>
        </is>
      </c>
      <c r="B51" s="3" t="inlineStr">
        <is>
          <t>CANON-202601-003671</t>
        </is>
      </c>
      <c r="C51" s="3" t="inlineStr">
        <is>
          <t>Saoirse Kingsford</t>
        </is>
      </c>
      <c r="D51" s="3" t="inlineStr">
        <is>
          <t>SC</t>
        </is>
      </c>
      <c r="E51" s="3" t="inlineStr">
        <is>
          <t>4ea69a14-fb74-55dc-8f0a-9d9c0a8d2c94</t>
        </is>
      </c>
      <c r="F51" s="3" t="inlineStr">
        <is>
          <t>2026-02-15</t>
        </is>
      </c>
      <c r="G51" s="3" t="inlineStr">
        <is>
          <t>2026-02</t>
        </is>
      </c>
      <c r="H51" s="16" t="n">
        <v>7965.86</v>
      </c>
      <c r="I51" s="3" t="inlineStr">
        <is>
          <t>open</t>
        </is>
      </c>
    </row>
    <row r="52">
      <c r="A52" s="17" t="inlineStr">
        <is>
          <t>ed2b5939-1368-5e12-a4d9-3e00c4d9e452</t>
        </is>
      </c>
      <c r="B52" s="17" t="inlineStr">
        <is>
          <t>CANON-202512-002898</t>
        </is>
      </c>
      <c r="C52" s="17" t="inlineStr">
        <is>
          <t>Emiliano Okonkwo</t>
        </is>
      </c>
      <c r="D52" s="17" t="inlineStr">
        <is>
          <t>KY</t>
        </is>
      </c>
      <c r="E52" s="17" t="inlineStr">
        <is>
          <t>0e94cf61-85f5-5708-83c7-5cf24f11912f</t>
        </is>
      </c>
      <c r="F52" s="17" t="inlineStr">
        <is>
          <t>2026-02-16</t>
        </is>
      </c>
      <c r="G52" s="17" t="inlineStr">
        <is>
          <t>2026-02</t>
        </is>
      </c>
      <c r="H52" s="18" t="n">
        <v>184131.1</v>
      </c>
      <c r="I52" s="17" t="inlineStr">
        <is>
          <t>closed</t>
        </is>
      </c>
    </row>
    <row r="53">
      <c r="A53" s="3" t="inlineStr">
        <is>
          <t>96fe490d-3843-5c3d-b4d4-581994d7383f</t>
        </is>
      </c>
      <c r="B53" s="3" t="inlineStr">
        <is>
          <t>CANON-202602-003827</t>
        </is>
      </c>
      <c r="C53" s="3" t="inlineStr">
        <is>
          <t>Aurelio Okonkwo</t>
        </is>
      </c>
      <c r="D53" s="3" t="inlineStr">
        <is>
          <t>RI</t>
        </is>
      </c>
      <c r="E53" s="3" t="inlineStr">
        <is>
          <t>d2fe9b7a-498b-52df-9b2a-a314c12f1be3</t>
        </is>
      </c>
      <c r="F53" s="3" t="inlineStr">
        <is>
          <t>2026-02-17</t>
        </is>
      </c>
      <c r="G53" s="3" t="inlineStr">
        <is>
          <t>2026-02</t>
        </is>
      </c>
      <c r="H53" s="16" t="n">
        <v>90327.81</v>
      </c>
      <c r="I53" s="3" t="inlineStr">
        <is>
          <t>closed</t>
        </is>
      </c>
    </row>
    <row r="54">
      <c r="A54" s="17" t="inlineStr">
        <is>
          <t>9f049372-6e0f-5bdc-aa92-e4f018c0f47c</t>
        </is>
      </c>
      <c r="B54" s="17" t="inlineStr">
        <is>
          <t>CANON-202602-004271</t>
        </is>
      </c>
      <c r="C54" s="17" t="inlineStr">
        <is>
          <t>Marisol Rourke</t>
        </is>
      </c>
      <c r="D54" s="17" t="inlineStr">
        <is>
          <t>TN</t>
        </is>
      </c>
      <c r="E54" s="17" t="inlineStr">
        <is>
          <t>f99515ec-74d3-5b70-a22f-d1a2dbebf7ff</t>
        </is>
      </c>
      <c r="F54" s="17" t="inlineStr">
        <is>
          <t>2026-02-19</t>
        </is>
      </c>
      <c r="G54" s="17" t="inlineStr">
        <is>
          <t>2026-02</t>
        </is>
      </c>
      <c r="H54" s="18" t="n">
        <v>97783.06</v>
      </c>
      <c r="I54" s="17" t="inlineStr">
        <is>
          <t>closed</t>
        </is>
      </c>
    </row>
    <row r="55">
      <c r="A55" s="3" t="inlineStr">
        <is>
          <t>fef71126-3442-5187-88d0-e647fdfd09a0</t>
        </is>
      </c>
      <c r="B55" s="3" t="inlineStr">
        <is>
          <t>CANON-202512-002600</t>
        </is>
      </c>
      <c r="C55" s="3" t="inlineStr">
        <is>
          <t>Emiliano Thistlewood</t>
        </is>
      </c>
      <c r="D55" s="3" t="inlineStr">
        <is>
          <t>MI</t>
        </is>
      </c>
      <c r="E55" s="3" t="inlineStr">
        <is>
          <t>2c75691f-c5c4-52db-8813-f717b8ffdcdc</t>
        </is>
      </c>
      <c r="F55" s="3" t="inlineStr">
        <is>
          <t>2026-02-22</t>
        </is>
      </c>
      <c r="G55" s="3" t="inlineStr">
        <is>
          <t>2026-02</t>
        </is>
      </c>
      <c r="H55" s="16" t="n">
        <v>110341.57</v>
      </c>
      <c r="I55" s="3" t="inlineStr">
        <is>
          <t>open</t>
        </is>
      </c>
    </row>
    <row r="56">
      <c r="A56" s="17" t="inlineStr">
        <is>
          <t>dc76c90e-67db-5de9-9fc6-6d1fe35152ab</t>
        </is>
      </c>
      <c r="B56" s="17" t="inlineStr">
        <is>
          <t>CANON-202512-002992</t>
        </is>
      </c>
      <c r="C56" s="17" t="inlineStr">
        <is>
          <t>Delphine Okonkwo</t>
        </is>
      </c>
      <c r="D56" s="17" t="inlineStr">
        <is>
          <t>AK</t>
        </is>
      </c>
      <c r="E56" s="17" t="inlineStr">
        <is>
          <t>bbb0d8b7-2766-58cd-b3a3-cc1a3a400779</t>
        </is>
      </c>
      <c r="F56" s="17" t="inlineStr">
        <is>
          <t>2026-02-22</t>
        </is>
      </c>
      <c r="G56" s="17" t="inlineStr">
        <is>
          <t>2026-02</t>
        </is>
      </c>
      <c r="H56" s="18" t="n">
        <v>27819.09</v>
      </c>
      <c r="I56" s="17" t="inlineStr">
        <is>
          <t>closed</t>
        </is>
      </c>
    </row>
    <row r="57">
      <c r="A57" s="3" t="inlineStr">
        <is>
          <t>e6106f36-924c-5d60-bb65-1f9328655d71</t>
        </is>
      </c>
      <c r="B57" s="3" t="inlineStr">
        <is>
          <t>CANON-202601-003480</t>
        </is>
      </c>
      <c r="C57" s="3" t="inlineStr">
        <is>
          <t>Everett Farkas</t>
        </is>
      </c>
      <c r="D57" s="3" t="inlineStr">
        <is>
          <t>TN</t>
        </is>
      </c>
      <c r="E57" s="3" t="inlineStr">
        <is>
          <t>3fe847d7-8913-5e4e-b7b8-6e0d73fb31b2</t>
        </is>
      </c>
      <c r="F57" s="3" t="inlineStr">
        <is>
          <t>2026-02-22</t>
        </is>
      </c>
      <c r="G57" s="3" t="inlineStr">
        <is>
          <t>2026-02</t>
        </is>
      </c>
      <c r="H57" s="16" t="n">
        <v>34368.78</v>
      </c>
      <c r="I57" s="3" t="inlineStr">
        <is>
          <t>closed</t>
        </is>
      </c>
    </row>
    <row r="58">
      <c r="A58" s="17" t="inlineStr">
        <is>
          <t>da3810f5-4d32-56d6-9ff4-c214524298d8</t>
        </is>
      </c>
      <c r="B58" s="17" t="inlineStr">
        <is>
          <t>CANON-202510-001123</t>
        </is>
      </c>
      <c r="C58" s="17" t="inlineStr">
        <is>
          <t>Sunniva Kingsford</t>
        </is>
      </c>
      <c r="D58" s="17" t="inlineStr">
        <is>
          <t>AL</t>
        </is>
      </c>
      <c r="E58" s="17" t="inlineStr">
        <is>
          <t>bb337a2b-6fe9-5a1e-a0ef-3bbc455a0609</t>
        </is>
      </c>
      <c r="F58" s="17" t="inlineStr">
        <is>
          <t>2026-02-23</t>
        </is>
      </c>
      <c r="G58" s="17" t="inlineStr">
        <is>
          <t>2026-02</t>
        </is>
      </c>
      <c r="H58" s="18" t="n">
        <v>708228.04</v>
      </c>
      <c r="I58" s="17" t="inlineStr">
        <is>
          <t>closed</t>
        </is>
      </c>
    </row>
    <row r="59">
      <c r="A59" s="3" t="inlineStr">
        <is>
          <t>7ee06506-cc3d-50f3-aa97-bcac03b732fa</t>
        </is>
      </c>
      <c r="B59" s="3" t="inlineStr">
        <is>
          <t>CANON-202510-001706</t>
        </is>
      </c>
      <c r="C59" s="3" t="inlineStr">
        <is>
          <t>Marisol Vandermeer</t>
        </is>
      </c>
      <c r="D59" s="3" t="inlineStr">
        <is>
          <t>MO</t>
        </is>
      </c>
      <c r="E59" s="3" t="inlineStr">
        <is>
          <t>771addb4-5d10-5472-9180-33d885d29932</t>
        </is>
      </c>
      <c r="F59" s="3" t="inlineStr">
        <is>
          <t>2026-02-27</t>
        </is>
      </c>
      <c r="G59" s="3" t="inlineStr">
        <is>
          <t>2026-02</t>
        </is>
      </c>
      <c r="H59" s="16" t="n">
        <v>24065.81</v>
      </c>
      <c r="I59" s="3" t="inlineStr">
        <is>
          <t>closed</t>
        </is>
      </c>
    </row>
    <row r="60">
      <c r="A60" s="17" t="inlineStr">
        <is>
          <t>ed19e852-3ad6-5252-9878-8b470d2d1eb0</t>
        </is>
      </c>
      <c r="B60" s="17" t="inlineStr">
        <is>
          <t>CANON-202511-002180</t>
        </is>
      </c>
      <c r="C60" s="17" t="inlineStr">
        <is>
          <t>Ottilie Montoya</t>
        </is>
      </c>
      <c r="D60" s="17" t="inlineStr">
        <is>
          <t>HI</t>
        </is>
      </c>
      <c r="E60" s="17" t="inlineStr">
        <is>
          <t>f5ec0930-3181-56b4-9605-396c1c59475b</t>
        </is>
      </c>
      <c r="F60" s="17" t="inlineStr">
        <is>
          <t>2026-02-28</t>
        </is>
      </c>
      <c r="G60" s="17" t="inlineStr">
        <is>
          <t>2026-02</t>
        </is>
      </c>
      <c r="H60" s="18" t="n">
        <v>21034.18</v>
      </c>
      <c r="I60" s="17" t="inlineStr">
        <is>
          <t>closed</t>
        </is>
      </c>
    </row>
    <row r="61">
      <c r="A61" s="3" t="inlineStr">
        <is>
          <t>3fd5ffe5-7f9d-57e2-82ba-1a32112a4640</t>
        </is>
      </c>
      <c r="B61" s="3" t="inlineStr">
        <is>
          <t>CANON-202512-002601</t>
        </is>
      </c>
      <c r="C61" s="3" t="inlineStr">
        <is>
          <t>Fenwick Okonkwo</t>
        </is>
      </c>
      <c r="D61" s="3" t="inlineStr">
        <is>
          <t>MI</t>
        </is>
      </c>
      <c r="E61" s="3" t="inlineStr">
        <is>
          <t>a7cf19b2-b355-5d30-ac07-61ede896cef0</t>
        </is>
      </c>
      <c r="F61" s="3" t="inlineStr">
        <is>
          <t>2026-02-28</t>
        </is>
      </c>
      <c r="G61" s="3" t="inlineStr">
        <is>
          <t>2026-02</t>
        </is>
      </c>
      <c r="H61" s="16" t="n">
        <v>115669.97</v>
      </c>
      <c r="I61" s="3" t="inlineStr">
        <is>
          <t>open</t>
        </is>
      </c>
    </row>
    <row r="62">
      <c r="A62" s="17" t="inlineStr">
        <is>
          <t>b5093120-2d34-5be3-9756-4482b4e14953</t>
        </is>
      </c>
      <c r="B62" s="17" t="inlineStr">
        <is>
          <t>CANON-202510-001375</t>
        </is>
      </c>
      <c r="C62" s="17" t="inlineStr">
        <is>
          <t>Noor Ashcombe</t>
        </is>
      </c>
      <c r="D62" s="17" t="inlineStr">
        <is>
          <t>CA</t>
        </is>
      </c>
      <c r="E62" s="17" t="inlineStr">
        <is>
          <t>4a88bd85-a2db-5bb5-a340-1a3c67ee2434</t>
        </is>
      </c>
      <c r="F62" s="17" t="inlineStr">
        <is>
          <t>2026-03-02</t>
        </is>
      </c>
      <c r="G62" s="17" t="inlineStr">
        <is>
          <t>2026-03</t>
        </is>
      </c>
      <c r="H62" s="18" t="n">
        <v>182046.57</v>
      </c>
      <c r="I62" s="17" t="inlineStr">
        <is>
          <t>closed</t>
        </is>
      </c>
    </row>
    <row r="63">
      <c r="A63" s="3" t="inlineStr">
        <is>
          <t>28eafa31-4549-5a89-bf08-1fc39da480f2</t>
        </is>
      </c>
      <c r="B63" s="3" t="inlineStr">
        <is>
          <t>CANON-202602-004339</t>
        </is>
      </c>
      <c r="C63" s="3" t="inlineStr">
        <is>
          <t>Beatrix Merriweather</t>
        </is>
      </c>
      <c r="D63" s="3" t="inlineStr">
        <is>
          <t>NY</t>
        </is>
      </c>
      <c r="E63" s="3" t="inlineStr">
        <is>
          <t>06323ad2-4c5d-57cb-8410-36bb3d7004fb</t>
        </is>
      </c>
      <c r="F63" s="3" t="inlineStr">
        <is>
          <t>2026-03-02</t>
        </is>
      </c>
      <c r="G63" s="3" t="inlineStr">
        <is>
          <t>2026-03</t>
        </is>
      </c>
      <c r="H63" s="16" t="n">
        <v>381739.94</v>
      </c>
      <c r="I63" s="3" t="inlineStr">
        <is>
          <t>open</t>
        </is>
      </c>
    </row>
    <row r="64">
      <c r="A64" s="17" t="inlineStr">
        <is>
          <t>0ab47ca3-9496-5dd4-b883-9f264798b6bf</t>
        </is>
      </c>
      <c r="B64" s="17" t="inlineStr">
        <is>
          <t>CANON-202509-001057</t>
        </is>
      </c>
      <c r="C64" s="17" t="inlineStr">
        <is>
          <t>Desmond Farkas</t>
        </is>
      </c>
      <c r="D64" s="17" t="inlineStr">
        <is>
          <t>AR</t>
        </is>
      </c>
      <c r="E64" s="17" t="inlineStr">
        <is>
          <t>e8f42225-908b-5231-8208-7d4032f8f8ca</t>
        </is>
      </c>
      <c r="F64" s="17" t="inlineStr">
        <is>
          <t>2026-03-03</t>
        </is>
      </c>
      <c r="G64" s="17" t="inlineStr">
        <is>
          <t>2026-03</t>
        </is>
      </c>
      <c r="H64" s="18" t="n">
        <v>13138.92</v>
      </c>
      <c r="I64" s="17" t="inlineStr">
        <is>
          <t>closed</t>
        </is>
      </c>
    </row>
    <row r="65">
      <c r="A65" s="3" t="inlineStr">
        <is>
          <t>5c687c6c-00f9-5298-a77d-e1622a292204</t>
        </is>
      </c>
      <c r="B65" s="3" t="inlineStr">
        <is>
          <t>CANON-202510-001119</t>
        </is>
      </c>
      <c r="C65" s="3" t="inlineStr">
        <is>
          <t>Lorenzo Merriweather</t>
        </is>
      </c>
      <c r="D65" s="3" t="inlineStr">
        <is>
          <t>UT</t>
        </is>
      </c>
      <c r="E65" s="3" t="inlineStr">
        <is>
          <t>c801712a-2acd-5cd7-8aa0-a7c95d50b50a</t>
        </is>
      </c>
      <c r="F65" s="3" t="inlineStr">
        <is>
          <t>2026-03-03</t>
        </is>
      </c>
      <c r="G65" s="3" t="inlineStr">
        <is>
          <t>2026-03</t>
        </is>
      </c>
      <c r="H65" s="16" t="n">
        <v>30356.08</v>
      </c>
      <c r="I65" s="3" t="inlineStr">
        <is>
          <t>closed</t>
        </is>
      </c>
    </row>
    <row r="66">
      <c r="A66" s="17" t="inlineStr">
        <is>
          <t>b542ddf6-41e8-5b94-be3c-7c503f8e8fda</t>
        </is>
      </c>
      <c r="B66" s="17" t="inlineStr">
        <is>
          <t>CANON-202509-000915</t>
        </is>
      </c>
      <c r="C66" s="17" t="inlineStr">
        <is>
          <t>Lorenzo Castellanos</t>
        </is>
      </c>
      <c r="D66" s="17" t="inlineStr">
        <is>
          <t>PA</t>
        </is>
      </c>
      <c r="E66" s="17" t="inlineStr">
        <is>
          <t>f0b2be84-8889-5039-9042-b43152d24775</t>
        </is>
      </c>
      <c r="F66" s="17" t="inlineStr">
        <is>
          <t>2026-03-04</t>
        </is>
      </c>
      <c r="G66" s="17" t="inlineStr">
        <is>
          <t>2026-03</t>
        </is>
      </c>
      <c r="H66" s="18" t="n">
        <v>6347.17</v>
      </c>
      <c r="I66" s="17" t="inlineStr">
        <is>
          <t>closed</t>
        </is>
      </c>
    </row>
    <row r="67">
      <c r="A67" s="3" t="inlineStr">
        <is>
          <t>d73d673e-4f59-5974-8aa6-5582f302886e</t>
        </is>
      </c>
      <c r="B67" s="3" t="inlineStr">
        <is>
          <t>CANON-202512-002852</t>
        </is>
      </c>
      <c r="C67" s="3" t="inlineStr">
        <is>
          <t>Marisol Farkas</t>
        </is>
      </c>
      <c r="D67" s="3" t="inlineStr">
        <is>
          <t>RI</t>
        </is>
      </c>
      <c r="E67" s="3" t="inlineStr">
        <is>
          <t>740b7a8b-8734-5031-bec2-2ce6704d56fa</t>
        </is>
      </c>
      <c r="F67" s="3" t="inlineStr">
        <is>
          <t>2026-03-06</t>
        </is>
      </c>
      <c r="G67" s="3" t="inlineStr">
        <is>
          <t>2026-03</t>
        </is>
      </c>
      <c r="H67" s="16" t="n">
        <v>25046.73</v>
      </c>
      <c r="I67" s="3" t="inlineStr">
        <is>
          <t>closed</t>
        </is>
      </c>
    </row>
    <row r="68">
      <c r="A68" s="17" t="inlineStr">
        <is>
          <t>6fa61876-d709-5e6f-aa75-1b37edaa1275</t>
        </is>
      </c>
      <c r="B68" s="17" t="inlineStr">
        <is>
          <t>CANON-202511-002258</t>
        </is>
      </c>
      <c r="C68" s="17" t="inlineStr">
        <is>
          <t>Mireille Thistlewood</t>
        </is>
      </c>
      <c r="D68" s="17" t="inlineStr">
        <is>
          <t>CT</t>
        </is>
      </c>
      <c r="E68" s="17" t="inlineStr">
        <is>
          <t>f31d2bcc-4218-57d4-8499-86ce85459dcb</t>
        </is>
      </c>
      <c r="F68" s="17" t="inlineStr">
        <is>
          <t>2026-03-07</t>
        </is>
      </c>
      <c r="G68" s="17" t="inlineStr">
        <is>
          <t>2026-03</t>
        </is>
      </c>
      <c r="H68" s="18" t="n">
        <v>33935.57</v>
      </c>
      <c r="I68" s="17" t="inlineStr">
        <is>
          <t>closed</t>
        </is>
      </c>
    </row>
    <row r="69">
      <c r="A69" s="3" t="inlineStr">
        <is>
          <t>c041f1cf-ffc8-5b8b-bde7-630f2f20d4b2</t>
        </is>
      </c>
      <c r="B69" s="3" t="inlineStr">
        <is>
          <t>CANON-202603-004570</t>
        </is>
      </c>
      <c r="C69" s="3" t="inlineStr">
        <is>
          <t>Ottilie Underwood</t>
        </is>
      </c>
      <c r="D69" s="3" t="inlineStr">
        <is>
          <t>DE</t>
        </is>
      </c>
      <c r="E69" s="3" t="inlineStr">
        <is>
          <t>f63596fc-6d42-5f28-8209-3a2333c2d8d8</t>
        </is>
      </c>
      <c r="F69" s="3" t="inlineStr">
        <is>
          <t>2026-03-07</t>
        </is>
      </c>
      <c r="G69" s="3" t="inlineStr">
        <is>
          <t>2026-03</t>
        </is>
      </c>
      <c r="H69" s="16" t="n">
        <v>22127.31</v>
      </c>
      <c r="I69" s="3" t="inlineStr">
        <is>
          <t>closed</t>
        </is>
      </c>
    </row>
    <row r="70">
      <c r="A70" s="17" t="inlineStr">
        <is>
          <t>caed6579-f2e5-5608-82f2-5d409d131ae7</t>
        </is>
      </c>
      <c r="B70" s="17" t="inlineStr">
        <is>
          <t>CANON-202510-001283</t>
        </is>
      </c>
      <c r="C70" s="17" t="inlineStr">
        <is>
          <t>Aurelio Montoya</t>
        </is>
      </c>
      <c r="D70" s="17" t="inlineStr">
        <is>
          <t>DE</t>
        </is>
      </c>
      <c r="E70" s="17" t="inlineStr">
        <is>
          <t>609c338a-6813-5e86-a71c-5431a18fbae6</t>
        </is>
      </c>
      <c r="F70" s="17" t="inlineStr">
        <is>
          <t>2026-03-09</t>
        </is>
      </c>
      <c r="G70" s="17" t="inlineStr">
        <is>
          <t>2026-03</t>
        </is>
      </c>
      <c r="H70" s="18" t="n">
        <v>9793.440000000001</v>
      </c>
      <c r="I70" s="17" t="inlineStr">
        <is>
          <t>closed</t>
        </is>
      </c>
    </row>
    <row r="71">
      <c r="A71" s="3" t="inlineStr">
        <is>
          <t>478a22a1-01ec-5c44-9d06-ca42ca2cc8fe</t>
        </is>
      </c>
      <c r="B71" s="3" t="inlineStr">
        <is>
          <t>CANON-202603-004522</t>
        </is>
      </c>
      <c r="C71" s="3" t="inlineStr">
        <is>
          <t>Noor Chattopadhyay</t>
        </is>
      </c>
      <c r="D71" s="3" t="inlineStr">
        <is>
          <t>MA</t>
        </is>
      </c>
      <c r="E71" s="3" t="inlineStr">
        <is>
          <t>5b16eb45-7e1d-58b6-b190-7bfef0dd7864</t>
        </is>
      </c>
      <c r="F71" s="3" t="inlineStr">
        <is>
          <t>2026-03-10</t>
        </is>
      </c>
      <c r="G71" s="3" t="inlineStr">
        <is>
          <t>2026-03</t>
        </is>
      </c>
      <c r="H71" s="16" t="n">
        <v>179820.89</v>
      </c>
      <c r="I71" s="3" t="inlineStr">
        <is>
          <t>closed</t>
        </is>
      </c>
    </row>
    <row r="72">
      <c r="A72" s="17" t="inlineStr">
        <is>
          <t>f2e42ade-f47c-5e5f-9c44-e06f1c5dc237</t>
        </is>
      </c>
      <c r="B72" s="17" t="inlineStr">
        <is>
          <t>CANON-202603-005222</t>
        </is>
      </c>
      <c r="C72" s="17" t="inlineStr">
        <is>
          <t>Wilhelmina Kingsford</t>
        </is>
      </c>
      <c r="D72" s="17" t="inlineStr">
        <is>
          <t>CO</t>
        </is>
      </c>
      <c r="E72" s="17" t="inlineStr">
        <is>
          <t>0a918a5b-8a87-5380-9e88-7af76b04776a</t>
        </is>
      </c>
      <c r="F72" s="17" t="inlineStr">
        <is>
          <t>2026-03-14</t>
        </is>
      </c>
      <c r="G72" s="17" t="inlineStr">
        <is>
          <t>2026-03</t>
        </is>
      </c>
      <c r="H72" s="18" t="n">
        <v>127633.05</v>
      </c>
      <c r="I72" s="17" t="inlineStr">
        <is>
          <t>closed</t>
        </is>
      </c>
    </row>
    <row r="73">
      <c r="A73" s="3" t="inlineStr">
        <is>
          <t>a384caba-7de2-5fae-ae55-43fdc098812b</t>
        </is>
      </c>
      <c r="B73" s="3" t="inlineStr">
        <is>
          <t>CANON-202511-002039</t>
        </is>
      </c>
      <c r="C73" s="3" t="inlineStr">
        <is>
          <t>Ingrid Larsson</t>
        </is>
      </c>
      <c r="D73" s="3" t="inlineStr">
        <is>
          <t>SC</t>
        </is>
      </c>
      <c r="E73" s="3" t="inlineStr">
        <is>
          <t>8c1ea991-1592-54e7-88de-a122302d31ba</t>
        </is>
      </c>
      <c r="F73" s="3" t="inlineStr">
        <is>
          <t>2026-03-15</t>
        </is>
      </c>
      <c r="G73" s="3" t="inlineStr">
        <is>
          <t>2026-03</t>
        </is>
      </c>
      <c r="H73" s="16" t="n">
        <v>160419.48</v>
      </c>
      <c r="I73" s="3" t="inlineStr">
        <is>
          <t>closed</t>
        </is>
      </c>
    </row>
    <row r="74">
      <c r="A74" s="17" t="inlineStr">
        <is>
          <t>5c475388-a7e5-5c92-9991-6716dcd5a4a3</t>
        </is>
      </c>
      <c r="B74" s="17" t="inlineStr">
        <is>
          <t>CANON-202602-003757</t>
        </is>
      </c>
      <c r="C74" s="17" t="inlineStr">
        <is>
          <t>Saoirse Castellanos</t>
        </is>
      </c>
      <c r="D74" s="17" t="inlineStr">
        <is>
          <t>PA</t>
        </is>
      </c>
      <c r="E74" s="17" t="inlineStr">
        <is>
          <t>c9f56937-8327-5d78-b32e-80a4c6f678a3</t>
        </is>
      </c>
      <c r="F74" s="17" t="inlineStr">
        <is>
          <t>2026-03-17</t>
        </is>
      </c>
      <c r="G74" s="17" t="inlineStr">
        <is>
          <t>2026-03</t>
        </is>
      </c>
      <c r="H74" s="18" t="n">
        <v>412418.97</v>
      </c>
      <c r="I74" s="17" t="inlineStr">
        <is>
          <t>open</t>
        </is>
      </c>
    </row>
    <row r="75">
      <c r="A75" s="3" t="inlineStr">
        <is>
          <t>bb45e34a-01df-5f80-be2d-c183065887ad</t>
        </is>
      </c>
      <c r="B75" s="3" t="inlineStr">
        <is>
          <t>CANON-202602-004405</t>
        </is>
      </c>
      <c r="C75" s="3" t="inlineStr">
        <is>
          <t>Fenwick Montoya</t>
        </is>
      </c>
      <c r="D75" s="3" t="inlineStr">
        <is>
          <t>NJ</t>
        </is>
      </c>
      <c r="E75" s="3" t="inlineStr">
        <is>
          <t>fe110c3c-67da-5e4e-b586-b389dab62e5a</t>
        </is>
      </c>
      <c r="F75" s="3" t="inlineStr">
        <is>
          <t>2026-03-17</t>
        </is>
      </c>
      <c r="G75" s="3" t="inlineStr">
        <is>
          <t>2026-03</t>
        </is>
      </c>
      <c r="H75" s="16" t="n">
        <v>103018.09</v>
      </c>
      <c r="I75" s="3" t="inlineStr">
        <is>
          <t>closed</t>
        </is>
      </c>
    </row>
    <row r="76">
      <c r="A76" s="17" t="inlineStr">
        <is>
          <t>857b4519-14ce-5df3-b64b-c7cc39962f68</t>
        </is>
      </c>
      <c r="B76" s="17" t="inlineStr">
        <is>
          <t>CANON-202510-001512</t>
        </is>
      </c>
      <c r="C76" s="17" t="inlineStr">
        <is>
          <t>Ramona Kingsford</t>
        </is>
      </c>
      <c r="D76" s="17" t="inlineStr">
        <is>
          <t>AK</t>
        </is>
      </c>
      <c r="E76" s="17" t="inlineStr">
        <is>
          <t>dcb7c6d9-4a40-56b7-8016-077ad8db3eef</t>
        </is>
      </c>
      <c r="F76" s="17" t="inlineStr">
        <is>
          <t>2026-03-19</t>
        </is>
      </c>
      <c r="G76" s="17" t="inlineStr">
        <is>
          <t>2026-03</t>
        </is>
      </c>
      <c r="H76" s="18" t="n">
        <v>158619.95</v>
      </c>
      <c r="I76" s="17" t="inlineStr">
        <is>
          <t>open</t>
        </is>
      </c>
    </row>
    <row r="77">
      <c r="A77" s="3" t="inlineStr">
        <is>
          <t>2b41dd6e-4df8-5b08-a3c2-3800919f0216</t>
        </is>
      </c>
      <c r="B77" s="3" t="inlineStr">
        <is>
          <t>CANON-202601-003164</t>
        </is>
      </c>
      <c r="C77" s="3" t="inlineStr">
        <is>
          <t>Aurelio Montoya</t>
        </is>
      </c>
      <c r="D77" s="3" t="inlineStr">
        <is>
          <t>OR</t>
        </is>
      </c>
      <c r="E77" s="3" t="inlineStr">
        <is>
          <t>e6d96187-268d-5c34-bc78-3a145c3b1d90</t>
        </is>
      </c>
      <c r="F77" s="3" t="inlineStr">
        <is>
          <t>2026-03-19</t>
        </is>
      </c>
      <c r="G77" s="3" t="inlineStr">
        <is>
          <t>2026-03</t>
        </is>
      </c>
      <c r="H77" s="16" t="n">
        <v>25941.32</v>
      </c>
      <c r="I77" s="3" t="inlineStr">
        <is>
          <t>closed</t>
        </is>
      </c>
    </row>
    <row r="78">
      <c r="A78" s="17" t="inlineStr">
        <is>
          <t>413927bf-8834-5354-a362-a48c09e33236</t>
        </is>
      </c>
      <c r="B78" s="17" t="inlineStr">
        <is>
          <t>CANON-202512-003020</t>
        </is>
      </c>
      <c r="C78" s="17" t="inlineStr">
        <is>
          <t>Priya Bellandi</t>
        </is>
      </c>
      <c r="D78" s="17" t="inlineStr">
        <is>
          <t>FL</t>
        </is>
      </c>
      <c r="E78" s="17" t="inlineStr">
        <is>
          <t>07f08c28-5bfe-588a-9dd9-4d509982829e</t>
        </is>
      </c>
      <c r="F78" s="17" t="inlineStr">
        <is>
          <t>2026-03-20</t>
        </is>
      </c>
      <c r="G78" s="17" t="inlineStr">
        <is>
          <t>2026-03</t>
        </is>
      </c>
      <c r="H78" s="18" t="n">
        <v>220039.3</v>
      </c>
      <c r="I78" s="17" t="inlineStr">
        <is>
          <t>closed</t>
        </is>
      </c>
    </row>
    <row r="79">
      <c r="A79" s="3" t="inlineStr">
        <is>
          <t>e9a70eb8-edeb-53b3-80b7-415c899e6916</t>
        </is>
      </c>
      <c r="B79" s="3" t="inlineStr">
        <is>
          <t>CANON-202603-004747</t>
        </is>
      </c>
      <c r="C79" s="3" t="inlineStr">
        <is>
          <t>Sunniva Nakashima</t>
        </is>
      </c>
      <c r="D79" s="3" t="inlineStr">
        <is>
          <t>PA</t>
        </is>
      </c>
      <c r="E79" s="3" t="inlineStr">
        <is>
          <t>bb6f9e25-a7d5-57a8-a977-5aabcdc5bbc6</t>
        </is>
      </c>
      <c r="F79" s="3" t="inlineStr">
        <is>
          <t>2026-03-21</t>
        </is>
      </c>
      <c r="G79" s="3" t="inlineStr">
        <is>
          <t>2026-03</t>
        </is>
      </c>
      <c r="H79" s="16" t="n">
        <v>37559.11</v>
      </c>
      <c r="I79" s="3" t="inlineStr">
        <is>
          <t>closed</t>
        </is>
      </c>
    </row>
    <row r="80">
      <c r="A80" s="17" t="inlineStr">
        <is>
          <t>1dffb05b-534c-59da-a3c2-8072def230e1</t>
        </is>
      </c>
      <c r="B80" s="17" t="inlineStr">
        <is>
          <t>CANON-202512-002840</t>
        </is>
      </c>
      <c r="C80" s="17" t="inlineStr">
        <is>
          <t>Aurelio Fairweather</t>
        </is>
      </c>
      <c r="D80" s="17" t="inlineStr">
        <is>
          <t>WI</t>
        </is>
      </c>
      <c r="E80" s="17" t="inlineStr">
        <is>
          <t>7bb09001-9084-5f8f-9b75-2d450fd556ae</t>
        </is>
      </c>
      <c r="F80" s="17" t="inlineStr">
        <is>
          <t>2026-03-24</t>
        </is>
      </c>
      <c r="G80" s="17" t="inlineStr">
        <is>
          <t>2026-03</t>
        </is>
      </c>
      <c r="H80" s="18" t="n">
        <v>10104.43</v>
      </c>
      <c r="I80" s="17" t="inlineStr">
        <is>
          <t>closed</t>
        </is>
      </c>
    </row>
    <row r="81">
      <c r="A81" s="3" t="inlineStr">
        <is>
          <t>3b9e660d-d1eb-5766-8e82-c6a872944bfa</t>
        </is>
      </c>
      <c r="B81" s="3" t="inlineStr">
        <is>
          <t>CANON-202603-004605</t>
        </is>
      </c>
      <c r="C81" s="3" t="inlineStr">
        <is>
          <t>Sunniva Vandermeer</t>
        </is>
      </c>
      <c r="D81" s="3" t="inlineStr">
        <is>
          <t>NY</t>
        </is>
      </c>
      <c r="E81" s="3" t="inlineStr">
        <is>
          <t>44b04fee-21b1-5a0d-8657-c2a5fa774583</t>
        </is>
      </c>
      <c r="F81" s="3" t="inlineStr">
        <is>
          <t>2026-03-24</t>
        </is>
      </c>
      <c r="G81" s="3" t="inlineStr">
        <is>
          <t>2026-03</t>
        </is>
      </c>
      <c r="H81" s="16" t="n">
        <v>35850.12</v>
      </c>
      <c r="I81" s="3" t="inlineStr">
        <is>
          <t>closed</t>
        </is>
      </c>
    </row>
    <row r="82">
      <c r="A82" s="17" t="inlineStr">
        <is>
          <t>d3ae47ee-1309-5eda-b9ae-3cda47d48ac6</t>
        </is>
      </c>
      <c r="B82" s="17" t="inlineStr">
        <is>
          <t>CANON-202512-002487</t>
        </is>
      </c>
      <c r="C82" s="17" t="inlineStr">
        <is>
          <t>Leopold Bellandi</t>
        </is>
      </c>
      <c r="D82" s="17" t="inlineStr">
        <is>
          <t>CT</t>
        </is>
      </c>
      <c r="E82" s="17" t="inlineStr">
        <is>
          <t>33b4287e-e51e-5ac1-b67e-dd83608c2fd9</t>
        </is>
      </c>
      <c r="F82" s="17" t="inlineStr">
        <is>
          <t>2026-03-25</t>
        </is>
      </c>
      <c r="G82" s="17" t="inlineStr">
        <is>
          <t>2026-03</t>
        </is>
      </c>
      <c r="H82" s="18" t="n">
        <v>31378.03</v>
      </c>
      <c r="I82" s="17" t="inlineStr">
        <is>
          <t>closed</t>
        </is>
      </c>
    </row>
    <row r="83">
      <c r="A83" s="3" t="inlineStr">
        <is>
          <t>a61c8c44-a064-5594-b864-8cdc73c6c1c9</t>
        </is>
      </c>
      <c r="B83" s="3" t="inlineStr">
        <is>
          <t>CANON-202512-002862</t>
        </is>
      </c>
      <c r="C83" s="3" t="inlineStr">
        <is>
          <t>Callum Blackwood</t>
        </is>
      </c>
      <c r="D83" s="3" t="inlineStr">
        <is>
          <t>CO</t>
        </is>
      </c>
      <c r="E83" s="3" t="inlineStr">
        <is>
          <t>77ab2543-747f-5a42-bc3f-6cc085a0da5f</t>
        </is>
      </c>
      <c r="F83" s="3" t="inlineStr">
        <is>
          <t>2026-03-25</t>
        </is>
      </c>
      <c r="G83" s="3" t="inlineStr">
        <is>
          <t>2026-03</t>
        </is>
      </c>
      <c r="H83" s="16" t="n">
        <v>15618.21</v>
      </c>
      <c r="I83" s="3" t="inlineStr">
        <is>
          <t>closed</t>
        </is>
      </c>
    </row>
    <row r="84">
      <c r="A84" s="17" t="inlineStr">
        <is>
          <t>ac30f4aa-c1a0-50b8-83b9-8fce1a631722</t>
        </is>
      </c>
      <c r="B84" s="17" t="inlineStr">
        <is>
          <t>CANON-202602-003820</t>
        </is>
      </c>
      <c r="C84" s="17" t="inlineStr">
        <is>
          <t>Mireille Rourke</t>
        </is>
      </c>
      <c r="D84" s="17" t="inlineStr">
        <is>
          <t>MT</t>
        </is>
      </c>
      <c r="E84" s="17" t="inlineStr">
        <is>
          <t>4b43d6cb-4e87-557b-99f2-7d67af9e8ee3</t>
        </is>
      </c>
      <c r="F84" s="17" t="inlineStr">
        <is>
          <t>2026-03-25</t>
        </is>
      </c>
      <c r="G84" s="17" t="inlineStr">
        <is>
          <t>2026-03</t>
        </is>
      </c>
      <c r="H84" s="18" t="n">
        <v>9981.190000000001</v>
      </c>
      <c r="I84" s="17" t="inlineStr">
        <is>
          <t>closed</t>
        </is>
      </c>
    </row>
    <row r="85">
      <c r="A85" s="3" t="inlineStr">
        <is>
          <t>1b72bd24-a96a-5494-a3e6-b1c4dc2db505</t>
        </is>
      </c>
      <c r="B85" s="3" t="inlineStr">
        <is>
          <t>CANON-202510-001733</t>
        </is>
      </c>
      <c r="C85" s="3" t="inlineStr">
        <is>
          <t>Noor Pennington</t>
        </is>
      </c>
      <c r="D85" s="3" t="inlineStr">
        <is>
          <t>OR</t>
        </is>
      </c>
      <c r="E85" s="3" t="inlineStr">
        <is>
          <t>9d8b520a-3fe1-53df-a06b-6785e2e2e84b</t>
        </is>
      </c>
      <c r="F85" s="3" t="inlineStr">
        <is>
          <t>2026-03-26</t>
        </is>
      </c>
      <c r="G85" s="3" t="inlineStr">
        <is>
          <t>2026-03</t>
        </is>
      </c>
      <c r="H85" s="16" t="n">
        <v>14182.81</v>
      </c>
      <c r="I85" s="3" t="inlineStr">
        <is>
          <t>open</t>
        </is>
      </c>
    </row>
    <row r="86">
      <c r="A86" s="17" t="inlineStr">
        <is>
          <t>ea575b3a-5ddc-5c9b-9565-04138f2b6a0b</t>
        </is>
      </c>
      <c r="B86" s="17" t="inlineStr">
        <is>
          <t>CANON-202509-000804</t>
        </is>
      </c>
      <c r="C86" s="17" t="inlineStr">
        <is>
          <t>Horace Farkas</t>
        </is>
      </c>
      <c r="D86" s="17" t="inlineStr">
        <is>
          <t>WY</t>
        </is>
      </c>
      <c r="E86" s="17" t="inlineStr">
        <is>
          <t>e2d140d9-fa9f-5344-8995-027d644150aa</t>
        </is>
      </c>
      <c r="F86" s="17" t="inlineStr">
        <is>
          <t>2026-03-27</t>
        </is>
      </c>
      <c r="G86" s="17" t="inlineStr">
        <is>
          <t>2026-03</t>
        </is>
      </c>
      <c r="H86" s="18" t="n">
        <v>33937.94</v>
      </c>
      <c r="I86" s="17" t="inlineStr">
        <is>
          <t>closed</t>
        </is>
      </c>
    </row>
    <row r="87">
      <c r="A87" s="3" t="inlineStr">
        <is>
          <t>5314d02f-fc8a-59e9-b7f2-e3ae23965008</t>
        </is>
      </c>
      <c r="B87" s="3" t="inlineStr">
        <is>
          <t>CANON-202603-004574</t>
        </is>
      </c>
      <c r="C87" s="3" t="inlineStr">
        <is>
          <t>Ramona Blackwood</t>
        </is>
      </c>
      <c r="D87" s="3" t="inlineStr">
        <is>
          <t>AL</t>
        </is>
      </c>
      <c r="E87" s="3" t="inlineStr">
        <is>
          <t>051e4640-4189-538d-a6b6-99a968d2b958</t>
        </is>
      </c>
      <c r="F87" s="3" t="inlineStr">
        <is>
          <t>2026-03-27</t>
        </is>
      </c>
      <c r="G87" s="3" t="inlineStr">
        <is>
          <t>2026-03</t>
        </is>
      </c>
      <c r="H87" s="16" t="n">
        <v>13500.41</v>
      </c>
      <c r="I87" s="3" t="inlineStr">
        <is>
          <t>open</t>
        </is>
      </c>
    </row>
    <row r="88">
      <c r="A88" s="17" t="inlineStr">
        <is>
          <t>78a3601d-457e-5334-abc3-e67f9f5c63ac</t>
        </is>
      </c>
      <c r="B88" s="17" t="inlineStr">
        <is>
          <t>CANON-202512-002887</t>
        </is>
      </c>
      <c r="C88" s="17" t="inlineStr">
        <is>
          <t>Lorenzo Delacroix</t>
        </is>
      </c>
      <c r="D88" s="17" t="inlineStr">
        <is>
          <t>LA</t>
        </is>
      </c>
      <c r="E88" s="17" t="inlineStr">
        <is>
          <t>989be761-45da-523a-b3e7-7a9a9c4d1083</t>
        </is>
      </c>
      <c r="F88" s="17" t="inlineStr">
        <is>
          <t>2026-03-28</t>
        </is>
      </c>
      <c r="G88" s="17" t="inlineStr">
        <is>
          <t>2026-03</t>
        </is>
      </c>
      <c r="H88" s="18" t="n">
        <v>107924.82</v>
      </c>
      <c r="I88" s="17" t="inlineStr">
        <is>
          <t>closed</t>
        </is>
      </c>
    </row>
    <row r="89">
      <c r="A89" s="3" t="inlineStr">
        <is>
          <t>f4adcb26-1787-5565-89df-c30c1153fa26</t>
        </is>
      </c>
      <c r="B89" s="3" t="inlineStr">
        <is>
          <t>CANON-202508-000150</t>
        </is>
      </c>
      <c r="C89" s="3" t="inlineStr">
        <is>
          <t>Thaddeus Merriweather</t>
        </is>
      </c>
      <c r="D89" s="3" t="inlineStr">
        <is>
          <t>OK</t>
        </is>
      </c>
      <c r="E89" s="3" t="inlineStr">
        <is>
          <t>f29c3d23-59d1-57d4-8b49-135e05359679</t>
        </is>
      </c>
      <c r="F89" s="3" t="inlineStr">
        <is>
          <t>2026-03-29</t>
        </is>
      </c>
      <c r="G89" s="3" t="inlineStr">
        <is>
          <t>2026-03</t>
        </is>
      </c>
      <c r="H89" s="16" t="n">
        <v>143420.44</v>
      </c>
      <c r="I89" s="3" t="inlineStr">
        <is>
          <t>open</t>
        </is>
      </c>
    </row>
    <row r="90">
      <c r="A90" s="17" t="inlineStr">
        <is>
          <t>00c2145d-65d7-5832-ba27-4f9382ed6c2c</t>
        </is>
      </c>
      <c r="B90" s="17" t="inlineStr">
        <is>
          <t>CANON-202511-001878</t>
        </is>
      </c>
      <c r="C90" s="17" t="inlineStr">
        <is>
          <t>Thaddeus Underwood</t>
        </is>
      </c>
      <c r="D90" s="17" t="inlineStr">
        <is>
          <t>NJ</t>
        </is>
      </c>
      <c r="E90" s="17" t="inlineStr">
        <is>
          <t>9b71fb4d-aa96-59ef-82e5-a993b9c5c828</t>
        </is>
      </c>
      <c r="F90" s="17" t="inlineStr">
        <is>
          <t>2026-03-30</t>
        </is>
      </c>
      <c r="G90" s="17" t="inlineStr">
        <is>
          <t>2026-03</t>
        </is>
      </c>
      <c r="H90" s="18" t="n">
        <v>22777.96</v>
      </c>
      <c r="I90" s="17" t="inlineStr">
        <is>
          <t>closed</t>
        </is>
      </c>
    </row>
    <row r="91">
      <c r="A91" s="3" t="inlineStr">
        <is>
          <t>5d40349a-dbc7-5398-b4c0-c731fa7d8029</t>
        </is>
      </c>
      <c r="B91" s="3" t="inlineStr">
        <is>
          <t>CANON-202603-004746</t>
        </is>
      </c>
      <c r="C91" s="3" t="inlineStr">
        <is>
          <t>Callum Pennington</t>
        </is>
      </c>
      <c r="D91" s="3" t="inlineStr">
        <is>
          <t>NJ</t>
        </is>
      </c>
      <c r="E91" s="3" t="inlineStr">
        <is>
          <t>6287dd2a-9e44-5da5-b6a4-49b46d8655f0</t>
        </is>
      </c>
      <c r="F91" s="3" t="inlineStr">
        <is>
          <t>2026-04-01</t>
        </is>
      </c>
      <c r="G91" s="3" t="inlineStr">
        <is>
          <t>2026-04</t>
        </is>
      </c>
      <c r="H91" s="16" t="n">
        <v>35394.97</v>
      </c>
      <c r="I91" s="3" t="inlineStr">
        <is>
          <t>closed</t>
        </is>
      </c>
    </row>
    <row r="92">
      <c r="A92" s="17" t="inlineStr">
        <is>
          <t>9ad83848-6eb9-5cd4-b211-f85d890e10eb</t>
        </is>
      </c>
      <c r="B92" s="17" t="inlineStr">
        <is>
          <t>CANON-202603-004935</t>
        </is>
      </c>
      <c r="C92" s="17" t="inlineStr">
        <is>
          <t>Ramona Blackwood</t>
        </is>
      </c>
      <c r="D92" s="17" t="inlineStr">
        <is>
          <t>NE</t>
        </is>
      </c>
      <c r="E92" s="17" t="inlineStr">
        <is>
          <t>3641041a-bd81-52e9-85a2-8d8097f4881e</t>
        </is>
      </c>
      <c r="F92" s="17" t="inlineStr">
        <is>
          <t>2026-04-03</t>
        </is>
      </c>
      <c r="G92" s="17" t="inlineStr">
        <is>
          <t>2026-04</t>
        </is>
      </c>
      <c r="H92" s="18" t="n">
        <v>130642.03</v>
      </c>
      <c r="I92" s="17" t="inlineStr">
        <is>
          <t>closed</t>
        </is>
      </c>
    </row>
    <row r="93">
      <c r="A93" s="3" t="inlineStr">
        <is>
          <t>b5283f71-4514-55b0-9c66-13a226134e73</t>
        </is>
      </c>
      <c r="B93" s="3" t="inlineStr">
        <is>
          <t>CANON-202511-002105</t>
        </is>
      </c>
      <c r="C93" s="3" t="inlineStr">
        <is>
          <t>Marisol Bellandi</t>
        </is>
      </c>
      <c r="D93" s="3" t="inlineStr">
        <is>
          <t>SD</t>
        </is>
      </c>
      <c r="E93" s="3" t="inlineStr">
        <is>
          <t>7c58a474-1fac-5786-b207-cacf3d250721</t>
        </is>
      </c>
      <c r="F93" s="3" t="inlineStr">
        <is>
          <t>2026-04-04</t>
        </is>
      </c>
      <c r="G93" s="3" t="inlineStr">
        <is>
          <t>2026-04</t>
        </is>
      </c>
      <c r="H93" s="16" t="n">
        <v>28499.88</v>
      </c>
      <c r="I93" s="3" t="inlineStr">
        <is>
          <t>open</t>
        </is>
      </c>
    </row>
    <row r="94">
      <c r="A94" s="17" t="inlineStr">
        <is>
          <t>64ba76e9-c332-5826-ba4f-c7d03437e0a9</t>
        </is>
      </c>
      <c r="B94" s="17" t="inlineStr">
        <is>
          <t>CANON-202508-000132</t>
        </is>
      </c>
      <c r="C94" s="17" t="inlineStr">
        <is>
          <t>Wilhelmina Farkas</t>
        </is>
      </c>
      <c r="D94" s="17" t="inlineStr">
        <is>
          <t>SD</t>
        </is>
      </c>
      <c r="E94" s="17" t="inlineStr">
        <is>
          <t>d03d0a54-f26f-5ea6-81d9-f0c1dc02f1ba</t>
        </is>
      </c>
      <c r="F94" s="17" t="inlineStr">
        <is>
          <t>2026-04-05</t>
        </is>
      </c>
      <c r="G94" s="17" t="inlineStr">
        <is>
          <t>2026-04</t>
        </is>
      </c>
      <c r="H94" s="18" t="n">
        <v>135958.53</v>
      </c>
      <c r="I94" s="17" t="inlineStr">
        <is>
          <t>closed</t>
        </is>
      </c>
    </row>
    <row r="95">
      <c r="A95" s="3" t="inlineStr">
        <is>
          <t>4a76e304-d395-5bbc-9476-4cb122a570b3</t>
        </is>
      </c>
      <c r="B95" s="3" t="inlineStr">
        <is>
          <t>CANON-202509-001059</t>
        </is>
      </c>
      <c r="C95" s="3" t="inlineStr">
        <is>
          <t>Anouk Merriweather</t>
        </is>
      </c>
      <c r="D95" s="3" t="inlineStr">
        <is>
          <t>IL</t>
        </is>
      </c>
      <c r="E95" s="3" t="inlineStr">
        <is>
          <t>b8505c6a-724b-58a5-8fce-42a3bc4ffc42</t>
        </is>
      </c>
      <c r="F95" s="3" t="inlineStr">
        <is>
          <t>2026-04-06</t>
        </is>
      </c>
      <c r="G95" s="3" t="inlineStr">
        <is>
          <t>2026-04</t>
        </is>
      </c>
      <c r="H95" s="16" t="n">
        <v>35717.49</v>
      </c>
      <c r="I95" s="3" t="inlineStr">
        <is>
          <t>closed</t>
        </is>
      </c>
    </row>
    <row r="96">
      <c r="A96" s="17" t="inlineStr">
        <is>
          <t>0512c9a1-9dbe-5542-a922-a8f82b92c2a0</t>
        </is>
      </c>
      <c r="B96" s="17" t="inlineStr">
        <is>
          <t>CANON-202509-000689</t>
        </is>
      </c>
      <c r="C96" s="17" t="inlineStr">
        <is>
          <t>Beatrix Okonkwo</t>
        </is>
      </c>
      <c r="D96" s="17" t="inlineStr">
        <is>
          <t>AK</t>
        </is>
      </c>
      <c r="E96" s="17" t="inlineStr">
        <is>
          <t>7d5e33e2-ef25-56d8-8d80-d0b17f7cea5e</t>
        </is>
      </c>
      <c r="F96" s="17" t="inlineStr">
        <is>
          <t>2026-04-08</t>
        </is>
      </c>
      <c r="G96" s="17" t="inlineStr">
        <is>
          <t>2026-04</t>
        </is>
      </c>
      <c r="H96" s="18" t="n">
        <v>111156.27</v>
      </c>
      <c r="I96" s="17" t="inlineStr">
        <is>
          <t>closed</t>
        </is>
      </c>
    </row>
    <row r="97">
      <c r="A97" s="3" t="inlineStr">
        <is>
          <t>b90a785c-87b8-56b8-9df0-6ae366025900</t>
        </is>
      </c>
      <c r="B97" s="3" t="inlineStr">
        <is>
          <t>CANON-202511-001875</t>
        </is>
      </c>
      <c r="C97" s="3" t="inlineStr">
        <is>
          <t>Fenwick Larsson</t>
        </is>
      </c>
      <c r="D97" s="3" t="inlineStr">
        <is>
          <t>TX</t>
        </is>
      </c>
      <c r="E97" s="3" t="inlineStr">
        <is>
          <t>d1d061d5-e519-5ae9-a362-ba99cd487d4c</t>
        </is>
      </c>
      <c r="F97" s="3" t="inlineStr">
        <is>
          <t>2026-04-08</t>
        </is>
      </c>
      <c r="G97" s="3" t="inlineStr">
        <is>
          <t>2026-04</t>
        </is>
      </c>
      <c r="H97" s="16" t="n">
        <v>109667.81</v>
      </c>
      <c r="I97" s="3" t="inlineStr">
        <is>
          <t>open</t>
        </is>
      </c>
    </row>
    <row r="98">
      <c r="A98" s="17" t="inlineStr">
        <is>
          <t>38c56866-9953-5b7e-b984-7f051a47cd3f</t>
        </is>
      </c>
      <c r="B98" s="17" t="inlineStr">
        <is>
          <t>CANON-202512-002457</t>
        </is>
      </c>
      <c r="C98" s="17" t="inlineStr">
        <is>
          <t>Noor Fairweather</t>
        </is>
      </c>
      <c r="D98" s="17" t="inlineStr">
        <is>
          <t>NY</t>
        </is>
      </c>
      <c r="E98" s="17" t="inlineStr">
        <is>
          <t>cf636d15-b5a4-5274-ac3c-e2d92c9e44af</t>
        </is>
      </c>
      <c r="F98" s="17" t="inlineStr">
        <is>
          <t>2026-04-09</t>
        </is>
      </c>
      <c r="G98" s="17" t="inlineStr">
        <is>
          <t>2026-04</t>
        </is>
      </c>
      <c r="H98" s="18" t="n">
        <v>6136.07</v>
      </c>
      <c r="I98" s="17" t="inlineStr">
        <is>
          <t>closed</t>
        </is>
      </c>
    </row>
    <row r="99">
      <c r="A99" s="3" t="inlineStr">
        <is>
          <t>64077b3f-2222-55da-a6ea-8e382e279380</t>
        </is>
      </c>
      <c r="B99" s="3" t="inlineStr">
        <is>
          <t>CANON-202603-004512</t>
        </is>
      </c>
      <c r="C99" s="3" t="inlineStr">
        <is>
          <t>Cassius Castellanos</t>
        </is>
      </c>
      <c r="D99" s="3" t="inlineStr">
        <is>
          <t>WY</t>
        </is>
      </c>
      <c r="E99" s="3" t="inlineStr">
        <is>
          <t>9f60ee60-a7d6-5382-8f90-f76590459de5</t>
        </is>
      </c>
      <c r="F99" s="3" t="inlineStr">
        <is>
          <t>2026-04-09</t>
        </is>
      </c>
      <c r="G99" s="3" t="inlineStr">
        <is>
          <t>2026-04</t>
        </is>
      </c>
      <c r="H99" s="16" t="n">
        <v>33827.23</v>
      </c>
      <c r="I99" s="3" t="inlineStr">
        <is>
          <t>closed</t>
        </is>
      </c>
    </row>
    <row r="100">
      <c r="A100" s="17" t="inlineStr">
        <is>
          <t>5ffd468f-879c-5301-a3b6-e4ccfafdd86e</t>
        </is>
      </c>
      <c r="B100" s="17" t="inlineStr">
        <is>
          <t>CANON-202508-000034</t>
        </is>
      </c>
      <c r="C100" s="17" t="inlineStr">
        <is>
          <t>Desmond Vasquez</t>
        </is>
      </c>
      <c r="D100" s="17" t="inlineStr">
        <is>
          <t>NM</t>
        </is>
      </c>
      <c r="E100" s="17" t="inlineStr">
        <is>
          <t>749a75ac-d45b-552b-8feb-c460fef8a5cf</t>
        </is>
      </c>
      <c r="F100" s="17" t="inlineStr">
        <is>
          <t>2026-04-13</t>
        </is>
      </c>
      <c r="G100" s="17" t="inlineStr">
        <is>
          <t>2026-04</t>
        </is>
      </c>
      <c r="H100" s="18" t="n">
        <v>29959.84</v>
      </c>
      <c r="I100" s="17" t="inlineStr">
        <is>
          <t>open</t>
        </is>
      </c>
    </row>
    <row r="101">
      <c r="A101" s="3" t="inlineStr">
        <is>
          <t>e6ed5d2d-7400-5789-9146-1a9ca1f1ba09</t>
        </is>
      </c>
      <c r="B101" s="3" t="inlineStr">
        <is>
          <t>CANON-202512-002766</t>
        </is>
      </c>
      <c r="C101" s="3" t="inlineStr">
        <is>
          <t>Everett Vandermeer</t>
        </is>
      </c>
      <c r="D101" s="3" t="inlineStr">
        <is>
          <t>ID</t>
        </is>
      </c>
      <c r="E101" s="3" t="inlineStr">
        <is>
          <t>90ed5bbe-bab3-55d7-b18a-7b7a861206fc</t>
        </is>
      </c>
      <c r="F101" s="3" t="inlineStr">
        <is>
          <t>2026-04-13</t>
        </is>
      </c>
      <c r="G101" s="3" t="inlineStr">
        <is>
          <t>2026-04</t>
        </is>
      </c>
      <c r="H101" s="16" t="n">
        <v>45663.52</v>
      </c>
      <c r="I101" s="3" t="inlineStr">
        <is>
          <t>closed</t>
        </is>
      </c>
    </row>
    <row r="102">
      <c r="A102" s="17" t="inlineStr">
        <is>
          <t>0d4fafd2-e092-57aa-8950-c2b536c87b1e</t>
        </is>
      </c>
      <c r="B102" s="17" t="inlineStr">
        <is>
          <t>CANON-202601-003501</t>
        </is>
      </c>
      <c r="C102" s="17" t="inlineStr">
        <is>
          <t>Callum Bellandi</t>
        </is>
      </c>
      <c r="D102" s="17" t="inlineStr">
        <is>
          <t>IA</t>
        </is>
      </c>
      <c r="E102" s="17" t="inlineStr">
        <is>
          <t>417ced72-f1a8-51c9-b9b9-e3b6487e454b</t>
        </is>
      </c>
      <c r="F102" s="17" t="inlineStr">
        <is>
          <t>2026-04-13</t>
        </is>
      </c>
      <c r="G102" s="17" t="inlineStr">
        <is>
          <t>2026-04</t>
        </is>
      </c>
      <c r="H102" s="18" t="n">
        <v>492243.6</v>
      </c>
      <c r="I102" s="17" t="inlineStr">
        <is>
          <t>open</t>
        </is>
      </c>
    </row>
    <row r="103">
      <c r="A103" s="3" t="inlineStr">
        <is>
          <t>04185aa2-8b94-5fb7-a44b-f108b917483f</t>
        </is>
      </c>
      <c r="B103" s="3" t="inlineStr">
        <is>
          <t>CANON-202603-004855</t>
        </is>
      </c>
      <c r="C103" s="3" t="inlineStr">
        <is>
          <t>Marisol Kingsford</t>
        </is>
      </c>
      <c r="D103" s="3" t="inlineStr">
        <is>
          <t>KS</t>
        </is>
      </c>
      <c r="E103" s="3" t="inlineStr">
        <is>
          <t>c9a57361-6918-5034-a938-a4dcbf829f7c</t>
        </is>
      </c>
      <c r="F103" s="3" t="inlineStr">
        <is>
          <t>2026-04-14</t>
        </is>
      </c>
      <c r="G103" s="3" t="inlineStr">
        <is>
          <t>2026-04</t>
        </is>
      </c>
      <c r="H103" s="16" t="n">
        <v>19450.78</v>
      </c>
      <c r="I103" s="3" t="inlineStr">
        <is>
          <t>closed</t>
        </is>
      </c>
    </row>
    <row r="104">
      <c r="A104" s="17" t="inlineStr">
        <is>
          <t>811ce93a-3b64-57ae-a566-99a2abb40c4c</t>
        </is>
      </c>
      <c r="B104" s="17" t="inlineStr">
        <is>
          <t>CANON-202604-005320</t>
        </is>
      </c>
      <c r="C104" s="17" t="inlineStr">
        <is>
          <t>Fenwick Kingsford</t>
        </is>
      </c>
      <c r="D104" s="17" t="inlineStr">
        <is>
          <t>OH</t>
        </is>
      </c>
      <c r="E104" s="17" t="inlineStr">
        <is>
          <t>a38b3e59-e41f-52fa-9bec-a848551dc16e</t>
        </is>
      </c>
      <c r="F104" s="17" t="inlineStr">
        <is>
          <t>2026-04-14</t>
        </is>
      </c>
      <c r="G104" s="17" t="inlineStr">
        <is>
          <t>2026-04</t>
        </is>
      </c>
      <c r="H104" s="18" t="n">
        <v>9507.610000000001</v>
      </c>
      <c r="I104" s="17" t="inlineStr">
        <is>
          <t>closed</t>
        </is>
      </c>
    </row>
    <row r="105">
      <c r="A105" s="3" t="inlineStr">
        <is>
          <t>83325d39-55b4-5f0d-9700-6f1ef9b9b017</t>
        </is>
      </c>
      <c r="B105" s="3" t="inlineStr">
        <is>
          <t>CANON-202510-001412</t>
        </is>
      </c>
      <c r="C105" s="3" t="inlineStr">
        <is>
          <t>Anouk Whitlock</t>
        </is>
      </c>
      <c r="D105" s="3" t="inlineStr">
        <is>
          <t>MN</t>
        </is>
      </c>
      <c r="E105" s="3" t="inlineStr">
        <is>
          <t>83ad198d-842c-5683-90f7-8a012cc9914e</t>
        </is>
      </c>
      <c r="F105" s="3" t="inlineStr">
        <is>
          <t>2026-04-16</t>
        </is>
      </c>
      <c r="G105" s="3" t="inlineStr">
        <is>
          <t>2026-04</t>
        </is>
      </c>
      <c r="H105" s="16" t="n">
        <v>37991.57</v>
      </c>
      <c r="I105" s="3" t="inlineStr">
        <is>
          <t>closed</t>
        </is>
      </c>
    </row>
    <row r="106">
      <c r="A106" s="17" t="inlineStr">
        <is>
          <t>0df2b860-b771-5d4e-8750-b41506fc1190</t>
        </is>
      </c>
      <c r="B106" s="17" t="inlineStr">
        <is>
          <t>CANON-202509-000836</t>
        </is>
      </c>
      <c r="C106" s="17" t="inlineStr">
        <is>
          <t>Cassius Larsson</t>
        </is>
      </c>
      <c r="D106" s="17" t="inlineStr">
        <is>
          <t>TN</t>
        </is>
      </c>
      <c r="E106" s="17" t="inlineStr">
        <is>
          <t>eaf36e42-a43d-5eda-b20e-7aa60f479ffe</t>
        </is>
      </c>
      <c r="F106" s="17" t="inlineStr">
        <is>
          <t>2026-04-18</t>
        </is>
      </c>
      <c r="G106" s="17" t="inlineStr">
        <is>
          <t>2026-04</t>
        </is>
      </c>
      <c r="H106" s="18" t="n">
        <v>81733.19</v>
      </c>
      <c r="I106" s="17" t="inlineStr">
        <is>
          <t>open</t>
        </is>
      </c>
    </row>
    <row r="107">
      <c r="A107" s="3" t="inlineStr">
        <is>
          <t>bc7090a5-765a-5368-88c7-ba101111e552</t>
        </is>
      </c>
      <c r="B107" s="3" t="inlineStr">
        <is>
          <t>CANON-202509-000655</t>
        </is>
      </c>
      <c r="C107" s="3" t="inlineStr">
        <is>
          <t>Priya Chattopadhyay</t>
        </is>
      </c>
      <c r="D107" s="3" t="inlineStr">
        <is>
          <t>SC</t>
        </is>
      </c>
      <c r="E107" s="3" t="inlineStr">
        <is>
          <t>a95a2e41-0b45-5ae6-889b-e375ca08fda7</t>
        </is>
      </c>
      <c r="F107" s="3" t="inlineStr">
        <is>
          <t>2026-04-19</t>
        </is>
      </c>
      <c r="G107" s="3" t="inlineStr">
        <is>
          <t>2026-04</t>
        </is>
      </c>
      <c r="H107" s="16" t="n">
        <v>20543.28</v>
      </c>
      <c r="I107" s="3" t="inlineStr">
        <is>
          <t>closed</t>
        </is>
      </c>
    </row>
    <row r="108">
      <c r="A108" s="17" t="inlineStr">
        <is>
          <t>b9f35cb5-345f-5c52-b9bb-40e48637dd0f</t>
        </is>
      </c>
      <c r="B108" s="17" t="inlineStr">
        <is>
          <t>CANON-202511-001769</t>
        </is>
      </c>
      <c r="C108" s="17" t="inlineStr">
        <is>
          <t>Sunniva Bellandi</t>
        </is>
      </c>
      <c r="D108" s="17" t="inlineStr">
        <is>
          <t>MD</t>
        </is>
      </c>
      <c r="E108" s="17" t="inlineStr">
        <is>
          <t>7afa7bc5-5173-52ec-8cdd-7d6646296657</t>
        </is>
      </c>
      <c r="F108" s="17" t="inlineStr">
        <is>
          <t>2026-04-20</t>
        </is>
      </c>
      <c r="G108" s="17" t="inlineStr">
        <is>
          <t>2026-04</t>
        </is>
      </c>
      <c r="H108" s="18" t="n">
        <v>10008.19</v>
      </c>
      <c r="I108" s="17" t="inlineStr">
        <is>
          <t>closed</t>
        </is>
      </c>
    </row>
    <row r="109">
      <c r="A109" s="3" t="inlineStr">
        <is>
          <t>765805fb-2d88-5863-ac85-6820d9e5b008</t>
        </is>
      </c>
      <c r="B109" s="3" t="inlineStr">
        <is>
          <t>CANON-202509-000837</t>
        </is>
      </c>
      <c r="C109" s="3" t="inlineStr">
        <is>
          <t>Aurelio Fairweather</t>
        </is>
      </c>
      <c r="D109" s="3" t="inlineStr">
        <is>
          <t>OH</t>
        </is>
      </c>
      <c r="E109" s="3" t="inlineStr">
        <is>
          <t>9e1335ef-9cf2-5721-980b-eacef0ccb2ad</t>
        </is>
      </c>
      <c r="F109" s="3" t="inlineStr">
        <is>
          <t>2026-04-22</t>
        </is>
      </c>
      <c r="G109" s="3" t="inlineStr">
        <is>
          <t>2026-04</t>
        </is>
      </c>
      <c r="H109" s="16" t="n">
        <v>1421304.26</v>
      </c>
      <c r="I109" s="3" t="inlineStr">
        <is>
          <t>closed</t>
        </is>
      </c>
    </row>
    <row r="110">
      <c r="A110" s="17" t="inlineStr">
        <is>
          <t>ef67162e-065b-5495-ba8e-94571cbdc36a</t>
        </is>
      </c>
      <c r="B110" s="17" t="inlineStr">
        <is>
          <t>CANON-202602-004065</t>
        </is>
      </c>
      <c r="C110" s="17" t="inlineStr">
        <is>
          <t>Thaddeus Merriweather</t>
        </is>
      </c>
      <c r="D110" s="17" t="inlineStr">
        <is>
          <t>KY</t>
        </is>
      </c>
      <c r="E110" s="17" t="inlineStr">
        <is>
          <t>469bd001-031e-5b87-8ec7-8947b428d94f</t>
        </is>
      </c>
      <c r="F110" s="17" t="inlineStr">
        <is>
          <t>2026-04-22</t>
        </is>
      </c>
      <c r="G110" s="17" t="inlineStr">
        <is>
          <t>2026-04</t>
        </is>
      </c>
      <c r="H110" s="18" t="n">
        <v>36289.32</v>
      </c>
      <c r="I110" s="17" t="inlineStr">
        <is>
          <t>open</t>
        </is>
      </c>
    </row>
    <row r="111">
      <c r="A111" s="3" t="inlineStr">
        <is>
          <t>f0b6fa4c-5377-53bc-9e81-c6e588caa5f6</t>
        </is>
      </c>
      <c r="B111" s="3" t="inlineStr">
        <is>
          <t>CANON-202510-001164</t>
        </is>
      </c>
      <c r="C111" s="3" t="inlineStr">
        <is>
          <t>Thaddeus Kingsford</t>
        </is>
      </c>
      <c r="D111" s="3" t="inlineStr">
        <is>
          <t>NY</t>
        </is>
      </c>
      <c r="E111" s="3" t="inlineStr">
        <is>
          <t>e59a9d7b-b75e-5ba1-9220-974591c4aecd</t>
        </is>
      </c>
      <c r="F111" s="3" t="inlineStr">
        <is>
          <t>2026-04-25</t>
        </is>
      </c>
      <c r="G111" s="3" t="inlineStr">
        <is>
          <t>2026-04</t>
        </is>
      </c>
      <c r="H111" s="16" t="n">
        <v>14782.08</v>
      </c>
      <c r="I111" s="3" t="inlineStr">
        <is>
          <t>open</t>
        </is>
      </c>
    </row>
    <row r="112">
      <c r="A112" s="17" t="inlineStr">
        <is>
          <t>c8c53aa3-ec1c-5a71-b562-075d3a3ff538</t>
        </is>
      </c>
      <c r="B112" s="17" t="inlineStr">
        <is>
          <t>CANON-202509-000591</t>
        </is>
      </c>
      <c r="C112" s="17" t="inlineStr">
        <is>
          <t>Saoirse Underwood</t>
        </is>
      </c>
      <c r="D112" s="17" t="inlineStr">
        <is>
          <t>MI</t>
        </is>
      </c>
      <c r="E112" s="17" t="inlineStr">
        <is>
          <t>fccf77ee-8f1d-5181-8d4d-41aabffe6bd7</t>
        </is>
      </c>
      <c r="F112" s="17" t="inlineStr">
        <is>
          <t>2026-04-27</t>
        </is>
      </c>
      <c r="G112" s="17" t="inlineStr">
        <is>
          <t>2026-04</t>
        </is>
      </c>
      <c r="H112" s="18" t="n">
        <v>66438.78</v>
      </c>
      <c r="I112" s="17" t="inlineStr">
        <is>
          <t>open</t>
        </is>
      </c>
    </row>
    <row r="113">
      <c r="A113" s="3" t="inlineStr">
        <is>
          <t>ac2d3687-0347-510b-b475-3523d7811df0</t>
        </is>
      </c>
      <c r="B113" s="3" t="inlineStr">
        <is>
          <t>CANON-202510-001436</t>
        </is>
      </c>
      <c r="C113" s="3" t="inlineStr">
        <is>
          <t>Ingrid Fairweather</t>
        </is>
      </c>
      <c r="D113" s="3" t="inlineStr">
        <is>
          <t>NM</t>
        </is>
      </c>
      <c r="E113" s="3" t="inlineStr">
        <is>
          <t>0666371c-b623-503e-85c0-2590fdd9d65b</t>
        </is>
      </c>
      <c r="F113" s="3" t="inlineStr">
        <is>
          <t>2026-04-27</t>
        </is>
      </c>
      <c r="G113" s="3" t="inlineStr">
        <is>
          <t>2026-04</t>
        </is>
      </c>
      <c r="H113" s="16" t="n">
        <v>7417.17</v>
      </c>
      <c r="I113" s="3" t="inlineStr">
        <is>
          <t>closed</t>
        </is>
      </c>
    </row>
    <row r="114">
      <c r="A114" s="17" t="inlineStr">
        <is>
          <t>40b393aa-ca00-551b-8b43-cebb4854d8a0</t>
        </is>
      </c>
      <c r="B114" s="17" t="inlineStr">
        <is>
          <t>CANON-202508-000258</t>
        </is>
      </c>
      <c r="C114" s="17" t="inlineStr">
        <is>
          <t>Ingrid Nakashima</t>
        </is>
      </c>
      <c r="D114" s="17" t="inlineStr">
        <is>
          <t>MD</t>
        </is>
      </c>
      <c r="E114" s="17" t="inlineStr">
        <is>
          <t>e856580c-0e1b-5f3e-a233-7831bc8cef36</t>
        </is>
      </c>
      <c r="F114" s="17" t="inlineStr">
        <is>
          <t>2026-05-01</t>
        </is>
      </c>
      <c r="G114" s="17" t="inlineStr">
        <is>
          <t>2026-05</t>
        </is>
      </c>
      <c r="H114" s="18" t="n">
        <v>197920.62</v>
      </c>
      <c r="I114" s="17" t="inlineStr">
        <is>
          <t>closed</t>
        </is>
      </c>
    </row>
    <row r="115">
      <c r="A115" s="3" t="inlineStr">
        <is>
          <t>647e2bd9-dc1a-5c23-be6f-ebee8b7af534</t>
        </is>
      </c>
      <c r="B115" s="3" t="inlineStr">
        <is>
          <t>CANON-202510-001119</t>
        </is>
      </c>
      <c r="C115" s="3" t="inlineStr">
        <is>
          <t>Lorenzo Merriweather</t>
        </is>
      </c>
      <c r="D115" s="3" t="inlineStr">
        <is>
          <t>UT</t>
        </is>
      </c>
      <c r="E115" s="3" t="inlineStr">
        <is>
          <t>c801712a-2acd-5cd7-8aa0-a7c95d50b50a</t>
        </is>
      </c>
      <c r="F115" s="3" t="inlineStr">
        <is>
          <t>2026-05-01</t>
        </is>
      </c>
      <c r="G115" s="3" t="inlineStr">
        <is>
          <t>2026-05</t>
        </is>
      </c>
      <c r="H115" s="16" t="n">
        <v>20381.56</v>
      </c>
      <c r="I115" s="3" t="inlineStr">
        <is>
          <t>closed</t>
        </is>
      </c>
    </row>
    <row r="116">
      <c r="A116" s="17" t="inlineStr">
        <is>
          <t>76f1efbe-0af8-565d-be50-18388d981b6b</t>
        </is>
      </c>
      <c r="B116" s="17" t="inlineStr">
        <is>
          <t>CANON-202601-003585</t>
        </is>
      </c>
      <c r="C116" s="17" t="inlineStr">
        <is>
          <t>Emiliano Okonkwo</t>
        </is>
      </c>
      <c r="D116" s="17" t="inlineStr">
        <is>
          <t>NY</t>
        </is>
      </c>
      <c r="E116" s="17" t="inlineStr">
        <is>
          <t>5ebe3f4d-2424-594d-a720-5b1299cfb2d9</t>
        </is>
      </c>
      <c r="F116" s="17" t="inlineStr">
        <is>
          <t>2026-05-02</t>
        </is>
      </c>
      <c r="G116" s="17" t="inlineStr">
        <is>
          <t>2026-05</t>
        </is>
      </c>
      <c r="H116" s="18" t="n">
        <v>13697.4</v>
      </c>
      <c r="I116" s="17" t="inlineStr">
        <is>
          <t>closed</t>
        </is>
      </c>
    </row>
    <row r="117">
      <c r="A117" s="3" t="inlineStr">
        <is>
          <t>c1433a76-1d6d-5978-add8-db941e53bf63</t>
        </is>
      </c>
      <c r="B117" s="3" t="inlineStr">
        <is>
          <t>CANON-202512-002642</t>
        </is>
      </c>
      <c r="C117" s="3" t="inlineStr">
        <is>
          <t>Ottilie Vasquez</t>
        </is>
      </c>
      <c r="D117" s="3" t="inlineStr">
        <is>
          <t>MI</t>
        </is>
      </c>
      <c r="E117" s="3" t="inlineStr">
        <is>
          <t>78e89292-702f-5fbd-94aa-8c14d07ecae5</t>
        </is>
      </c>
      <c r="F117" s="3" t="inlineStr">
        <is>
          <t>2026-05-03</t>
        </is>
      </c>
      <c r="G117" s="3" t="inlineStr">
        <is>
          <t>2026-05</t>
        </is>
      </c>
      <c r="H117" s="16" t="n">
        <v>34104.18</v>
      </c>
      <c r="I117" s="3" t="inlineStr">
        <is>
          <t>open</t>
        </is>
      </c>
    </row>
    <row r="118">
      <c r="A118" s="17" t="inlineStr">
        <is>
          <t>4912ec5a-73af-5fd6-ac55-bd4e4f4e6c8b</t>
        </is>
      </c>
      <c r="B118" s="17" t="inlineStr">
        <is>
          <t>CANON-202601-003711</t>
        </is>
      </c>
      <c r="C118" s="17" t="inlineStr">
        <is>
          <t>Ottilie Kingsford</t>
        </is>
      </c>
      <c r="D118" s="17" t="inlineStr">
        <is>
          <t>RI</t>
        </is>
      </c>
      <c r="E118" s="17" t="inlineStr">
        <is>
          <t>7275084e-b86e-5a67-9814-89a424527e8d</t>
        </is>
      </c>
      <c r="F118" s="17" t="inlineStr">
        <is>
          <t>2026-05-03</t>
        </is>
      </c>
      <c r="G118" s="17" t="inlineStr">
        <is>
          <t>2026-05</t>
        </is>
      </c>
      <c r="H118" s="18" t="n">
        <v>21883.96</v>
      </c>
      <c r="I118" s="17" t="inlineStr">
        <is>
          <t>open</t>
        </is>
      </c>
    </row>
    <row r="119">
      <c r="A119" s="3" t="inlineStr">
        <is>
          <t>e151e433-e258-57fa-b84f-3a490e0e37bd</t>
        </is>
      </c>
      <c r="B119" s="3" t="inlineStr">
        <is>
          <t>CANON-202602-004142</t>
        </is>
      </c>
      <c r="C119" s="3" t="inlineStr">
        <is>
          <t>Wilhelmina Vandermeer</t>
        </is>
      </c>
      <c r="D119" s="3" t="inlineStr">
        <is>
          <t>AZ</t>
        </is>
      </c>
      <c r="E119" s="3" t="inlineStr">
        <is>
          <t>4f293d54-cad1-5645-a6db-71006ce4886f</t>
        </is>
      </c>
      <c r="F119" s="3" t="inlineStr">
        <is>
          <t>2026-05-03</t>
        </is>
      </c>
      <c r="G119" s="3" t="inlineStr">
        <is>
          <t>2026-05</t>
        </is>
      </c>
      <c r="H119" s="16" t="n">
        <v>93601.98</v>
      </c>
      <c r="I119" s="3" t="inlineStr">
        <is>
          <t>closed</t>
        </is>
      </c>
    </row>
    <row r="120">
      <c r="A120" s="17" t="inlineStr">
        <is>
          <t>5f828e02-5026-5d23-aef5-94cde9edc419</t>
        </is>
      </c>
      <c r="B120" s="17" t="inlineStr">
        <is>
          <t>CANON-202510-001727</t>
        </is>
      </c>
      <c r="C120" s="17" t="inlineStr">
        <is>
          <t>Mireille Chattopadhyay</t>
        </is>
      </c>
      <c r="D120" s="17" t="inlineStr">
        <is>
          <t>OR</t>
        </is>
      </c>
      <c r="E120" s="17" t="inlineStr">
        <is>
          <t>d4bbf580-ee27-518b-9850-9668952bbb41</t>
        </is>
      </c>
      <c r="F120" s="17" t="inlineStr">
        <is>
          <t>2026-05-04</t>
        </is>
      </c>
      <c r="G120" s="17" t="inlineStr">
        <is>
          <t>2026-05</t>
        </is>
      </c>
      <c r="H120" s="18" t="n">
        <v>19277.77</v>
      </c>
      <c r="I120" s="17" t="inlineStr">
        <is>
          <t>open</t>
        </is>
      </c>
    </row>
    <row r="121">
      <c r="A121" s="3" t="inlineStr">
        <is>
          <t>a03fe524-ae19-5419-b790-ac0fe4262970</t>
        </is>
      </c>
      <c r="B121" s="3" t="inlineStr">
        <is>
          <t>CANON-202603-005088</t>
        </is>
      </c>
      <c r="C121" s="3" t="inlineStr">
        <is>
          <t>Everett Farkas</t>
        </is>
      </c>
      <c r="D121" s="3" t="inlineStr">
        <is>
          <t>NH</t>
        </is>
      </c>
      <c r="E121" s="3" t="inlineStr">
        <is>
          <t>80978140-84a7-569a-a05f-e9f4687f122e</t>
        </is>
      </c>
      <c r="F121" s="3" t="inlineStr">
        <is>
          <t>2026-05-04</t>
        </is>
      </c>
      <c r="G121" s="3" t="inlineStr">
        <is>
          <t>2026-05</t>
        </is>
      </c>
      <c r="H121" s="16" t="n">
        <v>12856.2</v>
      </c>
      <c r="I121" s="3" t="inlineStr">
        <is>
          <t>open</t>
        </is>
      </c>
    </row>
    <row r="122">
      <c r="A122" s="17" t="inlineStr">
        <is>
          <t>b7dcc699-7651-5766-8237-1f906c08e93c</t>
        </is>
      </c>
      <c r="B122" s="17" t="inlineStr">
        <is>
          <t>CANON-202511-001781</t>
        </is>
      </c>
      <c r="C122" s="17" t="inlineStr">
        <is>
          <t>Desmond Rourke</t>
        </is>
      </c>
      <c r="D122" s="17" t="inlineStr">
        <is>
          <t>MN</t>
        </is>
      </c>
      <c r="E122" s="17" t="inlineStr">
        <is>
          <t>610c905e-7d27-56ae-a7c2-b8952f688cba</t>
        </is>
      </c>
      <c r="F122" s="17" t="inlineStr">
        <is>
          <t>2026-05-05</t>
        </is>
      </c>
      <c r="G122" s="17" t="inlineStr">
        <is>
          <t>2026-05</t>
        </is>
      </c>
      <c r="H122" s="18" t="n">
        <v>26248.25</v>
      </c>
      <c r="I122" s="17" t="inlineStr">
        <is>
          <t>closed</t>
        </is>
      </c>
    </row>
    <row r="123">
      <c r="A123" s="3" t="inlineStr">
        <is>
          <t>eeac5093-8852-511b-af45-036412f111fe</t>
        </is>
      </c>
      <c r="B123" s="3" t="inlineStr">
        <is>
          <t>CANON-202508-000548</t>
        </is>
      </c>
      <c r="C123" s="3" t="inlineStr">
        <is>
          <t>Anouk Nakashima</t>
        </is>
      </c>
      <c r="D123" s="3" t="inlineStr">
        <is>
          <t>GA</t>
        </is>
      </c>
      <c r="E123" s="3" t="inlineStr">
        <is>
          <t>0fff1a25-7e27-5211-b35c-06d6161dcb7a</t>
        </is>
      </c>
      <c r="F123" s="3" t="inlineStr">
        <is>
          <t>2026-05-07</t>
        </is>
      </c>
      <c r="G123" s="3" t="inlineStr">
        <is>
          <t>2026-05</t>
        </is>
      </c>
      <c r="H123" s="16" t="n">
        <v>17062.86</v>
      </c>
      <c r="I123" s="3" t="inlineStr">
        <is>
          <t>open</t>
        </is>
      </c>
    </row>
    <row r="124">
      <c r="A124" s="17" t="inlineStr">
        <is>
          <t>c4af762a-8aa8-51b6-a4c4-28a2dc7d60c5</t>
        </is>
      </c>
      <c r="B124" s="17" t="inlineStr">
        <is>
          <t>CANON-202601-003195</t>
        </is>
      </c>
      <c r="C124" s="17" t="inlineStr">
        <is>
          <t>Aurelio Vandermeer</t>
        </is>
      </c>
      <c r="D124" s="17" t="inlineStr">
        <is>
          <t>LA</t>
        </is>
      </c>
      <c r="E124" s="17" t="inlineStr">
        <is>
          <t>89ade52f-1d6c-5b94-832b-124e9d0a6a49</t>
        </is>
      </c>
      <c r="F124" s="17" t="inlineStr">
        <is>
          <t>2026-05-07</t>
        </is>
      </c>
      <c r="G124" s="17" t="inlineStr">
        <is>
          <t>2026-05</t>
        </is>
      </c>
      <c r="H124" s="18" t="n">
        <v>15422.81</v>
      </c>
      <c r="I124" s="17" t="inlineStr">
        <is>
          <t>closed</t>
        </is>
      </c>
    </row>
    <row r="125">
      <c r="A125" s="3" t="inlineStr">
        <is>
          <t>93af198f-1ad0-5d22-9ed3-3ddaf64aa06d</t>
        </is>
      </c>
      <c r="B125" s="3" t="inlineStr">
        <is>
          <t>CANON-202512-003020</t>
        </is>
      </c>
      <c r="C125" s="3" t="inlineStr">
        <is>
          <t>Priya Bellandi</t>
        </is>
      </c>
      <c r="D125" s="3" t="inlineStr">
        <is>
          <t>FL</t>
        </is>
      </c>
      <c r="E125" s="3" t="inlineStr">
        <is>
          <t>07f08c28-5bfe-588a-9dd9-4d509982829e</t>
        </is>
      </c>
      <c r="F125" s="3" t="inlineStr">
        <is>
          <t>2026-05-08</t>
        </is>
      </c>
      <c r="G125" s="3" t="inlineStr">
        <is>
          <t>2026-05</t>
        </is>
      </c>
      <c r="H125" s="16" t="n">
        <v>38291.55</v>
      </c>
      <c r="I125" s="3" t="inlineStr">
        <is>
          <t>closed</t>
        </is>
      </c>
    </row>
    <row r="126">
      <c r="A126" s="17" t="inlineStr">
        <is>
          <t>2850e795-2fa7-5da2-8174-5b8d3649db71</t>
        </is>
      </c>
      <c r="B126" s="17" t="inlineStr">
        <is>
          <t>CANON-202511-001776</t>
        </is>
      </c>
      <c r="C126" s="17" t="inlineStr">
        <is>
          <t>Sunniva Bellandi</t>
        </is>
      </c>
      <c r="D126" s="17" t="inlineStr">
        <is>
          <t>NM</t>
        </is>
      </c>
      <c r="E126" s="17" t="inlineStr">
        <is>
          <t>45c3ad19-b9b0-5828-9681-741e1a9a1149</t>
        </is>
      </c>
      <c r="F126" s="17" t="inlineStr">
        <is>
          <t>2026-05-09</t>
        </is>
      </c>
      <c r="G126" s="17" t="inlineStr">
        <is>
          <t>2026-05</t>
        </is>
      </c>
      <c r="H126" s="18" t="n">
        <v>38646.35</v>
      </c>
      <c r="I126" s="17" t="inlineStr">
        <is>
          <t>closed</t>
        </is>
      </c>
    </row>
    <row r="127">
      <c r="A127" s="3" t="inlineStr">
        <is>
          <t>a9624782-5088-5c1e-8ff1-5a1b4a063e19</t>
        </is>
      </c>
      <c r="B127" s="3" t="inlineStr">
        <is>
          <t>CANON-202601-003247</t>
        </is>
      </c>
      <c r="C127" s="3" t="inlineStr">
        <is>
          <t>Priya Harrington</t>
        </is>
      </c>
      <c r="D127" s="3" t="inlineStr">
        <is>
          <t>MA</t>
        </is>
      </c>
      <c r="E127" s="3" t="inlineStr">
        <is>
          <t>9434d1c0-6378-560e-b2f8-00b92cad26cf</t>
        </is>
      </c>
      <c r="F127" s="3" t="inlineStr">
        <is>
          <t>2026-05-13</t>
        </is>
      </c>
      <c r="G127" s="3" t="inlineStr">
        <is>
          <t>2026-05</t>
        </is>
      </c>
      <c r="H127" s="16" t="n">
        <v>131022.6</v>
      </c>
      <c r="I127" s="3" t="inlineStr">
        <is>
          <t>closed</t>
        </is>
      </c>
    </row>
    <row r="128">
      <c r="A128" s="17" t="inlineStr">
        <is>
          <t>14af7f85-1104-5cc9-afc4-f5785498bfc4</t>
        </is>
      </c>
      <c r="B128" s="17" t="inlineStr">
        <is>
          <t>CANON-202604-005685</t>
        </is>
      </c>
      <c r="C128" s="17" t="inlineStr">
        <is>
          <t>Priya Kingsford</t>
        </is>
      </c>
      <c r="D128" s="17" t="inlineStr">
        <is>
          <t>AL</t>
        </is>
      </c>
      <c r="E128" s="17" t="inlineStr">
        <is>
          <t>7ed440f5-2985-5055-9df1-a06b793a1e79</t>
        </is>
      </c>
      <c r="F128" s="17" t="inlineStr">
        <is>
          <t>2026-05-13</t>
        </is>
      </c>
      <c r="G128" s="17" t="inlineStr">
        <is>
          <t>2026-05</t>
        </is>
      </c>
      <c r="H128" s="18" t="n">
        <v>153156.25</v>
      </c>
      <c r="I128" s="17" t="inlineStr">
        <is>
          <t>open</t>
        </is>
      </c>
    </row>
    <row r="129">
      <c r="A129" s="3" t="inlineStr">
        <is>
          <t>3b65cc79-addb-56aa-96f7-c83053eda6f4</t>
        </is>
      </c>
      <c r="B129" s="3" t="inlineStr">
        <is>
          <t>CANON-202510-001529</t>
        </is>
      </c>
      <c r="C129" s="3" t="inlineStr">
        <is>
          <t>Aurelio Bellandi</t>
        </is>
      </c>
      <c r="D129" s="3" t="inlineStr">
        <is>
          <t>NJ</t>
        </is>
      </c>
      <c r="E129" s="3" t="inlineStr">
        <is>
          <t>267c81e9-f497-56a4-b64c-d38ed0f98970</t>
        </is>
      </c>
      <c r="F129" s="3" t="inlineStr">
        <is>
          <t>2026-05-14</t>
        </is>
      </c>
      <c r="G129" s="3" t="inlineStr">
        <is>
          <t>2026-05</t>
        </is>
      </c>
      <c r="H129" s="16" t="n">
        <v>190834.34</v>
      </c>
      <c r="I129" s="3" t="inlineStr">
        <is>
          <t>closed</t>
        </is>
      </c>
    </row>
    <row r="130">
      <c r="A130" s="17" t="inlineStr">
        <is>
          <t>0871dd7f-3711-5c36-852e-f7813258dd6d</t>
        </is>
      </c>
      <c r="B130" s="17" t="inlineStr">
        <is>
          <t>CANON-202605-006627</t>
        </is>
      </c>
      <c r="C130" s="17" t="inlineStr">
        <is>
          <t>Leopold Kingsford</t>
        </is>
      </c>
      <c r="D130" s="17" t="inlineStr">
        <is>
          <t>RI</t>
        </is>
      </c>
      <c r="E130" s="17" t="inlineStr">
        <is>
          <t>10441eea-8b9c-5a18-b799-bb3880d8b2b8</t>
        </is>
      </c>
      <c r="F130" s="17" t="inlineStr">
        <is>
          <t>2026-05-15</t>
        </is>
      </c>
      <c r="G130" s="17" t="inlineStr">
        <is>
          <t>2026-05</t>
        </is>
      </c>
      <c r="H130" s="18" t="n">
        <v>26727.04</v>
      </c>
      <c r="I130" s="17" t="inlineStr">
        <is>
          <t>closed</t>
        </is>
      </c>
    </row>
    <row r="131">
      <c r="A131" s="3" t="inlineStr">
        <is>
          <t>e682061d-8885-5fc0-913c-780949382142</t>
        </is>
      </c>
      <c r="B131" s="3" t="inlineStr">
        <is>
          <t>CANON-202511-002118</t>
        </is>
      </c>
      <c r="C131" s="3" t="inlineStr">
        <is>
          <t>Desmond Larsson</t>
        </is>
      </c>
      <c r="D131" s="3" t="inlineStr">
        <is>
          <t>NH</t>
        </is>
      </c>
      <c r="E131" s="3" t="inlineStr">
        <is>
          <t>9a582bdb-55dd-540b-94ea-472f160bef53</t>
        </is>
      </c>
      <c r="F131" s="3" t="inlineStr">
        <is>
          <t>2026-05-16</t>
        </is>
      </c>
      <c r="G131" s="3" t="inlineStr">
        <is>
          <t>2026-05</t>
        </is>
      </c>
      <c r="H131" s="16" t="n">
        <v>14362.8</v>
      </c>
      <c r="I131" s="3" t="inlineStr">
        <is>
          <t>closed</t>
        </is>
      </c>
    </row>
    <row r="132">
      <c r="A132" s="17" t="inlineStr">
        <is>
          <t>ee7da23d-6a96-57ce-8290-fbb04caf5c89</t>
        </is>
      </c>
      <c r="B132" s="17" t="inlineStr">
        <is>
          <t>CANON-202512-002961</t>
        </is>
      </c>
      <c r="C132" s="17" t="inlineStr">
        <is>
          <t>Ottilie Vasquez</t>
        </is>
      </c>
      <c r="D132" s="17" t="inlineStr">
        <is>
          <t>NY</t>
        </is>
      </c>
      <c r="E132" s="17" t="inlineStr">
        <is>
          <t>9c279f9b-e38b-58b7-95e5-38e1aba8d134</t>
        </is>
      </c>
      <c r="F132" s="17" t="inlineStr">
        <is>
          <t>2026-05-16</t>
        </is>
      </c>
      <c r="G132" s="17" t="inlineStr">
        <is>
          <t>2026-05</t>
        </is>
      </c>
      <c r="H132" s="18" t="n">
        <v>68558.25999999999</v>
      </c>
      <c r="I132" s="17" t="inlineStr">
        <is>
          <t>closed</t>
        </is>
      </c>
    </row>
    <row r="133">
      <c r="A133" s="3" t="inlineStr">
        <is>
          <t>457ec3a2-c14c-58d4-a032-81e6c6416180</t>
        </is>
      </c>
      <c r="B133" s="3" t="inlineStr">
        <is>
          <t>CANON-202601-003384</t>
        </is>
      </c>
      <c r="C133" s="3" t="inlineStr">
        <is>
          <t>Fitzgerald Blackwood</t>
        </is>
      </c>
      <c r="D133" s="3" t="inlineStr">
        <is>
          <t>NE</t>
        </is>
      </c>
      <c r="E133" s="3" t="inlineStr">
        <is>
          <t>80aeb148-98e1-5641-a70a-8206d51ae55e</t>
        </is>
      </c>
      <c r="F133" s="3" t="inlineStr">
        <is>
          <t>2026-05-17</t>
        </is>
      </c>
      <c r="G133" s="3" t="inlineStr">
        <is>
          <t>2026-05</t>
        </is>
      </c>
      <c r="H133" s="16" t="n">
        <v>162776.59</v>
      </c>
      <c r="I133" s="3" t="inlineStr">
        <is>
          <t>open</t>
        </is>
      </c>
    </row>
    <row r="134">
      <c r="A134" s="17" t="inlineStr">
        <is>
          <t>38d5cbce-3ac6-5536-9638-f0630b984d69</t>
        </is>
      </c>
      <c r="B134" s="17" t="inlineStr">
        <is>
          <t>CANON-202509-000713</t>
        </is>
      </c>
      <c r="C134" s="17" t="inlineStr">
        <is>
          <t>Fenwick Vasquez</t>
        </is>
      </c>
      <c r="D134" s="17" t="inlineStr">
        <is>
          <t>WA</t>
        </is>
      </c>
      <c r="E134" s="17" t="inlineStr">
        <is>
          <t>f9868474-3b94-5f7d-895d-d16572360173</t>
        </is>
      </c>
      <c r="F134" s="17" t="inlineStr">
        <is>
          <t>2026-05-19</t>
        </is>
      </c>
      <c r="G134" s="17" t="inlineStr">
        <is>
          <t>2026-05</t>
        </is>
      </c>
      <c r="H134" s="18" t="n">
        <v>7227.94</v>
      </c>
      <c r="I134" s="17" t="inlineStr">
        <is>
          <t>open</t>
        </is>
      </c>
    </row>
    <row r="135">
      <c r="A135" s="3" t="inlineStr">
        <is>
          <t>08cca165-c6e7-5c03-81f1-14909c0ed84a</t>
        </is>
      </c>
      <c r="B135" s="3" t="inlineStr">
        <is>
          <t>CANON-202510-001436</t>
        </is>
      </c>
      <c r="C135" s="3" t="inlineStr">
        <is>
          <t>Ingrid Fairweather</t>
        </is>
      </c>
      <c r="D135" s="3" t="inlineStr">
        <is>
          <t>NM</t>
        </is>
      </c>
      <c r="E135" s="3" t="inlineStr">
        <is>
          <t>0666371c-b623-503e-85c0-2590fdd9d65b</t>
        </is>
      </c>
      <c r="F135" s="3" t="inlineStr">
        <is>
          <t>2026-05-21</t>
        </is>
      </c>
      <c r="G135" s="3" t="inlineStr">
        <is>
          <t>2026-05</t>
        </is>
      </c>
      <c r="H135" s="16" t="n">
        <v>22475.17</v>
      </c>
      <c r="I135" s="3" t="inlineStr">
        <is>
          <t>closed</t>
        </is>
      </c>
    </row>
    <row r="136">
      <c r="A136" s="17" t="inlineStr">
        <is>
          <t>dbc8f6cf-2afc-5209-b1d9-b0fba4e63b59</t>
        </is>
      </c>
      <c r="B136" s="17" t="inlineStr">
        <is>
          <t>CANON-202510-001395</t>
        </is>
      </c>
      <c r="C136" s="17" t="inlineStr">
        <is>
          <t>Fitzgerald Underwood</t>
        </is>
      </c>
      <c r="D136" s="17" t="inlineStr">
        <is>
          <t>SD</t>
        </is>
      </c>
      <c r="E136" s="17" t="inlineStr">
        <is>
          <t>06bb9aa2-03f6-565d-a2b4-c69bebebf137</t>
        </is>
      </c>
      <c r="F136" s="17" t="inlineStr">
        <is>
          <t>2026-05-23</t>
        </is>
      </c>
      <c r="G136" s="17" t="inlineStr">
        <is>
          <t>2026-05</t>
        </is>
      </c>
      <c r="H136" s="18" t="n">
        <v>35180.79</v>
      </c>
      <c r="I136" s="17" t="inlineStr">
        <is>
          <t>closed</t>
        </is>
      </c>
    </row>
    <row r="137">
      <c r="A137" s="3" t="inlineStr">
        <is>
          <t>f635bf3a-20ee-5da5-9039-ef4102bcaf16</t>
        </is>
      </c>
      <c r="B137" s="3" t="inlineStr">
        <is>
          <t>CANON-202512-002826</t>
        </is>
      </c>
      <c r="C137" s="3" t="inlineStr">
        <is>
          <t>Horace Thistlewood</t>
        </is>
      </c>
      <c r="D137" s="3" t="inlineStr">
        <is>
          <t>NY</t>
        </is>
      </c>
      <c r="E137" s="3" t="inlineStr">
        <is>
          <t>1976fea2-e2fb-52e4-b1e2-354578e202c3</t>
        </is>
      </c>
      <c r="F137" s="3" t="inlineStr">
        <is>
          <t>2026-05-23</t>
        </is>
      </c>
      <c r="G137" s="3" t="inlineStr">
        <is>
          <t>2026-05</t>
        </is>
      </c>
      <c r="H137" s="16" t="n">
        <v>35502.9</v>
      </c>
      <c r="I137" s="3" t="inlineStr">
        <is>
          <t>closed</t>
        </is>
      </c>
    </row>
    <row r="138">
      <c r="A138" s="17" t="inlineStr">
        <is>
          <t>86e91dec-af3d-5b31-baff-013d5baa9b42</t>
        </is>
      </c>
      <c r="B138" s="17" t="inlineStr">
        <is>
          <t>CANON-202601-003429</t>
        </is>
      </c>
      <c r="C138" s="17" t="inlineStr">
        <is>
          <t>Wilhelmina Blackwood</t>
        </is>
      </c>
      <c r="D138" s="17" t="inlineStr">
        <is>
          <t>NC</t>
        </is>
      </c>
      <c r="E138" s="17" t="inlineStr">
        <is>
          <t>6aecd12e-13a7-527e-892a-e5330b25dced</t>
        </is>
      </c>
      <c r="F138" s="17" t="inlineStr">
        <is>
          <t>2026-05-24</t>
        </is>
      </c>
      <c r="G138" s="17" t="inlineStr">
        <is>
          <t>2026-05</t>
        </is>
      </c>
      <c r="H138" s="18" t="n">
        <v>30009.88</v>
      </c>
      <c r="I138" s="17" t="inlineStr">
        <is>
          <t>closed</t>
        </is>
      </c>
    </row>
    <row r="139">
      <c r="A139" s="3" t="inlineStr">
        <is>
          <t>21cf3323-ef48-5a85-af27-26ef5c8db5d6</t>
        </is>
      </c>
      <c r="B139" s="3" t="inlineStr">
        <is>
          <t>CANON-202603-004759</t>
        </is>
      </c>
      <c r="C139" s="3" t="inlineStr">
        <is>
          <t>Thaddeus Castellanos</t>
        </is>
      </c>
      <c r="D139" s="3" t="inlineStr">
        <is>
          <t>MI</t>
        </is>
      </c>
      <c r="E139" s="3" t="inlineStr">
        <is>
          <t>d1f79832-f42d-518a-8832-11a53573bbed</t>
        </is>
      </c>
      <c r="F139" s="3" t="inlineStr">
        <is>
          <t>2026-05-24</t>
        </is>
      </c>
      <c r="G139" s="3" t="inlineStr">
        <is>
          <t>2026-05</t>
        </is>
      </c>
      <c r="H139" s="16" t="n">
        <v>5196.38</v>
      </c>
      <c r="I139" s="3" t="inlineStr">
        <is>
          <t>closed</t>
        </is>
      </c>
    </row>
    <row r="140">
      <c r="A140" s="17" t="inlineStr">
        <is>
          <t>feca7b88-1774-5f78-9d63-eeab622dab5e</t>
        </is>
      </c>
      <c r="B140" s="17" t="inlineStr">
        <is>
          <t>CANON-202605-006013</t>
        </is>
      </c>
      <c r="C140" s="17" t="inlineStr">
        <is>
          <t>Lorenzo Rourke</t>
        </is>
      </c>
      <c r="D140" s="17" t="inlineStr">
        <is>
          <t>CO</t>
        </is>
      </c>
      <c r="E140" s="17" t="inlineStr">
        <is>
          <t>98473d3c-a4f7-53a7-a439-47fa9d38014c</t>
        </is>
      </c>
      <c r="F140" s="17" t="inlineStr">
        <is>
          <t>2026-05-24</t>
        </is>
      </c>
      <c r="G140" s="17" t="inlineStr">
        <is>
          <t>2026-05</t>
        </is>
      </c>
      <c r="H140" s="18" t="n">
        <v>5743.62</v>
      </c>
      <c r="I140" s="17" t="inlineStr">
        <is>
          <t>closed</t>
        </is>
      </c>
    </row>
    <row r="141">
      <c r="A141" s="3" t="inlineStr">
        <is>
          <t>2e0dd03b-4cb8-5668-a8b6-31b00ee9b9f5</t>
        </is>
      </c>
      <c r="B141" s="3" t="inlineStr">
        <is>
          <t>CANON-202508-000480</t>
        </is>
      </c>
      <c r="C141" s="3" t="inlineStr">
        <is>
          <t>Anouk Merriweather</t>
        </is>
      </c>
      <c r="D141" s="3" t="inlineStr">
        <is>
          <t>NV</t>
        </is>
      </c>
      <c r="E141" s="3" t="inlineStr">
        <is>
          <t>5756f356-85c7-5b9b-aca3-8f3e39b0e080</t>
        </is>
      </c>
      <c r="F141" s="3" t="inlineStr">
        <is>
          <t>2026-05-26</t>
        </is>
      </c>
      <c r="G141" s="3" t="inlineStr">
        <is>
          <t>2026-05</t>
        </is>
      </c>
      <c r="H141" s="16" t="n">
        <v>21049</v>
      </c>
      <c r="I141" s="3" t="inlineStr">
        <is>
          <t>closed</t>
        </is>
      </c>
    </row>
    <row r="142">
      <c r="A142" s="17" t="inlineStr">
        <is>
          <t>0b55902f-fef0-50ee-99e3-b40ef2120bef</t>
        </is>
      </c>
      <c r="B142" s="17" t="inlineStr">
        <is>
          <t>CANON-202602-004118</t>
        </is>
      </c>
      <c r="C142" s="17" t="inlineStr">
        <is>
          <t>Fenwick Blackwood</t>
        </is>
      </c>
      <c r="D142" s="17" t="inlineStr">
        <is>
          <t>NM</t>
        </is>
      </c>
      <c r="E142" s="17" t="inlineStr">
        <is>
          <t>39d1ab45-af08-55ea-9748-d59ac7f930e9</t>
        </is>
      </c>
      <c r="F142" s="17" t="inlineStr">
        <is>
          <t>2026-05-26</t>
        </is>
      </c>
      <c r="G142" s="17" t="inlineStr">
        <is>
          <t>2026-05</t>
        </is>
      </c>
      <c r="H142" s="18" t="n">
        <v>5458.3</v>
      </c>
      <c r="I142" s="17" t="inlineStr">
        <is>
          <t>closed</t>
        </is>
      </c>
    </row>
    <row r="143">
      <c r="A143" s="3" t="inlineStr">
        <is>
          <t>4ebb0708-98fe-58e8-8040-1b932de0ed56</t>
        </is>
      </c>
      <c r="B143" s="3" t="inlineStr">
        <is>
          <t>CANON-202603-004699</t>
        </is>
      </c>
      <c r="C143" s="3" t="inlineStr">
        <is>
          <t>Wilhelmina Vasquez</t>
        </is>
      </c>
      <c r="D143" s="3" t="inlineStr">
        <is>
          <t>VT</t>
        </is>
      </c>
      <c r="E143" s="3" t="inlineStr">
        <is>
          <t>92dc92e4-6117-5fa9-9768-6cd9b323a83a</t>
        </is>
      </c>
      <c r="F143" s="3" t="inlineStr">
        <is>
          <t>2026-05-26</t>
        </is>
      </c>
      <c r="G143" s="3" t="inlineStr">
        <is>
          <t>2026-05</t>
        </is>
      </c>
      <c r="H143" s="16" t="n">
        <v>18709.12</v>
      </c>
      <c r="I143" s="3" t="inlineStr">
        <is>
          <t>closed</t>
        </is>
      </c>
    </row>
    <row r="144">
      <c r="A144" s="17" t="inlineStr">
        <is>
          <t>1628f4cd-bdc6-50df-9579-a77d037c3470</t>
        </is>
      </c>
      <c r="B144" s="17" t="inlineStr">
        <is>
          <t>CANON-202511-002180</t>
        </is>
      </c>
      <c r="C144" s="17" t="inlineStr">
        <is>
          <t>Ottilie Montoya</t>
        </is>
      </c>
      <c r="D144" s="17" t="inlineStr">
        <is>
          <t>HI</t>
        </is>
      </c>
      <c r="E144" s="17" t="inlineStr">
        <is>
          <t>f5ec0930-3181-56b4-9605-396c1c59475b</t>
        </is>
      </c>
      <c r="F144" s="17" t="inlineStr">
        <is>
          <t>2026-05-28</t>
        </is>
      </c>
      <c r="G144" s="17" t="inlineStr">
        <is>
          <t>2026-05</t>
        </is>
      </c>
      <c r="H144" s="18" t="n">
        <v>137366.59</v>
      </c>
      <c r="I144" s="17" t="inlineStr">
        <is>
          <t>closed</t>
        </is>
      </c>
    </row>
    <row r="145">
      <c r="A145" s="3" t="inlineStr">
        <is>
          <t>0bfbdcd9-6361-5469-be03-13329185ef4d</t>
        </is>
      </c>
      <c r="B145" s="3" t="inlineStr">
        <is>
          <t>CANON-202512-002887</t>
        </is>
      </c>
      <c r="C145" s="3" t="inlineStr">
        <is>
          <t>Lorenzo Delacroix</t>
        </is>
      </c>
      <c r="D145" s="3" t="inlineStr">
        <is>
          <t>LA</t>
        </is>
      </c>
      <c r="E145" s="3" t="inlineStr">
        <is>
          <t>989be761-45da-523a-b3e7-7a9a9c4d1083</t>
        </is>
      </c>
      <c r="F145" s="3" t="inlineStr">
        <is>
          <t>2026-05-30</t>
        </is>
      </c>
      <c r="G145" s="3" t="inlineStr">
        <is>
          <t>2026-05</t>
        </is>
      </c>
      <c r="H145" s="16" t="n">
        <v>11225.04</v>
      </c>
      <c r="I145" s="3" t="inlineStr">
        <is>
          <t>open</t>
        </is>
      </c>
    </row>
    <row r="146">
      <c r="A146" s="17" t="inlineStr">
        <is>
          <t>cf5a8ffc-d917-51d2-9dde-971fefb5d9d1</t>
        </is>
      </c>
      <c r="B146" s="17" t="inlineStr">
        <is>
          <t>CANON-202601-003109</t>
        </is>
      </c>
      <c r="C146" s="17" t="inlineStr">
        <is>
          <t>Everett Montoya</t>
        </is>
      </c>
      <c r="D146" s="17" t="inlineStr">
        <is>
          <t>IN</t>
        </is>
      </c>
      <c r="E146" s="17" t="inlineStr">
        <is>
          <t>33845780-982e-5b2c-80c8-dcc25bb58aae</t>
        </is>
      </c>
      <c r="F146" s="17" t="inlineStr">
        <is>
          <t>2026-05-30</t>
        </is>
      </c>
      <c r="G146" s="17" t="inlineStr">
        <is>
          <t>2026-05</t>
        </is>
      </c>
      <c r="H146" s="18" t="n">
        <v>113720.54</v>
      </c>
      <c r="I146" s="17" t="inlineStr">
        <is>
          <t>closed</t>
        </is>
      </c>
    </row>
    <row r="147">
      <c r="A147" s="3" t="inlineStr">
        <is>
          <t>df5d54fb-5bf5-5e35-8bd7-ba2b02a7edc5</t>
        </is>
      </c>
      <c r="B147" s="3" t="inlineStr">
        <is>
          <t>CANON-202603-005081</t>
        </is>
      </c>
      <c r="C147" s="3" t="inlineStr">
        <is>
          <t>Ingrid Harrington</t>
        </is>
      </c>
      <c r="D147" s="3" t="inlineStr">
        <is>
          <t>NJ</t>
        </is>
      </c>
      <c r="E147" s="3" t="inlineStr">
        <is>
          <t>c8ddb52d-14c1-50f7-932a-4cefabb95b82</t>
        </is>
      </c>
      <c r="F147" s="3" t="inlineStr">
        <is>
          <t>2026-05-30</t>
        </is>
      </c>
      <c r="G147" s="3" t="inlineStr">
        <is>
          <t>2026-05</t>
        </is>
      </c>
      <c r="H147" s="16" t="n">
        <v>33678.63</v>
      </c>
      <c r="I147" s="3" t="inlineStr">
        <is>
          <t>closed</t>
        </is>
      </c>
    </row>
    <row r="148">
      <c r="A148" s="17" t="inlineStr">
        <is>
          <t>945170c1-935d-543c-bc18-d4e0f18ecdf0</t>
        </is>
      </c>
      <c r="B148" s="17" t="inlineStr">
        <is>
          <t>CANON-202511-002266</t>
        </is>
      </c>
      <c r="C148" s="17" t="inlineStr">
        <is>
          <t>Mireille Nakashima</t>
        </is>
      </c>
      <c r="D148" s="17" t="inlineStr">
        <is>
          <t>ND</t>
        </is>
      </c>
      <c r="E148" s="17" t="inlineStr">
        <is>
          <t>3c4ee785-35fa-5d80-9fa8-c02558178e98</t>
        </is>
      </c>
      <c r="F148" s="17" t="inlineStr">
        <is>
          <t>2026-06-02</t>
        </is>
      </c>
      <c r="G148" s="17" t="inlineStr">
        <is>
          <t>2026-06</t>
        </is>
      </c>
      <c r="H148" s="18" t="n">
        <v>27561.26</v>
      </c>
      <c r="I148" s="17" t="inlineStr">
        <is>
          <t>open</t>
        </is>
      </c>
    </row>
    <row r="149">
      <c r="A149" s="3" t="inlineStr">
        <is>
          <t>4928e6d7-46ea-5c44-a5e2-4286fc80aef1</t>
        </is>
      </c>
      <c r="B149" s="3" t="inlineStr">
        <is>
          <t>CANON-202602-004401</t>
        </is>
      </c>
      <c r="C149" s="3" t="inlineStr">
        <is>
          <t>Fitzgerald Underwood</t>
        </is>
      </c>
      <c r="D149" s="3" t="inlineStr">
        <is>
          <t>WY</t>
        </is>
      </c>
      <c r="E149" s="3" t="inlineStr">
        <is>
          <t>57511182-4d6e-5e21-9d3b-ecfb296d69b3</t>
        </is>
      </c>
      <c r="F149" s="3" t="inlineStr">
        <is>
          <t>2026-06-02</t>
        </is>
      </c>
      <c r="G149" s="3" t="inlineStr">
        <is>
          <t>2026-06</t>
        </is>
      </c>
      <c r="H149" s="16" t="n">
        <v>189297.52</v>
      </c>
      <c r="I149" s="3" t="inlineStr">
        <is>
          <t>closed</t>
        </is>
      </c>
    </row>
    <row r="150">
      <c r="A150" s="17" t="inlineStr">
        <is>
          <t>21a3dfed-0fb6-5b54-b423-013620debaae</t>
        </is>
      </c>
      <c r="B150" s="17" t="inlineStr">
        <is>
          <t>CANON-202512-002842</t>
        </is>
      </c>
      <c r="C150" s="17" t="inlineStr">
        <is>
          <t>Emiliano Fairweather</t>
        </is>
      </c>
      <c r="D150" s="17" t="inlineStr">
        <is>
          <t>ID</t>
        </is>
      </c>
      <c r="E150" s="17" t="inlineStr">
        <is>
          <t>fa116695-5df0-5e07-984b-0fc68be325cd</t>
        </is>
      </c>
      <c r="F150" s="17" t="inlineStr">
        <is>
          <t>2026-06-03</t>
        </is>
      </c>
      <c r="G150" s="17" t="inlineStr">
        <is>
          <t>2026-06</t>
        </is>
      </c>
      <c r="H150" s="18" t="n">
        <v>27926.08</v>
      </c>
      <c r="I150" s="17" t="inlineStr">
        <is>
          <t>closed</t>
        </is>
      </c>
    </row>
    <row r="151">
      <c r="A151" s="3" t="inlineStr">
        <is>
          <t>2faed2be-3088-5fd7-8e4f-5e39c1a21f9c</t>
        </is>
      </c>
      <c r="B151" s="3" t="inlineStr">
        <is>
          <t>CANON-202603-004823</t>
        </is>
      </c>
      <c r="C151" s="3" t="inlineStr">
        <is>
          <t>Desmond Nakashima</t>
        </is>
      </c>
      <c r="D151" s="3" t="inlineStr">
        <is>
          <t>IL</t>
        </is>
      </c>
      <c r="E151" s="3" t="inlineStr">
        <is>
          <t>6f73d2f1-cae6-59a6-9999-750fd1f05449</t>
        </is>
      </c>
      <c r="F151" s="3" t="inlineStr">
        <is>
          <t>2026-06-03</t>
        </is>
      </c>
      <c r="G151" s="3" t="inlineStr">
        <is>
          <t>2026-06</t>
        </is>
      </c>
      <c r="H151" s="16" t="n">
        <v>32446.63</v>
      </c>
      <c r="I151" s="3" t="inlineStr">
        <is>
          <t>closed</t>
        </is>
      </c>
    </row>
    <row r="152">
      <c r="A152" s="17" t="inlineStr">
        <is>
          <t>d81d1492-6635-5589-b0f3-342fe152017f</t>
        </is>
      </c>
      <c r="B152" s="17" t="inlineStr">
        <is>
          <t>CANON-202604-005257</t>
        </is>
      </c>
      <c r="C152" s="17" t="inlineStr">
        <is>
          <t>Fitzgerald Montoya</t>
        </is>
      </c>
      <c r="D152" s="17" t="inlineStr">
        <is>
          <t>CA</t>
        </is>
      </c>
      <c r="E152" s="17" t="inlineStr">
        <is>
          <t>07262ef2-b258-55bf-a6fb-1ab4c83c372c</t>
        </is>
      </c>
      <c r="F152" s="17" t="inlineStr">
        <is>
          <t>2026-06-04</t>
        </is>
      </c>
      <c r="G152" s="17" t="inlineStr">
        <is>
          <t>2026-06</t>
        </is>
      </c>
      <c r="H152" s="18" t="n">
        <v>37671.31</v>
      </c>
      <c r="I152" s="17" t="inlineStr">
        <is>
          <t>closed</t>
        </is>
      </c>
    </row>
    <row r="153">
      <c r="A153" s="3" t="inlineStr">
        <is>
          <t>65e2277c-fd63-51ca-ba6c-41d33ecd9129</t>
        </is>
      </c>
      <c r="B153" s="3" t="inlineStr">
        <is>
          <t>CANON-202511-001879</t>
        </is>
      </c>
      <c r="C153" s="3" t="inlineStr">
        <is>
          <t>Cassius Farkas</t>
        </is>
      </c>
      <c r="D153" s="3" t="inlineStr">
        <is>
          <t>PA</t>
        </is>
      </c>
      <c r="E153" s="3" t="inlineStr">
        <is>
          <t>01a45054-fef3-54ae-87d5-b7e3d3b5e03e</t>
        </is>
      </c>
      <c r="F153" s="3" t="inlineStr">
        <is>
          <t>2026-06-05</t>
        </is>
      </c>
      <c r="G153" s="3" t="inlineStr">
        <is>
          <t>2026-06</t>
        </is>
      </c>
      <c r="H153" s="16" t="n">
        <v>32082.92</v>
      </c>
      <c r="I153" s="3" t="inlineStr">
        <is>
          <t>closed</t>
        </is>
      </c>
    </row>
    <row r="154">
      <c r="A154" s="17" t="inlineStr">
        <is>
          <t>43ea2de9-f4ae-5ec2-9268-5dd2419b63d5</t>
        </is>
      </c>
      <c r="B154" s="17" t="inlineStr">
        <is>
          <t>CANON-202601-003109</t>
        </is>
      </c>
      <c r="C154" s="17" t="inlineStr">
        <is>
          <t>Everett Montoya</t>
        </is>
      </c>
      <c r="D154" s="17" t="inlineStr">
        <is>
          <t>IN</t>
        </is>
      </c>
      <c r="E154" s="17" t="inlineStr">
        <is>
          <t>33845780-982e-5b2c-80c8-dcc25bb58aae</t>
        </is>
      </c>
      <c r="F154" s="17" t="inlineStr">
        <is>
          <t>2026-06-05</t>
        </is>
      </c>
      <c r="G154" s="17" t="inlineStr">
        <is>
          <t>2026-06</t>
        </is>
      </c>
      <c r="H154" s="18" t="n">
        <v>566476.8199999999</v>
      </c>
      <c r="I154" s="17" t="inlineStr">
        <is>
          <t>closed</t>
        </is>
      </c>
    </row>
    <row r="155">
      <c r="A155" s="3" t="inlineStr">
        <is>
          <t>3ce78858-c592-5694-bf73-3f2f4ba6f15e</t>
        </is>
      </c>
      <c r="B155" s="3" t="inlineStr">
        <is>
          <t>CANON-202602-003899</t>
        </is>
      </c>
      <c r="C155" s="3" t="inlineStr">
        <is>
          <t>Ingrid Rourke</t>
        </is>
      </c>
      <c r="D155" s="3" t="inlineStr">
        <is>
          <t>DE</t>
        </is>
      </c>
      <c r="E155" s="3" t="inlineStr">
        <is>
          <t>26bf18e0-5e11-5eae-b869-24b4e8cd5c41</t>
        </is>
      </c>
      <c r="F155" s="3" t="inlineStr">
        <is>
          <t>2026-06-05</t>
        </is>
      </c>
      <c r="G155" s="3" t="inlineStr">
        <is>
          <t>2026-06</t>
        </is>
      </c>
      <c r="H155" s="16" t="n">
        <v>33985.77</v>
      </c>
      <c r="I155" s="3" t="inlineStr">
        <is>
          <t>closed</t>
        </is>
      </c>
    </row>
    <row r="156">
      <c r="A156" s="17" t="inlineStr">
        <is>
          <t>473179bb-468b-5695-994d-d96a818355a9</t>
        </is>
      </c>
      <c r="B156" s="17" t="inlineStr">
        <is>
          <t>CANON-202605-006192</t>
        </is>
      </c>
      <c r="C156" s="17" t="inlineStr">
        <is>
          <t>Fitzgerald Ashcombe</t>
        </is>
      </c>
      <c r="D156" s="17" t="inlineStr">
        <is>
          <t>MS</t>
        </is>
      </c>
      <c r="E156" s="17" t="inlineStr">
        <is>
          <t>fb5545ee-c6d4-5f4d-ac59-4cec7deb9ca1</t>
        </is>
      </c>
      <c r="F156" s="17" t="inlineStr">
        <is>
          <t>2026-06-08</t>
        </is>
      </c>
      <c r="G156" s="17" t="inlineStr">
        <is>
          <t>2026-06</t>
        </is>
      </c>
      <c r="H156" s="18" t="n">
        <v>38434.36</v>
      </c>
      <c r="I156" s="17" t="inlineStr">
        <is>
          <t>closed</t>
        </is>
      </c>
    </row>
    <row r="157">
      <c r="A157" s="3" t="inlineStr">
        <is>
          <t>870ee247-94af-58ec-8eb4-166c201181a9</t>
        </is>
      </c>
      <c r="B157" s="3" t="inlineStr">
        <is>
          <t>CANON-202604-005414</t>
        </is>
      </c>
      <c r="C157" s="3" t="inlineStr">
        <is>
          <t>Ramona Vandermeer</t>
        </is>
      </c>
      <c r="D157" s="3" t="inlineStr">
        <is>
          <t>AR</t>
        </is>
      </c>
      <c r="E157" s="3" t="inlineStr">
        <is>
          <t>e56a3f6f-7ac5-56cd-8f95-13bd62be6f96</t>
        </is>
      </c>
      <c r="F157" s="3" t="inlineStr">
        <is>
          <t>2026-06-09</t>
        </is>
      </c>
      <c r="G157" s="3" t="inlineStr">
        <is>
          <t>2026-06</t>
        </is>
      </c>
      <c r="H157" s="16" t="n">
        <v>13977.43</v>
      </c>
      <c r="I157" s="3" t="inlineStr">
        <is>
          <t>closed</t>
        </is>
      </c>
    </row>
    <row r="158">
      <c r="A158" s="17" t="inlineStr">
        <is>
          <t>0a5cebb9-720e-5e44-b756-fffa2910975a</t>
        </is>
      </c>
      <c r="B158" s="17" t="inlineStr">
        <is>
          <t>CANON-202605-006341</t>
        </is>
      </c>
      <c r="C158" s="17" t="inlineStr">
        <is>
          <t>Marisol Bellandi</t>
        </is>
      </c>
      <c r="D158" s="17" t="inlineStr">
        <is>
          <t>WA</t>
        </is>
      </c>
      <c r="E158" s="17" t="inlineStr">
        <is>
          <t>ae75bf61-7afc-50c5-acc8-01629ee7479b</t>
        </is>
      </c>
      <c r="F158" s="17" t="inlineStr">
        <is>
          <t>2026-06-09</t>
        </is>
      </c>
      <c r="G158" s="17" t="inlineStr">
        <is>
          <t>2026-06</t>
        </is>
      </c>
      <c r="H158" s="18" t="n">
        <v>39264.55</v>
      </c>
      <c r="I158" s="17" t="inlineStr">
        <is>
          <t>closed</t>
        </is>
      </c>
    </row>
    <row r="159">
      <c r="A159" s="3" t="inlineStr">
        <is>
          <t>f707395c-6109-53d7-943e-15115916ff24</t>
        </is>
      </c>
      <c r="B159" s="3" t="inlineStr">
        <is>
          <t>CANON-202511-001886</t>
        </is>
      </c>
      <c r="C159" s="3" t="inlineStr">
        <is>
          <t>Noor Blackwood</t>
        </is>
      </c>
      <c r="D159" s="3" t="inlineStr">
        <is>
          <t>CT</t>
        </is>
      </c>
      <c r="E159" s="3" t="inlineStr">
        <is>
          <t>084934d1-fdf6-50d6-b48a-09d3d138a7de</t>
        </is>
      </c>
      <c r="F159" s="3" t="inlineStr">
        <is>
          <t>2026-06-10</t>
        </is>
      </c>
      <c r="G159" s="3" t="inlineStr">
        <is>
          <t>2026-06</t>
        </is>
      </c>
      <c r="H159" s="16" t="n">
        <v>20257.52</v>
      </c>
      <c r="I159" s="3" t="inlineStr">
        <is>
          <t>closed</t>
        </is>
      </c>
    </row>
    <row r="160">
      <c r="A160" s="17" t="inlineStr">
        <is>
          <t>f5670f4c-2c6f-5614-b656-6b14ac2e8437</t>
        </is>
      </c>
      <c r="B160" s="17" t="inlineStr">
        <is>
          <t>CANON-202512-002670</t>
        </is>
      </c>
      <c r="C160" s="17" t="inlineStr">
        <is>
          <t>Priya Whitlock</t>
        </is>
      </c>
      <c r="D160" s="17" t="inlineStr">
        <is>
          <t>NY</t>
        </is>
      </c>
      <c r="E160" s="17" t="inlineStr">
        <is>
          <t>ad5713cf-f89a-5495-beb7-70c7ac02cb9f</t>
        </is>
      </c>
      <c r="F160" s="17" t="inlineStr">
        <is>
          <t>2026-06-13</t>
        </is>
      </c>
      <c r="G160" s="17" t="inlineStr">
        <is>
          <t>2026-06</t>
        </is>
      </c>
      <c r="H160" s="18" t="n">
        <v>8704.290000000001</v>
      </c>
      <c r="I160" s="17" t="inlineStr">
        <is>
          <t>closed</t>
        </is>
      </c>
    </row>
    <row r="161">
      <c r="A161" s="3" t="inlineStr">
        <is>
          <t>9883f7cb-261d-5c87-97ed-585ca354534f</t>
        </is>
      </c>
      <c r="B161" s="3" t="inlineStr">
        <is>
          <t>CANON-202603-005040</t>
        </is>
      </c>
      <c r="C161" s="3" t="inlineStr">
        <is>
          <t>Fitzgerald Ashcombe</t>
        </is>
      </c>
      <c r="D161" s="3" t="inlineStr">
        <is>
          <t>ND</t>
        </is>
      </c>
      <c r="E161" s="3" t="inlineStr">
        <is>
          <t>377f2c3d-2be8-53f4-83c7-10424ad4c32d</t>
        </is>
      </c>
      <c r="F161" s="3" t="inlineStr">
        <is>
          <t>2026-06-13</t>
        </is>
      </c>
      <c r="G161" s="3" t="inlineStr">
        <is>
          <t>2026-06</t>
        </is>
      </c>
      <c r="H161" s="16" t="n">
        <v>170994.3</v>
      </c>
      <c r="I161" s="3" t="inlineStr">
        <is>
          <t>closed</t>
        </is>
      </c>
    </row>
    <row r="162">
      <c r="A162" s="17" t="inlineStr">
        <is>
          <t>490f2c7e-9547-5910-ad9e-c9463aacd36d</t>
        </is>
      </c>
      <c r="B162" s="17" t="inlineStr">
        <is>
          <t>CANON-202512-002469</t>
        </is>
      </c>
      <c r="C162" s="17" t="inlineStr">
        <is>
          <t>Mireille Harrington</t>
        </is>
      </c>
      <c r="D162" s="17" t="inlineStr">
        <is>
          <t>NY</t>
        </is>
      </c>
      <c r="E162" s="17" t="inlineStr">
        <is>
          <t>b2df0bed-0501-5a83-bb65-bd2d3168bc8f</t>
        </is>
      </c>
      <c r="F162" s="17" t="inlineStr">
        <is>
          <t>2026-06-14</t>
        </is>
      </c>
      <c r="G162" s="17" t="inlineStr">
        <is>
          <t>2026-06</t>
        </is>
      </c>
      <c r="H162" s="18" t="n">
        <v>19614.23</v>
      </c>
      <c r="I162" s="17" t="inlineStr">
        <is>
          <t>open</t>
        </is>
      </c>
    </row>
    <row r="163">
      <c r="A163" s="3" t="inlineStr">
        <is>
          <t>e26b0642-e49b-53ad-ae43-4c581219f35a</t>
        </is>
      </c>
      <c r="B163" s="3" t="inlineStr">
        <is>
          <t>CANON-202512-002999</t>
        </is>
      </c>
      <c r="C163" s="3" t="inlineStr">
        <is>
          <t>Anouk Vandermeer</t>
        </is>
      </c>
      <c r="D163" s="3" t="inlineStr">
        <is>
          <t>MI</t>
        </is>
      </c>
      <c r="E163" s="3" t="inlineStr">
        <is>
          <t>9c729eb1-bac3-508d-93de-c54d263c68a0</t>
        </is>
      </c>
      <c r="F163" s="3" t="inlineStr">
        <is>
          <t>2026-06-14</t>
        </is>
      </c>
      <c r="G163" s="3" t="inlineStr">
        <is>
          <t>2026-06</t>
        </is>
      </c>
      <c r="H163" s="16" t="n">
        <v>28568.27</v>
      </c>
      <c r="I163" s="3" t="inlineStr">
        <is>
          <t>closed</t>
        </is>
      </c>
    </row>
    <row r="164">
      <c r="A164" s="17" t="inlineStr">
        <is>
          <t>4e87ff96-f8ab-5e75-9b3d-45dc9e47491c</t>
        </is>
      </c>
      <c r="B164" s="17" t="inlineStr">
        <is>
          <t>CANON-202511-001960</t>
        </is>
      </c>
      <c r="C164" s="17" t="inlineStr">
        <is>
          <t>Delphine Whitlock</t>
        </is>
      </c>
      <c r="D164" s="17" t="inlineStr">
        <is>
          <t>ID</t>
        </is>
      </c>
      <c r="E164" s="17" t="inlineStr">
        <is>
          <t>cf3705df-33ca-5d53-9c54-76e06f80e63b</t>
        </is>
      </c>
      <c r="F164" s="17" t="inlineStr">
        <is>
          <t>2026-06-15</t>
        </is>
      </c>
      <c r="G164" s="17" t="inlineStr">
        <is>
          <t>2026-06</t>
        </is>
      </c>
      <c r="H164" s="18" t="n">
        <v>572751.26</v>
      </c>
      <c r="I164" s="17" t="inlineStr">
        <is>
          <t>closed</t>
        </is>
      </c>
    </row>
    <row r="165">
      <c r="A165" s="3" t="inlineStr">
        <is>
          <t>11d6d02d-c4e3-5b4b-b0ef-e2aba3362d1d</t>
        </is>
      </c>
      <c r="B165" s="3" t="inlineStr">
        <is>
          <t>CANON-202604-005676</t>
        </is>
      </c>
      <c r="C165" s="3" t="inlineStr">
        <is>
          <t>Fenwick Farkas</t>
        </is>
      </c>
      <c r="D165" s="3" t="inlineStr">
        <is>
          <t>FL</t>
        </is>
      </c>
      <c r="E165" s="3" t="inlineStr">
        <is>
          <t>0bd9f257-bcef-5c5c-b502-72bcf6c53b99</t>
        </is>
      </c>
      <c r="F165" s="3" t="inlineStr">
        <is>
          <t>2026-06-15</t>
        </is>
      </c>
      <c r="G165" s="3" t="inlineStr">
        <is>
          <t>2026-06</t>
        </is>
      </c>
      <c r="H165" s="16" t="n">
        <v>28172.4</v>
      </c>
      <c r="I165" s="3" t="inlineStr">
        <is>
          <t>closed</t>
        </is>
      </c>
    </row>
    <row r="166">
      <c r="A166" s="17" t="inlineStr">
        <is>
          <t>f8b342a0-1893-5817-bb65-b716d4c83fe1</t>
        </is>
      </c>
      <c r="B166" s="17" t="inlineStr">
        <is>
          <t>CANON-202602-003736</t>
        </is>
      </c>
      <c r="C166" s="17" t="inlineStr">
        <is>
          <t>Desmond Farkas</t>
        </is>
      </c>
      <c r="D166" s="17" t="inlineStr">
        <is>
          <t>CA</t>
        </is>
      </c>
      <c r="E166" s="17" t="inlineStr">
        <is>
          <t>eeb1d12e-98f4-5bb3-9bc1-ab613f561dc5</t>
        </is>
      </c>
      <c r="F166" s="17" t="inlineStr">
        <is>
          <t>2026-06-16</t>
        </is>
      </c>
      <c r="G166" s="17" t="inlineStr">
        <is>
          <t>2026-06</t>
        </is>
      </c>
      <c r="H166" s="18" t="n">
        <v>26492.12</v>
      </c>
      <c r="I166" s="17" t="inlineStr">
        <is>
          <t>closed</t>
        </is>
      </c>
    </row>
    <row r="167">
      <c r="A167" s="3" t="inlineStr">
        <is>
          <t>b0bf9720-0460-589e-ab6d-650996de6bf5</t>
        </is>
      </c>
      <c r="B167" s="3" t="inlineStr">
        <is>
          <t>CANON-202602-003793</t>
        </is>
      </c>
      <c r="C167" s="3" t="inlineStr">
        <is>
          <t>Priya Farkas</t>
        </is>
      </c>
      <c r="D167" s="3" t="inlineStr">
        <is>
          <t>AK</t>
        </is>
      </c>
      <c r="E167" s="3" t="inlineStr">
        <is>
          <t>d7529b09-7dd3-5a89-b368-baedb26a70a1</t>
        </is>
      </c>
      <c r="F167" s="3" t="inlineStr">
        <is>
          <t>2026-06-17</t>
        </is>
      </c>
      <c r="G167" s="3" t="inlineStr">
        <is>
          <t>2026-06</t>
        </is>
      </c>
      <c r="H167" s="16" t="n">
        <v>87755.25</v>
      </c>
      <c r="I167" s="3" t="inlineStr">
        <is>
          <t>closed</t>
        </is>
      </c>
    </row>
    <row r="168">
      <c r="A168" s="17" t="inlineStr">
        <is>
          <t>742dae5d-2406-5608-8054-2bed6e3c657d</t>
        </is>
      </c>
      <c r="B168" s="17" t="inlineStr">
        <is>
          <t>CANON-202603-004798</t>
        </is>
      </c>
      <c r="C168" s="17" t="inlineStr">
        <is>
          <t>Callum Rourke</t>
        </is>
      </c>
      <c r="D168" s="17" t="inlineStr">
        <is>
          <t>FL</t>
        </is>
      </c>
      <c r="E168" s="17" t="inlineStr">
        <is>
          <t>494db79c-5f42-5946-9bab-09d497b1a6fb</t>
        </is>
      </c>
      <c r="F168" s="17" t="inlineStr">
        <is>
          <t>2026-06-19</t>
        </is>
      </c>
      <c r="G168" s="17" t="inlineStr">
        <is>
          <t>2026-06</t>
        </is>
      </c>
      <c r="H168" s="18" t="n">
        <v>211723.67</v>
      </c>
      <c r="I168" s="17" t="inlineStr">
        <is>
          <t>closed</t>
        </is>
      </c>
    </row>
    <row r="169">
      <c r="A169" s="3" t="inlineStr">
        <is>
          <t>63f1bb40-b6dd-53ff-90bc-10c75b192f44</t>
        </is>
      </c>
      <c r="B169" s="3" t="inlineStr">
        <is>
          <t>CANON-202603-004691</t>
        </is>
      </c>
      <c r="C169" s="3" t="inlineStr">
        <is>
          <t>Horace Vandermeer</t>
        </is>
      </c>
      <c r="D169" s="3" t="inlineStr">
        <is>
          <t>SD</t>
        </is>
      </c>
      <c r="E169" s="3" t="inlineStr">
        <is>
          <t>5d103f4e-511f-50b9-9526-778a2761934a</t>
        </is>
      </c>
      <c r="F169" s="3" t="inlineStr">
        <is>
          <t>2026-06-20</t>
        </is>
      </c>
      <c r="G169" s="3" t="inlineStr">
        <is>
          <t>2026-06</t>
        </is>
      </c>
      <c r="H169" s="16" t="n">
        <v>16851.91</v>
      </c>
      <c r="I169" s="3" t="inlineStr">
        <is>
          <t>closed</t>
        </is>
      </c>
    </row>
    <row r="170">
      <c r="A170" s="17" t="inlineStr">
        <is>
          <t>fd07b067-3dd2-593a-a440-71e799688408</t>
        </is>
      </c>
      <c r="B170" s="17" t="inlineStr">
        <is>
          <t>CANON-202605-006627</t>
        </is>
      </c>
      <c r="C170" s="17" t="inlineStr">
        <is>
          <t>Leopold Kingsford</t>
        </is>
      </c>
      <c r="D170" s="17" t="inlineStr">
        <is>
          <t>RI</t>
        </is>
      </c>
      <c r="E170" s="17" t="inlineStr">
        <is>
          <t>10441eea-8b9c-5a18-b799-bb3880d8b2b8</t>
        </is>
      </c>
      <c r="F170" s="17" t="inlineStr">
        <is>
          <t>2026-06-20</t>
        </is>
      </c>
      <c r="G170" s="17" t="inlineStr">
        <is>
          <t>2026-06</t>
        </is>
      </c>
      <c r="H170" s="18" t="n">
        <v>39156.9</v>
      </c>
      <c r="I170" s="17" t="inlineStr">
        <is>
          <t>closed</t>
        </is>
      </c>
    </row>
    <row r="171">
      <c r="A171" s="3" t="inlineStr">
        <is>
          <t>e75b5955-866b-5ca6-92b0-34649ad5977a</t>
        </is>
      </c>
      <c r="B171" s="3" t="inlineStr">
        <is>
          <t>CANON-202601-003603</t>
        </is>
      </c>
      <c r="C171" s="3" t="inlineStr">
        <is>
          <t>Priya Vasquez</t>
        </is>
      </c>
      <c r="D171" s="3" t="inlineStr">
        <is>
          <t>TX</t>
        </is>
      </c>
      <c r="E171" s="3" t="inlineStr">
        <is>
          <t>a0243c25-f615-5b7a-8fde-f42898d96f37</t>
        </is>
      </c>
      <c r="F171" s="3" t="inlineStr">
        <is>
          <t>2026-06-21</t>
        </is>
      </c>
      <c r="G171" s="3" t="inlineStr">
        <is>
          <t>2026-06</t>
        </is>
      </c>
      <c r="H171" s="16" t="n">
        <v>22866.6</v>
      </c>
      <c r="I171" s="3" t="inlineStr">
        <is>
          <t>closed</t>
        </is>
      </c>
    </row>
    <row r="172">
      <c r="A172" s="17" t="inlineStr">
        <is>
          <t>e6657621-0557-5799-8c01-1a016649cb5c</t>
        </is>
      </c>
      <c r="B172" s="17" t="inlineStr">
        <is>
          <t>CANON-202606-007231</t>
        </is>
      </c>
      <c r="C172" s="17" t="inlineStr">
        <is>
          <t>Lorenzo Farkas</t>
        </is>
      </c>
      <c r="D172" s="17" t="inlineStr">
        <is>
          <t>WA</t>
        </is>
      </c>
      <c r="E172" s="17" t="inlineStr">
        <is>
          <t>508473a0-ae90-507d-94b2-9c08d4cf62d9</t>
        </is>
      </c>
      <c r="F172" s="17" t="inlineStr">
        <is>
          <t>2026-06-21</t>
        </is>
      </c>
      <c r="G172" s="17" t="inlineStr">
        <is>
          <t>2026-06</t>
        </is>
      </c>
      <c r="H172" s="18" t="n">
        <v>40017.39</v>
      </c>
      <c r="I172" s="17" t="inlineStr">
        <is>
          <t>open</t>
        </is>
      </c>
    </row>
    <row r="173">
      <c r="A173" s="3" t="inlineStr">
        <is>
          <t>c69cb688-666f-537f-875a-43f8a0c61821</t>
        </is>
      </c>
      <c r="B173" s="3" t="inlineStr">
        <is>
          <t>CANON-202510-001475</t>
        </is>
      </c>
      <c r="C173" s="3" t="inlineStr">
        <is>
          <t>Ingrid Farkas</t>
        </is>
      </c>
      <c r="D173" s="3" t="inlineStr">
        <is>
          <t>RI</t>
        </is>
      </c>
      <c r="E173" s="3" t="inlineStr">
        <is>
          <t>541074d7-85cd-5247-ac53-ed4febc54c93</t>
        </is>
      </c>
      <c r="F173" s="3" t="inlineStr">
        <is>
          <t>2026-06-22</t>
        </is>
      </c>
      <c r="G173" s="3" t="inlineStr">
        <is>
          <t>2026-06</t>
        </is>
      </c>
      <c r="H173" s="16" t="n">
        <v>102091.46</v>
      </c>
      <c r="I173" s="3" t="inlineStr">
        <is>
          <t>open</t>
        </is>
      </c>
    </row>
    <row r="174">
      <c r="A174" s="17" t="inlineStr">
        <is>
          <t>2c56d464-6743-5665-9b80-07b959b878f5</t>
        </is>
      </c>
      <c r="B174" s="17" t="inlineStr">
        <is>
          <t>CANON-202508-000266</t>
        </is>
      </c>
      <c r="C174" s="17" t="inlineStr">
        <is>
          <t>Fenwick Castellanos</t>
        </is>
      </c>
      <c r="D174" s="17" t="inlineStr">
        <is>
          <t>UT</t>
        </is>
      </c>
      <c r="E174" s="17" t="inlineStr">
        <is>
          <t>1b005a3a-63f3-54c6-80ab-a263218d9201</t>
        </is>
      </c>
      <c r="F174" s="17" t="inlineStr">
        <is>
          <t>2026-06-23</t>
        </is>
      </c>
      <c r="G174" s="17" t="inlineStr">
        <is>
          <t>2026-06</t>
        </is>
      </c>
      <c r="H174" s="18" t="n">
        <v>7444.52</v>
      </c>
      <c r="I174" s="17" t="inlineStr">
        <is>
          <t>closed</t>
        </is>
      </c>
    </row>
    <row r="175">
      <c r="A175" s="3" t="inlineStr">
        <is>
          <t>63948669-31c4-5815-9b49-25a8133028dc</t>
        </is>
      </c>
      <c r="B175" s="3" t="inlineStr">
        <is>
          <t>CANON-202511-002236</t>
        </is>
      </c>
      <c r="C175" s="3" t="inlineStr">
        <is>
          <t>Mireille Nakashima</t>
        </is>
      </c>
      <c r="D175" s="3" t="inlineStr">
        <is>
          <t>CO</t>
        </is>
      </c>
      <c r="E175" s="3" t="inlineStr">
        <is>
          <t>e02d63d0-70eb-5233-9d13-afda6ee21f70</t>
        </is>
      </c>
      <c r="F175" s="3" t="inlineStr">
        <is>
          <t>2026-06-23</t>
        </is>
      </c>
      <c r="G175" s="3" t="inlineStr">
        <is>
          <t>2026-06</t>
        </is>
      </c>
      <c r="H175" s="16" t="n">
        <v>93085.91</v>
      </c>
      <c r="I175" s="3" t="inlineStr">
        <is>
          <t>closed</t>
        </is>
      </c>
    </row>
    <row r="176">
      <c r="A176" s="17" t="inlineStr">
        <is>
          <t>761d3229-130d-5fd8-80c7-ed1717aebac3</t>
        </is>
      </c>
      <c r="B176" s="17" t="inlineStr">
        <is>
          <t>CANON-202606-006937</t>
        </is>
      </c>
      <c r="C176" s="17" t="inlineStr">
        <is>
          <t>Noor Thistlewood</t>
        </is>
      </c>
      <c r="D176" s="17" t="inlineStr">
        <is>
          <t>AZ</t>
        </is>
      </c>
      <c r="E176" s="17" t="inlineStr">
        <is>
          <t>6c923566-dd3a-5668-b1b2-7f63c1cefdb3</t>
        </is>
      </c>
      <c r="F176" s="17" t="inlineStr">
        <is>
          <t>2026-06-23</t>
        </is>
      </c>
      <c r="G176" s="17" t="inlineStr">
        <is>
          <t>2026-06</t>
        </is>
      </c>
      <c r="H176" s="18" t="n">
        <v>19430.35</v>
      </c>
      <c r="I176" s="17" t="inlineStr">
        <is>
          <t>closed</t>
        </is>
      </c>
    </row>
    <row r="177">
      <c r="A177" s="3" t="inlineStr">
        <is>
          <t>b2a1e60f-1bbd-55cc-aa8c-6c14cdde3dbf</t>
        </is>
      </c>
      <c r="B177" s="3" t="inlineStr">
        <is>
          <t>CANON-202604-005722</t>
        </is>
      </c>
      <c r="C177" s="3" t="inlineStr">
        <is>
          <t>Delphine Vasquez</t>
        </is>
      </c>
      <c r="D177" s="3" t="inlineStr">
        <is>
          <t>TN</t>
        </is>
      </c>
      <c r="E177" s="3" t="inlineStr">
        <is>
          <t>d945b11f-6d77-5f61-ba0d-384a257fe6a3</t>
        </is>
      </c>
      <c r="F177" s="3" t="inlineStr">
        <is>
          <t>2026-06-25</t>
        </is>
      </c>
      <c r="G177" s="3" t="inlineStr">
        <is>
          <t>2026-06</t>
        </is>
      </c>
      <c r="H177" s="16" t="n">
        <v>6698.68</v>
      </c>
      <c r="I177" s="3" t="inlineStr">
        <is>
          <t>closed</t>
        </is>
      </c>
    </row>
    <row r="178">
      <c r="A178" s="17" t="inlineStr">
        <is>
          <t>71e40481-23e7-5910-a96e-9d099f9d9aa3</t>
        </is>
      </c>
      <c r="B178" s="17" t="inlineStr">
        <is>
          <t>CANON-202601-003394</t>
        </is>
      </c>
      <c r="C178" s="17" t="inlineStr">
        <is>
          <t>Ramona Delacroix</t>
        </is>
      </c>
      <c r="D178" s="17" t="inlineStr">
        <is>
          <t>SD</t>
        </is>
      </c>
      <c r="E178" s="17" t="inlineStr">
        <is>
          <t>f8ac739b-415b-5c83-8e6b-d274c185d08c</t>
        </is>
      </c>
      <c r="F178" s="17" t="inlineStr">
        <is>
          <t>2026-06-26</t>
        </is>
      </c>
      <c r="G178" s="17" t="inlineStr">
        <is>
          <t>2026-06</t>
        </is>
      </c>
      <c r="H178" s="18" t="n">
        <v>29367.47</v>
      </c>
      <c r="I178" s="17" t="inlineStr">
        <is>
          <t>closed</t>
        </is>
      </c>
    </row>
    <row r="179">
      <c r="A179" s="3" t="inlineStr">
        <is>
          <t>e71f419c-7a35-5e47-bb5b-560413dec5a2</t>
        </is>
      </c>
      <c r="B179" s="3" t="inlineStr">
        <is>
          <t>CANON-202603-004997</t>
        </is>
      </c>
      <c r="C179" s="3" t="inlineStr">
        <is>
          <t>Aurelio Chattopadhyay</t>
        </is>
      </c>
      <c r="D179" s="3" t="inlineStr">
        <is>
          <t>MA</t>
        </is>
      </c>
      <c r="E179" s="3" t="inlineStr">
        <is>
          <t>ecbf8a73-6d2d-5daa-8cfd-bec7037bf61e</t>
        </is>
      </c>
      <c r="F179" s="3" t="inlineStr">
        <is>
          <t>2026-06-26</t>
        </is>
      </c>
      <c r="G179" s="3" t="inlineStr">
        <is>
          <t>2026-06</t>
        </is>
      </c>
      <c r="H179" s="16" t="n">
        <v>11422.34</v>
      </c>
      <c r="I179" s="3" t="inlineStr">
        <is>
          <t>closed</t>
        </is>
      </c>
    </row>
    <row r="180">
      <c r="A180" s="17" t="inlineStr">
        <is>
          <t>9456670f-2cb6-5f5a-a8e6-34e3d8b33b1c</t>
        </is>
      </c>
      <c r="B180" s="17" t="inlineStr">
        <is>
          <t>CANON-202511-002305</t>
        </is>
      </c>
      <c r="C180" s="17" t="inlineStr">
        <is>
          <t>Everett Rourke</t>
        </is>
      </c>
      <c r="D180" s="17" t="inlineStr">
        <is>
          <t>WV</t>
        </is>
      </c>
      <c r="E180" s="17" t="inlineStr">
        <is>
          <t>5750ecb7-8d0a-515f-89f8-825a8f7c9ad6</t>
        </is>
      </c>
      <c r="F180" s="17" t="inlineStr">
        <is>
          <t>2026-06-27</t>
        </is>
      </c>
      <c r="G180" s="17" t="inlineStr">
        <is>
          <t>2026-06</t>
        </is>
      </c>
      <c r="H180" s="18" t="n">
        <v>16534.85</v>
      </c>
      <c r="I180" s="17" t="inlineStr">
        <is>
          <t>closed</t>
        </is>
      </c>
    </row>
    <row r="181">
      <c r="A181" s="3" t="inlineStr">
        <is>
          <t>c7137aa4-0e0d-5b8f-a6ba-315ae5107d5d</t>
        </is>
      </c>
      <c r="B181" s="3" t="inlineStr">
        <is>
          <t>CANON-202603-004596</t>
        </is>
      </c>
      <c r="C181" s="3" t="inlineStr">
        <is>
          <t>Mireille Montoya</t>
        </is>
      </c>
      <c r="D181" s="3" t="inlineStr">
        <is>
          <t>MO</t>
        </is>
      </c>
      <c r="E181" s="3" t="inlineStr">
        <is>
          <t>9934dd81-1090-55a8-b124-3f216298580b</t>
        </is>
      </c>
      <c r="F181" s="3" t="inlineStr">
        <is>
          <t>2026-06-28</t>
        </is>
      </c>
      <c r="G181" s="3" t="inlineStr">
        <is>
          <t>2026-06</t>
        </is>
      </c>
      <c r="H181" s="16" t="n">
        <v>107820.75</v>
      </c>
      <c r="I181" s="3" t="inlineStr">
        <is>
          <t>closed</t>
        </is>
      </c>
    </row>
    <row r="182">
      <c r="A182" s="17" t="inlineStr">
        <is>
          <t>393b0ba7-07a4-539e-a774-fe33c88b1519</t>
        </is>
      </c>
      <c r="B182" s="17" t="inlineStr">
        <is>
          <t>CANON-202603-004696</t>
        </is>
      </c>
      <c r="C182" s="17" t="inlineStr">
        <is>
          <t>Sunniva Castellanos</t>
        </is>
      </c>
      <c r="D182" s="17" t="inlineStr">
        <is>
          <t>TX</t>
        </is>
      </c>
      <c r="E182" s="17" t="inlineStr">
        <is>
          <t>f822801f-ad80-5cd0-8abc-218509fe3d8b</t>
        </is>
      </c>
      <c r="F182" s="17" t="inlineStr">
        <is>
          <t>2026-06-29</t>
        </is>
      </c>
      <c r="G182" s="17" t="inlineStr">
        <is>
          <t>2026-06</t>
        </is>
      </c>
      <c r="H182" s="18" t="n">
        <v>21481.6</v>
      </c>
      <c r="I182" s="17" t="inlineStr">
        <is>
          <t>closed</t>
        </is>
      </c>
    </row>
    <row r="183">
      <c r="A183" s="3" t="inlineStr">
        <is>
          <t>92498b46-4ea0-55f3-84b8-9791c265f83f</t>
        </is>
      </c>
      <c r="B183" s="3" t="inlineStr">
        <is>
          <t>CANON-202509-000568</t>
        </is>
      </c>
      <c r="C183" s="3" t="inlineStr">
        <is>
          <t>Mireille Vasquez</t>
        </is>
      </c>
      <c r="D183" s="3" t="inlineStr">
        <is>
          <t>IN</t>
        </is>
      </c>
      <c r="E183" s="3" t="inlineStr">
        <is>
          <t>2f731e62-6dcc-54aa-a910-e951181a2abc</t>
        </is>
      </c>
      <c r="F183" s="3" t="inlineStr">
        <is>
          <t>2026-06-30</t>
        </is>
      </c>
      <c r="G183" s="3" t="inlineStr">
        <is>
          <t>2026-06</t>
        </is>
      </c>
      <c r="H183" s="16" t="n">
        <v>149150.27</v>
      </c>
      <c r="I183" s="3" t="inlineStr">
        <is>
          <t>open</t>
        </is>
      </c>
    </row>
    <row r="184">
      <c r="A184" s="17" t="inlineStr">
        <is>
          <t>e59807f7-67bb-5b3e-9616-290fd7abd621</t>
        </is>
      </c>
      <c r="B184" s="17" t="inlineStr">
        <is>
          <t>CANON-202511-002044</t>
        </is>
      </c>
      <c r="C184" s="17" t="inlineStr">
        <is>
          <t>Desmond Whitlock</t>
        </is>
      </c>
      <c r="D184" s="17" t="inlineStr">
        <is>
          <t>AR</t>
        </is>
      </c>
      <c r="E184" s="17" t="inlineStr">
        <is>
          <t>3f284507-a6ad-5c5f-9437-9e64e85926f4</t>
        </is>
      </c>
      <c r="F184" s="17" t="inlineStr">
        <is>
          <t>2026-06-30</t>
        </is>
      </c>
      <c r="G184" s="17" t="inlineStr">
        <is>
          <t>2026-06</t>
        </is>
      </c>
      <c r="H184" s="18" t="n">
        <v>12435.59</v>
      </c>
      <c r="I184" s="17" t="inlineStr">
        <is>
          <t>closed</t>
        </is>
      </c>
    </row>
    <row r="185">
      <c r="A185" s="3" t="inlineStr">
        <is>
          <t>762a3a7b-f5f7-5509-a484-c3347c11f4a4</t>
        </is>
      </c>
      <c r="B185" s="3" t="inlineStr">
        <is>
          <t>CANON-202602-004342</t>
        </is>
      </c>
      <c r="C185" s="3" t="inlineStr">
        <is>
          <t>Noor Okonkwo</t>
        </is>
      </c>
      <c r="D185" s="3" t="inlineStr">
        <is>
          <t>CA</t>
        </is>
      </c>
      <c r="E185" s="3" t="inlineStr">
        <is>
          <t>bcfa533d-9618-5bfa-9548-d1639a9840aa</t>
        </is>
      </c>
      <c r="F185" s="3" t="inlineStr">
        <is>
          <t>2026-06-30</t>
        </is>
      </c>
      <c r="G185" s="3" t="inlineStr">
        <is>
          <t>2026-06</t>
        </is>
      </c>
      <c r="H185" s="16" t="n">
        <v>85404.28</v>
      </c>
      <c r="I185" s="3" t="inlineStr">
        <is>
          <t>closed</t>
        </is>
      </c>
    </row>
    <row r="186">
      <c r="A186" s="17" t="inlineStr">
        <is>
          <t>3bf978b1-f5c7-5c9b-9b68-b93358e2a444</t>
        </is>
      </c>
      <c r="B186" s="17" t="inlineStr">
        <is>
          <t>CANON-202511-002018</t>
        </is>
      </c>
      <c r="C186" s="17" t="inlineStr">
        <is>
          <t>Lorenzo Kingsford</t>
        </is>
      </c>
      <c r="D186" s="17" t="inlineStr">
        <is>
          <t>HI</t>
        </is>
      </c>
      <c r="E186" s="17" t="inlineStr">
        <is>
          <t>057daa43-4edb-5044-acb3-fe78cfca4afd</t>
        </is>
      </c>
      <c r="F186" s="17" t="inlineStr">
        <is>
          <t>2026-07-03</t>
        </is>
      </c>
      <c r="G186" s="17" t="inlineStr">
        <is>
          <t>2026-07</t>
        </is>
      </c>
      <c r="H186" s="18" t="n">
        <v>36125.42</v>
      </c>
      <c r="I186" s="17" t="inlineStr">
        <is>
          <t>closed</t>
        </is>
      </c>
    </row>
    <row r="187">
      <c r="A187" s="3" t="inlineStr">
        <is>
          <t>08a4d06c-7962-5e5f-ac98-b95dc6ae30be</t>
        </is>
      </c>
      <c r="B187" s="3" t="inlineStr">
        <is>
          <t>CANON-202604-005807</t>
        </is>
      </c>
      <c r="C187" s="3" t="inlineStr">
        <is>
          <t>Saoirse Larsson</t>
        </is>
      </c>
      <c r="D187" s="3" t="inlineStr">
        <is>
          <t>NJ</t>
        </is>
      </c>
      <c r="E187" s="3" t="inlineStr">
        <is>
          <t>52241dd2-d1b0-58e6-875e-e84e0e31191b</t>
        </is>
      </c>
      <c r="F187" s="3" t="inlineStr">
        <is>
          <t>2026-07-04</t>
        </is>
      </c>
      <c r="G187" s="3" t="inlineStr">
        <is>
          <t>2026-07</t>
        </is>
      </c>
      <c r="H187" s="16" t="n">
        <v>11567.86</v>
      </c>
      <c r="I187" s="3" t="inlineStr">
        <is>
          <t>closed</t>
        </is>
      </c>
    </row>
    <row r="188">
      <c r="A188" s="17" t="inlineStr">
        <is>
          <t>d950f0a6-4f80-590d-bb07-8f8f2c31351c</t>
        </is>
      </c>
      <c r="B188" s="17" t="inlineStr">
        <is>
          <t>CANON-202509-000660</t>
        </is>
      </c>
      <c r="C188" s="17" t="inlineStr">
        <is>
          <t>Mireille Underwood</t>
        </is>
      </c>
      <c r="D188" s="17" t="inlineStr">
        <is>
          <t>PA</t>
        </is>
      </c>
      <c r="E188" s="17" t="inlineStr">
        <is>
          <t>cfe0b778-2a28-54f7-bcb6-8f074ec2da35</t>
        </is>
      </c>
      <c r="F188" s="17" t="inlineStr">
        <is>
          <t>2026-07-06</t>
        </is>
      </c>
      <c r="G188" s="17" t="inlineStr">
        <is>
          <t>2026-07</t>
        </is>
      </c>
      <c r="H188" s="18" t="n">
        <v>8274.73</v>
      </c>
      <c r="I188" s="17" t="inlineStr">
        <is>
          <t>closed</t>
        </is>
      </c>
    </row>
    <row r="189">
      <c r="A189" s="3" t="inlineStr">
        <is>
          <t>0cf4249c-b24e-549b-bf76-1ca53d9463e9</t>
        </is>
      </c>
      <c r="B189" s="3" t="inlineStr">
        <is>
          <t>CANON-202603-004850</t>
        </is>
      </c>
      <c r="C189" s="3" t="inlineStr">
        <is>
          <t>Lorenzo Pennington</t>
        </is>
      </c>
      <c r="D189" s="3" t="inlineStr">
        <is>
          <t>WY</t>
        </is>
      </c>
      <c r="E189" s="3" t="inlineStr">
        <is>
          <t>3b3a530d-51b9-5ccc-a4ef-667f08eb7e54</t>
        </is>
      </c>
      <c r="F189" s="3" t="inlineStr">
        <is>
          <t>2026-07-07</t>
        </is>
      </c>
      <c r="G189" s="3" t="inlineStr">
        <is>
          <t>2026-07</t>
        </is>
      </c>
      <c r="H189" s="16" t="n">
        <v>39078.81</v>
      </c>
      <c r="I189" s="3" t="inlineStr">
        <is>
          <t>open</t>
        </is>
      </c>
    </row>
    <row r="190">
      <c r="A190" s="17" t="inlineStr">
        <is>
          <t>eb3b1c60-f1e7-515f-8fce-9ff2cb5531b2</t>
        </is>
      </c>
      <c r="B190" s="17" t="inlineStr">
        <is>
          <t>CANON-202604-005859</t>
        </is>
      </c>
      <c r="C190" s="17" t="inlineStr">
        <is>
          <t>Priya Chattopadhyay</t>
        </is>
      </c>
      <c r="D190" s="17" t="inlineStr">
        <is>
          <t>WV</t>
        </is>
      </c>
      <c r="E190" s="17" t="inlineStr">
        <is>
          <t>53765104-d13a-59c7-9010-428cb1a2e1d7</t>
        </is>
      </c>
      <c r="F190" s="17" t="inlineStr">
        <is>
          <t>2026-07-07</t>
        </is>
      </c>
      <c r="G190" s="17" t="inlineStr">
        <is>
          <t>2026-07</t>
        </is>
      </c>
      <c r="H190" s="18" t="n">
        <v>911282.7</v>
      </c>
      <c r="I190" s="17" t="inlineStr">
        <is>
          <t>closed</t>
        </is>
      </c>
    </row>
    <row r="191">
      <c r="A191" s="3" t="inlineStr">
        <is>
          <t>d87ca82a-65f4-5921-9d71-b255bd06716c</t>
        </is>
      </c>
      <c r="B191" s="3" t="inlineStr">
        <is>
          <t>CANON-202605-006378</t>
        </is>
      </c>
      <c r="C191" s="3" t="inlineStr">
        <is>
          <t>Aurelio Larsson</t>
        </is>
      </c>
      <c r="D191" s="3" t="inlineStr">
        <is>
          <t>WA</t>
        </is>
      </c>
      <c r="E191" s="3" t="inlineStr">
        <is>
          <t>cb655f77-1fbb-5502-834a-dba239d32c4e</t>
        </is>
      </c>
      <c r="F191" s="3" t="inlineStr">
        <is>
          <t>2026-07-07</t>
        </is>
      </c>
      <c r="G191" s="3" t="inlineStr">
        <is>
          <t>2026-07</t>
        </is>
      </c>
      <c r="H191" s="16" t="n">
        <v>21385.53</v>
      </c>
      <c r="I191" s="3" t="inlineStr">
        <is>
          <t>open</t>
        </is>
      </c>
    </row>
    <row r="192">
      <c r="A192" s="17" t="inlineStr">
        <is>
          <t>5d40f080-4af1-5793-aa0f-94af49e99858</t>
        </is>
      </c>
      <c r="B192" s="17" t="inlineStr">
        <is>
          <t>CANON-202602-003778</t>
        </is>
      </c>
      <c r="C192" s="17" t="inlineStr">
        <is>
          <t>Delphine Nakashima</t>
        </is>
      </c>
      <c r="D192" s="17" t="inlineStr">
        <is>
          <t>CA</t>
        </is>
      </c>
      <c r="E192" s="17" t="inlineStr">
        <is>
          <t>d56ad54b-fa2c-51d7-971d-0cb61bd6b045</t>
        </is>
      </c>
      <c r="F192" s="17" t="inlineStr">
        <is>
          <t>2026-07-09</t>
        </is>
      </c>
      <c r="G192" s="17" t="inlineStr">
        <is>
          <t>2026-07</t>
        </is>
      </c>
      <c r="H192" s="18" t="n">
        <v>13857.36</v>
      </c>
      <c r="I192" s="17" t="inlineStr">
        <is>
          <t>closed</t>
        </is>
      </c>
    </row>
    <row r="193">
      <c r="A193" s="3" t="inlineStr">
        <is>
          <t>3ee95705-975e-5148-a4f7-7d6e3e46ffae</t>
        </is>
      </c>
      <c r="B193" s="3" t="inlineStr">
        <is>
          <t>CANON-202605-006014</t>
        </is>
      </c>
      <c r="C193" s="3" t="inlineStr">
        <is>
          <t>Leopold Farkas</t>
        </is>
      </c>
      <c r="D193" s="3" t="inlineStr">
        <is>
          <t>VA</t>
        </is>
      </c>
      <c r="E193" s="3" t="inlineStr">
        <is>
          <t>1d33c10f-0fb1-528d-9d0b-5602e6a2c8c0</t>
        </is>
      </c>
      <c r="F193" s="3" t="inlineStr">
        <is>
          <t>2026-07-10</t>
        </is>
      </c>
      <c r="G193" s="3" t="inlineStr">
        <is>
          <t>2026-07</t>
        </is>
      </c>
      <c r="H193" s="16" t="n">
        <v>35750.18</v>
      </c>
      <c r="I193" s="3" t="inlineStr">
        <is>
          <t>closed</t>
        </is>
      </c>
    </row>
    <row r="194">
      <c r="A194" s="17" t="inlineStr">
        <is>
          <t>913bb13f-795c-542b-ace7-3068224e5751</t>
        </is>
      </c>
      <c r="B194" s="17" t="inlineStr">
        <is>
          <t>CANON-202605-006610</t>
        </is>
      </c>
      <c r="C194" s="17" t="inlineStr">
        <is>
          <t>Fitzgerald Rourke</t>
        </is>
      </c>
      <c r="D194" s="17" t="inlineStr">
        <is>
          <t>VA</t>
        </is>
      </c>
      <c r="E194" s="17" t="inlineStr">
        <is>
          <t>a6985e25-3caa-5625-81cb-171d70dd2aa2</t>
        </is>
      </c>
      <c r="F194" s="17" t="inlineStr">
        <is>
          <t>2026-07-12</t>
        </is>
      </c>
      <c r="G194" s="17" t="inlineStr">
        <is>
          <t>2026-07</t>
        </is>
      </c>
      <c r="H194" s="18" t="n">
        <v>24298.46</v>
      </c>
      <c r="I194" s="17" t="inlineStr">
        <is>
          <t>closed</t>
        </is>
      </c>
    </row>
    <row r="195">
      <c r="A195" s="3" t="inlineStr">
        <is>
          <t>dbaf1d58-4d11-571a-a5a1-4f8b2b666edf</t>
        </is>
      </c>
      <c r="B195" s="3" t="inlineStr">
        <is>
          <t>CANON-202508-000349</t>
        </is>
      </c>
      <c r="C195" s="3" t="inlineStr">
        <is>
          <t>Emiliano Fairweather</t>
        </is>
      </c>
      <c r="D195" s="3" t="inlineStr">
        <is>
          <t>NC</t>
        </is>
      </c>
      <c r="E195" s="3" t="inlineStr">
        <is>
          <t>cd35c6b5-5156-5348-b2ce-2f054c92b773</t>
        </is>
      </c>
      <c r="F195" s="3" t="inlineStr">
        <is>
          <t>2026-07-13</t>
        </is>
      </c>
      <c r="G195" s="3" t="inlineStr">
        <is>
          <t>2026-07</t>
        </is>
      </c>
      <c r="H195" s="16" t="n">
        <v>24690.52</v>
      </c>
      <c r="I195" s="3" t="inlineStr">
        <is>
          <t>closed</t>
        </is>
      </c>
    </row>
    <row r="196">
      <c r="A196" s="17" t="inlineStr">
        <is>
          <t>c56295a5-1418-5670-8cf0-da75e9d8ba9c</t>
        </is>
      </c>
      <c r="B196" s="17" t="inlineStr">
        <is>
          <t>CANON-202511-001749</t>
        </is>
      </c>
      <c r="C196" s="17" t="inlineStr">
        <is>
          <t>Cassius Rourke</t>
        </is>
      </c>
      <c r="D196" s="17" t="inlineStr">
        <is>
          <t>PA</t>
        </is>
      </c>
      <c r="E196" s="17" t="inlineStr">
        <is>
          <t>7881267e-dc02-5d0c-8c90-724168f9939d</t>
        </is>
      </c>
      <c r="F196" s="17" t="inlineStr">
        <is>
          <t>2026-07-14</t>
        </is>
      </c>
      <c r="G196" s="17" t="inlineStr">
        <is>
          <t>2026-07</t>
        </is>
      </c>
      <c r="H196" s="18" t="n">
        <v>37903.5</v>
      </c>
      <c r="I196" s="17" t="inlineStr">
        <is>
          <t>closed</t>
        </is>
      </c>
    </row>
    <row r="197">
      <c r="A197" s="3" t="inlineStr">
        <is>
          <t>52be73e8-6f77-536b-be7c-2ec6271539f6</t>
        </is>
      </c>
      <c r="B197" s="3" t="inlineStr">
        <is>
          <t>CANON-202603-005079</t>
        </is>
      </c>
      <c r="C197" s="3" t="inlineStr">
        <is>
          <t>Cassius Vasquez</t>
        </is>
      </c>
      <c r="D197" s="3" t="inlineStr">
        <is>
          <t>SC</t>
        </is>
      </c>
      <c r="E197" s="3" t="inlineStr">
        <is>
          <t>0c699085-2b64-586c-998b-5e899eb7e0f5</t>
        </is>
      </c>
      <c r="F197" s="3" t="inlineStr">
        <is>
          <t>2026-07-14</t>
        </is>
      </c>
      <c r="G197" s="3" t="inlineStr">
        <is>
          <t>2026-07</t>
        </is>
      </c>
      <c r="H197" s="16" t="n">
        <v>8939.709999999999</v>
      </c>
      <c r="I197" s="3" t="inlineStr">
        <is>
          <t>closed</t>
        </is>
      </c>
    </row>
    <row r="198">
      <c r="A198" s="17" t="inlineStr">
        <is>
          <t>29b7f9b2-54b2-5ab7-9f79-88c309c48c4c</t>
        </is>
      </c>
      <c r="B198" s="17" t="inlineStr">
        <is>
          <t>CANON-202607-008190</t>
        </is>
      </c>
      <c r="C198" s="17" t="inlineStr">
        <is>
          <t>Lorenzo Blackwood</t>
        </is>
      </c>
      <c r="D198" s="17" t="inlineStr">
        <is>
          <t>OR</t>
        </is>
      </c>
      <c r="E198" s="17" t="inlineStr">
        <is>
          <t>f670f3b1-a96a-5e9a-85ab-5dde3153655e</t>
        </is>
      </c>
      <c r="F198" s="17" t="inlineStr">
        <is>
          <t>2026-07-14</t>
        </is>
      </c>
      <c r="G198" s="17" t="inlineStr">
        <is>
          <t>2026-07</t>
        </is>
      </c>
      <c r="H198" s="18" t="n">
        <v>20549.05</v>
      </c>
      <c r="I198" s="17" t="inlineStr">
        <is>
          <t>closed</t>
        </is>
      </c>
    </row>
    <row r="199">
      <c r="A199" s="3" t="inlineStr">
        <is>
          <t>adc0252d-7c6e-5c03-a8e9-07a4b6eaab35</t>
        </is>
      </c>
      <c r="B199" s="3" t="inlineStr">
        <is>
          <t>CANON-202511-002302</t>
        </is>
      </c>
      <c r="C199" s="3" t="inlineStr">
        <is>
          <t>Anouk Montoya</t>
        </is>
      </c>
      <c r="D199" s="3" t="inlineStr">
        <is>
          <t>PA</t>
        </is>
      </c>
      <c r="E199" s="3" t="inlineStr">
        <is>
          <t>76c4d515-3c53-5630-976d-85a4116eb4a0</t>
        </is>
      </c>
      <c r="F199" s="3" t="inlineStr">
        <is>
          <t>2026-07-16</t>
        </is>
      </c>
      <c r="G199" s="3" t="inlineStr">
        <is>
          <t>2026-07</t>
        </is>
      </c>
      <c r="H199" s="16" t="n">
        <v>22917.53</v>
      </c>
      <c r="I199" s="3" t="inlineStr">
        <is>
          <t>open</t>
        </is>
      </c>
    </row>
    <row r="200">
      <c r="A200" s="17" t="inlineStr">
        <is>
          <t>9b87d805-3309-5a11-a758-96800a697c88</t>
        </is>
      </c>
      <c r="B200" s="17" t="inlineStr">
        <is>
          <t>CANON-202606-007419</t>
        </is>
      </c>
      <c r="C200" s="17" t="inlineStr">
        <is>
          <t>Ottilie Vasquez</t>
        </is>
      </c>
      <c r="D200" s="17" t="inlineStr">
        <is>
          <t>IN</t>
        </is>
      </c>
      <c r="E200" s="17" t="inlineStr">
        <is>
          <t>bd90a0e3-dd3e-5bd3-9661-3b6029afd933</t>
        </is>
      </c>
      <c r="F200" s="17" t="inlineStr">
        <is>
          <t>2026-07-16</t>
        </is>
      </c>
      <c r="G200" s="17" t="inlineStr">
        <is>
          <t>2026-07</t>
        </is>
      </c>
      <c r="H200" s="18" t="n">
        <v>7844.25</v>
      </c>
      <c r="I200" s="17" t="inlineStr">
        <is>
          <t>closed</t>
        </is>
      </c>
    </row>
    <row r="201">
      <c r="A201" s="3" t="inlineStr">
        <is>
          <t>a1bf894d-59ba-51a4-bcca-b9dc7fef4d04</t>
        </is>
      </c>
      <c r="B201" s="3" t="inlineStr">
        <is>
          <t>CANON-202511-001756</t>
        </is>
      </c>
      <c r="C201" s="3" t="inlineStr">
        <is>
          <t>Fenwick Farkas</t>
        </is>
      </c>
      <c r="D201" s="3" t="inlineStr">
        <is>
          <t>TX</t>
        </is>
      </c>
      <c r="E201" s="3" t="inlineStr">
        <is>
          <t>ed59a98e-9a93-5dba-887e-58bc0f5a483e</t>
        </is>
      </c>
      <c r="F201" s="3" t="inlineStr">
        <is>
          <t>2026-07-18</t>
        </is>
      </c>
      <c r="G201" s="3" t="inlineStr">
        <is>
          <t>2026-07</t>
        </is>
      </c>
      <c r="H201" s="16" t="n">
        <v>33860.16</v>
      </c>
      <c r="I201" s="3" t="inlineStr">
        <is>
          <t>open</t>
        </is>
      </c>
    </row>
    <row r="202">
      <c r="A202" s="17" t="inlineStr">
        <is>
          <t>92665c41-a53d-5597-acfe-dd55558ecf23</t>
        </is>
      </c>
      <c r="B202" s="17" t="inlineStr">
        <is>
          <t>CANON-202602-004294</t>
        </is>
      </c>
      <c r="C202" s="17" t="inlineStr">
        <is>
          <t>Saoirse Rourke</t>
        </is>
      </c>
      <c r="D202" s="17" t="inlineStr">
        <is>
          <t>IL</t>
        </is>
      </c>
      <c r="E202" s="17" t="inlineStr">
        <is>
          <t>b9aea69e-7386-5f8a-b848-ef0afa486adb</t>
        </is>
      </c>
      <c r="F202" s="17" t="inlineStr">
        <is>
          <t>2026-07-18</t>
        </is>
      </c>
      <c r="G202" s="17" t="inlineStr">
        <is>
          <t>2026-07</t>
        </is>
      </c>
      <c r="H202" s="18" t="n">
        <v>27565.23</v>
      </c>
      <c r="I202" s="17" t="inlineStr">
        <is>
          <t>closed</t>
        </is>
      </c>
    </row>
    <row r="203">
      <c r="A203" s="3" t="inlineStr">
        <is>
          <t>0a24e993-103a-5be7-8598-aec8da9627f3</t>
        </is>
      </c>
      <c r="B203" s="3" t="inlineStr">
        <is>
          <t>CANON-202607-007661</t>
        </is>
      </c>
      <c r="C203" s="3" t="inlineStr">
        <is>
          <t>Delphine Bellandi</t>
        </is>
      </c>
      <c r="D203" s="3" t="inlineStr">
        <is>
          <t>NY</t>
        </is>
      </c>
      <c r="E203" s="3" t="inlineStr">
        <is>
          <t>61f20c21-86b3-564d-adb2-49d16d8d66fe</t>
        </is>
      </c>
      <c r="F203" s="3" t="inlineStr">
        <is>
          <t>2026-07-22</t>
        </is>
      </c>
      <c r="G203" s="3" t="inlineStr">
        <is>
          <t>2026-07</t>
        </is>
      </c>
      <c r="H203" s="16" t="n">
        <v>167924.14</v>
      </c>
      <c r="I203" s="3" t="inlineStr">
        <is>
          <t>closed</t>
        </is>
      </c>
    </row>
    <row r="204">
      <c r="A204" s="17" t="inlineStr">
        <is>
          <t>e366f2ed-40e6-5688-a262-060fa3ef3d75</t>
        </is>
      </c>
      <c r="B204" s="17" t="inlineStr">
        <is>
          <t>CANON-202607-008115</t>
        </is>
      </c>
      <c r="C204" s="17" t="inlineStr">
        <is>
          <t>Everett Ashcombe</t>
        </is>
      </c>
      <c r="D204" s="17" t="inlineStr">
        <is>
          <t>AZ</t>
        </is>
      </c>
      <c r="E204" s="17" t="inlineStr">
        <is>
          <t>2dbb44d2-bcca-593b-8464-73b960505bf5</t>
        </is>
      </c>
      <c r="F204" s="17" t="inlineStr">
        <is>
          <t>2026-07-24</t>
        </is>
      </c>
      <c r="G204" s="17" t="inlineStr">
        <is>
          <t>2026-07</t>
        </is>
      </c>
      <c r="H204" s="18" t="n">
        <v>21445.38</v>
      </c>
      <c r="I204" s="17" t="inlineStr">
        <is>
          <t>closed</t>
        </is>
      </c>
    </row>
    <row r="205">
      <c r="A205" s="3" t="inlineStr">
        <is>
          <t>bf4641e6-4e21-5a98-8e9d-6a7f8d5c391c</t>
        </is>
      </c>
      <c r="B205" s="3" t="inlineStr">
        <is>
          <t>CANON-202602-004388</t>
        </is>
      </c>
      <c r="C205" s="3" t="inlineStr">
        <is>
          <t>Cassius Chattopadhyay</t>
        </is>
      </c>
      <c r="D205" s="3" t="inlineStr">
        <is>
          <t>IA</t>
        </is>
      </c>
      <c r="E205" s="3" t="inlineStr">
        <is>
          <t>40ab4a19-9e39-53af-b41d-7261ae1903f8</t>
        </is>
      </c>
      <c r="F205" s="3" t="inlineStr">
        <is>
          <t>2026-07-25</t>
        </is>
      </c>
      <c r="G205" s="3" t="inlineStr">
        <is>
          <t>2026-07</t>
        </is>
      </c>
      <c r="H205" s="16" t="n">
        <v>18794.98</v>
      </c>
      <c r="I205" s="3" t="inlineStr">
        <is>
          <t>closed</t>
        </is>
      </c>
    </row>
    <row r="206">
      <c r="A206" s="17" t="inlineStr">
        <is>
          <t>60f12fa9-735e-53e5-bd01-ef146230263d</t>
        </is>
      </c>
      <c r="B206" s="17" t="inlineStr">
        <is>
          <t>CANON-202602-004401</t>
        </is>
      </c>
      <c r="C206" s="17" t="inlineStr">
        <is>
          <t>Fitzgerald Underwood</t>
        </is>
      </c>
      <c r="D206" s="17" t="inlineStr">
        <is>
          <t>WY</t>
        </is>
      </c>
      <c r="E206" s="17" t="inlineStr">
        <is>
          <t>57511182-4d6e-5e21-9d3b-ecfb296d69b3</t>
        </is>
      </c>
      <c r="F206" s="17" t="inlineStr">
        <is>
          <t>2026-07-26</t>
        </is>
      </c>
      <c r="G206" s="17" t="inlineStr">
        <is>
          <t>2026-07</t>
        </is>
      </c>
      <c r="H206" s="18" t="n">
        <v>38755.81</v>
      </c>
      <c r="I206" s="17" t="inlineStr">
        <is>
          <t>closed</t>
        </is>
      </c>
    </row>
    <row r="207">
      <c r="A207" s="3" t="inlineStr">
        <is>
          <t>eb1ff88a-316b-596f-ad2c-848066aa4fcc</t>
        </is>
      </c>
      <c r="B207" s="3" t="inlineStr">
        <is>
          <t>CANON-202604-005660</t>
        </is>
      </c>
      <c r="C207" s="3" t="inlineStr">
        <is>
          <t>Priya Ashcombe</t>
        </is>
      </c>
      <c r="D207" s="3" t="inlineStr">
        <is>
          <t>CA</t>
        </is>
      </c>
      <c r="E207" s="3" t="inlineStr">
        <is>
          <t>6053950e-459e-5ab6-93ef-e7fd0a1943e3</t>
        </is>
      </c>
      <c r="F207" s="3" t="inlineStr">
        <is>
          <t>2026-07-26</t>
        </is>
      </c>
      <c r="G207" s="3" t="inlineStr">
        <is>
          <t>2026-07</t>
        </is>
      </c>
      <c r="H207" s="16" t="n">
        <v>31506.84</v>
      </c>
      <c r="I207" s="3" t="inlineStr">
        <is>
          <t>closed</t>
        </is>
      </c>
    </row>
    <row r="208">
      <c r="A208" s="17" t="inlineStr">
        <is>
          <t>d31b8c1d-7996-5520-a1e8-16a657027218</t>
        </is>
      </c>
      <c r="B208" s="17" t="inlineStr">
        <is>
          <t>CANON-202510-001714</t>
        </is>
      </c>
      <c r="C208" s="17" t="inlineStr">
        <is>
          <t>Marisol Larsson</t>
        </is>
      </c>
      <c r="D208" s="17" t="inlineStr">
        <is>
          <t>NJ</t>
        </is>
      </c>
      <c r="E208" s="17" t="inlineStr">
        <is>
          <t>7912ffc2-0197-5d46-8397-74e58ddba000</t>
        </is>
      </c>
      <c r="F208" s="17" t="inlineStr">
        <is>
          <t>2026-07-27</t>
        </is>
      </c>
      <c r="G208" s="17" t="inlineStr">
        <is>
          <t>2026-07</t>
        </is>
      </c>
      <c r="H208" s="18" t="n">
        <v>14527.08</v>
      </c>
      <c r="I208" s="17" t="inlineStr">
        <is>
          <t>closed</t>
        </is>
      </c>
    </row>
    <row r="209">
      <c r="A209" s="3" t="inlineStr">
        <is>
          <t>5b6b54a5-e629-5743-a621-196d947140d7</t>
        </is>
      </c>
      <c r="B209" s="3" t="inlineStr">
        <is>
          <t>CANON-202511-001875</t>
        </is>
      </c>
      <c r="C209" s="3" t="inlineStr">
        <is>
          <t>Fenwick Larsson</t>
        </is>
      </c>
      <c r="D209" s="3" t="inlineStr">
        <is>
          <t>TX</t>
        </is>
      </c>
      <c r="E209" s="3" t="inlineStr">
        <is>
          <t>d1d061d5-e519-5ae9-a362-ba99cd487d4c</t>
        </is>
      </c>
      <c r="F209" s="3" t="inlineStr">
        <is>
          <t>2026-07-27</t>
        </is>
      </c>
      <c r="G209" s="3" t="inlineStr">
        <is>
          <t>2026-07</t>
        </is>
      </c>
      <c r="H209" s="16" t="n">
        <v>28046.98</v>
      </c>
      <c r="I209" s="3" t="inlineStr">
        <is>
          <t>closed</t>
        </is>
      </c>
    </row>
    <row r="210">
      <c r="A210" s="17" t="inlineStr">
        <is>
          <t>7fed1e85-d8c4-54d1-9ce4-549f6ccc85a6</t>
        </is>
      </c>
      <c r="B210" s="17" t="inlineStr">
        <is>
          <t>CANON-202510-001361</t>
        </is>
      </c>
      <c r="C210" s="17" t="inlineStr">
        <is>
          <t>Fitzgerald Castellanos</t>
        </is>
      </c>
      <c r="D210" s="17" t="inlineStr">
        <is>
          <t>MT</t>
        </is>
      </c>
      <c r="E210" s="17" t="inlineStr">
        <is>
          <t>ee438485-05f9-5b13-bf16-987aa1533815</t>
        </is>
      </c>
      <c r="F210" s="17" t="inlineStr">
        <is>
          <t>2026-07-29</t>
        </is>
      </c>
      <c r="G210" s="17" t="inlineStr">
        <is>
          <t>2026-07</t>
        </is>
      </c>
      <c r="H210" s="18" t="n">
        <v>8700.959999999999</v>
      </c>
      <c r="I210" s="17" t="inlineStr">
        <is>
          <t>closed</t>
        </is>
      </c>
    </row>
    <row r="211">
      <c r="A211" s="3" t="inlineStr">
        <is>
          <t>77e35d37-a31e-500e-94b0-12ad7076797b</t>
        </is>
      </c>
      <c r="B211" s="3" t="inlineStr">
        <is>
          <t>CANON-202606-006805</t>
        </is>
      </c>
      <c r="C211" s="3" t="inlineStr">
        <is>
          <t>Desmond Farkas</t>
        </is>
      </c>
      <c r="D211" s="3" t="inlineStr">
        <is>
          <t>DE</t>
        </is>
      </c>
      <c r="E211" s="3" t="inlineStr">
        <is>
          <t>ceeca26d-b941-56ca-8ec3-5f317236ad7b</t>
        </is>
      </c>
      <c r="F211" s="3" t="inlineStr">
        <is>
          <t>2026-07-29</t>
        </is>
      </c>
      <c r="G211" s="3" t="inlineStr">
        <is>
          <t>2026-07</t>
        </is>
      </c>
      <c r="H211" s="16" t="n">
        <v>36679.74</v>
      </c>
      <c r="I211" s="3" t="inlineStr">
        <is>
          <t>closed</t>
        </is>
      </c>
    </row>
    <row r="212">
      <c r="A212" s="17" t="inlineStr">
        <is>
          <t>9dd001df-5a54-58a5-9dcd-df84061da96c</t>
        </is>
      </c>
      <c r="B212" s="17" t="inlineStr">
        <is>
          <t>CANON-202607-007654</t>
        </is>
      </c>
      <c r="C212" s="17" t="inlineStr">
        <is>
          <t>Fenwick Nakashima</t>
        </is>
      </c>
      <c r="D212" s="17" t="inlineStr">
        <is>
          <t>MT</t>
        </is>
      </c>
      <c r="E212" s="17" t="inlineStr">
        <is>
          <t>adc468b2-36bd-55c9-855a-7a9c889accaf</t>
        </is>
      </c>
      <c r="F212" s="17" t="inlineStr">
        <is>
          <t>2026-07-29</t>
        </is>
      </c>
      <c r="G212" s="17" t="inlineStr">
        <is>
          <t>2026-07</t>
        </is>
      </c>
      <c r="H212" s="18" t="n">
        <v>16510.97</v>
      </c>
      <c r="I212" s="17" t="inlineStr">
        <is>
          <t>open</t>
        </is>
      </c>
    </row>
    <row r="213">
      <c r="A213" s="3" t="inlineStr">
        <is>
          <t>a0aebd9a-2f4d-5b06-8e22-ffabb899f633</t>
        </is>
      </c>
      <c r="B213" s="3" t="inlineStr">
        <is>
          <t>CANON-202510-001402</t>
        </is>
      </c>
      <c r="C213" s="3" t="inlineStr">
        <is>
          <t>Sunniva Rourke</t>
        </is>
      </c>
      <c r="D213" s="3" t="inlineStr">
        <is>
          <t>OH</t>
        </is>
      </c>
      <c r="E213" s="3" t="inlineStr">
        <is>
          <t>6ac14b0e-b5b5-522d-baff-57a8e20b56f1</t>
        </is>
      </c>
      <c r="F213" s="3" t="inlineStr">
        <is>
          <t>2026-07-30</t>
        </is>
      </c>
      <c r="G213" s="3" t="inlineStr">
        <is>
          <t>2026-07</t>
        </is>
      </c>
      <c r="H213" s="16" t="n">
        <v>14219.21</v>
      </c>
      <c r="I213" s="3" t="inlineStr">
        <is>
          <t>open</t>
        </is>
      </c>
    </row>
    <row r="214">
      <c r="A214" s="17" t="inlineStr">
        <is>
          <t>2750381c-b095-563f-9a1a-5c629d6a4917</t>
        </is>
      </c>
      <c r="B214" s="17" t="inlineStr">
        <is>
          <t>CANON-202511-002033</t>
        </is>
      </c>
      <c r="C214" s="17" t="inlineStr">
        <is>
          <t>Emiliano Merriweather</t>
        </is>
      </c>
      <c r="D214" s="17" t="inlineStr">
        <is>
          <t>IL</t>
        </is>
      </c>
      <c r="E214" s="17" t="inlineStr">
        <is>
          <t>eddd417c-2ca5-53d4-97a9-d970bb903574</t>
        </is>
      </c>
      <c r="F214" s="17" t="inlineStr">
        <is>
          <t>2026-07-30</t>
        </is>
      </c>
      <c r="G214" s="17" t="inlineStr">
        <is>
          <t>2026-07</t>
        </is>
      </c>
      <c r="H214" s="18" t="n">
        <v>10508.24</v>
      </c>
      <c r="I214" s="17" t="inlineStr">
        <is>
          <t>closed</t>
        </is>
      </c>
    </row>
    <row r="215">
      <c r="A215" s="3" t="inlineStr">
        <is>
          <t>235904f8-3e98-51a2-aa18-b594daeda8fc</t>
        </is>
      </c>
      <c r="B215" s="3" t="inlineStr">
        <is>
          <t>CANON-202602-003771</t>
        </is>
      </c>
      <c r="C215" s="3" t="inlineStr">
        <is>
          <t>Beatrix Vandermeer</t>
        </is>
      </c>
      <c r="D215" s="3" t="inlineStr">
        <is>
          <t>MO</t>
        </is>
      </c>
      <c r="E215" s="3" t="inlineStr">
        <is>
          <t>2d48c403-d881-5f3f-846c-4b3fb52978e0</t>
        </is>
      </c>
      <c r="F215" s="3" t="inlineStr">
        <is>
          <t>2026-07-30</t>
        </is>
      </c>
      <c r="G215" s="3" t="inlineStr">
        <is>
          <t>2026-07</t>
        </is>
      </c>
      <c r="H215" s="16" t="n">
        <v>27146.09</v>
      </c>
      <c r="I215" s="3" t="inlineStr">
        <is>
          <t>open</t>
        </is>
      </c>
    </row>
    <row r="216">
      <c r="A216" s="17" t="inlineStr">
        <is>
          <t>829f06fc-dd65-55be-8d24-0ab91ee0f5f4</t>
        </is>
      </c>
      <c r="B216" s="17" t="inlineStr">
        <is>
          <t>CANON-202607-008027</t>
        </is>
      </c>
      <c r="C216" s="17" t="inlineStr">
        <is>
          <t>Ottilie Merriweather</t>
        </is>
      </c>
      <c r="D216" s="17" t="inlineStr">
        <is>
          <t>MA</t>
        </is>
      </c>
      <c r="E216" s="17" t="inlineStr">
        <is>
          <t>4dc38ba7-5ecd-5e5a-b9d9-8552eae86229</t>
        </is>
      </c>
      <c r="F216" s="17" t="inlineStr">
        <is>
          <t>2026-07-30</t>
        </is>
      </c>
      <c r="G216" s="17" t="inlineStr">
        <is>
          <t>2026-07</t>
        </is>
      </c>
      <c r="H216" s="18" t="n">
        <v>25078.92</v>
      </c>
      <c r="I216" s="17" t="inlineStr">
        <is>
          <t>closed</t>
        </is>
      </c>
    </row>
    <row r="217">
      <c r="A217" s="3" t="inlineStr">
        <is>
          <t>642842dd-0e60-5e91-b51d-5641772cacd5</t>
        </is>
      </c>
      <c r="B217" s="3" t="inlineStr">
        <is>
          <t>CANON-202509-000571</t>
        </is>
      </c>
      <c r="C217" s="3" t="inlineStr">
        <is>
          <t>Lorenzo Fairweather</t>
        </is>
      </c>
      <c r="D217" s="3" t="inlineStr">
        <is>
          <t>MI</t>
        </is>
      </c>
      <c r="E217" s="3" t="inlineStr">
        <is>
          <t>0f0346bb-efec-5f32-b2f3-6e996768b0da</t>
        </is>
      </c>
      <c r="F217" s="3" t="inlineStr">
        <is>
          <t>2026-08-01</t>
        </is>
      </c>
      <c r="G217" s="3" t="inlineStr">
        <is>
          <t>2026-08</t>
        </is>
      </c>
      <c r="H217" s="16" t="n">
        <v>17392.62</v>
      </c>
      <c r="I217" s="3" t="inlineStr">
        <is>
          <t>closed</t>
        </is>
      </c>
    </row>
    <row r="218">
      <c r="A218" s="17" t="inlineStr">
        <is>
          <t>47feeb00-a284-5f08-a8c9-5ac318d2c20a</t>
        </is>
      </c>
      <c r="B218" s="17" t="inlineStr">
        <is>
          <t>CANON-202607-007794</t>
        </is>
      </c>
      <c r="C218" s="17" t="inlineStr">
        <is>
          <t>Fenwick Farkas</t>
        </is>
      </c>
      <c r="D218" s="17" t="inlineStr">
        <is>
          <t>MT</t>
        </is>
      </c>
      <c r="E218" s="17" t="inlineStr">
        <is>
          <t>0e6065ac-99c2-52d0-96d4-e0a8ec68fa0c</t>
        </is>
      </c>
      <c r="F218" s="17" t="inlineStr">
        <is>
          <t>2026-08-03</t>
        </is>
      </c>
      <c r="G218" s="17" t="inlineStr">
        <is>
          <t>2026-08</t>
        </is>
      </c>
      <c r="H218" s="18" t="n">
        <v>33280.73</v>
      </c>
      <c r="I218" s="17" t="inlineStr">
        <is>
          <t>closed</t>
        </is>
      </c>
    </row>
    <row r="219">
      <c r="A219" s="3" t="inlineStr">
        <is>
          <t>94622089-4e66-5c54-aff7-42d126744922</t>
        </is>
      </c>
      <c r="B219" s="3" t="inlineStr">
        <is>
          <t>CANON-202510-001413</t>
        </is>
      </c>
      <c r="C219" s="3" t="inlineStr">
        <is>
          <t>Sunniva Castellanos</t>
        </is>
      </c>
      <c r="D219" s="3" t="inlineStr">
        <is>
          <t>VT</t>
        </is>
      </c>
      <c r="E219" s="3" t="inlineStr">
        <is>
          <t>c1c732a1-f24e-54e3-857a-419e8de3dc24</t>
        </is>
      </c>
      <c r="F219" s="3" t="inlineStr">
        <is>
          <t>2026-08-04</t>
        </is>
      </c>
      <c r="G219" s="3" t="inlineStr">
        <is>
          <t>2026-08</t>
        </is>
      </c>
      <c r="H219" s="16" t="n">
        <v>12413.55</v>
      </c>
      <c r="I219" s="3" t="inlineStr">
        <is>
          <t>open</t>
        </is>
      </c>
    </row>
    <row r="220">
      <c r="A220" s="17" t="inlineStr">
        <is>
          <t>aa734bea-1f5c-54a8-90d4-80de6d44f91d</t>
        </is>
      </c>
      <c r="B220" s="17" t="inlineStr">
        <is>
          <t>CANON-202605-006149</t>
        </is>
      </c>
      <c r="C220" s="17" t="inlineStr">
        <is>
          <t>Leopold Nakashima</t>
        </is>
      </c>
      <c r="D220" s="17" t="inlineStr">
        <is>
          <t>MI</t>
        </is>
      </c>
      <c r="E220" s="17" t="inlineStr">
        <is>
          <t>f041daba-79fa-5544-b77d-859d5b46597b</t>
        </is>
      </c>
      <c r="F220" s="17" t="inlineStr">
        <is>
          <t>2026-08-07</t>
        </is>
      </c>
      <c r="G220" s="17" t="inlineStr">
        <is>
          <t>2026-08</t>
        </is>
      </c>
      <c r="H220" s="18" t="n">
        <v>39504.21</v>
      </c>
      <c r="I220" s="17" t="inlineStr">
        <is>
          <t>closed</t>
        </is>
      </c>
    </row>
    <row r="221">
      <c r="A221" s="3" t="inlineStr">
        <is>
          <t>cd18fc79-2d7e-5084-bd20-66738c511423</t>
        </is>
      </c>
      <c r="B221" s="3" t="inlineStr">
        <is>
          <t>CANON-202605-006422</t>
        </is>
      </c>
      <c r="C221" s="3" t="inlineStr">
        <is>
          <t>Fitzgerald Whitlock</t>
        </is>
      </c>
      <c r="D221" s="3" t="inlineStr">
        <is>
          <t>MT</t>
        </is>
      </c>
      <c r="E221" s="3" t="inlineStr">
        <is>
          <t>9a081ad1-748b-56c6-a5b1-f1f2d390ce1a</t>
        </is>
      </c>
      <c r="F221" s="3" t="inlineStr">
        <is>
          <t>2026-08-07</t>
        </is>
      </c>
      <c r="G221" s="3" t="inlineStr">
        <is>
          <t>2026-08</t>
        </is>
      </c>
      <c r="H221" s="16" t="n">
        <v>27615.12</v>
      </c>
      <c r="I221" s="3" t="inlineStr">
        <is>
          <t>open</t>
        </is>
      </c>
    </row>
    <row r="222">
      <c r="A222" s="17" t="inlineStr">
        <is>
          <t>66d1779b-a607-55ec-9b2b-d17cea231f08</t>
        </is>
      </c>
      <c r="B222" s="17" t="inlineStr">
        <is>
          <t>CANON-202603-004469</t>
        </is>
      </c>
      <c r="C222" s="17" t="inlineStr">
        <is>
          <t>Marisol Farkas</t>
        </is>
      </c>
      <c r="D222" s="17" t="inlineStr">
        <is>
          <t>DE</t>
        </is>
      </c>
      <c r="E222" s="17" t="inlineStr">
        <is>
          <t>0371d3cc-7ab1-54e8-b9e5-665088f3f9bd</t>
        </is>
      </c>
      <c r="F222" s="17" t="inlineStr">
        <is>
          <t>2026-08-08</t>
        </is>
      </c>
      <c r="G222" s="17" t="inlineStr">
        <is>
          <t>2026-08</t>
        </is>
      </c>
      <c r="H222" s="18" t="n">
        <v>35216.54</v>
      </c>
      <c r="I222" s="17" t="inlineStr">
        <is>
          <t>closed</t>
        </is>
      </c>
    </row>
    <row r="223">
      <c r="A223" s="3" t="inlineStr">
        <is>
          <t>20e827c0-d495-5410-b50a-add669c01947</t>
        </is>
      </c>
      <c r="B223" s="3" t="inlineStr">
        <is>
          <t>CANON-202603-004860</t>
        </is>
      </c>
      <c r="C223" s="3" t="inlineStr">
        <is>
          <t>Saoirse Kingsford</t>
        </is>
      </c>
      <c r="D223" s="3" t="inlineStr">
        <is>
          <t>MI</t>
        </is>
      </c>
      <c r="E223" s="3" t="inlineStr">
        <is>
          <t>93dd7644-4657-58c1-ad68-d002c4a4d379</t>
        </is>
      </c>
      <c r="F223" s="3" t="inlineStr">
        <is>
          <t>2026-08-10</t>
        </is>
      </c>
      <c r="G223" s="3" t="inlineStr">
        <is>
          <t>2026-08</t>
        </is>
      </c>
      <c r="H223" s="16" t="n">
        <v>32657.6</v>
      </c>
      <c r="I223" s="3" t="inlineStr">
        <is>
          <t>open</t>
        </is>
      </c>
    </row>
    <row r="224">
      <c r="A224" s="17" t="inlineStr">
        <is>
          <t>3ea3ce56-5131-5a78-bde1-4fc8d0801cce</t>
        </is>
      </c>
      <c r="B224" s="17" t="inlineStr">
        <is>
          <t>CANON-202603-004592</t>
        </is>
      </c>
      <c r="C224" s="17" t="inlineStr">
        <is>
          <t>Fitzgerald Merriweather</t>
        </is>
      </c>
      <c r="D224" s="17" t="inlineStr">
        <is>
          <t>ME</t>
        </is>
      </c>
      <c r="E224" s="17" t="inlineStr">
        <is>
          <t>b933e633-ab99-5958-8b2c-fd1195bab343</t>
        </is>
      </c>
      <c r="F224" s="17" t="inlineStr">
        <is>
          <t>2026-08-12</t>
        </is>
      </c>
      <c r="G224" s="17" t="inlineStr">
        <is>
          <t>2026-08</t>
        </is>
      </c>
      <c r="H224" s="18" t="n">
        <v>8839.99</v>
      </c>
      <c r="I224" s="17" t="inlineStr">
        <is>
          <t>closed</t>
        </is>
      </c>
    </row>
    <row r="225">
      <c r="A225" s="3" t="inlineStr">
        <is>
          <t>8754886b-52d4-53d9-ab97-c467fd219c38</t>
        </is>
      </c>
      <c r="B225" s="3" t="inlineStr">
        <is>
          <t>CANON-202509-000596</t>
        </is>
      </c>
      <c r="C225" s="3" t="inlineStr">
        <is>
          <t>Desmond Kingsford</t>
        </is>
      </c>
      <c r="D225" s="3" t="inlineStr">
        <is>
          <t>WV</t>
        </is>
      </c>
      <c r="E225" s="3" t="inlineStr">
        <is>
          <t>f01acf36-b943-5684-9f52-a947ceac2230</t>
        </is>
      </c>
      <c r="F225" s="3" t="inlineStr">
        <is>
          <t>2026-08-13</t>
        </is>
      </c>
      <c r="G225" s="3" t="inlineStr">
        <is>
          <t>2026-08</t>
        </is>
      </c>
      <c r="H225" s="16" t="n">
        <v>5543.26</v>
      </c>
      <c r="I225" s="3" t="inlineStr">
        <is>
          <t>closed</t>
        </is>
      </c>
    </row>
    <row r="226">
      <c r="A226" s="17" t="inlineStr">
        <is>
          <t>19eaea30-c84a-5229-b2a9-2f6f7ce9b34a</t>
        </is>
      </c>
      <c r="B226" s="17" t="inlineStr">
        <is>
          <t>CANON-202509-000616</t>
        </is>
      </c>
      <c r="C226" s="17" t="inlineStr">
        <is>
          <t>Horace Harrington</t>
        </is>
      </c>
      <c r="D226" s="17" t="inlineStr">
        <is>
          <t>NV</t>
        </is>
      </c>
      <c r="E226" s="17" t="inlineStr">
        <is>
          <t>45a9b97d-cf9c-5b5c-bda4-ecabbc5a81ea</t>
        </is>
      </c>
      <c r="F226" s="17" t="inlineStr">
        <is>
          <t>2026-08-14</t>
        </is>
      </c>
      <c r="G226" s="17" t="inlineStr">
        <is>
          <t>2026-08</t>
        </is>
      </c>
      <c r="H226" s="18" t="n">
        <v>30136.65</v>
      </c>
      <c r="I226" s="17" t="inlineStr">
        <is>
          <t>closed</t>
        </is>
      </c>
    </row>
    <row r="227">
      <c r="A227" s="3" t="inlineStr">
        <is>
          <t>702efdb4-ef44-527c-bf58-0bb9c68c44e6</t>
        </is>
      </c>
      <c r="B227" s="3" t="inlineStr">
        <is>
          <t>CANON-202602-004436</t>
        </is>
      </c>
      <c r="C227" s="3" t="inlineStr">
        <is>
          <t>Sunniva Vandermeer</t>
        </is>
      </c>
      <c r="D227" s="3" t="inlineStr">
        <is>
          <t>GA</t>
        </is>
      </c>
      <c r="E227" s="3" t="inlineStr">
        <is>
          <t>1815444a-671d-57df-8bdb-24b593a65e9a</t>
        </is>
      </c>
      <c r="F227" s="3" t="inlineStr">
        <is>
          <t>2026-08-14</t>
        </is>
      </c>
      <c r="G227" s="3" t="inlineStr">
        <is>
          <t>2026-08</t>
        </is>
      </c>
      <c r="H227" s="16" t="n">
        <v>1163130.26</v>
      </c>
      <c r="I227" s="3" t="inlineStr">
        <is>
          <t>open</t>
        </is>
      </c>
    </row>
    <row r="228">
      <c r="A228" s="17" t="inlineStr">
        <is>
          <t>46a917c8-4eb7-59eb-8ec0-35a3ac42c3aa</t>
        </is>
      </c>
      <c r="B228" s="17" t="inlineStr">
        <is>
          <t>CANON-202604-005753</t>
        </is>
      </c>
      <c r="C228" s="17" t="inlineStr">
        <is>
          <t>Wilhelmina Okonkwo</t>
        </is>
      </c>
      <c r="D228" s="17" t="inlineStr">
        <is>
          <t>MA</t>
        </is>
      </c>
      <c r="E228" s="17" t="inlineStr">
        <is>
          <t>cfb91a84-9f5b-5e89-8808-6ada39860ebf</t>
        </is>
      </c>
      <c r="F228" s="17" t="inlineStr">
        <is>
          <t>2026-08-14</t>
        </is>
      </c>
      <c r="G228" s="17" t="inlineStr">
        <is>
          <t>2026-08</t>
        </is>
      </c>
      <c r="H228" s="18" t="n">
        <v>7418.29</v>
      </c>
      <c r="I228" s="17" t="inlineStr">
        <is>
          <t>open</t>
        </is>
      </c>
    </row>
    <row r="229">
      <c r="A229" s="3" t="inlineStr">
        <is>
          <t>44034942-6675-5819-b486-a77c0c0d3567</t>
        </is>
      </c>
      <c r="B229" s="3" t="inlineStr">
        <is>
          <t>CANON-202512-002973</t>
        </is>
      </c>
      <c r="C229" s="3" t="inlineStr">
        <is>
          <t>Fitzgerald Castellanos</t>
        </is>
      </c>
      <c r="D229" s="3" t="inlineStr">
        <is>
          <t>NY</t>
        </is>
      </c>
      <c r="E229" s="3" t="inlineStr">
        <is>
          <t>f77b337a-c907-53e8-9bcb-d79af713bda6</t>
        </is>
      </c>
      <c r="F229" s="3" t="inlineStr">
        <is>
          <t>2026-08-15</t>
        </is>
      </c>
      <c r="G229" s="3" t="inlineStr">
        <is>
          <t>2026-08</t>
        </is>
      </c>
      <c r="H229" s="16" t="n">
        <v>24195.11</v>
      </c>
      <c r="I229" s="3" t="inlineStr">
        <is>
          <t>open</t>
        </is>
      </c>
    </row>
    <row r="230">
      <c r="A230" s="17" t="inlineStr">
        <is>
          <t>0842ad21-ab7a-5a0f-8520-4a51a8de7312</t>
        </is>
      </c>
      <c r="B230" s="17" t="inlineStr">
        <is>
          <t>CANON-202606-007100</t>
        </is>
      </c>
      <c r="C230" s="17" t="inlineStr">
        <is>
          <t>Ramona Okonkwo</t>
        </is>
      </c>
      <c r="D230" s="17" t="inlineStr">
        <is>
          <t>NJ</t>
        </is>
      </c>
      <c r="E230" s="17" t="inlineStr">
        <is>
          <t>822a3440-689e-5b15-bc64-593070005485</t>
        </is>
      </c>
      <c r="F230" s="17" t="inlineStr">
        <is>
          <t>2026-08-15</t>
        </is>
      </c>
      <c r="G230" s="17" t="inlineStr">
        <is>
          <t>2026-08</t>
        </is>
      </c>
      <c r="H230" s="18" t="n">
        <v>23994.81</v>
      </c>
      <c r="I230" s="17" t="inlineStr">
        <is>
          <t>closed</t>
        </is>
      </c>
    </row>
    <row r="231">
      <c r="A231" s="3" t="inlineStr">
        <is>
          <t>33069aa9-7819-5c6a-bfe8-dc0d5ae9e735</t>
        </is>
      </c>
      <c r="B231" s="3" t="inlineStr">
        <is>
          <t>CANON-202511-001851</t>
        </is>
      </c>
      <c r="C231" s="3" t="inlineStr">
        <is>
          <t>Mireille Nakashima</t>
        </is>
      </c>
      <c r="D231" s="3" t="inlineStr">
        <is>
          <t>HI</t>
        </is>
      </c>
      <c r="E231" s="3" t="inlineStr">
        <is>
          <t>47c37af1-eac7-5fb6-bae8-fe1571eb0a81</t>
        </is>
      </c>
      <c r="F231" s="3" t="inlineStr">
        <is>
          <t>2026-08-16</t>
        </is>
      </c>
      <c r="G231" s="3" t="inlineStr">
        <is>
          <t>2026-08</t>
        </is>
      </c>
      <c r="H231" s="16" t="n">
        <v>14764.16</v>
      </c>
      <c r="I231" s="3" t="inlineStr">
        <is>
          <t>closed</t>
        </is>
      </c>
    </row>
    <row r="232">
      <c r="A232" s="17" t="inlineStr">
        <is>
          <t>77c7693e-8c14-5ee3-8b18-d03fed90e1e4</t>
        </is>
      </c>
      <c r="B232" s="17" t="inlineStr">
        <is>
          <t>CANON-202605-006572</t>
        </is>
      </c>
      <c r="C232" s="17" t="inlineStr">
        <is>
          <t>Desmond Harrington</t>
        </is>
      </c>
      <c r="D232" s="17" t="inlineStr">
        <is>
          <t>TX</t>
        </is>
      </c>
      <c r="E232" s="17" t="inlineStr">
        <is>
          <t>caeb38c4-6724-57fc-be89-1016182247b1</t>
        </is>
      </c>
      <c r="F232" s="17" t="inlineStr">
        <is>
          <t>2026-08-20</t>
        </is>
      </c>
      <c r="G232" s="17" t="inlineStr">
        <is>
          <t>2026-08</t>
        </is>
      </c>
      <c r="H232" s="18" t="n">
        <v>158570.92</v>
      </c>
      <c r="I232" s="17" t="inlineStr">
        <is>
          <t>closed</t>
        </is>
      </c>
    </row>
    <row r="233">
      <c r="A233" s="3" t="inlineStr">
        <is>
          <t>6ccca21d-6a9f-54c6-8fb3-240ddfb20d87</t>
        </is>
      </c>
      <c r="B233" s="3" t="inlineStr">
        <is>
          <t>CANON-202607-007648</t>
        </is>
      </c>
      <c r="C233" s="3" t="inlineStr">
        <is>
          <t>Ottilie Farkas</t>
        </is>
      </c>
      <c r="D233" s="3" t="inlineStr">
        <is>
          <t>NY</t>
        </is>
      </c>
      <c r="E233" s="3" t="inlineStr">
        <is>
          <t>b72a6b3d-6635-5bf6-9fe1-667d6f8303cd</t>
        </is>
      </c>
      <c r="F233" s="3" t="inlineStr">
        <is>
          <t>2026-08-20</t>
        </is>
      </c>
      <c r="G233" s="3" t="inlineStr">
        <is>
          <t>2026-08</t>
        </is>
      </c>
      <c r="H233" s="16" t="n">
        <v>26370.4</v>
      </c>
      <c r="I233" s="3" t="inlineStr">
        <is>
          <t>closed</t>
        </is>
      </c>
    </row>
    <row r="234">
      <c r="A234" s="17" t="inlineStr">
        <is>
          <t>1bfab043-5482-58b7-8b38-9f0d9a35150a</t>
        </is>
      </c>
      <c r="B234" s="17" t="inlineStr">
        <is>
          <t>CANON-202511-002105</t>
        </is>
      </c>
      <c r="C234" s="17" t="inlineStr">
        <is>
          <t>Marisol Bellandi</t>
        </is>
      </c>
      <c r="D234" s="17" t="inlineStr">
        <is>
          <t>SD</t>
        </is>
      </c>
      <c r="E234" s="17" t="inlineStr">
        <is>
          <t>7c58a474-1fac-5786-b207-cacf3d250721</t>
        </is>
      </c>
      <c r="F234" s="17" t="inlineStr">
        <is>
          <t>2026-08-21</t>
        </is>
      </c>
      <c r="G234" s="17" t="inlineStr">
        <is>
          <t>2026-08</t>
        </is>
      </c>
      <c r="H234" s="18" t="n">
        <v>14162.8</v>
      </c>
      <c r="I234" s="17" t="inlineStr">
        <is>
          <t>closed</t>
        </is>
      </c>
    </row>
    <row r="235">
      <c r="A235" s="3" t="inlineStr">
        <is>
          <t>0d481e6f-5ba9-563c-b7ff-7a56af98e425</t>
        </is>
      </c>
      <c r="B235" s="3" t="inlineStr">
        <is>
          <t>CANON-202510-001152</t>
        </is>
      </c>
      <c r="C235" s="3" t="inlineStr">
        <is>
          <t>Beatrix Vasquez</t>
        </is>
      </c>
      <c r="D235" s="3" t="inlineStr">
        <is>
          <t>NM</t>
        </is>
      </c>
      <c r="E235" s="3" t="inlineStr">
        <is>
          <t>1c449431-59d9-5bc8-a4d3-722de8b98e0b</t>
        </is>
      </c>
      <c r="F235" s="3" t="inlineStr">
        <is>
          <t>2026-08-22</t>
        </is>
      </c>
      <c r="G235" s="3" t="inlineStr">
        <is>
          <t>2026-08</t>
        </is>
      </c>
      <c r="H235" s="16" t="n">
        <v>10970.03</v>
      </c>
      <c r="I235" s="3" t="inlineStr">
        <is>
          <t>closed</t>
        </is>
      </c>
    </row>
    <row r="236">
      <c r="A236" s="17" t="inlineStr">
        <is>
          <t>5a2a4022-6391-53e7-ad31-fde90abcaef8</t>
        </is>
      </c>
      <c r="B236" s="17" t="inlineStr">
        <is>
          <t>CANON-202605-006020</t>
        </is>
      </c>
      <c r="C236" s="17" t="inlineStr">
        <is>
          <t>Delphine Nakashima</t>
        </is>
      </c>
      <c r="D236" s="17" t="inlineStr">
        <is>
          <t>MT</t>
        </is>
      </c>
      <c r="E236" s="17" t="inlineStr">
        <is>
          <t>f8b4bb10-b401-5cdc-9aed-9432d8108d09</t>
        </is>
      </c>
      <c r="F236" s="17" t="inlineStr">
        <is>
          <t>2026-08-23</t>
        </is>
      </c>
      <c r="G236" s="17" t="inlineStr">
        <is>
          <t>2026-08</t>
        </is>
      </c>
      <c r="H236" s="18" t="n">
        <v>30230.68</v>
      </c>
      <c r="I236" s="17" t="inlineStr">
        <is>
          <t>open</t>
        </is>
      </c>
    </row>
    <row r="237">
      <c r="A237" s="3" t="inlineStr">
        <is>
          <t>dfc58991-b73b-5925-ae3c-53184ab5488e</t>
        </is>
      </c>
      <c r="B237" s="3" t="inlineStr">
        <is>
          <t>CANON-202511-001851</t>
        </is>
      </c>
      <c r="C237" s="3" t="inlineStr">
        <is>
          <t>Mireille Nakashima</t>
        </is>
      </c>
      <c r="D237" s="3" t="inlineStr">
        <is>
          <t>HI</t>
        </is>
      </c>
      <c r="E237" s="3" t="inlineStr">
        <is>
          <t>47c37af1-eac7-5fb6-bae8-fe1571eb0a81</t>
        </is>
      </c>
      <c r="F237" s="3" t="inlineStr">
        <is>
          <t>2026-08-24</t>
        </is>
      </c>
      <c r="G237" s="3" t="inlineStr">
        <is>
          <t>2026-08</t>
        </is>
      </c>
      <c r="H237" s="16" t="n">
        <v>9424.76</v>
      </c>
      <c r="I237" s="3" t="inlineStr">
        <is>
          <t>closed</t>
        </is>
      </c>
    </row>
    <row r="238">
      <c r="A238" s="17" t="inlineStr">
        <is>
          <t>6d214362-83d1-5c91-9ac7-ca89b58ed97e</t>
        </is>
      </c>
      <c r="B238" s="17" t="inlineStr">
        <is>
          <t>CANON-202601-003269</t>
        </is>
      </c>
      <c r="C238" s="17" t="inlineStr">
        <is>
          <t>Ottilie Montoya</t>
        </is>
      </c>
      <c r="D238" s="17" t="inlineStr">
        <is>
          <t>IL</t>
        </is>
      </c>
      <c r="E238" s="17" t="inlineStr">
        <is>
          <t>6fceab72-414e-58dd-b917-bc25fb296b82</t>
        </is>
      </c>
      <c r="F238" s="17" t="inlineStr">
        <is>
          <t>2026-08-25</t>
        </is>
      </c>
      <c r="G238" s="17" t="inlineStr">
        <is>
          <t>2026-08</t>
        </is>
      </c>
      <c r="H238" s="18" t="n">
        <v>22106.19</v>
      </c>
      <c r="I238" s="17" t="inlineStr">
        <is>
          <t>closed</t>
        </is>
      </c>
    </row>
    <row r="239">
      <c r="A239" s="3" t="inlineStr">
        <is>
          <t>7496d5f0-eefc-5a12-93e3-88ef562152fb</t>
        </is>
      </c>
      <c r="B239" s="3" t="inlineStr">
        <is>
          <t>CANON-202603-004929</t>
        </is>
      </c>
      <c r="C239" s="3" t="inlineStr">
        <is>
          <t>Delphine Bellandi</t>
        </is>
      </c>
      <c r="D239" s="3" t="inlineStr">
        <is>
          <t>IA</t>
        </is>
      </c>
      <c r="E239" s="3" t="inlineStr">
        <is>
          <t>b96d342a-3b3b-5f17-92ca-cba342df5498</t>
        </is>
      </c>
      <c r="F239" s="3" t="inlineStr">
        <is>
          <t>2026-08-25</t>
        </is>
      </c>
      <c r="G239" s="3" t="inlineStr">
        <is>
          <t>2026-08</t>
        </is>
      </c>
      <c r="H239" s="16" t="n">
        <v>23425.74</v>
      </c>
      <c r="I239" s="3" t="inlineStr">
        <is>
          <t>closed</t>
        </is>
      </c>
    </row>
    <row r="240">
      <c r="A240" s="17" t="inlineStr">
        <is>
          <t>91318dd3-7bc6-5384-8ce1-d360d5300d14</t>
        </is>
      </c>
      <c r="B240" s="17" t="inlineStr">
        <is>
          <t>CANON-202512-002522</t>
        </is>
      </c>
      <c r="C240" s="17" t="inlineStr">
        <is>
          <t>Saoirse Okonkwo</t>
        </is>
      </c>
      <c r="D240" s="17" t="inlineStr">
        <is>
          <t>CO</t>
        </is>
      </c>
      <c r="E240" s="17" t="inlineStr">
        <is>
          <t>3af5ba0c-66c3-51e7-bc17-944250d7fae5</t>
        </is>
      </c>
      <c r="F240" s="17" t="inlineStr">
        <is>
          <t>2026-08-27</t>
        </is>
      </c>
      <c r="G240" s="17" t="inlineStr">
        <is>
          <t>2026-08</t>
        </is>
      </c>
      <c r="H240" s="18" t="n">
        <v>23611.16</v>
      </c>
      <c r="I240" s="17" t="inlineStr">
        <is>
          <t>closed</t>
        </is>
      </c>
    </row>
    <row r="241">
      <c r="A241" s="3" t="inlineStr">
        <is>
          <t>a1c7d305-ecc0-528d-9b54-25ea33f22eb5</t>
        </is>
      </c>
      <c r="B241" s="3" t="inlineStr">
        <is>
          <t>CANON-202601-003585</t>
        </is>
      </c>
      <c r="C241" s="3" t="inlineStr">
        <is>
          <t>Emiliano Okonkwo</t>
        </is>
      </c>
      <c r="D241" s="3" t="inlineStr">
        <is>
          <t>NY</t>
        </is>
      </c>
      <c r="E241" s="3" t="inlineStr">
        <is>
          <t>5ebe3f4d-2424-594d-a720-5b1299cfb2d9</t>
        </is>
      </c>
      <c r="F241" s="3" t="inlineStr">
        <is>
          <t>2026-08-27</t>
        </is>
      </c>
      <c r="G241" s="3" t="inlineStr">
        <is>
          <t>2026-08</t>
        </is>
      </c>
      <c r="H241" s="16" t="n">
        <v>14923.38</v>
      </c>
      <c r="I241" s="3" t="inlineStr">
        <is>
          <t>closed</t>
        </is>
      </c>
    </row>
    <row r="242">
      <c r="A242" s="17" t="inlineStr">
        <is>
          <t>dda23572-a1b0-5225-b6b7-deeb3bf2a3c5</t>
        </is>
      </c>
      <c r="B242" s="17" t="inlineStr">
        <is>
          <t>CANON-202512-002457</t>
        </is>
      </c>
      <c r="C242" s="17" t="inlineStr">
        <is>
          <t>Noor Fairweather</t>
        </is>
      </c>
      <c r="D242" s="17" t="inlineStr">
        <is>
          <t>NY</t>
        </is>
      </c>
      <c r="E242" s="17" t="inlineStr">
        <is>
          <t>cf636d15-b5a4-5274-ac3c-e2d92c9e44af</t>
        </is>
      </c>
      <c r="F242" s="17" t="inlineStr">
        <is>
          <t>2026-08-28</t>
        </is>
      </c>
      <c r="G242" s="17" t="inlineStr">
        <is>
          <t>2026-08</t>
        </is>
      </c>
      <c r="H242" s="18" t="n">
        <v>21559.39</v>
      </c>
      <c r="I242" s="17" t="inlineStr">
        <is>
          <t>closed</t>
        </is>
      </c>
    </row>
    <row r="243">
      <c r="A243" s="3" t="inlineStr">
        <is>
          <t>5c760fa8-5d95-5772-ae8a-59c116650289</t>
        </is>
      </c>
      <c r="B243" s="3" t="inlineStr">
        <is>
          <t>CANON-202512-003017</t>
        </is>
      </c>
      <c r="C243" s="3" t="inlineStr">
        <is>
          <t>Beatrix Okonkwo</t>
        </is>
      </c>
      <c r="D243" s="3" t="inlineStr">
        <is>
          <t>CO</t>
        </is>
      </c>
      <c r="E243" s="3" t="inlineStr">
        <is>
          <t>b594f9e9-3e8f-5257-a603-aba18673ee73</t>
        </is>
      </c>
      <c r="F243" s="3" t="inlineStr">
        <is>
          <t>2026-08-29</t>
        </is>
      </c>
      <c r="G243" s="3" t="inlineStr">
        <is>
          <t>2026-08</t>
        </is>
      </c>
      <c r="H243" s="16" t="n">
        <v>29625.42</v>
      </c>
      <c r="I243" s="3" t="inlineStr">
        <is>
          <t>closed</t>
        </is>
      </c>
    </row>
    <row r="244">
      <c r="A244" s="17" t="inlineStr">
        <is>
          <t>74c979ef-de26-5f9a-94db-9533516174c8</t>
        </is>
      </c>
      <c r="B244" s="17" t="inlineStr">
        <is>
          <t>CANON-202512-002487</t>
        </is>
      </c>
      <c r="C244" s="17" t="inlineStr">
        <is>
          <t>Leopold Bellandi</t>
        </is>
      </c>
      <c r="D244" s="17" t="inlineStr">
        <is>
          <t>CT</t>
        </is>
      </c>
      <c r="E244" s="17" t="inlineStr">
        <is>
          <t>33b4287e-e51e-5ac1-b67e-dd83608c2fd9</t>
        </is>
      </c>
      <c r="F244" s="17" t="inlineStr">
        <is>
          <t>2026-08-30</t>
        </is>
      </c>
      <c r="G244" s="17" t="inlineStr">
        <is>
          <t>2026-08</t>
        </is>
      </c>
      <c r="H244" s="18" t="n">
        <v>35029.2</v>
      </c>
      <c r="I244" s="17" t="inlineStr">
        <is>
          <t>open</t>
        </is>
      </c>
    </row>
    <row r="245">
      <c r="A245" s="3" t="inlineStr">
        <is>
          <t>9d1a9513-c8be-5ea7-8263-60a22e34732a</t>
        </is>
      </c>
      <c r="B245" s="3" t="inlineStr">
        <is>
          <t>CANON-202512-002650</t>
        </is>
      </c>
      <c r="C245" s="3" t="inlineStr">
        <is>
          <t>Thaddeus Blackwood</t>
        </is>
      </c>
      <c r="D245" s="3" t="inlineStr">
        <is>
          <t>KY</t>
        </is>
      </c>
      <c r="E245" s="3" t="inlineStr">
        <is>
          <t>e82c1b5e-0deb-5874-9116-6799c2cb0924</t>
        </is>
      </c>
      <c r="F245" s="3" t="inlineStr">
        <is>
          <t>2026-08-30</t>
        </is>
      </c>
      <c r="G245" s="3" t="inlineStr">
        <is>
          <t>2026-08</t>
        </is>
      </c>
      <c r="H245" s="16" t="n">
        <v>19410.49</v>
      </c>
      <c r="I245" s="3" t="inlineStr">
        <is>
          <t>closed</t>
        </is>
      </c>
    </row>
    <row r="246">
      <c r="A246" s="17" t="inlineStr">
        <is>
          <t>5d494de6-901e-5c06-b1c6-d738833f9522</t>
        </is>
      </c>
      <c r="B246" s="17" t="inlineStr">
        <is>
          <t>CANON-202604-005662</t>
        </is>
      </c>
      <c r="C246" s="17" t="inlineStr">
        <is>
          <t>Desmond Ashcombe</t>
        </is>
      </c>
      <c r="D246" s="17" t="inlineStr">
        <is>
          <t>CT</t>
        </is>
      </c>
      <c r="E246" s="17" t="inlineStr">
        <is>
          <t>83eae433-247b-5608-8470-5db0b9acca81</t>
        </is>
      </c>
      <c r="F246" s="17" t="inlineStr">
        <is>
          <t>2026-08-31</t>
        </is>
      </c>
      <c r="G246" s="17" t="inlineStr">
        <is>
          <t>2026-08</t>
        </is>
      </c>
      <c r="H246" s="18" t="n">
        <v>35990.21</v>
      </c>
      <c r="I246" s="17" t="inlineStr">
        <is>
          <t>closed</t>
        </is>
      </c>
    </row>
    <row r="247">
      <c r="A247" s="3" t="inlineStr">
        <is>
          <t>c39bdc58-1ef7-5d2f-8eba-92e73ce53cd6</t>
        </is>
      </c>
      <c r="B247" s="3" t="inlineStr">
        <is>
          <t>CANON-202605-006431</t>
        </is>
      </c>
      <c r="C247" s="3" t="inlineStr">
        <is>
          <t>Beatrix Montoya</t>
        </is>
      </c>
      <c r="D247" s="3" t="inlineStr">
        <is>
          <t>NY</t>
        </is>
      </c>
      <c r="E247" s="3" t="inlineStr">
        <is>
          <t>d373e8a4-1017-51b6-9470-6825d47e7a12</t>
        </is>
      </c>
      <c r="F247" s="3" t="inlineStr">
        <is>
          <t>2026-09-03</t>
        </is>
      </c>
      <c r="G247" s="3" t="inlineStr">
        <is>
          <t>2026-09</t>
        </is>
      </c>
      <c r="H247" s="16" t="n">
        <v>513774.71</v>
      </c>
      <c r="I247" s="3" t="inlineStr">
        <is>
          <t>closed</t>
        </is>
      </c>
    </row>
    <row r="248">
      <c r="A248" s="17" t="inlineStr">
        <is>
          <t>809be10d-e21d-579b-8696-132528cbd2eb</t>
        </is>
      </c>
      <c r="B248" s="17" t="inlineStr">
        <is>
          <t>CANON-202512-002826</t>
        </is>
      </c>
      <c r="C248" s="17" t="inlineStr">
        <is>
          <t>Horace Thistlewood</t>
        </is>
      </c>
      <c r="D248" s="17" t="inlineStr">
        <is>
          <t>NY</t>
        </is>
      </c>
      <c r="E248" s="17" t="inlineStr">
        <is>
          <t>1976fea2-e2fb-52e4-b1e2-354578e202c3</t>
        </is>
      </c>
      <c r="F248" s="17" t="inlineStr">
        <is>
          <t>2026-09-04</t>
        </is>
      </c>
      <c r="G248" s="17" t="inlineStr">
        <is>
          <t>2026-09</t>
        </is>
      </c>
      <c r="H248" s="18" t="n">
        <v>167767.22</v>
      </c>
      <c r="I248" s="17" t="inlineStr">
        <is>
          <t>closed</t>
        </is>
      </c>
    </row>
    <row r="249">
      <c r="A249" s="3" t="inlineStr">
        <is>
          <t>02ae2a10-d147-5c70-8435-a4467c096cc5</t>
        </is>
      </c>
      <c r="B249" s="3" t="inlineStr">
        <is>
          <t>CANON-202602-004389</t>
        </is>
      </c>
      <c r="C249" s="3" t="inlineStr">
        <is>
          <t>Noor Chattopadhyay</t>
        </is>
      </c>
      <c r="D249" s="3" t="inlineStr">
        <is>
          <t>AK</t>
        </is>
      </c>
      <c r="E249" s="3" t="inlineStr">
        <is>
          <t>f689886b-4c61-52ab-a61a-30f0bc5e6fe8</t>
        </is>
      </c>
      <c r="F249" s="3" t="inlineStr">
        <is>
          <t>2026-09-05</t>
        </is>
      </c>
      <c r="G249" s="3" t="inlineStr">
        <is>
          <t>2026-09</t>
        </is>
      </c>
      <c r="H249" s="16" t="n">
        <v>14768.98</v>
      </c>
      <c r="I249" s="3" t="inlineStr">
        <is>
          <t>open</t>
        </is>
      </c>
    </row>
    <row r="250">
      <c r="A250" s="17" t="inlineStr">
        <is>
          <t>16623ada-b314-5c0d-9249-91cdd586759d</t>
        </is>
      </c>
      <c r="B250" s="17" t="inlineStr">
        <is>
          <t>CANON-202603-004833</t>
        </is>
      </c>
      <c r="C250" s="17" t="inlineStr">
        <is>
          <t>Noor Bellandi</t>
        </is>
      </c>
      <c r="D250" s="17" t="inlineStr">
        <is>
          <t>ME</t>
        </is>
      </c>
      <c r="E250" s="17" t="inlineStr">
        <is>
          <t>8ae51a45-cfb4-5bde-8119-876a575b5a9e</t>
        </is>
      </c>
      <c r="F250" s="17" t="inlineStr">
        <is>
          <t>2026-09-05</t>
        </is>
      </c>
      <c r="G250" s="17" t="inlineStr">
        <is>
          <t>2026-09</t>
        </is>
      </c>
      <c r="H250" s="18" t="n">
        <v>13733.78</v>
      </c>
      <c r="I250" s="17" t="inlineStr">
        <is>
          <t>closed</t>
        </is>
      </c>
    </row>
    <row r="251">
      <c r="A251" s="3" t="inlineStr">
        <is>
          <t>fe2a4ca2-3e6a-5f14-8c84-4ff23955992d</t>
        </is>
      </c>
      <c r="B251" s="3" t="inlineStr">
        <is>
          <t>CANON-202603-005212</t>
        </is>
      </c>
      <c r="C251" s="3" t="inlineStr">
        <is>
          <t>Marisol Merriweather</t>
        </is>
      </c>
      <c r="D251" s="3" t="inlineStr">
        <is>
          <t>UT</t>
        </is>
      </c>
      <c r="E251" s="3" t="inlineStr">
        <is>
          <t>1abd200d-902b-5492-acfb-3516b577cd94</t>
        </is>
      </c>
      <c r="F251" s="3" t="inlineStr">
        <is>
          <t>2026-09-06</t>
        </is>
      </c>
      <c r="G251" s="3" t="inlineStr">
        <is>
          <t>2026-09</t>
        </is>
      </c>
      <c r="H251" s="16" t="n">
        <v>28757.27</v>
      </c>
      <c r="I251" s="3" t="inlineStr">
        <is>
          <t>closed</t>
        </is>
      </c>
    </row>
    <row r="252">
      <c r="A252" s="17" t="inlineStr">
        <is>
          <t>91e8e22a-8f17-5612-bd30-b674fa524b7c</t>
        </is>
      </c>
      <c r="B252" s="17" t="inlineStr">
        <is>
          <t>CANON-202605-006175</t>
        </is>
      </c>
      <c r="C252" s="17" t="inlineStr">
        <is>
          <t>Anouk Vasquez</t>
        </is>
      </c>
      <c r="D252" s="17" t="inlineStr">
        <is>
          <t>AZ</t>
        </is>
      </c>
      <c r="E252" s="17" t="inlineStr">
        <is>
          <t>fd802b5b-fc72-5196-990c-6736b69e662a</t>
        </is>
      </c>
      <c r="F252" s="17" t="inlineStr">
        <is>
          <t>2026-09-09</t>
        </is>
      </c>
      <c r="G252" s="17" t="inlineStr">
        <is>
          <t>2026-09</t>
        </is>
      </c>
      <c r="H252" s="18" t="n">
        <v>8410.129999999999</v>
      </c>
      <c r="I252" s="17" t="inlineStr">
        <is>
          <t>closed</t>
        </is>
      </c>
    </row>
    <row r="253">
      <c r="A253" s="3" t="inlineStr">
        <is>
          <t>58a26668-2a5a-5f00-8d44-316f305f0674</t>
        </is>
      </c>
      <c r="B253" s="3" t="inlineStr">
        <is>
          <t>CANON-202604-005300</t>
        </is>
      </c>
      <c r="C253" s="3" t="inlineStr">
        <is>
          <t>Thaddeus Farkas</t>
        </is>
      </c>
      <c r="D253" s="3" t="inlineStr">
        <is>
          <t>OH</t>
        </is>
      </c>
      <c r="E253" s="3" t="inlineStr">
        <is>
          <t>5d192615-7f72-5968-9e9c-e336adbea27a</t>
        </is>
      </c>
      <c r="F253" s="3" t="inlineStr">
        <is>
          <t>2026-09-10</t>
        </is>
      </c>
      <c r="G253" s="3" t="inlineStr">
        <is>
          <t>2026-09</t>
        </is>
      </c>
      <c r="H253" s="16" t="n">
        <v>24007.97</v>
      </c>
      <c r="I253" s="3" t="inlineStr">
        <is>
          <t>closed</t>
        </is>
      </c>
    </row>
    <row r="254">
      <c r="A254" s="17" t="inlineStr">
        <is>
          <t>d99644d8-2109-5081-be9b-ef7d05729914</t>
        </is>
      </c>
      <c r="B254" s="17" t="inlineStr">
        <is>
          <t>CANON-202511-001891</t>
        </is>
      </c>
      <c r="C254" s="17" t="inlineStr">
        <is>
          <t>Fenwick Okonkwo</t>
        </is>
      </c>
      <c r="D254" s="17" t="inlineStr">
        <is>
          <t>MO</t>
        </is>
      </c>
      <c r="E254" s="17" t="inlineStr">
        <is>
          <t>78a36e0c-2f4d-5647-a0cc-d04687404293</t>
        </is>
      </c>
      <c r="F254" s="17" t="inlineStr">
        <is>
          <t>2026-09-11</t>
        </is>
      </c>
      <c r="G254" s="17" t="inlineStr">
        <is>
          <t>2026-09</t>
        </is>
      </c>
      <c r="H254" s="18" t="n">
        <v>29705.77</v>
      </c>
      <c r="I254" s="17" t="inlineStr">
        <is>
          <t>open</t>
        </is>
      </c>
    </row>
    <row r="255">
      <c r="A255" s="3" t="inlineStr">
        <is>
          <t>be8b3ee5-dd42-5515-b9ba-cb6ec085844e</t>
        </is>
      </c>
      <c r="B255" s="3" t="inlineStr">
        <is>
          <t>CANON-202511-001909</t>
        </is>
      </c>
      <c r="C255" s="3" t="inlineStr">
        <is>
          <t>Mireille Rourke</t>
        </is>
      </c>
      <c r="D255" s="3" t="inlineStr">
        <is>
          <t>VT</t>
        </is>
      </c>
      <c r="E255" s="3" t="inlineStr">
        <is>
          <t>d0139fa1-e45e-577d-a316-fc6300257bb4</t>
        </is>
      </c>
      <c r="F255" s="3" t="inlineStr">
        <is>
          <t>2026-09-12</t>
        </is>
      </c>
      <c r="G255" s="3" t="inlineStr">
        <is>
          <t>2026-09</t>
        </is>
      </c>
      <c r="H255" s="16" t="n">
        <v>27010.34</v>
      </c>
      <c r="I255" s="3" t="inlineStr">
        <is>
          <t>closed</t>
        </is>
      </c>
    </row>
    <row r="256">
      <c r="A256" s="17" t="inlineStr">
        <is>
          <t>90c303dc-6b82-50e4-a408-02b79b6fbeb6</t>
        </is>
      </c>
      <c r="B256" s="17" t="inlineStr">
        <is>
          <t>CANON-202605-006489</t>
        </is>
      </c>
      <c r="C256" s="17" t="inlineStr">
        <is>
          <t>Fitzgerald Pennington</t>
        </is>
      </c>
      <c r="D256" s="17" t="inlineStr">
        <is>
          <t>NY</t>
        </is>
      </c>
      <c r="E256" s="17" t="inlineStr">
        <is>
          <t>3a59680e-42d5-5570-9ef1-e9dee1d55c8f</t>
        </is>
      </c>
      <c r="F256" s="17" t="inlineStr">
        <is>
          <t>2026-09-12</t>
        </is>
      </c>
      <c r="G256" s="17" t="inlineStr">
        <is>
          <t>2026-09</t>
        </is>
      </c>
      <c r="H256" s="18" t="n">
        <v>5757.26</v>
      </c>
      <c r="I256" s="17" t="inlineStr">
        <is>
          <t>closed</t>
        </is>
      </c>
    </row>
    <row r="257">
      <c r="A257" s="3" t="inlineStr">
        <is>
          <t>d1a03441-9ad7-5111-ab3b-7c477090f404</t>
        </is>
      </c>
      <c r="B257" s="3" t="inlineStr">
        <is>
          <t>CANON-202512-003006</t>
        </is>
      </c>
      <c r="C257" s="3" t="inlineStr">
        <is>
          <t>Cassius Fairweather</t>
        </is>
      </c>
      <c r="D257" s="3" t="inlineStr">
        <is>
          <t>FL</t>
        </is>
      </c>
      <c r="E257" s="3" t="inlineStr">
        <is>
          <t>cf8a9b15-162b-56c7-a9b3-54a3fcf98189</t>
        </is>
      </c>
      <c r="F257" s="3" t="inlineStr">
        <is>
          <t>2026-09-14</t>
        </is>
      </c>
      <c r="G257" s="3" t="inlineStr">
        <is>
          <t>2026-09</t>
        </is>
      </c>
      <c r="H257" s="16" t="n">
        <v>82629.89</v>
      </c>
      <c r="I257" s="3" t="inlineStr">
        <is>
          <t>closed</t>
        </is>
      </c>
    </row>
    <row r="258">
      <c r="A258" s="17" t="inlineStr">
        <is>
          <t>c55bc39a-d08f-5f63-87da-2bc58e1520a7</t>
        </is>
      </c>
      <c r="B258" s="17" t="inlineStr">
        <is>
          <t>CANON-202601-003480</t>
        </is>
      </c>
      <c r="C258" s="17" t="inlineStr">
        <is>
          <t>Everett Farkas</t>
        </is>
      </c>
      <c r="D258" s="17" t="inlineStr">
        <is>
          <t>TN</t>
        </is>
      </c>
      <c r="E258" s="17" t="inlineStr">
        <is>
          <t>3fe847d7-8913-5e4e-b7b8-6e0d73fb31b2</t>
        </is>
      </c>
      <c r="F258" s="17" t="inlineStr">
        <is>
          <t>2026-09-16</t>
        </is>
      </c>
      <c r="G258" s="17" t="inlineStr">
        <is>
          <t>2026-09</t>
        </is>
      </c>
      <c r="H258" s="18" t="n">
        <v>30392.93</v>
      </c>
      <c r="I258" s="17" t="inlineStr">
        <is>
          <t>open</t>
        </is>
      </c>
    </row>
    <row r="259">
      <c r="A259" s="3" t="inlineStr">
        <is>
          <t>6a82477c-6ffb-5498-8781-f82ab1882492</t>
        </is>
      </c>
      <c r="B259" s="3" t="inlineStr">
        <is>
          <t>CANON-202605-006311</t>
        </is>
      </c>
      <c r="C259" s="3" t="inlineStr">
        <is>
          <t>Leopold Farkas</t>
        </is>
      </c>
      <c r="D259" s="3" t="inlineStr">
        <is>
          <t>NY</t>
        </is>
      </c>
      <c r="E259" s="3" t="inlineStr">
        <is>
          <t>a145788f-b7a0-582e-b9a2-e51002ef2eb5</t>
        </is>
      </c>
      <c r="F259" s="3" t="inlineStr">
        <is>
          <t>2026-09-16</t>
        </is>
      </c>
      <c r="G259" s="3" t="inlineStr">
        <is>
          <t>2026-09</t>
        </is>
      </c>
      <c r="H259" s="16" t="n">
        <v>28504.22</v>
      </c>
      <c r="I259" s="3" t="inlineStr">
        <is>
          <t>open</t>
        </is>
      </c>
    </row>
    <row r="260">
      <c r="A260" s="17" t="inlineStr">
        <is>
          <t>8f719711-7969-5092-a9df-bccbc09cfd3c</t>
        </is>
      </c>
      <c r="B260" s="17" t="inlineStr">
        <is>
          <t>CANON-202605-006456</t>
        </is>
      </c>
      <c r="C260" s="17" t="inlineStr">
        <is>
          <t>Noor Delacroix</t>
        </is>
      </c>
      <c r="D260" s="17" t="inlineStr">
        <is>
          <t>OH</t>
        </is>
      </c>
      <c r="E260" s="17" t="inlineStr">
        <is>
          <t>c26e206d-df78-5d7c-a588-3e740ebca756</t>
        </is>
      </c>
      <c r="F260" s="17" t="inlineStr">
        <is>
          <t>2026-09-16</t>
        </is>
      </c>
      <c r="G260" s="17" t="inlineStr">
        <is>
          <t>2026-09</t>
        </is>
      </c>
      <c r="H260" s="18" t="n">
        <v>35486.54</v>
      </c>
      <c r="I260" s="17" t="inlineStr">
        <is>
          <t>open</t>
        </is>
      </c>
    </row>
    <row r="261">
      <c r="A261" s="3" t="inlineStr">
        <is>
          <t>a4a76e6d-3669-5319-8c9b-a70bf1cfa90e</t>
        </is>
      </c>
      <c r="B261" s="3" t="inlineStr">
        <is>
          <t>CANON-202606-006880</t>
        </is>
      </c>
      <c r="C261" s="3" t="inlineStr">
        <is>
          <t>Emiliano Nakashima</t>
        </is>
      </c>
      <c r="D261" s="3" t="inlineStr">
        <is>
          <t>IN</t>
        </is>
      </c>
      <c r="E261" s="3" t="inlineStr">
        <is>
          <t>c25397f7-9ef9-5dc1-b5c8-9df11255c7ea</t>
        </is>
      </c>
      <c r="F261" s="3" t="inlineStr">
        <is>
          <t>2026-09-18</t>
        </is>
      </c>
      <c r="G261" s="3" t="inlineStr">
        <is>
          <t>2026-09</t>
        </is>
      </c>
      <c r="H261" s="16" t="n">
        <v>65972.62</v>
      </c>
      <c r="I261" s="3" t="inlineStr">
        <is>
          <t>closed</t>
        </is>
      </c>
    </row>
    <row r="262">
      <c r="A262" s="17" t="inlineStr">
        <is>
          <t>4fd7b951-69de-5809-81f9-49a6ae537ffa</t>
        </is>
      </c>
      <c r="B262" s="17" t="inlineStr">
        <is>
          <t>CANON-202601-003355</t>
        </is>
      </c>
      <c r="C262" s="17" t="inlineStr">
        <is>
          <t>Delphine Nakashima</t>
        </is>
      </c>
      <c r="D262" s="17" t="inlineStr">
        <is>
          <t>IL</t>
        </is>
      </c>
      <c r="E262" s="17" t="inlineStr">
        <is>
          <t>734bdd33-f418-5074-a23e-c88d20816792</t>
        </is>
      </c>
      <c r="F262" s="17" t="inlineStr">
        <is>
          <t>2026-09-19</t>
        </is>
      </c>
      <c r="G262" s="17" t="inlineStr">
        <is>
          <t>2026-09</t>
        </is>
      </c>
      <c r="H262" s="18" t="n">
        <v>9061.530000000001</v>
      </c>
      <c r="I262" s="17" t="inlineStr">
        <is>
          <t>closed</t>
        </is>
      </c>
    </row>
    <row r="263">
      <c r="A263" s="3" t="inlineStr">
        <is>
          <t>53c1d840-46a0-5206-8d89-4a2ea8a399dc</t>
        </is>
      </c>
      <c r="B263" s="3" t="inlineStr">
        <is>
          <t>CANON-202601-003376</t>
        </is>
      </c>
      <c r="C263" s="3" t="inlineStr">
        <is>
          <t>Wilhelmina Montoya</t>
        </is>
      </c>
      <c r="D263" s="3" t="inlineStr">
        <is>
          <t>LA</t>
        </is>
      </c>
      <c r="E263" s="3" t="inlineStr">
        <is>
          <t>3bad19c3-fa13-50c8-bad5-49887e3b456c</t>
        </is>
      </c>
      <c r="F263" s="3" t="inlineStr">
        <is>
          <t>2026-09-21</t>
        </is>
      </c>
      <c r="G263" s="3" t="inlineStr">
        <is>
          <t>2026-09</t>
        </is>
      </c>
      <c r="H263" s="16" t="n">
        <v>36699.8</v>
      </c>
      <c r="I263" s="3" t="inlineStr">
        <is>
          <t>open</t>
        </is>
      </c>
    </row>
    <row r="264">
      <c r="A264" s="17" t="inlineStr">
        <is>
          <t>ddf31c30-bab4-5e1d-ae57-7691eaa3dce4</t>
        </is>
      </c>
      <c r="B264" s="17" t="inlineStr">
        <is>
          <t>CANON-202511-002128</t>
        </is>
      </c>
      <c r="C264" s="17" t="inlineStr">
        <is>
          <t>Anouk Whitlock</t>
        </is>
      </c>
      <c r="D264" s="17" t="inlineStr">
        <is>
          <t>MD</t>
        </is>
      </c>
      <c r="E264" s="17" t="inlineStr">
        <is>
          <t>6faa1b64-8575-580e-87d5-34cf72852183</t>
        </is>
      </c>
      <c r="F264" s="17" t="inlineStr">
        <is>
          <t>2026-09-22</t>
        </is>
      </c>
      <c r="G264" s="17" t="inlineStr">
        <is>
          <t>2026-09</t>
        </is>
      </c>
      <c r="H264" s="18" t="n">
        <v>14553.4</v>
      </c>
      <c r="I264" s="17" t="inlineStr">
        <is>
          <t>open</t>
        </is>
      </c>
    </row>
    <row r="265">
      <c r="A265" s="3" t="inlineStr">
        <is>
          <t>4e778b10-9d49-5803-a51d-17a8be5aac31</t>
        </is>
      </c>
      <c r="B265" s="3" t="inlineStr">
        <is>
          <t>CANON-202604-005308</t>
        </is>
      </c>
      <c r="C265" s="3" t="inlineStr">
        <is>
          <t>Fitzgerald Whitlock</t>
        </is>
      </c>
      <c r="D265" s="3" t="inlineStr">
        <is>
          <t>IA</t>
        </is>
      </c>
      <c r="E265" s="3" t="inlineStr">
        <is>
          <t>d3105a98-9fe1-5c66-b2ff-949aac147ef3</t>
        </is>
      </c>
      <c r="F265" s="3" t="inlineStr">
        <is>
          <t>2026-09-23</t>
        </is>
      </c>
      <c r="G265" s="3" t="inlineStr">
        <is>
          <t>2026-09</t>
        </is>
      </c>
      <c r="H265" s="16" t="n">
        <v>462106.24</v>
      </c>
      <c r="I265" s="3" t="inlineStr">
        <is>
          <t>closed</t>
        </is>
      </c>
    </row>
    <row r="266">
      <c r="A266" s="17" t="inlineStr">
        <is>
          <t>9c8037c8-c9ea-5e53-833c-939e67ef52ef</t>
        </is>
      </c>
      <c r="B266" s="17" t="inlineStr">
        <is>
          <t>CANON-202606-007069</t>
        </is>
      </c>
      <c r="C266" s="17" t="inlineStr">
        <is>
          <t>Emiliano Rourke</t>
        </is>
      </c>
      <c r="D266" s="17" t="inlineStr">
        <is>
          <t>PA</t>
        </is>
      </c>
      <c r="E266" s="17" t="inlineStr">
        <is>
          <t>f62cd135-26f4-5274-9958-c8b66e3fe668</t>
        </is>
      </c>
      <c r="F266" s="17" t="inlineStr">
        <is>
          <t>2026-09-23</t>
        </is>
      </c>
      <c r="G266" s="17" t="inlineStr">
        <is>
          <t>2026-09</t>
        </is>
      </c>
      <c r="H266" s="18" t="n">
        <v>20145.39</v>
      </c>
      <c r="I266" s="17" t="inlineStr">
        <is>
          <t>closed</t>
        </is>
      </c>
    </row>
    <row r="267">
      <c r="A267" s="3" t="inlineStr">
        <is>
          <t>f114f38a-d3a2-5cd5-beed-0283c4854b86</t>
        </is>
      </c>
      <c r="B267" s="3" t="inlineStr">
        <is>
          <t>CANON-202607-008002</t>
        </is>
      </c>
      <c r="C267" s="3" t="inlineStr">
        <is>
          <t>Delphine Larsson</t>
        </is>
      </c>
      <c r="D267" s="3" t="inlineStr">
        <is>
          <t>MA</t>
        </is>
      </c>
      <c r="E267" s="3" t="inlineStr">
        <is>
          <t>2bf4926e-7f2a-5d24-8bd2-40164045b218</t>
        </is>
      </c>
      <c r="F267" s="3" t="inlineStr">
        <is>
          <t>2026-09-24</t>
        </is>
      </c>
      <c r="G267" s="3" t="inlineStr">
        <is>
          <t>2026-09</t>
        </is>
      </c>
      <c r="H267" s="16" t="n">
        <v>23540.15</v>
      </c>
      <c r="I267" s="3" t="inlineStr">
        <is>
          <t>closed</t>
        </is>
      </c>
    </row>
    <row r="268">
      <c r="A268" s="17" t="inlineStr">
        <is>
          <t>d150949f-2737-5e98-9659-f14f6554a65d</t>
        </is>
      </c>
      <c r="B268" s="17" t="inlineStr">
        <is>
          <t>CANON-202607-008158</t>
        </is>
      </c>
      <c r="C268" s="17" t="inlineStr">
        <is>
          <t>Emiliano Bellandi</t>
        </is>
      </c>
      <c r="D268" s="17" t="inlineStr">
        <is>
          <t>VT</t>
        </is>
      </c>
      <c r="E268" s="17" t="inlineStr">
        <is>
          <t>be81a1be-b496-5ade-9be7-8c085930ecb7</t>
        </is>
      </c>
      <c r="F268" s="17" t="inlineStr">
        <is>
          <t>2026-09-29</t>
        </is>
      </c>
      <c r="G268" s="17" t="inlineStr">
        <is>
          <t>2026-09</t>
        </is>
      </c>
      <c r="H268" s="18" t="n">
        <v>431968.88</v>
      </c>
      <c r="I268" s="17" t="inlineStr">
        <is>
          <t>closed</t>
        </is>
      </c>
    </row>
    <row r="269">
      <c r="A269" s="3" t="inlineStr">
        <is>
          <t>a74810d9-680e-50fb-ab99-e15cb66e381c</t>
        </is>
      </c>
      <c r="B269" s="3" t="inlineStr">
        <is>
          <t>CANON-202606-007552</t>
        </is>
      </c>
      <c r="C269" s="3" t="inlineStr">
        <is>
          <t>Ramona Kingsford</t>
        </is>
      </c>
      <c r="D269" s="3" t="inlineStr">
        <is>
          <t>KY</t>
        </is>
      </c>
      <c r="E269" s="3" t="inlineStr">
        <is>
          <t>c82d6236-7394-5f96-a97a-789845e3eb42</t>
        </is>
      </c>
      <c r="F269" s="3" t="inlineStr">
        <is>
          <t>2026-09-30</t>
        </is>
      </c>
      <c r="G269" s="3" t="inlineStr">
        <is>
          <t>2026-09</t>
        </is>
      </c>
      <c r="H269" s="16" t="n">
        <v>30580.1</v>
      </c>
      <c r="I269" s="3" t="inlineStr">
        <is>
          <t>closed</t>
        </is>
      </c>
    </row>
    <row r="270">
      <c r="A270" s="17" t="inlineStr">
        <is>
          <t>ae461c00-c4d7-5daf-9b87-24fae3f49d27</t>
        </is>
      </c>
      <c r="B270" s="17" t="inlineStr">
        <is>
          <t>CANON-202601-003399</t>
        </is>
      </c>
      <c r="C270" s="17" t="inlineStr">
        <is>
          <t>Fenwick Whitlock</t>
        </is>
      </c>
      <c r="D270" s="17" t="inlineStr">
        <is>
          <t>OH</t>
        </is>
      </c>
      <c r="E270" s="17" t="inlineStr">
        <is>
          <t>839a9845-fdcc-5b86-b1f7-f84b7a2f4287</t>
        </is>
      </c>
      <c r="F270" s="17" t="inlineStr">
        <is>
          <t>2026-10-01</t>
        </is>
      </c>
      <c r="G270" s="17" t="inlineStr">
        <is>
          <t>2026-10</t>
        </is>
      </c>
      <c r="H270" s="18" t="n">
        <v>38600.57</v>
      </c>
      <c r="I270" s="17" t="inlineStr">
        <is>
          <t>closed</t>
        </is>
      </c>
    </row>
    <row r="271">
      <c r="A271" s="3" t="inlineStr">
        <is>
          <t>aff90c26-6bd6-5a5b-806c-bc02774b0218</t>
        </is>
      </c>
      <c r="B271" s="3" t="inlineStr">
        <is>
          <t>CANON-202604-005951</t>
        </is>
      </c>
      <c r="C271" s="3" t="inlineStr">
        <is>
          <t>Ingrid Bellandi</t>
        </is>
      </c>
      <c r="D271" s="3" t="inlineStr">
        <is>
          <t>OK</t>
        </is>
      </c>
      <c r="E271" s="3" t="inlineStr">
        <is>
          <t>edb57caf-7bfa-5397-915a-e2dc750017af</t>
        </is>
      </c>
      <c r="F271" s="3" t="inlineStr">
        <is>
          <t>2026-10-02</t>
        </is>
      </c>
      <c r="G271" s="3" t="inlineStr">
        <is>
          <t>2026-10</t>
        </is>
      </c>
      <c r="H271" s="16" t="n">
        <v>25444.04</v>
      </c>
      <c r="I271" s="3" t="inlineStr">
        <is>
          <t>open</t>
        </is>
      </c>
    </row>
    <row r="272">
      <c r="A272" s="17" t="inlineStr">
        <is>
          <t>48916aaf-fbc6-5a69-a507-1e0ea3712007</t>
        </is>
      </c>
      <c r="B272" s="17" t="inlineStr">
        <is>
          <t>CANON-202605-006159</t>
        </is>
      </c>
      <c r="C272" s="17" t="inlineStr">
        <is>
          <t>Marisol Thistlewood</t>
        </is>
      </c>
      <c r="D272" s="17" t="inlineStr">
        <is>
          <t>WY</t>
        </is>
      </c>
      <c r="E272" s="17" t="inlineStr">
        <is>
          <t>450a3aa3-1f9d-5f11-a444-2acfae7415a9</t>
        </is>
      </c>
      <c r="F272" s="17" t="inlineStr">
        <is>
          <t>2026-10-02</t>
        </is>
      </c>
      <c r="G272" s="17" t="inlineStr">
        <is>
          <t>2026-10</t>
        </is>
      </c>
      <c r="H272" s="18" t="n">
        <v>60021.31</v>
      </c>
      <c r="I272" s="17" t="inlineStr">
        <is>
          <t>open</t>
        </is>
      </c>
    </row>
    <row r="273">
      <c r="A273" s="3" t="inlineStr">
        <is>
          <t>d8e8d9cb-bd71-54b1-ba96-e58bd27acc7e</t>
        </is>
      </c>
      <c r="B273" s="3" t="inlineStr">
        <is>
          <t>CANON-202603-004605</t>
        </is>
      </c>
      <c r="C273" s="3" t="inlineStr">
        <is>
          <t>Sunniva Vandermeer</t>
        </is>
      </c>
      <c r="D273" s="3" t="inlineStr">
        <is>
          <t>NY</t>
        </is>
      </c>
      <c r="E273" s="3" t="inlineStr">
        <is>
          <t>44b04fee-21b1-5a0d-8657-c2a5fa774583</t>
        </is>
      </c>
      <c r="F273" s="3" t="inlineStr">
        <is>
          <t>2026-10-05</t>
        </is>
      </c>
      <c r="G273" s="3" t="inlineStr">
        <is>
          <t>2026-10</t>
        </is>
      </c>
      <c r="H273" s="16" t="n">
        <v>18821.66</v>
      </c>
      <c r="I273" s="3" t="inlineStr">
        <is>
          <t>open</t>
        </is>
      </c>
    </row>
    <row r="274">
      <c r="A274" s="17" t="inlineStr">
        <is>
          <t>709ff504-f450-53a9-99a8-640f5a672bad</t>
        </is>
      </c>
      <c r="B274" s="17" t="inlineStr">
        <is>
          <t>CANON-202601-003270</t>
        </is>
      </c>
      <c r="C274" s="17" t="inlineStr">
        <is>
          <t>Sunniva Thistlewood</t>
        </is>
      </c>
      <c r="D274" s="17" t="inlineStr">
        <is>
          <t>CT</t>
        </is>
      </c>
      <c r="E274" s="17" t="inlineStr">
        <is>
          <t>81ec58ef-43a0-57b2-ae33-5fc48cc566a6</t>
        </is>
      </c>
      <c r="F274" s="17" t="inlineStr">
        <is>
          <t>2026-10-07</t>
        </is>
      </c>
      <c r="G274" s="17" t="inlineStr">
        <is>
          <t>2026-10</t>
        </is>
      </c>
      <c r="H274" s="18" t="n">
        <v>15143.51</v>
      </c>
      <c r="I274" s="17" t="inlineStr">
        <is>
          <t>closed</t>
        </is>
      </c>
    </row>
    <row r="275">
      <c r="A275" s="3" t="inlineStr">
        <is>
          <t>de3312ae-4743-51fa-8afa-763e190ab0a2</t>
        </is>
      </c>
      <c r="B275" s="3" t="inlineStr">
        <is>
          <t>CANON-202604-005837</t>
        </is>
      </c>
      <c r="C275" s="3" t="inlineStr">
        <is>
          <t>Everett Vasquez</t>
        </is>
      </c>
      <c r="D275" s="3" t="inlineStr">
        <is>
          <t>AK</t>
        </is>
      </c>
      <c r="E275" s="3" t="inlineStr">
        <is>
          <t>d7ab6af8-d959-5313-949b-9dbef48c41f0</t>
        </is>
      </c>
      <c r="F275" s="3" t="inlineStr">
        <is>
          <t>2026-10-07</t>
        </is>
      </c>
      <c r="G275" s="3" t="inlineStr">
        <is>
          <t>2026-10</t>
        </is>
      </c>
      <c r="H275" s="16" t="n">
        <v>11832.43</v>
      </c>
      <c r="I275" s="3" t="inlineStr">
        <is>
          <t>closed</t>
        </is>
      </c>
    </row>
    <row r="276">
      <c r="A276" s="17" t="inlineStr">
        <is>
          <t>2dc5854a-8a12-57f0-9414-5e9788b18a31</t>
        </is>
      </c>
      <c r="B276" s="17" t="inlineStr">
        <is>
          <t>CANON-202603-004466</t>
        </is>
      </c>
      <c r="C276" s="17" t="inlineStr">
        <is>
          <t>Cassius Vandermeer</t>
        </is>
      </c>
      <c r="D276" s="17" t="inlineStr">
        <is>
          <t>CA</t>
        </is>
      </c>
      <c r="E276" s="17" t="inlineStr">
        <is>
          <t>0e10d296-6266-52ed-9c97-a03293b6aa03</t>
        </is>
      </c>
      <c r="F276" s="17" t="inlineStr">
        <is>
          <t>2026-10-08</t>
        </is>
      </c>
      <c r="G276" s="17" t="inlineStr">
        <is>
          <t>2026-10</t>
        </is>
      </c>
      <c r="H276" s="18" t="n">
        <v>24253.5</v>
      </c>
      <c r="I276" s="17" t="inlineStr">
        <is>
          <t>open</t>
        </is>
      </c>
    </row>
    <row r="277">
      <c r="A277" s="3" t="inlineStr">
        <is>
          <t>a9ce78bd-a69e-58fb-ad04-753d400fb3a0</t>
        </is>
      </c>
      <c r="B277" s="3" t="inlineStr">
        <is>
          <t>CANON-202607-008137</t>
        </is>
      </c>
      <c r="C277" s="3" t="inlineStr">
        <is>
          <t>Wilhelmina Castellanos</t>
        </is>
      </c>
      <c r="D277" s="3" t="inlineStr">
        <is>
          <t>NJ</t>
        </is>
      </c>
      <c r="E277" s="3" t="inlineStr">
        <is>
          <t>110f5126-9296-5318-87cf-3fff5e49e644</t>
        </is>
      </c>
      <c r="F277" s="3" t="inlineStr">
        <is>
          <t>2026-10-08</t>
        </is>
      </c>
      <c r="G277" s="3" t="inlineStr">
        <is>
          <t>2026-10</t>
        </is>
      </c>
      <c r="H277" s="16" t="n">
        <v>12529.81</v>
      </c>
      <c r="I277" s="3" t="inlineStr">
        <is>
          <t>closed</t>
        </is>
      </c>
    </row>
    <row r="278">
      <c r="A278" s="17" t="inlineStr">
        <is>
          <t>b41a6cff-f531-5db6-badc-3c0621f4f9ae</t>
        </is>
      </c>
      <c r="B278" s="17" t="inlineStr">
        <is>
          <t>CANON-202601-003247</t>
        </is>
      </c>
      <c r="C278" s="17" t="inlineStr">
        <is>
          <t>Priya Harrington</t>
        </is>
      </c>
      <c r="D278" s="17" t="inlineStr">
        <is>
          <t>MA</t>
        </is>
      </c>
      <c r="E278" s="17" t="inlineStr">
        <is>
          <t>9434d1c0-6378-560e-b2f8-00b92cad26cf</t>
        </is>
      </c>
      <c r="F278" s="17" t="inlineStr">
        <is>
          <t>2026-10-10</t>
        </is>
      </c>
      <c r="G278" s="17" t="inlineStr">
        <is>
          <t>2026-10</t>
        </is>
      </c>
      <c r="H278" s="18" t="n">
        <v>51833.71</v>
      </c>
      <c r="I278" s="17" t="inlineStr">
        <is>
          <t>closed</t>
        </is>
      </c>
    </row>
    <row r="279">
      <c r="A279" s="3" t="inlineStr">
        <is>
          <t>527e1259-aa1d-5e0d-bbdb-8ec81fb860fc</t>
        </is>
      </c>
      <c r="B279" s="3" t="inlineStr">
        <is>
          <t>CANON-202606-007254</t>
        </is>
      </c>
      <c r="C279" s="3" t="inlineStr">
        <is>
          <t>Sunniva Larsson</t>
        </is>
      </c>
      <c r="D279" s="3" t="inlineStr">
        <is>
          <t>FL</t>
        </is>
      </c>
      <c r="E279" s="3" t="inlineStr">
        <is>
          <t>19169769-85f1-5d0b-a6e0-f246d2a31713</t>
        </is>
      </c>
      <c r="F279" s="3" t="inlineStr">
        <is>
          <t>2026-10-11</t>
        </is>
      </c>
      <c r="G279" s="3" t="inlineStr">
        <is>
          <t>2026-10</t>
        </is>
      </c>
      <c r="H279" s="16" t="n">
        <v>135789.38</v>
      </c>
      <c r="I279" s="3" t="inlineStr">
        <is>
          <t>closed</t>
        </is>
      </c>
    </row>
    <row r="280">
      <c r="A280" s="17" t="inlineStr">
        <is>
          <t>3ccdec49-2383-52bc-acbf-46e8e92336f6</t>
        </is>
      </c>
      <c r="B280" s="17" t="inlineStr">
        <is>
          <t>CANON-202511-001739</t>
        </is>
      </c>
      <c r="C280" s="17" t="inlineStr">
        <is>
          <t>Fitzgerald Thistlewood</t>
        </is>
      </c>
      <c r="D280" s="17" t="inlineStr">
        <is>
          <t>NY</t>
        </is>
      </c>
      <c r="E280" s="17" t="inlineStr">
        <is>
          <t>1bc5869e-2a7e-5ecf-bf8d-c4eb1980b31a</t>
        </is>
      </c>
      <c r="F280" s="17" t="inlineStr">
        <is>
          <t>2026-10-12</t>
        </is>
      </c>
      <c r="G280" s="17" t="inlineStr">
        <is>
          <t>2026-10</t>
        </is>
      </c>
      <c r="H280" s="18" t="n">
        <v>54238.8</v>
      </c>
      <c r="I280" s="17" t="inlineStr">
        <is>
          <t>closed</t>
        </is>
      </c>
    </row>
    <row r="281">
      <c r="A281" s="3" t="inlineStr">
        <is>
          <t>bc8e5532-e1c8-57be-a12c-36cd6762886e</t>
        </is>
      </c>
      <c r="B281" s="3" t="inlineStr">
        <is>
          <t>CANON-202512-003010</t>
        </is>
      </c>
      <c r="C281" s="3" t="inlineStr">
        <is>
          <t>Ottilie Larsson</t>
        </is>
      </c>
      <c r="D281" s="3" t="inlineStr">
        <is>
          <t>NY</t>
        </is>
      </c>
      <c r="E281" s="3" t="inlineStr">
        <is>
          <t>ee537669-5377-51a9-bd48-e197d5e103d2</t>
        </is>
      </c>
      <c r="F281" s="3" t="inlineStr">
        <is>
          <t>2026-10-12</t>
        </is>
      </c>
      <c r="G281" s="3" t="inlineStr">
        <is>
          <t>2026-10</t>
        </is>
      </c>
      <c r="H281" s="16" t="n">
        <v>42386.16</v>
      </c>
      <c r="I281" s="3" t="inlineStr">
        <is>
          <t>closed</t>
        </is>
      </c>
    </row>
    <row r="282">
      <c r="A282" s="17" t="inlineStr">
        <is>
          <t>e2161b1b-91e9-515d-91c0-660c7ddc6691</t>
        </is>
      </c>
      <c r="B282" s="17" t="inlineStr">
        <is>
          <t>CANON-202603-004582</t>
        </is>
      </c>
      <c r="C282" s="17" t="inlineStr">
        <is>
          <t>Leopold Rourke</t>
        </is>
      </c>
      <c r="D282" s="17" t="inlineStr">
        <is>
          <t>AL</t>
        </is>
      </c>
      <c r="E282" s="17" t="inlineStr">
        <is>
          <t>5f5c7dc9-7387-5c83-8700-35c5b861a4d7</t>
        </is>
      </c>
      <c r="F282" s="17" t="inlineStr">
        <is>
          <t>2026-10-12</t>
        </is>
      </c>
      <c r="G282" s="17" t="inlineStr">
        <is>
          <t>2026-10</t>
        </is>
      </c>
      <c r="H282" s="18" t="n">
        <v>31440.53</v>
      </c>
      <c r="I282" s="17" t="inlineStr">
        <is>
          <t>closed</t>
        </is>
      </c>
    </row>
    <row r="283">
      <c r="A283" s="3" t="inlineStr">
        <is>
          <t>c741837f-3e29-5c06-8645-4c1975b9d6f8</t>
        </is>
      </c>
      <c r="B283" s="3" t="inlineStr">
        <is>
          <t>CANON-202604-005330</t>
        </is>
      </c>
      <c r="C283" s="3" t="inlineStr">
        <is>
          <t>Wilhelmina Montoya</t>
        </is>
      </c>
      <c r="D283" s="3" t="inlineStr">
        <is>
          <t>IN</t>
        </is>
      </c>
      <c r="E283" s="3" t="inlineStr">
        <is>
          <t>1207b4d6-8977-58dd-9096-67ce0926a573</t>
        </is>
      </c>
      <c r="F283" s="3" t="inlineStr">
        <is>
          <t>2026-10-12</t>
        </is>
      </c>
      <c r="G283" s="3" t="inlineStr">
        <is>
          <t>2026-10</t>
        </is>
      </c>
      <c r="H283" s="16" t="n">
        <v>38853.07</v>
      </c>
      <c r="I283" s="3" t="inlineStr">
        <is>
          <t>closed</t>
        </is>
      </c>
    </row>
    <row r="284">
      <c r="A284" s="17" t="inlineStr">
        <is>
          <t>6c5151f2-e13d-5aef-9725-1903366dc28d</t>
        </is>
      </c>
      <c r="B284" s="17" t="inlineStr">
        <is>
          <t>CANON-202601-003711</t>
        </is>
      </c>
      <c r="C284" s="17" t="inlineStr">
        <is>
          <t>Ottilie Kingsford</t>
        </is>
      </c>
      <c r="D284" s="17" t="inlineStr">
        <is>
          <t>RI</t>
        </is>
      </c>
      <c r="E284" s="17" t="inlineStr">
        <is>
          <t>7275084e-b86e-5a67-9814-89a424527e8d</t>
        </is>
      </c>
      <c r="F284" s="17" t="inlineStr">
        <is>
          <t>2026-10-13</t>
        </is>
      </c>
      <c r="G284" s="17" t="inlineStr">
        <is>
          <t>2026-10</t>
        </is>
      </c>
      <c r="H284" s="18" t="n">
        <v>17000.46</v>
      </c>
      <c r="I284" s="17" t="inlineStr">
        <is>
          <t>open</t>
        </is>
      </c>
    </row>
    <row r="285">
      <c r="A285" s="3" t="inlineStr">
        <is>
          <t>200d1598-cb62-5cbd-a206-acfb76b6e6d8</t>
        </is>
      </c>
      <c r="B285" s="3" t="inlineStr">
        <is>
          <t>CANON-202604-005542</t>
        </is>
      </c>
      <c r="C285" s="3" t="inlineStr">
        <is>
          <t>Ingrid Farkas</t>
        </is>
      </c>
      <c r="D285" s="3" t="inlineStr">
        <is>
          <t>UT</t>
        </is>
      </c>
      <c r="E285" s="3" t="inlineStr">
        <is>
          <t>c3377375-45e6-5dd3-93d2-ea79c7571562</t>
        </is>
      </c>
      <c r="F285" s="3" t="inlineStr">
        <is>
          <t>2026-10-14</t>
        </is>
      </c>
      <c r="G285" s="3" t="inlineStr">
        <is>
          <t>2026-10</t>
        </is>
      </c>
      <c r="H285" s="16" t="n">
        <v>105532.96</v>
      </c>
      <c r="I285" s="3" t="inlineStr">
        <is>
          <t>closed</t>
        </is>
      </c>
    </row>
    <row r="286">
      <c r="A286" s="17" t="inlineStr">
        <is>
          <t>14895eb3-3e8f-5364-bed5-403bdcf3b8d1</t>
        </is>
      </c>
      <c r="B286" s="17" t="inlineStr">
        <is>
          <t>CANON-202607-007878</t>
        </is>
      </c>
      <c r="C286" s="17" t="inlineStr">
        <is>
          <t>Cassius Bellandi</t>
        </is>
      </c>
      <c r="D286" s="17" t="inlineStr">
        <is>
          <t>DE</t>
        </is>
      </c>
      <c r="E286" s="17" t="inlineStr">
        <is>
          <t>9303ddbe-43ef-5c3c-b0c9-bc1450c9a83a</t>
        </is>
      </c>
      <c r="F286" s="17" t="inlineStr">
        <is>
          <t>2026-10-14</t>
        </is>
      </c>
      <c r="G286" s="17" t="inlineStr">
        <is>
          <t>2026-10</t>
        </is>
      </c>
      <c r="H286" s="18" t="n">
        <v>7787.76</v>
      </c>
      <c r="I286" s="17" t="inlineStr">
        <is>
          <t>open</t>
        </is>
      </c>
    </row>
    <row r="287">
      <c r="A287" s="3" t="inlineStr">
        <is>
          <t>d5296c7b-22b8-56eb-bb6c-ca810ea41109</t>
        </is>
      </c>
      <c r="B287" s="3" t="inlineStr">
        <is>
          <t>CANON-202604-005811</t>
        </is>
      </c>
      <c r="C287" s="3" t="inlineStr">
        <is>
          <t>Lorenzo Merriweather</t>
        </is>
      </c>
      <c r="D287" s="3" t="inlineStr">
        <is>
          <t>CA</t>
        </is>
      </c>
      <c r="E287" s="3" t="inlineStr">
        <is>
          <t>1aa985a5-2e42-5f08-9550-d68c1c73951f</t>
        </is>
      </c>
      <c r="F287" s="3" t="inlineStr">
        <is>
          <t>2026-10-15</t>
        </is>
      </c>
      <c r="G287" s="3" t="inlineStr">
        <is>
          <t>2026-10</t>
        </is>
      </c>
      <c r="H287" s="16" t="n">
        <v>196406.3</v>
      </c>
      <c r="I287" s="3" t="inlineStr">
        <is>
          <t>closed</t>
        </is>
      </c>
    </row>
    <row r="288">
      <c r="A288" s="17" t="inlineStr">
        <is>
          <t>79beebbd-ee08-59fc-87f8-d2586f57ec0b</t>
        </is>
      </c>
      <c r="B288" s="17" t="inlineStr">
        <is>
          <t>CANON-202605-006609</t>
        </is>
      </c>
      <c r="C288" s="17" t="inlineStr">
        <is>
          <t>Anouk Fairweather</t>
        </is>
      </c>
      <c r="D288" s="17" t="inlineStr">
        <is>
          <t>NM</t>
        </is>
      </c>
      <c r="E288" s="17" t="inlineStr">
        <is>
          <t>778134da-818f-535e-81bc-81eba6b8cd26</t>
        </is>
      </c>
      <c r="F288" s="17" t="inlineStr">
        <is>
          <t>2026-10-15</t>
        </is>
      </c>
      <c r="G288" s="17" t="inlineStr">
        <is>
          <t>2026-10</t>
        </is>
      </c>
      <c r="H288" s="18" t="n">
        <v>8600.280000000001</v>
      </c>
      <c r="I288" s="17" t="inlineStr">
        <is>
          <t>closed</t>
        </is>
      </c>
    </row>
    <row r="289">
      <c r="A289" s="3" t="inlineStr">
        <is>
          <t>1949b315-60d5-5a55-b7ed-ae3ba2a6a2e2</t>
        </is>
      </c>
      <c r="B289" s="3" t="inlineStr">
        <is>
          <t>CANON-202606-006926</t>
        </is>
      </c>
      <c r="C289" s="3" t="inlineStr">
        <is>
          <t>Cassius Whitlock</t>
        </is>
      </c>
      <c r="D289" s="3" t="inlineStr">
        <is>
          <t>TX</t>
        </is>
      </c>
      <c r="E289" s="3" t="inlineStr">
        <is>
          <t>deae0029-53f9-5d97-b9a5-482bf4dce23e</t>
        </is>
      </c>
      <c r="F289" s="3" t="inlineStr">
        <is>
          <t>2026-10-15</t>
        </is>
      </c>
      <c r="G289" s="3" t="inlineStr">
        <is>
          <t>2026-10</t>
        </is>
      </c>
      <c r="H289" s="16" t="n">
        <v>101686.77</v>
      </c>
      <c r="I289" s="3" t="inlineStr">
        <is>
          <t>closed</t>
        </is>
      </c>
    </row>
    <row r="290">
      <c r="A290" s="17" t="inlineStr">
        <is>
          <t>2d5fba00-2721-5d3b-b2b7-a41f163b0abb</t>
        </is>
      </c>
      <c r="B290" s="17" t="inlineStr">
        <is>
          <t>CANON-202512-002518</t>
        </is>
      </c>
      <c r="C290" s="17" t="inlineStr">
        <is>
          <t>Mireille Chattopadhyay</t>
        </is>
      </c>
      <c r="D290" s="17" t="inlineStr">
        <is>
          <t>MS</t>
        </is>
      </c>
      <c r="E290" s="17" t="inlineStr">
        <is>
          <t>688557f8-d2b7-5337-a6a3-5422c962fe9d</t>
        </is>
      </c>
      <c r="F290" s="17" t="inlineStr">
        <is>
          <t>2026-10-16</t>
        </is>
      </c>
      <c r="G290" s="17" t="inlineStr">
        <is>
          <t>2026-10</t>
        </is>
      </c>
      <c r="H290" s="18" t="n">
        <v>31801.33</v>
      </c>
      <c r="I290" s="17" t="inlineStr">
        <is>
          <t>closed</t>
        </is>
      </c>
    </row>
    <row r="291">
      <c r="A291" s="3" t="inlineStr">
        <is>
          <t>09a01276-b5a3-5455-b8e7-aeb6760ff7d1</t>
        </is>
      </c>
      <c r="B291" s="3" t="inlineStr">
        <is>
          <t>CANON-202604-005429</t>
        </is>
      </c>
      <c r="C291" s="3" t="inlineStr">
        <is>
          <t>Beatrix Fairweather</t>
        </is>
      </c>
      <c r="D291" s="3" t="inlineStr">
        <is>
          <t>RI</t>
        </is>
      </c>
      <c r="E291" s="3" t="inlineStr">
        <is>
          <t>9463df48-f75a-58d0-ad6c-4d964ecd83d0</t>
        </is>
      </c>
      <c r="F291" s="3" t="inlineStr">
        <is>
          <t>2026-10-17</t>
        </is>
      </c>
      <c r="G291" s="3" t="inlineStr">
        <is>
          <t>2026-10</t>
        </is>
      </c>
      <c r="H291" s="16" t="n">
        <v>32269.06</v>
      </c>
      <c r="I291" s="3" t="inlineStr">
        <is>
          <t>closed</t>
        </is>
      </c>
    </row>
    <row r="292">
      <c r="A292" s="17" t="inlineStr">
        <is>
          <t>7e8e97e4-495c-52e2-8ae8-1d1c7c2c735f</t>
        </is>
      </c>
      <c r="B292" s="17" t="inlineStr">
        <is>
          <t>CANON-202606-006881</t>
        </is>
      </c>
      <c r="C292" s="17" t="inlineStr">
        <is>
          <t>Mireille Delacroix</t>
        </is>
      </c>
      <c r="D292" s="17" t="inlineStr">
        <is>
          <t>NM</t>
        </is>
      </c>
      <c r="E292" s="17" t="inlineStr">
        <is>
          <t>f48721b3-b294-5611-87cf-026f38473782</t>
        </is>
      </c>
      <c r="F292" s="17" t="inlineStr">
        <is>
          <t>2026-10-17</t>
        </is>
      </c>
      <c r="G292" s="17" t="inlineStr">
        <is>
          <t>2026-10</t>
        </is>
      </c>
      <c r="H292" s="18" t="n">
        <v>286304.95</v>
      </c>
      <c r="I292" s="17" t="inlineStr">
        <is>
          <t>closed</t>
        </is>
      </c>
    </row>
    <row r="293">
      <c r="A293" s="3" t="inlineStr">
        <is>
          <t>b5ff9f04-66ce-53d6-ac36-1de3bb637880</t>
        </is>
      </c>
      <c r="B293" s="3" t="inlineStr">
        <is>
          <t>CANON-202512-002512</t>
        </is>
      </c>
      <c r="C293" s="3" t="inlineStr">
        <is>
          <t>Fenwick Underwood</t>
        </is>
      </c>
      <c r="D293" s="3" t="inlineStr">
        <is>
          <t>MT</t>
        </is>
      </c>
      <c r="E293" s="3" t="inlineStr">
        <is>
          <t>96b2d556-8803-5b8d-a457-3bf48b3be01d</t>
        </is>
      </c>
      <c r="F293" s="3" t="inlineStr">
        <is>
          <t>2026-10-18</t>
        </is>
      </c>
      <c r="G293" s="3" t="inlineStr">
        <is>
          <t>2026-10</t>
        </is>
      </c>
      <c r="H293" s="16" t="n">
        <v>13261.89</v>
      </c>
      <c r="I293" s="3" t="inlineStr">
        <is>
          <t>closed</t>
        </is>
      </c>
    </row>
    <row r="294">
      <c r="A294" s="17" t="inlineStr">
        <is>
          <t>50eef3ce-209d-50da-b70e-ff8a9b31c1a6</t>
        </is>
      </c>
      <c r="B294" s="17" t="inlineStr">
        <is>
          <t>CANON-202606-007400</t>
        </is>
      </c>
      <c r="C294" s="17" t="inlineStr">
        <is>
          <t>Ingrid Farkas</t>
        </is>
      </c>
      <c r="D294" s="17" t="inlineStr">
        <is>
          <t>CA</t>
        </is>
      </c>
      <c r="E294" s="17" t="inlineStr">
        <is>
          <t>cb9cc542-c1d8-5f42-994e-c460b12e5d7d</t>
        </is>
      </c>
      <c r="F294" s="17" t="inlineStr">
        <is>
          <t>2026-10-18</t>
        </is>
      </c>
      <c r="G294" s="17" t="inlineStr">
        <is>
          <t>2026-10</t>
        </is>
      </c>
      <c r="H294" s="18" t="n">
        <v>9310.15</v>
      </c>
      <c r="I294" s="17" t="inlineStr">
        <is>
          <t>closed</t>
        </is>
      </c>
    </row>
    <row r="295">
      <c r="A295" s="3" t="inlineStr">
        <is>
          <t>b697e465-a98a-5421-a08f-f38d0f10a68b</t>
        </is>
      </c>
      <c r="B295" s="3" t="inlineStr">
        <is>
          <t>CANON-202605-006245</t>
        </is>
      </c>
      <c r="C295" s="3" t="inlineStr">
        <is>
          <t>Desmond Vandermeer</t>
        </is>
      </c>
      <c r="D295" s="3" t="inlineStr">
        <is>
          <t>NJ</t>
        </is>
      </c>
      <c r="E295" s="3" t="inlineStr">
        <is>
          <t>28180ca4-1b1b-5e0e-97d1-7b9b9838bb24</t>
        </is>
      </c>
      <c r="F295" s="3" t="inlineStr">
        <is>
          <t>2026-10-21</t>
        </is>
      </c>
      <c r="G295" s="3" t="inlineStr">
        <is>
          <t>2026-10</t>
        </is>
      </c>
      <c r="H295" s="16" t="n">
        <v>26068.82</v>
      </c>
      <c r="I295" s="3" t="inlineStr">
        <is>
          <t>closed</t>
        </is>
      </c>
    </row>
    <row r="296">
      <c r="A296" s="17" t="inlineStr">
        <is>
          <t>000fb926-87ff-50ef-ac67-985e9e6bf3fb</t>
        </is>
      </c>
      <c r="B296" s="17" t="inlineStr">
        <is>
          <t>CANON-202607-008259</t>
        </is>
      </c>
      <c r="C296" s="17" t="inlineStr">
        <is>
          <t>Emiliano Rourke</t>
        </is>
      </c>
      <c r="D296" s="17" t="inlineStr">
        <is>
          <t>VA</t>
        </is>
      </c>
      <c r="E296" s="17" t="inlineStr">
        <is>
          <t>189e2c7e-e893-504d-b925-3d36a76b2c65</t>
        </is>
      </c>
      <c r="F296" s="17" t="inlineStr">
        <is>
          <t>2026-10-27</t>
        </is>
      </c>
      <c r="G296" s="17" t="inlineStr">
        <is>
          <t>2026-10</t>
        </is>
      </c>
      <c r="H296" s="18" t="n">
        <v>12249.35</v>
      </c>
      <c r="I296" s="17" t="inlineStr">
        <is>
          <t>open</t>
        </is>
      </c>
    </row>
    <row r="297">
      <c r="A297" s="3" t="inlineStr">
        <is>
          <t>6805f7f2-6417-5665-8245-09648f333b05</t>
        </is>
      </c>
      <c r="B297" s="3" t="inlineStr">
        <is>
          <t>CANON-202607-008131</t>
        </is>
      </c>
      <c r="C297" s="3" t="inlineStr">
        <is>
          <t>Anouk Larsson</t>
        </is>
      </c>
      <c r="D297" s="3" t="inlineStr">
        <is>
          <t>PA</t>
        </is>
      </c>
      <c r="E297" s="3" t="inlineStr">
        <is>
          <t>071defce-cc34-51c3-9ea1-b61a38d7084f</t>
        </is>
      </c>
      <c r="F297" s="3" t="inlineStr">
        <is>
          <t>2026-10-28</t>
        </is>
      </c>
      <c r="G297" s="3" t="inlineStr">
        <is>
          <t>2026-10</t>
        </is>
      </c>
      <c r="H297" s="16" t="n">
        <v>29021.26</v>
      </c>
      <c r="I297" s="3" t="inlineStr">
        <is>
          <t>closed</t>
        </is>
      </c>
    </row>
    <row r="298">
      <c r="A298" s="17" t="inlineStr">
        <is>
          <t>1e33f203-ae2f-55b5-8a37-dac9c5348260</t>
        </is>
      </c>
      <c r="B298" s="17" t="inlineStr">
        <is>
          <t>CANON-202512-002461</t>
        </is>
      </c>
      <c r="C298" s="17" t="inlineStr">
        <is>
          <t>Wilhelmina Underwood</t>
        </is>
      </c>
      <c r="D298" s="17" t="inlineStr">
        <is>
          <t>SD</t>
        </is>
      </c>
      <c r="E298" s="17" t="inlineStr">
        <is>
          <t>9bed6d06-bb66-562e-bd02-7b7f11753b4d</t>
        </is>
      </c>
      <c r="F298" s="17" t="inlineStr">
        <is>
          <t>2026-11-03</t>
        </is>
      </c>
      <c r="G298" s="17" t="inlineStr">
        <is>
          <t>2026-11</t>
        </is>
      </c>
      <c r="H298" s="18" t="n">
        <v>16177.87</v>
      </c>
      <c r="I298" s="17" t="inlineStr">
        <is>
          <t>closed</t>
        </is>
      </c>
    </row>
    <row r="299">
      <c r="A299" s="3" t="inlineStr">
        <is>
          <t>a9871b30-2a2f-5964-94b1-f7693fdb3235</t>
        </is>
      </c>
      <c r="B299" s="3" t="inlineStr">
        <is>
          <t>CANON-202606-007410</t>
        </is>
      </c>
      <c r="C299" s="3" t="inlineStr">
        <is>
          <t>Anouk Ashcombe</t>
        </is>
      </c>
      <c r="D299" s="3" t="inlineStr">
        <is>
          <t>AR</t>
        </is>
      </c>
      <c r="E299" s="3" t="inlineStr">
        <is>
          <t>7e4363a4-25c1-5fa8-bc24-7d55840a4cd4</t>
        </is>
      </c>
      <c r="F299" s="3" t="inlineStr">
        <is>
          <t>2026-11-03</t>
        </is>
      </c>
      <c r="G299" s="3" t="inlineStr">
        <is>
          <t>2026-11</t>
        </is>
      </c>
      <c r="H299" s="16" t="n">
        <v>325178.64</v>
      </c>
      <c r="I299" s="3" t="inlineStr">
        <is>
          <t>closed</t>
        </is>
      </c>
    </row>
    <row r="300">
      <c r="A300" s="17" t="inlineStr">
        <is>
          <t>9270afaa-03fe-5a44-b83f-2e2f4608c0d3</t>
        </is>
      </c>
      <c r="B300" s="17" t="inlineStr">
        <is>
          <t>CANON-202604-005378</t>
        </is>
      </c>
      <c r="C300" s="17" t="inlineStr">
        <is>
          <t>Ingrid Delacroix</t>
        </is>
      </c>
      <c r="D300" s="17" t="inlineStr">
        <is>
          <t>KS</t>
        </is>
      </c>
      <c r="E300" s="17" t="inlineStr">
        <is>
          <t>cc291b8d-6f47-5391-8a42-62d4ba4ba5fe</t>
        </is>
      </c>
      <c r="F300" s="17" t="inlineStr">
        <is>
          <t>2026-11-04</t>
        </is>
      </c>
      <c r="G300" s="17" t="inlineStr">
        <is>
          <t>2026-11</t>
        </is>
      </c>
      <c r="H300" s="18" t="n">
        <v>19713.54</v>
      </c>
      <c r="I300" s="17" t="inlineStr">
        <is>
          <t>closed</t>
        </is>
      </c>
    </row>
    <row r="301">
      <c r="A301" s="3" t="inlineStr">
        <is>
          <t>4bd60539-3d6a-54af-afdc-136b3359f4c7</t>
        </is>
      </c>
      <c r="B301" s="3" t="inlineStr">
        <is>
          <t>CANON-202604-005699</t>
        </is>
      </c>
      <c r="C301" s="3" t="inlineStr">
        <is>
          <t>Priya Larsson</t>
        </is>
      </c>
      <c r="D301" s="3" t="inlineStr">
        <is>
          <t>WV</t>
        </is>
      </c>
      <c r="E301" s="3" t="inlineStr">
        <is>
          <t>068481c9-9424-55d9-9f96-0c0302deb8bf</t>
        </is>
      </c>
      <c r="F301" s="3" t="inlineStr">
        <is>
          <t>2026-11-04</t>
        </is>
      </c>
      <c r="G301" s="3" t="inlineStr">
        <is>
          <t>2026-11</t>
        </is>
      </c>
      <c r="H301" s="16" t="n">
        <v>5808.08</v>
      </c>
      <c r="I301" s="3" t="inlineStr">
        <is>
          <t>closed</t>
        </is>
      </c>
    </row>
    <row r="302">
      <c r="A302" s="17" t="inlineStr">
        <is>
          <t>c80aced5-26de-5818-b1e4-adb377970266</t>
        </is>
      </c>
      <c r="B302" s="17" t="inlineStr">
        <is>
          <t>CANON-202605-006264</t>
        </is>
      </c>
      <c r="C302" s="17" t="inlineStr">
        <is>
          <t>Saoirse Bellandi</t>
        </is>
      </c>
      <c r="D302" s="17" t="inlineStr">
        <is>
          <t>AL</t>
        </is>
      </c>
      <c r="E302" s="17" t="inlineStr">
        <is>
          <t>24e31055-d857-5905-8e4c-e9cf677469e9</t>
        </is>
      </c>
      <c r="F302" s="17" t="inlineStr">
        <is>
          <t>2026-11-05</t>
        </is>
      </c>
      <c r="G302" s="17" t="inlineStr">
        <is>
          <t>2026-11</t>
        </is>
      </c>
      <c r="H302" s="18" t="n">
        <v>19304.35</v>
      </c>
      <c r="I302" s="17" t="inlineStr">
        <is>
          <t>closed</t>
        </is>
      </c>
    </row>
    <row r="303">
      <c r="A303" s="3" t="inlineStr">
        <is>
          <t>2fb87982-0c0e-5f39-80e5-294534d80bcc</t>
        </is>
      </c>
      <c r="B303" s="3" t="inlineStr">
        <is>
          <t>CANON-202606-007358</t>
        </is>
      </c>
      <c r="C303" s="3" t="inlineStr">
        <is>
          <t>Lorenzo Chattopadhyay</t>
        </is>
      </c>
      <c r="D303" s="3" t="inlineStr">
        <is>
          <t>FL</t>
        </is>
      </c>
      <c r="E303" s="3" t="inlineStr">
        <is>
          <t>b7e3bda7-dd8d-5074-a0d8-b1f50b0a7b1a</t>
        </is>
      </c>
      <c r="F303" s="3" t="inlineStr">
        <is>
          <t>2026-11-05</t>
        </is>
      </c>
      <c r="G303" s="3" t="inlineStr">
        <is>
          <t>2026-11</t>
        </is>
      </c>
      <c r="H303" s="16" t="n">
        <v>36419.76</v>
      </c>
      <c r="I303" s="3" t="inlineStr">
        <is>
          <t>closed</t>
        </is>
      </c>
    </row>
    <row r="304">
      <c r="A304" s="17" t="inlineStr">
        <is>
          <t>47605b2d-e54d-5f21-a53a-6c07742a2669</t>
        </is>
      </c>
      <c r="B304" s="17" t="inlineStr">
        <is>
          <t>CANON-202607-007690</t>
        </is>
      </c>
      <c r="C304" s="17" t="inlineStr">
        <is>
          <t>Lorenzo Vasquez</t>
        </is>
      </c>
      <c r="D304" s="17" t="inlineStr">
        <is>
          <t>MI</t>
        </is>
      </c>
      <c r="E304" s="17" t="inlineStr">
        <is>
          <t>b4fa03f0-b02e-5685-b0c9-1183624dbbdb</t>
        </is>
      </c>
      <c r="F304" s="17" t="inlineStr">
        <is>
          <t>2026-11-06</t>
        </is>
      </c>
      <c r="G304" s="17" t="inlineStr">
        <is>
          <t>2026-11</t>
        </is>
      </c>
      <c r="H304" s="18" t="n">
        <v>126508.98</v>
      </c>
      <c r="I304" s="17" t="inlineStr">
        <is>
          <t>closed</t>
        </is>
      </c>
    </row>
    <row r="305">
      <c r="A305" s="3" t="inlineStr">
        <is>
          <t>36f069a6-4b39-5491-8924-0d9d3a722266</t>
        </is>
      </c>
      <c r="B305" s="3" t="inlineStr">
        <is>
          <t>CANON-202606-006870</t>
        </is>
      </c>
      <c r="C305" s="3" t="inlineStr">
        <is>
          <t>Ramona Okonkwo</t>
        </is>
      </c>
      <c r="D305" s="3" t="inlineStr">
        <is>
          <t>CT</t>
        </is>
      </c>
      <c r="E305" s="3" t="inlineStr">
        <is>
          <t>6917902a-0ae2-5da7-bd6b-22ad0cbbef7b</t>
        </is>
      </c>
      <c r="F305" s="3" t="inlineStr">
        <is>
          <t>2026-11-08</t>
        </is>
      </c>
      <c r="G305" s="3" t="inlineStr">
        <is>
          <t>2026-11</t>
        </is>
      </c>
      <c r="H305" s="16" t="n">
        <v>11422.07</v>
      </c>
      <c r="I305" s="3" t="inlineStr">
        <is>
          <t>closed</t>
        </is>
      </c>
    </row>
    <row r="306">
      <c r="A306" s="17" t="inlineStr">
        <is>
          <t>7bdaa8a7-ca7c-5771-99c6-3bfd9f053701</t>
        </is>
      </c>
      <c r="B306" s="17" t="inlineStr">
        <is>
          <t>CANON-202602-004329</t>
        </is>
      </c>
      <c r="C306" s="17" t="inlineStr">
        <is>
          <t>Ingrid Castellanos</t>
        </is>
      </c>
      <c r="D306" s="17" t="inlineStr">
        <is>
          <t>NH</t>
        </is>
      </c>
      <c r="E306" s="17" t="inlineStr">
        <is>
          <t>54e69f9b-c0ee-5abe-9c1f-8d7fa23a3fd0</t>
        </is>
      </c>
      <c r="F306" s="17" t="inlineStr">
        <is>
          <t>2026-11-11</t>
        </is>
      </c>
      <c r="G306" s="17" t="inlineStr">
        <is>
          <t>2026-11</t>
        </is>
      </c>
      <c r="H306" s="18" t="n">
        <v>31829.52</v>
      </c>
      <c r="I306" s="17" t="inlineStr">
        <is>
          <t>closed</t>
        </is>
      </c>
    </row>
    <row r="307">
      <c r="A307" s="3" t="inlineStr">
        <is>
          <t>c6f0593b-c003-5950-92e1-8ca7e3e70199</t>
        </is>
      </c>
      <c r="B307" s="3" t="inlineStr">
        <is>
          <t>CANON-202512-003006</t>
        </is>
      </c>
      <c r="C307" s="3" t="inlineStr">
        <is>
          <t>Cassius Fairweather</t>
        </is>
      </c>
      <c r="D307" s="3" t="inlineStr">
        <is>
          <t>FL</t>
        </is>
      </c>
      <c r="E307" s="3" t="inlineStr">
        <is>
          <t>cf8a9b15-162b-56c7-a9b3-54a3fcf98189</t>
        </is>
      </c>
      <c r="F307" s="3" t="inlineStr">
        <is>
          <t>2026-11-12</t>
        </is>
      </c>
      <c r="G307" s="3" t="inlineStr">
        <is>
          <t>2026-11</t>
        </is>
      </c>
      <c r="H307" s="16" t="n">
        <v>510903.63</v>
      </c>
      <c r="I307" s="3" t="inlineStr">
        <is>
          <t>closed</t>
        </is>
      </c>
    </row>
    <row r="308">
      <c r="A308" s="17" t="inlineStr">
        <is>
          <t>fe5282dd-9a34-5ee1-9cd0-865b9f84249b</t>
        </is>
      </c>
      <c r="B308" s="17" t="inlineStr">
        <is>
          <t>CANON-202604-005602</t>
        </is>
      </c>
      <c r="C308" s="17" t="inlineStr">
        <is>
          <t>Cassius Whitlock</t>
        </is>
      </c>
      <c r="D308" s="17" t="inlineStr">
        <is>
          <t>IL</t>
        </is>
      </c>
      <c r="E308" s="17" t="inlineStr">
        <is>
          <t>de38a2e0-c02c-53e7-ab19-a4aef87471ab</t>
        </is>
      </c>
      <c r="F308" s="17" t="inlineStr">
        <is>
          <t>2026-11-12</t>
        </is>
      </c>
      <c r="G308" s="17" t="inlineStr">
        <is>
          <t>2026-11</t>
        </is>
      </c>
      <c r="H308" s="18" t="n">
        <v>8302.299999999999</v>
      </c>
      <c r="I308" s="17" t="inlineStr">
        <is>
          <t>closed</t>
        </is>
      </c>
    </row>
    <row r="309">
      <c r="A309" s="3" t="inlineStr">
        <is>
          <t>3a90d870-209a-50ce-9e0b-4ea39ee0f450</t>
        </is>
      </c>
      <c r="B309" s="3" t="inlineStr">
        <is>
          <t>CANON-202601-003312</t>
        </is>
      </c>
      <c r="C309" s="3" t="inlineStr">
        <is>
          <t>Everett Thistlewood</t>
        </is>
      </c>
      <c r="D309" s="3" t="inlineStr">
        <is>
          <t>ME</t>
        </is>
      </c>
      <c r="E309" s="3" t="inlineStr">
        <is>
          <t>d21f9a7a-73d5-55c0-b3db-aced118074a5</t>
        </is>
      </c>
      <c r="F309" s="3" t="inlineStr">
        <is>
          <t>2026-11-14</t>
        </is>
      </c>
      <c r="G309" s="3" t="inlineStr">
        <is>
          <t>2026-11</t>
        </is>
      </c>
      <c r="H309" s="16" t="n">
        <v>9584.08</v>
      </c>
      <c r="I309" s="3" t="inlineStr">
        <is>
          <t>closed</t>
        </is>
      </c>
    </row>
    <row r="310">
      <c r="A310" s="17" t="inlineStr">
        <is>
          <t>32ee73fd-3374-5262-99ba-aa5ae2fa22b9</t>
        </is>
      </c>
      <c r="B310" s="17" t="inlineStr">
        <is>
          <t>CANON-202606-007429</t>
        </is>
      </c>
      <c r="C310" s="17" t="inlineStr">
        <is>
          <t>Mireille Farkas</t>
        </is>
      </c>
      <c r="D310" s="17" t="inlineStr">
        <is>
          <t>MI</t>
        </is>
      </c>
      <c r="E310" s="17" t="inlineStr">
        <is>
          <t>f1d93af1-ff86-5158-90fd-67caa1972dc9</t>
        </is>
      </c>
      <c r="F310" s="17" t="inlineStr">
        <is>
          <t>2026-11-16</t>
        </is>
      </c>
      <c r="G310" s="17" t="inlineStr">
        <is>
          <t>2026-11</t>
        </is>
      </c>
      <c r="H310" s="18" t="n">
        <v>30629.41</v>
      </c>
      <c r="I310" s="17" t="inlineStr">
        <is>
          <t>closed</t>
        </is>
      </c>
    </row>
    <row r="311">
      <c r="A311" s="3" t="inlineStr">
        <is>
          <t>0900ec4c-46de-5dfa-9634-a611cf19d349</t>
        </is>
      </c>
      <c r="B311" s="3" t="inlineStr">
        <is>
          <t>CANON-202603-005085</t>
        </is>
      </c>
      <c r="C311" s="3" t="inlineStr">
        <is>
          <t>Fitzgerald Vandermeer</t>
        </is>
      </c>
      <c r="D311" s="3" t="inlineStr">
        <is>
          <t>NH</t>
        </is>
      </c>
      <c r="E311" s="3" t="inlineStr">
        <is>
          <t>47c51b65-dcba-593c-bd17-dc04fc7399cc</t>
        </is>
      </c>
      <c r="F311" s="3" t="inlineStr">
        <is>
          <t>2026-11-26</t>
        </is>
      </c>
      <c r="G311" s="3" t="inlineStr">
        <is>
          <t>2026-11</t>
        </is>
      </c>
      <c r="H311" s="16" t="n">
        <v>30226.92</v>
      </c>
      <c r="I311" s="3" t="inlineStr">
        <is>
          <t>closed</t>
        </is>
      </c>
    </row>
    <row r="312">
      <c r="A312" s="17" t="inlineStr">
        <is>
          <t>74214506-e46e-596e-8fb8-c63ed032f964</t>
        </is>
      </c>
      <c r="B312" s="17" t="inlineStr">
        <is>
          <t>CANON-202606-006866</t>
        </is>
      </c>
      <c r="C312" s="17" t="inlineStr">
        <is>
          <t>Ottilie Harrington</t>
        </is>
      </c>
      <c r="D312" s="17" t="inlineStr">
        <is>
          <t>NY</t>
        </is>
      </c>
      <c r="E312" s="17" t="inlineStr">
        <is>
          <t>a8368bfe-48bc-5808-b6ea-8e2214f8d30b</t>
        </is>
      </c>
      <c r="F312" s="17" t="inlineStr">
        <is>
          <t>2026-11-26</t>
        </is>
      </c>
      <c r="G312" s="17" t="inlineStr">
        <is>
          <t>2026-11</t>
        </is>
      </c>
      <c r="H312" s="18" t="n">
        <v>11617.92</v>
      </c>
      <c r="I312" s="17" t="inlineStr">
        <is>
          <t>open</t>
        </is>
      </c>
    </row>
    <row r="313">
      <c r="A313" s="3" t="inlineStr">
        <is>
          <t>2977dea3-d98d-51eb-9b0d-93513431f425</t>
        </is>
      </c>
      <c r="B313" s="3" t="inlineStr">
        <is>
          <t>CANON-202602-003919</t>
        </is>
      </c>
      <c r="C313" s="3" t="inlineStr">
        <is>
          <t>Callum Delacroix</t>
        </is>
      </c>
      <c r="D313" s="3" t="inlineStr">
        <is>
          <t>CA</t>
        </is>
      </c>
      <c r="E313" s="3" t="inlineStr">
        <is>
          <t>673d2fe6-e503-5951-82dd-2a0c1bbcafa3</t>
        </is>
      </c>
      <c r="F313" s="3" t="inlineStr">
        <is>
          <t>2026-11-28</t>
        </is>
      </c>
      <c r="G313" s="3" t="inlineStr">
        <is>
          <t>2026-11</t>
        </is>
      </c>
      <c r="H313" s="16" t="n">
        <v>113004.07</v>
      </c>
      <c r="I313" s="3" t="inlineStr">
        <is>
          <t>closed</t>
        </is>
      </c>
    </row>
    <row r="314">
      <c r="A314" s="17" t="inlineStr">
        <is>
          <t>e52a9e50-a5ab-531a-b42e-97ed6e9893a7</t>
        </is>
      </c>
      <c r="B314" s="17" t="inlineStr">
        <is>
          <t>CANON-202607-008148</t>
        </is>
      </c>
      <c r="C314" s="17" t="inlineStr">
        <is>
          <t>Noor Underwood</t>
        </is>
      </c>
      <c r="D314" s="17" t="inlineStr">
        <is>
          <t>IN</t>
        </is>
      </c>
      <c r="E314" s="17" t="inlineStr">
        <is>
          <t>c86db7e9-ebd0-5e96-aec7-c918f43ad8da</t>
        </is>
      </c>
      <c r="F314" s="17" t="inlineStr">
        <is>
          <t>2026-11-30</t>
        </is>
      </c>
      <c r="G314" s="17" t="inlineStr">
        <is>
          <t>2026-11</t>
        </is>
      </c>
      <c r="H314" s="18" t="n">
        <v>28502.35</v>
      </c>
      <c r="I314" s="17" t="inlineStr">
        <is>
          <t>open</t>
        </is>
      </c>
    </row>
    <row r="315">
      <c r="A315" s="3" t="inlineStr">
        <is>
          <t>87d7b148-f19a-5f8d-94d6-7efeef050c3f</t>
        </is>
      </c>
      <c r="B315" s="3" t="inlineStr">
        <is>
          <t>CANON-202602-003763</t>
        </is>
      </c>
      <c r="C315" s="3" t="inlineStr">
        <is>
          <t>Beatrix Underwood</t>
        </is>
      </c>
      <c r="D315" s="3" t="inlineStr">
        <is>
          <t>CT</t>
        </is>
      </c>
      <c r="E315" s="3" t="inlineStr">
        <is>
          <t>6f734da7-5651-5921-9770-e674d5040d77</t>
        </is>
      </c>
      <c r="F315" s="3" t="inlineStr">
        <is>
          <t>2026-12-03</t>
        </is>
      </c>
      <c r="G315" s="3" t="inlineStr">
        <is>
          <t>2026-12</t>
        </is>
      </c>
      <c r="H315" s="16" t="n">
        <v>167487.33</v>
      </c>
      <c r="I315" s="3" t="inlineStr">
        <is>
          <t>closed</t>
        </is>
      </c>
    </row>
    <row r="316">
      <c r="A316" s="17" t="inlineStr">
        <is>
          <t>ac1494ad-eb38-5689-b69b-b16a5c95522d</t>
        </is>
      </c>
      <c r="B316" s="17" t="inlineStr">
        <is>
          <t>CANON-202603-004712</t>
        </is>
      </c>
      <c r="C316" s="17" t="inlineStr">
        <is>
          <t>Ottilie Kingsford</t>
        </is>
      </c>
      <c r="D316" s="17" t="inlineStr">
        <is>
          <t>MA</t>
        </is>
      </c>
      <c r="E316" s="17" t="inlineStr">
        <is>
          <t>e44d7a3c-bb81-5d61-9a2c-3c9c2c9eb4f5</t>
        </is>
      </c>
      <c r="F316" s="17" t="inlineStr">
        <is>
          <t>2026-12-03</t>
        </is>
      </c>
      <c r="G316" s="17" t="inlineStr">
        <is>
          <t>2026-12</t>
        </is>
      </c>
      <c r="H316" s="18" t="n">
        <v>366671.25</v>
      </c>
      <c r="I316" s="17" t="inlineStr">
        <is>
          <t>open</t>
        </is>
      </c>
    </row>
    <row r="317">
      <c r="A317" s="3" t="inlineStr">
        <is>
          <t>4a1454b9-7c2b-5c10-9c4f-88e5df3dd424</t>
        </is>
      </c>
      <c r="B317" s="3" t="inlineStr">
        <is>
          <t>CANON-202603-005200</t>
        </is>
      </c>
      <c r="C317" s="3" t="inlineStr">
        <is>
          <t>Emiliano Larsson</t>
        </is>
      </c>
      <c r="D317" s="3" t="inlineStr">
        <is>
          <t>MD</t>
        </is>
      </c>
      <c r="E317" s="3" t="inlineStr">
        <is>
          <t>3624a161-d211-5384-9223-60f033ad8789</t>
        </is>
      </c>
      <c r="F317" s="3" t="inlineStr">
        <is>
          <t>2026-12-05</t>
        </is>
      </c>
      <c r="G317" s="3" t="inlineStr">
        <is>
          <t>2026-12</t>
        </is>
      </c>
      <c r="H317" s="16" t="n">
        <v>38645.32</v>
      </c>
      <c r="I317" s="3" t="inlineStr">
        <is>
          <t>closed</t>
        </is>
      </c>
    </row>
    <row r="318">
      <c r="A318" s="17" t="inlineStr">
        <is>
          <t>0560793c-fc92-52d6-8b99-1186c846146c</t>
        </is>
      </c>
      <c r="B318" s="17" t="inlineStr">
        <is>
          <t>CANON-202607-007996</t>
        </is>
      </c>
      <c r="C318" s="17" t="inlineStr">
        <is>
          <t>Thaddeus Blackwood</t>
        </is>
      </c>
      <c r="D318" s="17" t="inlineStr">
        <is>
          <t>MA</t>
        </is>
      </c>
      <c r="E318" s="17" t="inlineStr">
        <is>
          <t>12010ed2-b3dc-5fac-8f2f-3abb66399e24</t>
        </is>
      </c>
      <c r="F318" s="17" t="inlineStr">
        <is>
          <t>2026-12-05</t>
        </is>
      </c>
      <c r="G318" s="17" t="inlineStr">
        <is>
          <t>2026-12</t>
        </is>
      </c>
      <c r="H318" s="18" t="n">
        <v>111489.96</v>
      </c>
      <c r="I318" s="17" t="inlineStr">
        <is>
          <t>closed</t>
        </is>
      </c>
    </row>
    <row r="319">
      <c r="A319" s="3" t="inlineStr">
        <is>
          <t>9dde7c55-87d5-54f7-bc5d-897c6421e87e</t>
        </is>
      </c>
      <c r="B319" s="3" t="inlineStr">
        <is>
          <t>CANON-202601-003559</t>
        </is>
      </c>
      <c r="C319" s="3" t="inlineStr">
        <is>
          <t>Lorenzo Fairweather</t>
        </is>
      </c>
      <c r="D319" s="3" t="inlineStr">
        <is>
          <t>OH</t>
        </is>
      </c>
      <c r="E319" s="3" t="inlineStr">
        <is>
          <t>6623bcec-7e31-5226-b480-d57ab8eadb03</t>
        </is>
      </c>
      <c r="F319" s="3" t="inlineStr">
        <is>
          <t>2026-12-07</t>
        </is>
      </c>
      <c r="G319" s="3" t="inlineStr">
        <is>
          <t>2026-12</t>
        </is>
      </c>
      <c r="H319" s="16" t="n">
        <v>51615.43</v>
      </c>
      <c r="I319" s="3" t="inlineStr">
        <is>
          <t>open</t>
        </is>
      </c>
    </row>
    <row r="320">
      <c r="A320" s="17" t="inlineStr">
        <is>
          <t>8d1bcc7b-d478-5329-9fa1-346487007c78</t>
        </is>
      </c>
      <c r="B320" s="17" t="inlineStr">
        <is>
          <t>CANON-202604-005302</t>
        </is>
      </c>
      <c r="C320" s="17" t="inlineStr">
        <is>
          <t>Cassius Blackwood</t>
        </is>
      </c>
      <c r="D320" s="17" t="inlineStr">
        <is>
          <t>PA</t>
        </is>
      </c>
      <c r="E320" s="17" t="inlineStr">
        <is>
          <t>1889dcb7-48b5-5a6b-bfdf-6d89a589e4a3</t>
        </is>
      </c>
      <c r="F320" s="17" t="inlineStr">
        <is>
          <t>2026-12-08</t>
        </is>
      </c>
      <c r="G320" s="17" t="inlineStr">
        <is>
          <t>2026-12</t>
        </is>
      </c>
      <c r="H320" s="18" t="n">
        <v>19612.65</v>
      </c>
      <c r="I320" s="17" t="inlineStr">
        <is>
          <t>open</t>
        </is>
      </c>
    </row>
    <row r="321">
      <c r="A321" s="3" t="inlineStr">
        <is>
          <t>b5326f8d-27cf-51c8-8e73-a9c6bf257113</t>
        </is>
      </c>
      <c r="B321" s="3" t="inlineStr">
        <is>
          <t>CANON-202604-005342</t>
        </is>
      </c>
      <c r="C321" s="3" t="inlineStr">
        <is>
          <t>Ramona Vandermeer</t>
        </is>
      </c>
      <c r="D321" s="3" t="inlineStr">
        <is>
          <t>FL</t>
        </is>
      </c>
      <c r="E321" s="3" t="inlineStr">
        <is>
          <t>2c290fde-8b1e-5537-93ad-34fb2adc81db</t>
        </is>
      </c>
      <c r="F321" s="3" t="inlineStr">
        <is>
          <t>2026-12-08</t>
        </is>
      </c>
      <c r="G321" s="3" t="inlineStr">
        <is>
          <t>2026-12</t>
        </is>
      </c>
      <c r="H321" s="16" t="n">
        <v>38819.14</v>
      </c>
      <c r="I321" s="3" t="inlineStr">
        <is>
          <t>closed</t>
        </is>
      </c>
    </row>
    <row r="322">
      <c r="A322" s="17" t="inlineStr">
        <is>
          <t>31747bff-19b2-5315-b40c-3a6b3383281f</t>
        </is>
      </c>
      <c r="B322" s="17" t="inlineStr">
        <is>
          <t>CANON-202602-004441</t>
        </is>
      </c>
      <c r="C322" s="17" t="inlineStr">
        <is>
          <t>Saoirse Nakashima</t>
        </is>
      </c>
      <c r="D322" s="17" t="inlineStr">
        <is>
          <t>OR</t>
        </is>
      </c>
      <c r="E322" s="17" t="inlineStr">
        <is>
          <t>d95c0e4a-2739-5e96-864f-45da66c20573</t>
        </is>
      </c>
      <c r="F322" s="17" t="inlineStr">
        <is>
          <t>2026-12-09</t>
        </is>
      </c>
      <c r="G322" s="17" t="inlineStr">
        <is>
          <t>2026-12</t>
        </is>
      </c>
      <c r="H322" s="18" t="n">
        <v>21971.34</v>
      </c>
      <c r="I322" s="17" t="inlineStr">
        <is>
          <t>closed</t>
        </is>
      </c>
    </row>
    <row r="323">
      <c r="A323" s="3" t="inlineStr">
        <is>
          <t>4a5db096-2067-5f56-8c1e-5ee20371e0bd</t>
        </is>
      </c>
      <c r="B323" s="3" t="inlineStr">
        <is>
          <t>CANON-202602-003793</t>
        </is>
      </c>
      <c r="C323" s="3" t="inlineStr">
        <is>
          <t>Priya Farkas</t>
        </is>
      </c>
      <c r="D323" s="3" t="inlineStr">
        <is>
          <t>AK</t>
        </is>
      </c>
      <c r="E323" s="3" t="inlineStr">
        <is>
          <t>d7529b09-7dd3-5a89-b368-baedb26a70a1</t>
        </is>
      </c>
      <c r="F323" s="3" t="inlineStr">
        <is>
          <t>2026-12-10</t>
        </is>
      </c>
      <c r="G323" s="3" t="inlineStr">
        <is>
          <t>2026-12</t>
        </is>
      </c>
      <c r="H323" s="16" t="n">
        <v>174790.87</v>
      </c>
      <c r="I323" s="3" t="inlineStr">
        <is>
          <t>closed</t>
        </is>
      </c>
    </row>
    <row r="324">
      <c r="A324" s="17" t="inlineStr">
        <is>
          <t>36560306-e35f-5735-b724-3c8fbeab9d5b</t>
        </is>
      </c>
      <c r="B324" s="17" t="inlineStr">
        <is>
          <t>CANON-202602-003753</t>
        </is>
      </c>
      <c r="C324" s="17" t="inlineStr">
        <is>
          <t>Horace Kingsford</t>
        </is>
      </c>
      <c r="D324" s="17" t="inlineStr">
        <is>
          <t>NE</t>
        </is>
      </c>
      <c r="E324" s="17" t="inlineStr">
        <is>
          <t>bfa8287e-3a38-5776-806d-85c1fa2c843e</t>
        </is>
      </c>
      <c r="F324" s="17" t="inlineStr">
        <is>
          <t>2026-12-11</t>
        </is>
      </c>
      <c r="G324" s="17" t="inlineStr">
        <is>
          <t>2026-12</t>
        </is>
      </c>
      <c r="H324" s="18" t="n">
        <v>19756.04</v>
      </c>
      <c r="I324" s="17" t="inlineStr">
        <is>
          <t>closed</t>
        </is>
      </c>
    </row>
    <row r="325">
      <c r="A325" s="3" t="inlineStr">
        <is>
          <t>65f6d533-efd3-5f42-9d8f-ea8865635ae5</t>
        </is>
      </c>
      <c r="B325" s="3" t="inlineStr">
        <is>
          <t>CANON-202603-004992</t>
        </is>
      </c>
      <c r="C325" s="3" t="inlineStr">
        <is>
          <t>Everett Chattopadhyay</t>
        </is>
      </c>
      <c r="D325" s="3" t="inlineStr">
        <is>
          <t>WA</t>
        </is>
      </c>
      <c r="E325" s="3" t="inlineStr">
        <is>
          <t>0fec08e2-cfab-5ec7-8c20-d3eea6274bc7</t>
        </is>
      </c>
      <c r="F325" s="3" t="inlineStr">
        <is>
          <t>2026-12-11</t>
        </is>
      </c>
      <c r="G325" s="3" t="inlineStr">
        <is>
          <t>2026-12</t>
        </is>
      </c>
      <c r="H325" s="16" t="n">
        <v>9353.299999999999</v>
      </c>
      <c r="I325" s="3" t="inlineStr">
        <is>
          <t>open</t>
        </is>
      </c>
    </row>
    <row r="326">
      <c r="A326" s="17" t="inlineStr">
        <is>
          <t>8ff58e2a-bc8a-5093-b9d0-30dbd9fe1655</t>
        </is>
      </c>
      <c r="B326" s="17" t="inlineStr">
        <is>
          <t>CANON-202605-006518</t>
        </is>
      </c>
      <c r="C326" s="17" t="inlineStr">
        <is>
          <t>Saoirse Castellanos</t>
        </is>
      </c>
      <c r="D326" s="17" t="inlineStr">
        <is>
          <t>SD</t>
        </is>
      </c>
      <c r="E326" s="17" t="inlineStr">
        <is>
          <t>a7162230-ec66-5c09-afa3-3b54f2def8f4</t>
        </is>
      </c>
      <c r="F326" s="17" t="inlineStr">
        <is>
          <t>2026-12-12</t>
        </is>
      </c>
      <c r="G326" s="17" t="inlineStr">
        <is>
          <t>2026-12</t>
        </is>
      </c>
      <c r="H326" s="18" t="n">
        <v>5296.86</v>
      </c>
      <c r="I326" s="17" t="inlineStr">
        <is>
          <t>open</t>
        </is>
      </c>
    </row>
    <row r="327">
      <c r="A327" s="3" t="inlineStr">
        <is>
          <t>7d7d6cff-d0d1-5cf0-89ba-2084ae82ea4e</t>
        </is>
      </c>
      <c r="B327" s="3" t="inlineStr">
        <is>
          <t>CANON-202603-004747</t>
        </is>
      </c>
      <c r="C327" s="3" t="inlineStr">
        <is>
          <t>Sunniva Nakashima</t>
        </is>
      </c>
      <c r="D327" s="3" t="inlineStr">
        <is>
          <t>PA</t>
        </is>
      </c>
      <c r="E327" s="3" t="inlineStr">
        <is>
          <t>bb6f9e25-a7d5-57a8-a977-5aabcdc5bbc6</t>
        </is>
      </c>
      <c r="F327" s="3" t="inlineStr">
        <is>
          <t>2026-12-15</t>
        </is>
      </c>
      <c r="G327" s="3" t="inlineStr">
        <is>
          <t>2026-12</t>
        </is>
      </c>
      <c r="H327" s="16" t="n">
        <v>355181.53</v>
      </c>
      <c r="I327" s="3" t="inlineStr">
        <is>
          <t>closed</t>
        </is>
      </c>
    </row>
    <row r="328">
      <c r="A328" s="17" t="inlineStr">
        <is>
          <t>094aee35-14ed-5e92-9eb8-2ce5cbb174e3</t>
        </is>
      </c>
      <c r="B328" s="17" t="inlineStr">
        <is>
          <t>CANON-202602-004326</t>
        </is>
      </c>
      <c r="C328" s="17" t="inlineStr">
        <is>
          <t>Cassius Fairweather</t>
        </is>
      </c>
      <c r="D328" s="17" t="inlineStr">
        <is>
          <t>SC</t>
        </is>
      </c>
      <c r="E328" s="17" t="inlineStr">
        <is>
          <t>9a7229b9-8ce3-5d79-b172-7063c4b4cfdc</t>
        </is>
      </c>
      <c r="F328" s="17" t="inlineStr">
        <is>
          <t>2026-12-16</t>
        </is>
      </c>
      <c r="G328" s="17" t="inlineStr">
        <is>
          <t>2026-12</t>
        </is>
      </c>
      <c r="H328" s="18" t="n">
        <v>20167.94</v>
      </c>
      <c r="I328" s="17" t="inlineStr">
        <is>
          <t>open</t>
        </is>
      </c>
    </row>
    <row r="329">
      <c r="A329" s="3" t="inlineStr">
        <is>
          <t>c35935a1-e8bd-5833-bbfa-9a03cb7cc9bc</t>
        </is>
      </c>
      <c r="B329" s="3" t="inlineStr">
        <is>
          <t>CANON-202603-004531</t>
        </is>
      </c>
      <c r="C329" s="3" t="inlineStr">
        <is>
          <t>Aurelio Vandermeer</t>
        </is>
      </c>
      <c r="D329" s="3" t="inlineStr">
        <is>
          <t>NY</t>
        </is>
      </c>
      <c r="E329" s="3" t="inlineStr">
        <is>
          <t>74512514-26e2-59ef-9d85-89f68b530e47</t>
        </is>
      </c>
      <c r="F329" s="3" t="inlineStr">
        <is>
          <t>2026-12-17</t>
        </is>
      </c>
      <c r="G329" s="3" t="inlineStr">
        <is>
          <t>2026-12</t>
        </is>
      </c>
      <c r="H329" s="16" t="n">
        <v>59931.99</v>
      </c>
      <c r="I329" s="3" t="inlineStr">
        <is>
          <t>closed</t>
        </is>
      </c>
    </row>
    <row r="330">
      <c r="A330" s="17" t="inlineStr">
        <is>
          <t>1ae5438d-a835-5a78-8f3c-5d812ac5ca45</t>
        </is>
      </c>
      <c r="B330" s="17" t="inlineStr">
        <is>
          <t>CANON-202606-007257</t>
        </is>
      </c>
      <c r="C330" s="17" t="inlineStr">
        <is>
          <t>Fenwick Rourke</t>
        </is>
      </c>
      <c r="D330" s="17" t="inlineStr">
        <is>
          <t>MN</t>
        </is>
      </c>
      <c r="E330" s="17" t="inlineStr">
        <is>
          <t>3aa0a362-e49c-5266-969c-a5076582b471</t>
        </is>
      </c>
      <c r="F330" s="17" t="inlineStr">
        <is>
          <t>2026-12-17</t>
        </is>
      </c>
      <c r="G330" s="17" t="inlineStr">
        <is>
          <t>2026-12</t>
        </is>
      </c>
      <c r="H330" s="18" t="n">
        <v>36767.26</v>
      </c>
      <c r="I330" s="17" t="inlineStr">
        <is>
          <t>closed</t>
        </is>
      </c>
    </row>
    <row r="331">
      <c r="A331" s="3" t="inlineStr">
        <is>
          <t>4a7c025c-ec28-5e12-8863-46ae3c99fa7e</t>
        </is>
      </c>
      <c r="B331" s="3" t="inlineStr">
        <is>
          <t>CANON-202602-004323</t>
        </is>
      </c>
      <c r="C331" s="3" t="inlineStr">
        <is>
          <t>Fenwick Thistlewood</t>
        </is>
      </c>
      <c r="D331" s="3" t="inlineStr">
        <is>
          <t>NM</t>
        </is>
      </c>
      <c r="E331" s="3" t="inlineStr">
        <is>
          <t>f72bd477-579c-52b2-b9cd-87d0433deecf</t>
        </is>
      </c>
      <c r="F331" s="3" t="inlineStr">
        <is>
          <t>2026-12-19</t>
        </is>
      </c>
      <c r="G331" s="3" t="inlineStr">
        <is>
          <t>2026-12</t>
        </is>
      </c>
      <c r="H331" s="16" t="n">
        <v>436991.77</v>
      </c>
      <c r="I331" s="3" t="inlineStr">
        <is>
          <t>closed</t>
        </is>
      </c>
    </row>
    <row r="332">
      <c r="A332" s="17" t="inlineStr">
        <is>
          <t>7b348093-5c03-5a96-a4b9-c660718c49f5</t>
        </is>
      </c>
      <c r="B332" s="17" t="inlineStr">
        <is>
          <t>CANON-202607-008184</t>
        </is>
      </c>
      <c r="C332" s="17" t="inlineStr">
        <is>
          <t>Ramona Delacroix</t>
        </is>
      </c>
      <c r="D332" s="17" t="inlineStr">
        <is>
          <t>MI</t>
        </is>
      </c>
      <c r="E332" s="17" t="inlineStr">
        <is>
          <t>ec36bc4c-06c3-550e-95b4-7f0899bbebd2</t>
        </is>
      </c>
      <c r="F332" s="17" t="inlineStr">
        <is>
          <t>2026-12-20</t>
        </is>
      </c>
      <c r="G332" s="17" t="inlineStr">
        <is>
          <t>2026-12</t>
        </is>
      </c>
      <c r="H332" s="18" t="n">
        <v>61980.22</v>
      </c>
      <c r="I332" s="17" t="inlineStr">
        <is>
          <t>closed</t>
        </is>
      </c>
    </row>
    <row r="333">
      <c r="A333" s="3" t="inlineStr">
        <is>
          <t>2da92f01-6437-5520-b74a-c6f56c9e554c</t>
        </is>
      </c>
      <c r="B333" s="3" t="inlineStr">
        <is>
          <t>CANON-202603-004608</t>
        </is>
      </c>
      <c r="C333" s="3" t="inlineStr">
        <is>
          <t>Ramona Kingsford</t>
        </is>
      </c>
      <c r="D333" s="3" t="inlineStr">
        <is>
          <t>PA</t>
        </is>
      </c>
      <c r="E333" s="3" t="inlineStr">
        <is>
          <t>b3447446-8fa8-58ba-810c-2418686ca0ab</t>
        </is>
      </c>
      <c r="F333" s="3" t="inlineStr">
        <is>
          <t>2026-12-22</t>
        </is>
      </c>
      <c r="G333" s="3" t="inlineStr">
        <is>
          <t>2026-12</t>
        </is>
      </c>
      <c r="H333" s="16" t="n">
        <v>38986.5</v>
      </c>
      <c r="I333" s="3" t="inlineStr">
        <is>
          <t>closed</t>
        </is>
      </c>
    </row>
    <row r="334">
      <c r="A334" s="17" t="inlineStr">
        <is>
          <t>60ba2ab3-ae1e-5e4d-ba4c-0e45ad58e93a</t>
        </is>
      </c>
      <c r="B334" s="17" t="inlineStr">
        <is>
          <t>CANON-202605-006605</t>
        </is>
      </c>
      <c r="C334" s="17" t="inlineStr">
        <is>
          <t>Priya Larsson</t>
        </is>
      </c>
      <c r="D334" s="17" t="inlineStr">
        <is>
          <t>MO</t>
        </is>
      </c>
      <c r="E334" s="17" t="inlineStr">
        <is>
          <t>00df7bd9-cc08-5ce7-a3c1-7535935194ae</t>
        </is>
      </c>
      <c r="F334" s="17" t="inlineStr">
        <is>
          <t>2026-12-22</t>
        </is>
      </c>
      <c r="G334" s="17" t="inlineStr">
        <is>
          <t>2026-12</t>
        </is>
      </c>
      <c r="H334" s="18" t="n">
        <v>21547.35</v>
      </c>
      <c r="I334" s="17" t="inlineStr">
        <is>
          <t>closed</t>
        </is>
      </c>
    </row>
    <row r="335">
      <c r="A335" s="3" t="inlineStr">
        <is>
          <t>a745f500-eb1e-56a5-bfe8-ce5ded893b21</t>
        </is>
      </c>
      <c r="B335" s="3" t="inlineStr">
        <is>
          <t>CANON-202604-005886</t>
        </is>
      </c>
      <c r="C335" s="3" t="inlineStr">
        <is>
          <t>Mireille Thistlewood</t>
        </is>
      </c>
      <c r="D335" s="3" t="inlineStr">
        <is>
          <t>ND</t>
        </is>
      </c>
      <c r="E335" s="3" t="inlineStr">
        <is>
          <t>c9a9503f-35fd-58a2-8937-b56bf07b9212</t>
        </is>
      </c>
      <c r="F335" s="3" t="inlineStr">
        <is>
          <t>2026-12-24</t>
        </is>
      </c>
      <c r="G335" s="3" t="inlineStr">
        <is>
          <t>2026-12</t>
        </is>
      </c>
      <c r="H335" s="16" t="n">
        <v>22689.11</v>
      </c>
      <c r="I335" s="3" t="inlineStr">
        <is>
          <t>closed</t>
        </is>
      </c>
    </row>
    <row r="336">
      <c r="A336" s="17" t="inlineStr">
        <is>
          <t>d5ad5523-f982-5ecd-aa9b-426e1216231c</t>
        </is>
      </c>
      <c r="B336" s="17" t="inlineStr">
        <is>
          <t>CANON-202602-004274</t>
        </is>
      </c>
      <c r="C336" s="17" t="inlineStr">
        <is>
          <t>Mireille Delacroix</t>
        </is>
      </c>
      <c r="D336" s="17" t="inlineStr">
        <is>
          <t>CA</t>
        </is>
      </c>
      <c r="E336" s="17" t="inlineStr">
        <is>
          <t>86034b6f-67e5-5df4-b437-96131a1d0dd3</t>
        </is>
      </c>
      <c r="F336" s="17" t="inlineStr">
        <is>
          <t>2026-12-26</t>
        </is>
      </c>
      <c r="G336" s="17" t="inlineStr">
        <is>
          <t>2026-12</t>
        </is>
      </c>
      <c r="H336" s="18" t="n">
        <v>31426.56</v>
      </c>
      <c r="I336" s="17" t="inlineStr">
        <is>
          <t>closed</t>
        </is>
      </c>
    </row>
    <row r="337">
      <c r="A337" s="3" t="inlineStr">
        <is>
          <t>52216550-2b41-5f0d-ac44-b97bd03ebf0a</t>
        </is>
      </c>
      <c r="B337" s="3" t="inlineStr">
        <is>
          <t>CANON-202603-004925</t>
        </is>
      </c>
      <c r="C337" s="3" t="inlineStr">
        <is>
          <t>Ottilie Castellanos</t>
        </is>
      </c>
      <c r="D337" s="3" t="inlineStr">
        <is>
          <t>NY</t>
        </is>
      </c>
      <c r="E337" s="3" t="inlineStr">
        <is>
          <t>269d4467-a959-50b2-9dec-8e67af99398e</t>
        </is>
      </c>
      <c r="F337" s="3" t="inlineStr">
        <is>
          <t>2026-12-26</t>
        </is>
      </c>
      <c r="G337" s="3" t="inlineStr">
        <is>
          <t>2026-12</t>
        </is>
      </c>
      <c r="H337" s="16" t="n">
        <v>482197.81</v>
      </c>
      <c r="I337" s="3" t="inlineStr">
        <is>
          <t>closed</t>
        </is>
      </c>
    </row>
    <row r="338">
      <c r="A338" s="17" t="inlineStr">
        <is>
          <t>7ca5f00f-0b47-5335-b33d-28c63a5c1d8f</t>
        </is>
      </c>
      <c r="B338" s="17" t="inlineStr">
        <is>
          <t>CANON-202606-007603</t>
        </is>
      </c>
      <c r="C338" s="17" t="inlineStr">
        <is>
          <t>Marisol Montoya</t>
        </is>
      </c>
      <c r="D338" s="17" t="inlineStr">
        <is>
          <t>IN</t>
        </is>
      </c>
      <c r="E338" s="17" t="inlineStr">
        <is>
          <t>1af88cf6-3be0-56c9-91ac-40b83d48a978</t>
        </is>
      </c>
      <c r="F338" s="17" t="inlineStr">
        <is>
          <t>2026-12-27</t>
        </is>
      </c>
      <c r="G338" s="17" t="inlineStr">
        <is>
          <t>2026-12</t>
        </is>
      </c>
      <c r="H338" s="18" t="n">
        <v>33567.06</v>
      </c>
      <c r="I338" s="17" t="inlineStr">
        <is>
          <t>closed</t>
        </is>
      </c>
    </row>
    <row r="339">
      <c r="A339" s="3" t="inlineStr">
        <is>
          <t>2b972187-6702-50c1-b7a8-ed2cf18e8d3f</t>
        </is>
      </c>
      <c r="B339" s="3" t="inlineStr">
        <is>
          <t>CANON-202604-005976</t>
        </is>
      </c>
      <c r="C339" s="3" t="inlineStr">
        <is>
          <t>Beatrix Okonkwo</t>
        </is>
      </c>
      <c r="D339" s="3" t="inlineStr">
        <is>
          <t>MI</t>
        </is>
      </c>
      <c r="E339" s="3" t="inlineStr">
        <is>
          <t>573bfcb8-dcb0-5134-9f92-6911337133de</t>
        </is>
      </c>
      <c r="F339" s="3" t="inlineStr">
        <is>
          <t>2026-12-28</t>
        </is>
      </c>
      <c r="G339" s="3" t="inlineStr">
        <is>
          <t>2026-12</t>
        </is>
      </c>
      <c r="H339" s="16" t="n">
        <v>318771.11</v>
      </c>
      <c r="I339" s="3" t="inlineStr">
        <is>
          <t>closed</t>
        </is>
      </c>
    </row>
    <row r="340">
      <c r="A340" s="17" t="inlineStr">
        <is>
          <t>f7fbb781-9a86-500b-9a05-2652bb31760f</t>
        </is>
      </c>
      <c r="B340" s="17" t="inlineStr">
        <is>
          <t>CANON-202607-007840</t>
        </is>
      </c>
      <c r="C340" s="17" t="inlineStr">
        <is>
          <t>Fenwick Thistlewood</t>
        </is>
      </c>
      <c r="D340" s="17" t="inlineStr">
        <is>
          <t>AL</t>
        </is>
      </c>
      <c r="E340" s="17" t="inlineStr">
        <is>
          <t>9518b6bf-437e-5346-b1f5-2eec978b0de3</t>
        </is>
      </c>
      <c r="F340" s="17" t="inlineStr">
        <is>
          <t>2027-01-02</t>
        </is>
      </c>
      <c r="G340" s="17" t="inlineStr">
        <is>
          <t>2027-01</t>
        </is>
      </c>
      <c r="H340" s="18" t="n">
        <v>23391.9</v>
      </c>
      <c r="I340" s="17" t="inlineStr">
        <is>
          <t>open</t>
        </is>
      </c>
    </row>
    <row r="341">
      <c r="A341" s="3" t="inlineStr">
        <is>
          <t>b5a472df-014b-5a89-9096-ab0414db9f33</t>
        </is>
      </c>
      <c r="B341" s="3" t="inlineStr">
        <is>
          <t>CANON-202607-007993</t>
        </is>
      </c>
      <c r="C341" s="3" t="inlineStr">
        <is>
          <t>Sunniva Nakashima</t>
        </is>
      </c>
      <c r="D341" s="3" t="inlineStr">
        <is>
          <t>NV</t>
        </is>
      </c>
      <c r="E341" s="3" t="inlineStr">
        <is>
          <t>3081b82a-2fa3-5354-b870-815a0902644f</t>
        </is>
      </c>
      <c r="F341" s="3" t="inlineStr">
        <is>
          <t>2027-01-04</t>
        </is>
      </c>
      <c r="G341" s="3" t="inlineStr">
        <is>
          <t>2027-01</t>
        </is>
      </c>
      <c r="H341" s="16" t="n">
        <v>22923.08</v>
      </c>
      <c r="I341" s="3" t="inlineStr">
        <is>
          <t>closed</t>
        </is>
      </c>
    </row>
    <row r="342">
      <c r="A342" s="17" t="inlineStr">
        <is>
          <t>da499b89-6482-5154-8985-65f0a17fd845</t>
        </is>
      </c>
      <c r="B342" s="17" t="inlineStr">
        <is>
          <t>CANON-202602-004391</t>
        </is>
      </c>
      <c r="C342" s="17" t="inlineStr">
        <is>
          <t>Saoirse Okonkwo</t>
        </is>
      </c>
      <c r="D342" s="17" t="inlineStr">
        <is>
          <t>MN</t>
        </is>
      </c>
      <c r="E342" s="17" t="inlineStr">
        <is>
          <t>684019c7-5661-5e39-a128-019001f4000b</t>
        </is>
      </c>
      <c r="F342" s="17" t="inlineStr">
        <is>
          <t>2027-01-08</t>
        </is>
      </c>
      <c r="G342" s="17" t="inlineStr">
        <is>
          <t>2027-01</t>
        </is>
      </c>
      <c r="H342" s="18" t="n">
        <v>39164.98</v>
      </c>
      <c r="I342" s="17" t="inlineStr">
        <is>
          <t>closed</t>
        </is>
      </c>
    </row>
    <row r="343">
      <c r="A343" s="3" t="inlineStr">
        <is>
          <t>5c0fd971-56ab-594b-995a-6ed1e59c7ce6</t>
        </is>
      </c>
      <c r="B343" s="3" t="inlineStr">
        <is>
          <t>CANON-202604-005584</t>
        </is>
      </c>
      <c r="C343" s="3" t="inlineStr">
        <is>
          <t>Marisol Okonkwo</t>
        </is>
      </c>
      <c r="D343" s="3" t="inlineStr">
        <is>
          <t>WA</t>
        </is>
      </c>
      <c r="E343" s="3" t="inlineStr">
        <is>
          <t>d7db6b50-ac97-5985-b4eb-f89250c60fbd</t>
        </is>
      </c>
      <c r="F343" s="3" t="inlineStr">
        <is>
          <t>2027-01-09</t>
        </is>
      </c>
      <c r="G343" s="3" t="inlineStr">
        <is>
          <t>2027-01</t>
        </is>
      </c>
      <c r="H343" s="16" t="n">
        <v>103731.47</v>
      </c>
      <c r="I343" s="3" t="inlineStr">
        <is>
          <t>open</t>
        </is>
      </c>
    </row>
    <row r="344">
      <c r="A344" s="17" t="inlineStr">
        <is>
          <t>0148f799-e407-5644-8b88-98be09a073db</t>
        </is>
      </c>
      <c r="B344" s="17" t="inlineStr">
        <is>
          <t>CANON-202606-007349</t>
        </is>
      </c>
      <c r="C344" s="17" t="inlineStr">
        <is>
          <t>Noor Castellanos</t>
        </is>
      </c>
      <c r="D344" s="17" t="inlineStr">
        <is>
          <t>NY</t>
        </is>
      </c>
      <c r="E344" s="17" t="inlineStr">
        <is>
          <t>748fbce3-fdef-560f-a943-b3fd81a0e386</t>
        </is>
      </c>
      <c r="F344" s="17" t="inlineStr">
        <is>
          <t>2027-01-10</t>
        </is>
      </c>
      <c r="G344" s="17" t="inlineStr">
        <is>
          <t>2027-01</t>
        </is>
      </c>
      <c r="H344" s="18" t="n">
        <v>38419.63</v>
      </c>
      <c r="I344" s="17" t="inlineStr">
        <is>
          <t>closed</t>
        </is>
      </c>
    </row>
    <row r="345">
      <c r="A345" s="3" t="inlineStr">
        <is>
          <t>5c2ca4e1-c43f-538f-b661-32be75901b70</t>
        </is>
      </c>
      <c r="B345" s="3" t="inlineStr">
        <is>
          <t>CANON-202607-007971</t>
        </is>
      </c>
      <c r="C345" s="3" t="inlineStr">
        <is>
          <t>Cassius Bellandi</t>
        </is>
      </c>
      <c r="D345" s="3" t="inlineStr">
        <is>
          <t>PA</t>
        </is>
      </c>
      <c r="E345" s="3" t="inlineStr">
        <is>
          <t>0a225a75-911b-51ce-89f0-515ff7d90cfb</t>
        </is>
      </c>
      <c r="F345" s="3" t="inlineStr">
        <is>
          <t>2027-01-10</t>
        </is>
      </c>
      <c r="G345" s="3" t="inlineStr">
        <is>
          <t>2027-01</t>
        </is>
      </c>
      <c r="H345" s="16" t="n">
        <v>8798.799999999999</v>
      </c>
      <c r="I345" s="3" t="inlineStr">
        <is>
          <t>closed</t>
        </is>
      </c>
    </row>
    <row r="346">
      <c r="A346" s="17" t="inlineStr">
        <is>
          <t>a6e3134c-a317-5a1f-b069-f82a5f54390d</t>
        </is>
      </c>
      <c r="B346" s="17" t="inlineStr">
        <is>
          <t>CANON-202605-006489</t>
        </is>
      </c>
      <c r="C346" s="17" t="inlineStr">
        <is>
          <t>Fitzgerald Pennington</t>
        </is>
      </c>
      <c r="D346" s="17" t="inlineStr">
        <is>
          <t>NY</t>
        </is>
      </c>
      <c r="E346" s="17" t="inlineStr">
        <is>
          <t>3a59680e-42d5-5570-9ef1-e9dee1d55c8f</t>
        </is>
      </c>
      <c r="F346" s="17" t="inlineStr">
        <is>
          <t>2027-01-21</t>
        </is>
      </c>
      <c r="G346" s="17" t="inlineStr">
        <is>
          <t>2027-01</t>
        </is>
      </c>
      <c r="H346" s="18" t="n">
        <v>22289.78</v>
      </c>
      <c r="I346" s="17" t="inlineStr">
        <is>
          <t>closed</t>
        </is>
      </c>
    </row>
    <row r="347">
      <c r="A347" s="3" t="inlineStr">
        <is>
          <t>fa381bfc-679d-5ef5-90dc-84f619062fe0</t>
        </is>
      </c>
      <c r="B347" s="3" t="inlineStr">
        <is>
          <t>CANON-202606-006822</t>
        </is>
      </c>
      <c r="C347" s="3" t="inlineStr">
        <is>
          <t>Cassius Chattopadhyay</t>
        </is>
      </c>
      <c r="D347" s="3" t="inlineStr">
        <is>
          <t>WA</t>
        </is>
      </c>
      <c r="E347" s="3" t="inlineStr">
        <is>
          <t>d9bdab83-8e85-51c4-bcc6-5798ceba3afd</t>
        </is>
      </c>
      <c r="F347" s="3" t="inlineStr">
        <is>
          <t>2027-01-22</t>
        </is>
      </c>
      <c r="G347" s="3" t="inlineStr">
        <is>
          <t>2027-01</t>
        </is>
      </c>
      <c r="H347" s="16" t="n">
        <v>29625.77</v>
      </c>
      <c r="I347" s="3" t="inlineStr">
        <is>
          <t>closed</t>
        </is>
      </c>
    </row>
    <row r="348">
      <c r="A348" s="17" t="inlineStr">
        <is>
          <t>9eec52d4-9cbc-5e05-a623-ca99bcd16f31</t>
        </is>
      </c>
      <c r="B348" s="17" t="inlineStr">
        <is>
          <t>CANON-202606-007087</t>
        </is>
      </c>
      <c r="C348" s="17" t="inlineStr">
        <is>
          <t>Horace Delacroix</t>
        </is>
      </c>
      <c r="D348" s="17" t="inlineStr">
        <is>
          <t>NJ</t>
        </is>
      </c>
      <c r="E348" s="17" t="inlineStr">
        <is>
          <t>0dc3bda8-193d-523f-9615-e62fdef86a8c</t>
        </is>
      </c>
      <c r="F348" s="17" t="inlineStr">
        <is>
          <t>2027-01-22</t>
        </is>
      </c>
      <c r="G348" s="17" t="inlineStr">
        <is>
          <t>2027-01</t>
        </is>
      </c>
      <c r="H348" s="18" t="n">
        <v>21860.91</v>
      </c>
      <c r="I348" s="17" t="inlineStr">
        <is>
          <t>closed</t>
        </is>
      </c>
    </row>
    <row r="349">
      <c r="A349" s="3" t="inlineStr">
        <is>
          <t>d462587c-389b-555a-8b94-02ab562f4fad</t>
        </is>
      </c>
      <c r="B349" s="3" t="inlineStr">
        <is>
          <t>CANON-202607-008222</t>
        </is>
      </c>
      <c r="C349" s="3" t="inlineStr">
        <is>
          <t>Ottilie Underwood</t>
        </is>
      </c>
      <c r="D349" s="3" t="inlineStr">
        <is>
          <t>TX</t>
        </is>
      </c>
      <c r="E349" s="3" t="inlineStr">
        <is>
          <t>a68ed3c7-93db-5591-9609-9d2fdbeae5d9</t>
        </is>
      </c>
      <c r="F349" s="3" t="inlineStr">
        <is>
          <t>2027-01-25</t>
        </is>
      </c>
      <c r="G349" s="3" t="inlineStr">
        <is>
          <t>2027-01</t>
        </is>
      </c>
      <c r="H349" s="16" t="n">
        <v>8446.75</v>
      </c>
      <c r="I349" s="3" t="inlineStr">
        <is>
          <t>closed</t>
        </is>
      </c>
    </row>
    <row r="350">
      <c r="A350" s="17" t="inlineStr">
        <is>
          <t>956b8dde-ee76-5bf8-9187-dd0f2b6b7c4f</t>
        </is>
      </c>
      <c r="B350" s="17" t="inlineStr">
        <is>
          <t>CANON-202604-005637</t>
        </is>
      </c>
      <c r="C350" s="17" t="inlineStr">
        <is>
          <t>Desmond Pennington</t>
        </is>
      </c>
      <c r="D350" s="17" t="inlineStr">
        <is>
          <t>WI</t>
        </is>
      </c>
      <c r="E350" s="17" t="inlineStr">
        <is>
          <t>f05b047a-f45d-5cfc-bb46-90b17e7c0647</t>
        </is>
      </c>
      <c r="F350" s="17" t="inlineStr">
        <is>
          <t>2027-01-29</t>
        </is>
      </c>
      <c r="G350" s="17" t="inlineStr">
        <is>
          <t>2027-01</t>
        </is>
      </c>
      <c r="H350" s="18" t="n">
        <v>29038.75</v>
      </c>
      <c r="I350" s="17" t="inlineStr">
        <is>
          <t>open</t>
        </is>
      </c>
    </row>
    <row r="351">
      <c r="A351" s="3" t="inlineStr">
        <is>
          <t>9368542a-8e77-5c9c-b57d-60324bfa3159</t>
        </is>
      </c>
      <c r="B351" s="3" t="inlineStr">
        <is>
          <t>CANON-202605-006710</t>
        </is>
      </c>
      <c r="C351" s="3" t="inlineStr">
        <is>
          <t>Wilhelmina Rourke</t>
        </is>
      </c>
      <c r="D351" s="3" t="inlineStr">
        <is>
          <t>SC</t>
        </is>
      </c>
      <c r="E351" s="3" t="inlineStr">
        <is>
          <t>6d1d3c45-6b39-56f2-b88a-02f81fb7be33</t>
        </is>
      </c>
      <c r="F351" s="3" t="inlineStr">
        <is>
          <t>2027-01-29</t>
        </is>
      </c>
      <c r="G351" s="3" t="inlineStr">
        <is>
          <t>2027-01</t>
        </is>
      </c>
      <c r="H351" s="16" t="n">
        <v>25566.2</v>
      </c>
      <c r="I351" s="3" t="inlineStr">
        <is>
          <t>open</t>
        </is>
      </c>
    </row>
    <row r="352">
      <c r="A352" s="17" t="inlineStr">
        <is>
          <t>c6005d60-9625-52e6-b998-b6b163954a7b</t>
        </is>
      </c>
      <c r="B352" s="17" t="inlineStr">
        <is>
          <t>CANON-202604-005611</t>
        </is>
      </c>
      <c r="C352" s="17" t="inlineStr">
        <is>
          <t>Fitzgerald Thistlewood</t>
        </is>
      </c>
      <c r="D352" s="17" t="inlineStr">
        <is>
          <t>IL</t>
        </is>
      </c>
      <c r="E352" s="17" t="inlineStr">
        <is>
          <t>21432076-82a0-5003-84c4-5fbc0ec63150</t>
        </is>
      </c>
      <c r="F352" s="17" t="inlineStr">
        <is>
          <t>2027-01-30</t>
        </is>
      </c>
      <c r="G352" s="17" t="inlineStr">
        <is>
          <t>2027-01</t>
        </is>
      </c>
      <c r="H352" s="18" t="n">
        <v>85353.32000000001</v>
      </c>
      <c r="I352" s="17" t="inlineStr">
        <is>
          <t>closed</t>
        </is>
      </c>
    </row>
    <row r="353">
      <c r="A353" s="3" t="inlineStr">
        <is>
          <t>e59d230c-98e7-57ea-8f28-4ed0cb56a7dd</t>
        </is>
      </c>
      <c r="B353" s="3" t="inlineStr">
        <is>
          <t>CANON-202606-006880</t>
        </is>
      </c>
      <c r="C353" s="3" t="inlineStr">
        <is>
          <t>Emiliano Nakashima</t>
        </is>
      </c>
      <c r="D353" s="3" t="inlineStr">
        <is>
          <t>IN</t>
        </is>
      </c>
      <c r="E353" s="3" t="inlineStr">
        <is>
          <t>c25397f7-9ef9-5dc1-b5c8-9df11255c7ea</t>
        </is>
      </c>
      <c r="F353" s="3" t="inlineStr">
        <is>
          <t>2027-02-03</t>
        </is>
      </c>
      <c r="G353" s="3" t="inlineStr">
        <is>
          <t>2027-02</t>
        </is>
      </c>
      <c r="H353" s="16" t="n">
        <v>97909.11</v>
      </c>
      <c r="I353" s="3" t="inlineStr">
        <is>
          <t>open</t>
        </is>
      </c>
    </row>
    <row r="354">
      <c r="A354" s="17" t="inlineStr">
        <is>
          <t>481757cd-157b-56c3-9c9a-9fadb85da064</t>
        </is>
      </c>
      <c r="B354" s="17" t="inlineStr">
        <is>
          <t>CANON-202605-006254</t>
        </is>
      </c>
      <c r="C354" s="17" t="inlineStr">
        <is>
          <t>Fenwick Bellandi</t>
        </is>
      </c>
      <c r="D354" s="17" t="inlineStr">
        <is>
          <t>NY</t>
        </is>
      </c>
      <c r="E354" s="17" t="inlineStr">
        <is>
          <t>d2fb0875-f557-540b-a658-fef4bf584a02</t>
        </is>
      </c>
      <c r="F354" s="17" t="inlineStr">
        <is>
          <t>2027-02-04</t>
        </is>
      </c>
      <c r="G354" s="17" t="inlineStr">
        <is>
          <t>2027-02</t>
        </is>
      </c>
      <c r="H354" s="18" t="n">
        <v>27927.37</v>
      </c>
      <c r="I354" s="17" t="inlineStr">
        <is>
          <t>closed</t>
        </is>
      </c>
    </row>
    <row r="355">
      <c r="A355" s="3" t="inlineStr">
        <is>
          <t>3fec335e-20a6-5650-8495-6f2068ef7ef2</t>
        </is>
      </c>
      <c r="B355" s="3" t="inlineStr">
        <is>
          <t>CANON-202607-008409</t>
        </is>
      </c>
      <c r="C355" s="3" t="inlineStr">
        <is>
          <t>Lorenzo Okonkwo</t>
        </is>
      </c>
      <c r="D355" s="3" t="inlineStr">
        <is>
          <t>MA</t>
        </is>
      </c>
      <c r="E355" s="3" t="inlineStr">
        <is>
          <t>49b3fbea-0451-55fa-801a-c0d2fd8c6622</t>
        </is>
      </c>
      <c r="F355" s="3" t="inlineStr">
        <is>
          <t>2027-02-04</t>
        </is>
      </c>
      <c r="G355" s="3" t="inlineStr">
        <is>
          <t>2027-02</t>
        </is>
      </c>
      <c r="H355" s="16" t="n">
        <v>14769.59</v>
      </c>
      <c r="I355" s="3" t="inlineStr">
        <is>
          <t>closed</t>
        </is>
      </c>
    </row>
    <row r="356">
      <c r="A356" s="17" t="inlineStr">
        <is>
          <t>a12f627d-dcf4-5e8e-97cb-2c3e639f5cc2</t>
        </is>
      </c>
      <c r="B356" s="17" t="inlineStr">
        <is>
          <t>CANON-202603-004929</t>
        </is>
      </c>
      <c r="C356" s="17" t="inlineStr">
        <is>
          <t>Delphine Bellandi</t>
        </is>
      </c>
      <c r="D356" s="17" t="inlineStr">
        <is>
          <t>IA</t>
        </is>
      </c>
      <c r="E356" s="17" t="inlineStr">
        <is>
          <t>b96d342a-3b3b-5f17-92ca-cba342df5498</t>
        </is>
      </c>
      <c r="F356" s="17" t="inlineStr">
        <is>
          <t>2027-02-06</t>
        </is>
      </c>
      <c r="G356" s="17" t="inlineStr">
        <is>
          <t>2027-02</t>
        </is>
      </c>
      <c r="H356" s="18" t="n">
        <v>22902.98</v>
      </c>
      <c r="I356" s="17" t="inlineStr">
        <is>
          <t>closed</t>
        </is>
      </c>
    </row>
    <row r="357">
      <c r="A357" s="3" t="inlineStr">
        <is>
          <t>9f2adcca-1ea4-568d-b8f3-1bcbdd4dd7eb</t>
        </is>
      </c>
      <c r="B357" s="3" t="inlineStr">
        <is>
          <t>CANON-202604-005712</t>
        </is>
      </c>
      <c r="C357" s="3" t="inlineStr">
        <is>
          <t>Desmond Nakashima</t>
        </is>
      </c>
      <c r="D357" s="3" t="inlineStr">
        <is>
          <t>WA</t>
        </is>
      </c>
      <c r="E357" s="3" t="inlineStr">
        <is>
          <t>a302e2ed-4b86-5412-be89-6c9aaf09e7b1</t>
        </is>
      </c>
      <c r="F357" s="3" t="inlineStr">
        <is>
          <t>2027-02-06</t>
        </is>
      </c>
      <c r="G357" s="3" t="inlineStr">
        <is>
          <t>2027-02</t>
        </is>
      </c>
      <c r="H357" s="16" t="n">
        <v>20873.01</v>
      </c>
      <c r="I357" s="3" t="inlineStr">
        <is>
          <t>closed</t>
        </is>
      </c>
    </row>
    <row r="358">
      <c r="A358" s="17" t="inlineStr">
        <is>
          <t>bd9dcd4d-e645-59d1-b7a6-b9048ee40355</t>
        </is>
      </c>
      <c r="B358" s="17" t="inlineStr">
        <is>
          <t>CANON-202605-005998</t>
        </is>
      </c>
      <c r="C358" s="17" t="inlineStr">
        <is>
          <t>Wilhelmina Harrington</t>
        </is>
      </c>
      <c r="D358" s="17" t="inlineStr">
        <is>
          <t>MT</t>
        </is>
      </c>
      <c r="E358" s="17" t="inlineStr">
        <is>
          <t>14d43b5e-15d2-500b-b4dc-e023b02761a0</t>
        </is>
      </c>
      <c r="F358" s="17" t="inlineStr">
        <is>
          <t>2027-02-09</t>
        </is>
      </c>
      <c r="G358" s="17" t="inlineStr">
        <is>
          <t>2027-02</t>
        </is>
      </c>
      <c r="H358" s="18" t="n">
        <v>447037.56</v>
      </c>
      <c r="I358" s="17" t="inlineStr">
        <is>
          <t>closed</t>
        </is>
      </c>
    </row>
    <row r="359">
      <c r="A359" s="3" t="inlineStr">
        <is>
          <t>482fdedf-8c82-5e75-a3b3-e24cffc9ec81</t>
        </is>
      </c>
      <c r="B359" s="3" t="inlineStr">
        <is>
          <t>CANON-202605-006064</t>
        </is>
      </c>
      <c r="C359" s="3" t="inlineStr">
        <is>
          <t>Thaddeus Thistlewood</t>
        </is>
      </c>
      <c r="D359" s="3" t="inlineStr">
        <is>
          <t>ND</t>
        </is>
      </c>
      <c r="E359" s="3" t="inlineStr">
        <is>
          <t>29c0b192-24fe-5622-b48e-867bcbf4a9eb</t>
        </is>
      </c>
      <c r="F359" s="3" t="inlineStr">
        <is>
          <t>2027-02-10</t>
        </is>
      </c>
      <c r="G359" s="3" t="inlineStr">
        <is>
          <t>2027-02</t>
        </is>
      </c>
      <c r="H359" s="16" t="n">
        <v>17500.3</v>
      </c>
      <c r="I359" s="3" t="inlineStr">
        <is>
          <t>closed</t>
        </is>
      </c>
    </row>
    <row r="360">
      <c r="A360" s="17" t="inlineStr">
        <is>
          <t>daf5baa2-16d6-5d52-a76c-71ff1b3a2aa3</t>
        </is>
      </c>
      <c r="B360" s="17" t="inlineStr">
        <is>
          <t>CANON-202606-006886</t>
        </is>
      </c>
      <c r="C360" s="17" t="inlineStr">
        <is>
          <t>Desmond Larsson</t>
        </is>
      </c>
      <c r="D360" s="17" t="inlineStr">
        <is>
          <t>IL</t>
        </is>
      </c>
      <c r="E360" s="17" t="inlineStr">
        <is>
          <t>ebc979c8-2393-562e-b3d6-058713cdc989</t>
        </is>
      </c>
      <c r="F360" s="17" t="inlineStr">
        <is>
          <t>2027-02-10</t>
        </is>
      </c>
      <c r="G360" s="17" t="inlineStr">
        <is>
          <t>2027-02</t>
        </is>
      </c>
      <c r="H360" s="18" t="n">
        <v>19729.39</v>
      </c>
      <c r="I360" s="17" t="inlineStr">
        <is>
          <t>closed</t>
        </is>
      </c>
    </row>
    <row r="361">
      <c r="A361" s="3" t="inlineStr">
        <is>
          <t>f8edc27c-3f2f-5cb7-aee2-b23e8a8793af</t>
        </is>
      </c>
      <c r="B361" s="3" t="inlineStr">
        <is>
          <t>CANON-202607-008146</t>
        </is>
      </c>
      <c r="C361" s="3" t="inlineStr">
        <is>
          <t>Noor Rourke</t>
        </is>
      </c>
      <c r="D361" s="3" t="inlineStr">
        <is>
          <t>MD</t>
        </is>
      </c>
      <c r="E361" s="3" t="inlineStr">
        <is>
          <t>9b592efc-98c7-5600-84d9-a7627aa884a4</t>
        </is>
      </c>
      <c r="F361" s="3" t="inlineStr">
        <is>
          <t>2027-02-13</t>
        </is>
      </c>
      <c r="G361" s="3" t="inlineStr">
        <is>
          <t>2027-02</t>
        </is>
      </c>
      <c r="H361" s="16" t="n">
        <v>554674.83</v>
      </c>
      <c r="I361" s="3" t="inlineStr">
        <is>
          <t>open</t>
        </is>
      </c>
    </row>
    <row r="362">
      <c r="A362" s="17" t="inlineStr">
        <is>
          <t>8ef8ace3-970b-5851-9a4e-4bf09157bccb</t>
        </is>
      </c>
      <c r="B362" s="17" t="inlineStr">
        <is>
          <t>CANON-202607-008291</t>
        </is>
      </c>
      <c r="C362" s="17" t="inlineStr">
        <is>
          <t>Delphine Harrington</t>
        </is>
      </c>
      <c r="D362" s="17" t="inlineStr">
        <is>
          <t>MO</t>
        </is>
      </c>
      <c r="E362" s="17" t="inlineStr">
        <is>
          <t>40bd07b7-f8bf-5a69-9c8a-3f8f891f9ded</t>
        </is>
      </c>
      <c r="F362" s="17" t="inlineStr">
        <is>
          <t>2027-02-14</t>
        </is>
      </c>
      <c r="G362" s="17" t="inlineStr">
        <is>
          <t>2027-02</t>
        </is>
      </c>
      <c r="H362" s="18" t="n">
        <v>11097.61</v>
      </c>
      <c r="I362" s="17" t="inlineStr">
        <is>
          <t>open</t>
        </is>
      </c>
    </row>
    <row r="363">
      <c r="A363" s="3" t="inlineStr">
        <is>
          <t>b8a9618f-7ddb-5bd5-b696-c5f3842db584</t>
        </is>
      </c>
      <c r="B363" s="3" t="inlineStr">
        <is>
          <t>CANON-202605-006341</t>
        </is>
      </c>
      <c r="C363" s="3" t="inlineStr">
        <is>
          <t>Marisol Bellandi</t>
        </is>
      </c>
      <c r="D363" s="3" t="inlineStr">
        <is>
          <t>WA</t>
        </is>
      </c>
      <c r="E363" s="3" t="inlineStr">
        <is>
          <t>ae75bf61-7afc-50c5-acc8-01629ee7479b</t>
        </is>
      </c>
      <c r="F363" s="3" t="inlineStr">
        <is>
          <t>2027-02-17</t>
        </is>
      </c>
      <c r="G363" s="3" t="inlineStr">
        <is>
          <t>2027-02</t>
        </is>
      </c>
      <c r="H363" s="16" t="n">
        <v>106098.6</v>
      </c>
      <c r="I363" s="3" t="inlineStr">
        <is>
          <t>closed</t>
        </is>
      </c>
    </row>
    <row r="364">
      <c r="A364" s="17" t="inlineStr">
        <is>
          <t>59ab24f2-1403-558c-82a5-40e6d695c015</t>
        </is>
      </c>
      <c r="B364" s="17" t="inlineStr">
        <is>
          <t>CANON-202604-005542</t>
        </is>
      </c>
      <c r="C364" s="17" t="inlineStr">
        <is>
          <t>Ingrid Farkas</t>
        </is>
      </c>
      <c r="D364" s="17" t="inlineStr">
        <is>
          <t>UT</t>
        </is>
      </c>
      <c r="E364" s="17" t="inlineStr">
        <is>
          <t>c3377375-45e6-5dd3-93d2-ea79c7571562</t>
        </is>
      </c>
      <c r="F364" s="17" t="inlineStr">
        <is>
          <t>2027-02-18</t>
        </is>
      </c>
      <c r="G364" s="17" t="inlineStr">
        <is>
          <t>2027-02</t>
        </is>
      </c>
      <c r="H364" s="18" t="n">
        <v>17360.64</v>
      </c>
      <c r="I364" s="17" t="inlineStr">
        <is>
          <t>closed</t>
        </is>
      </c>
    </row>
    <row r="365">
      <c r="A365" s="3" t="inlineStr">
        <is>
          <t>0fc331c1-a465-57f8-894b-471ee7a92d40</t>
        </is>
      </c>
      <c r="B365" s="3" t="inlineStr">
        <is>
          <t>CANON-202607-008254</t>
        </is>
      </c>
      <c r="C365" s="3" t="inlineStr">
        <is>
          <t>Cassius Blackwood</t>
        </is>
      </c>
      <c r="D365" s="3" t="inlineStr">
        <is>
          <t>OR</t>
        </is>
      </c>
      <c r="E365" s="3" t="inlineStr">
        <is>
          <t>42bda8b8-0e29-5cc8-8317-121bdbd1d307</t>
        </is>
      </c>
      <c r="F365" s="3" t="inlineStr">
        <is>
          <t>2027-02-21</t>
        </is>
      </c>
      <c r="G365" s="3" t="inlineStr">
        <is>
          <t>2027-02</t>
        </is>
      </c>
      <c r="H365" s="16" t="n">
        <v>627861.74</v>
      </c>
      <c r="I365" s="3" t="inlineStr">
        <is>
          <t>closed</t>
        </is>
      </c>
    </row>
    <row r="366">
      <c r="A366" s="17" t="inlineStr">
        <is>
          <t>a1f6af6f-f2b9-52a4-9405-a7ea51431210</t>
        </is>
      </c>
      <c r="B366" s="17" t="inlineStr">
        <is>
          <t>CANON-202606-007270</t>
        </is>
      </c>
      <c r="C366" s="17" t="inlineStr">
        <is>
          <t>Ingrid Fairweather</t>
        </is>
      </c>
      <c r="D366" s="17" t="inlineStr">
        <is>
          <t>MO</t>
        </is>
      </c>
      <c r="E366" s="17" t="inlineStr">
        <is>
          <t>d626d38a-991f-5d51-9e11-2d45c37e4486</t>
        </is>
      </c>
      <c r="F366" s="17" t="inlineStr">
        <is>
          <t>2027-02-23</t>
        </is>
      </c>
      <c r="G366" s="17" t="inlineStr">
        <is>
          <t>2027-02</t>
        </is>
      </c>
      <c r="H366" s="18" t="n">
        <v>12637.99</v>
      </c>
      <c r="I366" s="17" t="inlineStr">
        <is>
          <t>closed</t>
        </is>
      </c>
    </row>
    <row r="367">
      <c r="A367" s="3" t="inlineStr">
        <is>
          <t>209f7dfb-0ac2-504c-9deb-c42cb96a6a3a</t>
        </is>
      </c>
      <c r="B367" s="3" t="inlineStr">
        <is>
          <t>CANON-202606-007130</t>
        </is>
      </c>
      <c r="C367" s="3" t="inlineStr">
        <is>
          <t>Ottilie Montoya</t>
        </is>
      </c>
      <c r="D367" s="3" t="inlineStr">
        <is>
          <t>MA</t>
        </is>
      </c>
      <c r="E367" s="3" t="inlineStr">
        <is>
          <t>16c59cb8-7d42-58d1-8b65-d813b12edaf4</t>
        </is>
      </c>
      <c r="F367" s="3" t="inlineStr">
        <is>
          <t>2027-02-24</t>
        </is>
      </c>
      <c r="G367" s="3" t="inlineStr">
        <is>
          <t>2027-02</t>
        </is>
      </c>
      <c r="H367" s="16" t="n">
        <v>40133.38</v>
      </c>
      <c r="I367" s="3" t="inlineStr">
        <is>
          <t>closed</t>
        </is>
      </c>
    </row>
    <row r="368">
      <c r="A368" s="17" t="inlineStr">
        <is>
          <t>015e70dd-fb19-56b9-a81e-9c8f1e581a9a</t>
        </is>
      </c>
      <c r="B368" s="17" t="inlineStr">
        <is>
          <t>CANON-202605-006533</t>
        </is>
      </c>
      <c r="C368" s="17" t="inlineStr">
        <is>
          <t>Cassius Merriweather</t>
        </is>
      </c>
      <c r="D368" s="17" t="inlineStr">
        <is>
          <t>AL</t>
        </is>
      </c>
      <c r="E368" s="17" t="inlineStr">
        <is>
          <t>ce70bef2-5145-5958-8d8c-ea78a4cb3ff8</t>
        </is>
      </c>
      <c r="F368" s="17" t="inlineStr">
        <is>
          <t>2027-03-03</t>
        </is>
      </c>
      <c r="G368" s="17" t="inlineStr">
        <is>
          <t>2027-03</t>
        </is>
      </c>
      <c r="H368" s="18" t="n">
        <v>19879.06</v>
      </c>
      <c r="I368" s="17" t="inlineStr">
        <is>
          <t>closed</t>
        </is>
      </c>
    </row>
    <row r="369">
      <c r="A369" s="3" t="inlineStr">
        <is>
          <t>f3b5d52c-84ca-5e33-8215-cb4800b0bd05</t>
        </is>
      </c>
      <c r="B369" s="3" t="inlineStr">
        <is>
          <t>CANON-202607-008194</t>
        </is>
      </c>
      <c r="C369" s="3" t="inlineStr">
        <is>
          <t>Thaddeus Larsson</t>
        </is>
      </c>
      <c r="D369" s="3" t="inlineStr">
        <is>
          <t>MS</t>
        </is>
      </c>
      <c r="E369" s="3" t="inlineStr">
        <is>
          <t>3b225f16-ef13-59fc-97df-3161430122c6</t>
        </is>
      </c>
      <c r="F369" s="3" t="inlineStr">
        <is>
          <t>2027-03-04</t>
        </is>
      </c>
      <c r="G369" s="3" t="inlineStr">
        <is>
          <t>2027-03</t>
        </is>
      </c>
      <c r="H369" s="16" t="n">
        <v>85075.07000000001</v>
      </c>
      <c r="I369" s="3" t="inlineStr">
        <is>
          <t>closed</t>
        </is>
      </c>
    </row>
    <row r="370">
      <c r="A370" s="17" t="inlineStr">
        <is>
          <t>417bec95-3790-5254-82ba-490b1004abce</t>
        </is>
      </c>
      <c r="B370" s="17" t="inlineStr">
        <is>
          <t>CANON-202606-007393</t>
        </is>
      </c>
      <c r="C370" s="17" t="inlineStr">
        <is>
          <t>Beatrix Chattopadhyay</t>
        </is>
      </c>
      <c r="D370" s="17" t="inlineStr">
        <is>
          <t>NH</t>
        </is>
      </c>
      <c r="E370" s="17" t="inlineStr">
        <is>
          <t>f5c03aa5-e736-5c12-bdea-5d2a22c27526</t>
        </is>
      </c>
      <c r="F370" s="17" t="inlineStr">
        <is>
          <t>2027-03-06</t>
        </is>
      </c>
      <c r="G370" s="17" t="inlineStr">
        <is>
          <t>2027-03</t>
        </is>
      </c>
      <c r="H370" s="18" t="n">
        <v>39680.26</v>
      </c>
      <c r="I370" s="17" t="inlineStr">
        <is>
          <t>closed</t>
        </is>
      </c>
    </row>
    <row r="371">
      <c r="A371" s="3" t="inlineStr">
        <is>
          <t>7a512417-025c-5bd3-a054-4b5438ddb024</t>
        </is>
      </c>
      <c r="B371" s="3" t="inlineStr">
        <is>
          <t>CANON-202605-006585</t>
        </is>
      </c>
      <c r="C371" s="3" t="inlineStr">
        <is>
          <t>Everett Kingsford</t>
        </is>
      </c>
      <c r="D371" s="3" t="inlineStr">
        <is>
          <t>MI</t>
        </is>
      </c>
      <c r="E371" s="3" t="inlineStr">
        <is>
          <t>dd2acce6-4060-5813-8ac6-99a4ffce5388</t>
        </is>
      </c>
      <c r="F371" s="3" t="inlineStr">
        <is>
          <t>2027-03-08</t>
        </is>
      </c>
      <c r="G371" s="3" t="inlineStr">
        <is>
          <t>2027-03</t>
        </is>
      </c>
      <c r="H371" s="16" t="n">
        <v>619674.29</v>
      </c>
      <c r="I371" s="3" t="inlineStr">
        <is>
          <t>open</t>
        </is>
      </c>
    </row>
    <row r="372">
      <c r="A372" s="17" t="inlineStr">
        <is>
          <t>a0f8d7c2-4583-55c5-8072-c9041721e1e0</t>
        </is>
      </c>
      <c r="B372" s="17" t="inlineStr">
        <is>
          <t>CANON-202607-007712</t>
        </is>
      </c>
      <c r="C372" s="17" t="inlineStr">
        <is>
          <t>Lorenzo Ashcombe</t>
        </is>
      </c>
      <c r="D372" s="17" t="inlineStr">
        <is>
          <t>FL</t>
        </is>
      </c>
      <c r="E372" s="17" t="inlineStr">
        <is>
          <t>bbf8e0da-3973-5156-9ab6-214571438bd2</t>
        </is>
      </c>
      <c r="F372" s="17" t="inlineStr">
        <is>
          <t>2027-03-08</t>
        </is>
      </c>
      <c r="G372" s="17" t="inlineStr">
        <is>
          <t>2027-03</t>
        </is>
      </c>
      <c r="H372" s="18" t="n">
        <v>105391.78</v>
      </c>
      <c r="I372" s="17" t="inlineStr">
        <is>
          <t>closed</t>
        </is>
      </c>
    </row>
    <row r="373">
      <c r="A373" s="3" t="inlineStr">
        <is>
          <t>63d91918-8bca-5790-a135-9ce4ff55e0e2</t>
        </is>
      </c>
      <c r="B373" s="3" t="inlineStr">
        <is>
          <t>CANON-202605-006244</t>
        </is>
      </c>
      <c r="C373" s="3" t="inlineStr">
        <is>
          <t>Horace Rourke</t>
        </is>
      </c>
      <c r="D373" s="3" t="inlineStr">
        <is>
          <t>FL</t>
        </is>
      </c>
      <c r="E373" s="3" t="inlineStr">
        <is>
          <t>ed3a64af-13d9-501d-905c-ea623b13d0b6</t>
        </is>
      </c>
      <c r="F373" s="3" t="inlineStr">
        <is>
          <t>2027-03-10</t>
        </is>
      </c>
      <c r="G373" s="3" t="inlineStr">
        <is>
          <t>2027-03</t>
        </is>
      </c>
      <c r="H373" s="16" t="n">
        <v>35859.69</v>
      </c>
      <c r="I373" s="3" t="inlineStr">
        <is>
          <t>open</t>
        </is>
      </c>
    </row>
    <row r="374">
      <c r="A374" s="17" t="inlineStr">
        <is>
          <t>3bcb8774-aa30-5f73-9e14-f32b70406c2e</t>
        </is>
      </c>
      <c r="B374" s="17" t="inlineStr">
        <is>
          <t>CANON-202605-006312</t>
        </is>
      </c>
      <c r="C374" s="17" t="inlineStr">
        <is>
          <t>Ingrid Castellanos</t>
        </is>
      </c>
      <c r="D374" s="17" t="inlineStr">
        <is>
          <t>LA</t>
        </is>
      </c>
      <c r="E374" s="17" t="inlineStr">
        <is>
          <t>5e2b8e8e-33e8-5f80-9bce-ff102a29f84b</t>
        </is>
      </c>
      <c r="F374" s="17" t="inlineStr">
        <is>
          <t>2027-03-13</t>
        </is>
      </c>
      <c r="G374" s="17" t="inlineStr">
        <is>
          <t>2027-03</t>
        </is>
      </c>
      <c r="H374" s="18" t="n">
        <v>26379.8</v>
      </c>
      <c r="I374" s="17" t="inlineStr">
        <is>
          <t>closed</t>
        </is>
      </c>
    </row>
    <row r="375">
      <c r="A375" s="3" t="inlineStr">
        <is>
          <t>5eacb42f-406e-517f-a309-4d1a94d48dbd</t>
        </is>
      </c>
      <c r="B375" s="3" t="inlineStr">
        <is>
          <t>CANON-202606-006936</t>
        </is>
      </c>
      <c r="C375" s="3" t="inlineStr">
        <is>
          <t>Ingrid Whitlock</t>
        </is>
      </c>
      <c r="D375" s="3" t="inlineStr">
        <is>
          <t>NJ</t>
        </is>
      </c>
      <c r="E375" s="3" t="inlineStr">
        <is>
          <t>db023c87-a9cb-58bf-ad38-e877217d523f</t>
        </is>
      </c>
      <c r="F375" s="3" t="inlineStr">
        <is>
          <t>2027-03-13</t>
        </is>
      </c>
      <c r="G375" s="3" t="inlineStr">
        <is>
          <t>2027-03</t>
        </is>
      </c>
      <c r="H375" s="16" t="n">
        <v>6305.86</v>
      </c>
      <c r="I375" s="3" t="inlineStr">
        <is>
          <t>closed</t>
        </is>
      </c>
    </row>
    <row r="376">
      <c r="A376" s="17" t="inlineStr">
        <is>
          <t>864c45bb-0415-5264-8016-d5272ae0cc0e</t>
        </is>
      </c>
      <c r="B376" s="17" t="inlineStr">
        <is>
          <t>CANON-202606-007552</t>
        </is>
      </c>
      <c r="C376" s="17" t="inlineStr">
        <is>
          <t>Ramona Kingsford</t>
        </is>
      </c>
      <c r="D376" s="17" t="inlineStr">
        <is>
          <t>KY</t>
        </is>
      </c>
      <c r="E376" s="17" t="inlineStr">
        <is>
          <t>c82d6236-7394-5f96-a97a-789845e3eb42</t>
        </is>
      </c>
      <c r="F376" s="17" t="inlineStr">
        <is>
          <t>2027-03-23</t>
        </is>
      </c>
      <c r="G376" s="17" t="inlineStr">
        <is>
          <t>2027-03</t>
        </is>
      </c>
      <c r="H376" s="18" t="n">
        <v>31481.5</v>
      </c>
      <c r="I376" s="17" t="inlineStr">
        <is>
          <t>closed</t>
        </is>
      </c>
    </row>
    <row r="377">
      <c r="A377" s="3" t="inlineStr">
        <is>
          <t>e3366b27-9a45-5e01-8a21-ab4c5bb76f32</t>
        </is>
      </c>
      <c r="B377" s="3" t="inlineStr">
        <is>
          <t>CANON-202607-008115</t>
        </is>
      </c>
      <c r="C377" s="3" t="inlineStr">
        <is>
          <t>Everett Ashcombe</t>
        </is>
      </c>
      <c r="D377" s="3" t="inlineStr">
        <is>
          <t>AZ</t>
        </is>
      </c>
      <c r="E377" s="3" t="inlineStr">
        <is>
          <t>2dbb44d2-bcca-593b-8464-73b960505bf5</t>
        </is>
      </c>
      <c r="F377" s="3" t="inlineStr">
        <is>
          <t>2027-03-25</t>
        </is>
      </c>
      <c r="G377" s="3" t="inlineStr">
        <is>
          <t>2027-03</t>
        </is>
      </c>
      <c r="H377" s="16" t="n">
        <v>28342.18</v>
      </c>
      <c r="I377" s="3" t="inlineStr">
        <is>
          <t>open</t>
        </is>
      </c>
    </row>
    <row r="378">
      <c r="A378" s="17" t="inlineStr">
        <is>
          <t>fb4f9931-7631-5404-9cc3-62803f79800c</t>
        </is>
      </c>
      <c r="B378" s="17" t="inlineStr">
        <is>
          <t>CANON-202605-006173</t>
        </is>
      </c>
      <c r="C378" s="17" t="inlineStr">
        <is>
          <t>Cassius Larsson</t>
        </is>
      </c>
      <c r="D378" s="17" t="inlineStr">
        <is>
          <t>GA</t>
        </is>
      </c>
      <c r="E378" s="17" t="inlineStr">
        <is>
          <t>f395fa16-ec79-5f2c-8fc9-62ec0a87b868</t>
        </is>
      </c>
      <c r="F378" s="17" t="inlineStr">
        <is>
          <t>2027-03-28</t>
        </is>
      </c>
      <c r="G378" s="17" t="inlineStr">
        <is>
          <t>2027-03</t>
        </is>
      </c>
      <c r="H378" s="18" t="n">
        <v>36294.66</v>
      </c>
      <c r="I378" s="17" t="inlineStr">
        <is>
          <t>open</t>
        </is>
      </c>
    </row>
    <row r="379">
      <c r="A379" s="3" t="inlineStr">
        <is>
          <t>a9c7670a-e10d-52c4-b5c0-4e139d4cce7e</t>
        </is>
      </c>
      <c r="B379" s="3" t="inlineStr">
        <is>
          <t>CANON-202605-006720</t>
        </is>
      </c>
      <c r="C379" s="3" t="inlineStr">
        <is>
          <t>Saoirse Farkas</t>
        </is>
      </c>
      <c r="D379" s="3" t="inlineStr">
        <is>
          <t>TX</t>
        </is>
      </c>
      <c r="E379" s="3" t="inlineStr">
        <is>
          <t>bc21bd0f-4dad-5636-a398-e64eba1ea24e</t>
        </is>
      </c>
      <c r="F379" s="3" t="inlineStr">
        <is>
          <t>2027-03-28</t>
        </is>
      </c>
      <c r="G379" s="3" t="inlineStr">
        <is>
          <t>2027-03</t>
        </is>
      </c>
      <c r="H379" s="16" t="n">
        <v>80748.72</v>
      </c>
      <c r="I379" s="3" t="inlineStr">
        <is>
          <t>closed</t>
        </is>
      </c>
    </row>
    <row r="380">
      <c r="A380" s="17" t="inlineStr">
        <is>
          <t>7d097329-04b2-5b05-afa8-7dfc09dc7922</t>
        </is>
      </c>
      <c r="B380" s="17" t="inlineStr">
        <is>
          <t>CANON-202606-007349</t>
        </is>
      </c>
      <c r="C380" s="17" t="inlineStr">
        <is>
          <t>Noor Castellanos</t>
        </is>
      </c>
      <c r="D380" s="17" t="inlineStr">
        <is>
          <t>NY</t>
        </is>
      </c>
      <c r="E380" s="17" t="inlineStr">
        <is>
          <t>748fbce3-fdef-560f-a943-b3fd81a0e386</t>
        </is>
      </c>
      <c r="F380" s="17" t="inlineStr">
        <is>
          <t>2027-03-30</t>
        </is>
      </c>
      <c r="G380" s="17" t="inlineStr">
        <is>
          <t>2027-03</t>
        </is>
      </c>
      <c r="H380" s="18" t="n">
        <v>411877.3</v>
      </c>
      <c r="I380" s="17" t="inlineStr">
        <is>
          <t>open</t>
        </is>
      </c>
    </row>
    <row r="381">
      <c r="A381" s="3" t="inlineStr">
        <is>
          <t>eebb1096-21de-52e1-8fc9-1b1c1281dd41</t>
        </is>
      </c>
      <c r="B381" s="3" t="inlineStr">
        <is>
          <t>CANON-202607-007928</t>
        </is>
      </c>
      <c r="C381" s="3" t="inlineStr">
        <is>
          <t>Fenwick Okonkwo</t>
        </is>
      </c>
      <c r="D381" s="3" t="inlineStr">
        <is>
          <t>NJ</t>
        </is>
      </c>
      <c r="E381" s="3" t="inlineStr">
        <is>
          <t>0564169c-1f39-5cb1-8065-54bdacde89fe</t>
        </is>
      </c>
      <c r="F381" s="3" t="inlineStr">
        <is>
          <t>2027-04-06</t>
        </is>
      </c>
      <c r="G381" s="3" t="inlineStr">
        <is>
          <t>2027-04</t>
        </is>
      </c>
      <c r="H381" s="16" t="n">
        <v>182552.5</v>
      </c>
      <c r="I381" s="3" t="inlineStr">
        <is>
          <t>closed</t>
        </is>
      </c>
    </row>
    <row r="382">
      <c r="A382" s="17" t="inlineStr">
        <is>
          <t>cc452bf5-64f7-548b-ab4c-db58e26c3d5f</t>
        </is>
      </c>
      <c r="B382" s="17" t="inlineStr">
        <is>
          <t>CANON-202606-007359</t>
        </is>
      </c>
      <c r="C382" s="17" t="inlineStr">
        <is>
          <t>Anouk Montoya</t>
        </is>
      </c>
      <c r="D382" s="17" t="inlineStr">
        <is>
          <t>WV</t>
        </is>
      </c>
      <c r="E382" s="17" t="inlineStr">
        <is>
          <t>d3d82a2b-2d6b-5e9c-b066-3b4df62e78e8</t>
        </is>
      </c>
      <c r="F382" s="17" t="inlineStr">
        <is>
          <t>2027-04-12</t>
        </is>
      </c>
      <c r="G382" s="17" t="inlineStr">
        <is>
          <t>2027-04</t>
        </is>
      </c>
      <c r="H382" s="18" t="n">
        <v>527403.86</v>
      </c>
      <c r="I382" s="17" t="inlineStr">
        <is>
          <t>closed</t>
        </is>
      </c>
    </row>
    <row r="383">
      <c r="A383" s="3" t="inlineStr">
        <is>
          <t>dcbee34b-f9a7-5560-8a1b-98b53836b7e7</t>
        </is>
      </c>
      <c r="B383" s="3" t="inlineStr">
        <is>
          <t>CANON-202607-007967</t>
        </is>
      </c>
      <c r="C383" s="3" t="inlineStr">
        <is>
          <t>Thaddeus Pennington</t>
        </is>
      </c>
      <c r="D383" s="3" t="inlineStr">
        <is>
          <t>ND</t>
        </is>
      </c>
      <c r="E383" s="3" t="inlineStr">
        <is>
          <t>74c7ffad-2d89-5179-9507-aa95de24320f</t>
        </is>
      </c>
      <c r="F383" s="3" t="inlineStr">
        <is>
          <t>2027-04-13</t>
        </is>
      </c>
      <c r="G383" s="3" t="inlineStr">
        <is>
          <t>2027-04</t>
        </is>
      </c>
      <c r="H383" s="16" t="n">
        <v>18972.85</v>
      </c>
      <c r="I383" s="3" t="inlineStr">
        <is>
          <t>open</t>
        </is>
      </c>
    </row>
    <row r="384">
      <c r="A384" s="17" t="inlineStr">
        <is>
          <t>0a67a6e6-50be-587a-844f-a8262f488a69</t>
        </is>
      </c>
      <c r="B384" s="17" t="inlineStr">
        <is>
          <t>CANON-202605-006666</t>
        </is>
      </c>
      <c r="C384" s="17" t="inlineStr">
        <is>
          <t>Sunniva Vasquez</t>
        </is>
      </c>
      <c r="D384" s="17" t="inlineStr">
        <is>
          <t>WY</t>
        </is>
      </c>
      <c r="E384" s="17" t="inlineStr">
        <is>
          <t>824fce07-7655-51d6-b8bc-2e7130a4baea</t>
        </is>
      </c>
      <c r="F384" s="17" t="inlineStr">
        <is>
          <t>2027-04-15</t>
        </is>
      </c>
      <c r="G384" s="17" t="inlineStr">
        <is>
          <t>2027-04</t>
        </is>
      </c>
      <c r="H384" s="18" t="n">
        <v>118153.09</v>
      </c>
      <c r="I384" s="17" t="inlineStr">
        <is>
          <t>open</t>
        </is>
      </c>
    </row>
    <row r="385">
      <c r="A385" s="3" t="inlineStr">
        <is>
          <t>5cd87ed0-b17a-55b1-a529-6bc84d143bce</t>
        </is>
      </c>
      <c r="B385" s="3" t="inlineStr">
        <is>
          <t>CANON-202605-006234</t>
        </is>
      </c>
      <c r="C385" s="3" t="inlineStr">
        <is>
          <t>Saoirse Delacroix</t>
        </is>
      </c>
      <c r="D385" s="3" t="inlineStr">
        <is>
          <t>PA</t>
        </is>
      </c>
      <c r="E385" s="3" t="inlineStr">
        <is>
          <t>8c98af3c-5ddf-523d-821a-d2461cc34eeb</t>
        </is>
      </c>
      <c r="F385" s="3" t="inlineStr">
        <is>
          <t>2027-04-21</t>
        </is>
      </c>
      <c r="G385" s="3" t="inlineStr">
        <is>
          <t>2027-04</t>
        </is>
      </c>
      <c r="H385" s="16" t="n">
        <v>51777.31</v>
      </c>
      <c r="I385" s="3" t="inlineStr">
        <is>
          <t>closed</t>
        </is>
      </c>
    </row>
    <row r="386">
      <c r="A386" s="17" t="inlineStr">
        <is>
          <t>9c76f2dc-b2c0-544a-8dcd-9611536995ae</t>
        </is>
      </c>
      <c r="B386" s="17" t="inlineStr">
        <is>
          <t>CANON-202606-007033</t>
        </is>
      </c>
      <c r="C386" s="17" t="inlineStr">
        <is>
          <t>Sunniva Rourke</t>
        </is>
      </c>
      <c r="D386" s="17" t="inlineStr">
        <is>
          <t>NE</t>
        </is>
      </c>
      <c r="E386" s="17" t="inlineStr">
        <is>
          <t>249b4922-9adf-558a-858a-7edf25be41e0</t>
        </is>
      </c>
      <c r="F386" s="17" t="inlineStr">
        <is>
          <t>2027-04-21</t>
        </is>
      </c>
      <c r="G386" s="17" t="inlineStr">
        <is>
          <t>2027-04</t>
        </is>
      </c>
      <c r="H386" s="18" t="n">
        <v>20694.23</v>
      </c>
      <c r="I386" s="17" t="inlineStr">
        <is>
          <t>closed</t>
        </is>
      </c>
    </row>
    <row r="387">
      <c r="A387" s="3" t="inlineStr">
        <is>
          <t>811ad8d6-a8e8-50a4-a357-f0d5d104eff6</t>
        </is>
      </c>
      <c r="B387" s="3" t="inlineStr">
        <is>
          <t>CANON-202606-007410</t>
        </is>
      </c>
      <c r="C387" s="3" t="inlineStr">
        <is>
          <t>Anouk Ashcombe</t>
        </is>
      </c>
      <c r="D387" s="3" t="inlineStr">
        <is>
          <t>AR</t>
        </is>
      </c>
      <c r="E387" s="3" t="inlineStr">
        <is>
          <t>7e4363a4-25c1-5fa8-bc24-7d55840a4cd4</t>
        </is>
      </c>
      <c r="F387" s="3" t="inlineStr">
        <is>
          <t>2027-04-24</t>
        </is>
      </c>
      <c r="G387" s="3" t="inlineStr">
        <is>
          <t>2027-04</t>
        </is>
      </c>
      <c r="H387" s="16" t="n">
        <v>144454.26</v>
      </c>
      <c r="I387" s="3" t="inlineStr">
        <is>
          <t>closed</t>
        </is>
      </c>
    </row>
    <row r="388">
      <c r="A388" s="17" t="inlineStr">
        <is>
          <t>ea277d99-e82e-594d-a191-ccf1440ce495</t>
        </is>
      </c>
      <c r="B388" s="17" t="inlineStr">
        <is>
          <t>CANON-202606-006807</t>
        </is>
      </c>
      <c r="C388" s="17" t="inlineStr">
        <is>
          <t>Ramona Bellandi</t>
        </is>
      </c>
      <c r="D388" s="17" t="inlineStr">
        <is>
          <t>MO</t>
        </is>
      </c>
      <c r="E388" s="17" t="inlineStr">
        <is>
          <t>1cb38a28-e274-555d-84a3-d8dd9c2435a9</t>
        </is>
      </c>
      <c r="F388" s="17" t="inlineStr">
        <is>
          <t>2027-04-26</t>
        </is>
      </c>
      <c r="G388" s="17" t="inlineStr">
        <is>
          <t>2027-04</t>
        </is>
      </c>
      <c r="H388" s="18" t="n">
        <v>35785.63</v>
      </c>
      <c r="I388" s="17" t="inlineStr">
        <is>
          <t>closed</t>
        </is>
      </c>
    </row>
    <row r="389">
      <c r="A389" s="3" t="inlineStr">
        <is>
          <t>6cb01781-5063-5064-bd3b-c51c6a0907d1</t>
        </is>
      </c>
      <c r="B389" s="3" t="inlineStr">
        <is>
          <t>CANON-202606-007314</t>
        </is>
      </c>
      <c r="C389" s="3" t="inlineStr">
        <is>
          <t>Sunniva Whitlock</t>
        </is>
      </c>
      <c r="D389" s="3" t="inlineStr">
        <is>
          <t>AK</t>
        </is>
      </c>
      <c r="E389" s="3" t="inlineStr">
        <is>
          <t>609ee2a5-d6f5-529b-aa0e-9b67d0fd86d0</t>
        </is>
      </c>
      <c r="F389" s="3" t="inlineStr">
        <is>
          <t>2027-05-05</t>
        </is>
      </c>
      <c r="G389" s="3" t="inlineStr">
        <is>
          <t>2027-05</t>
        </is>
      </c>
      <c r="H389" s="16" t="n">
        <v>31006.06</v>
      </c>
      <c r="I389" s="3" t="inlineStr">
        <is>
          <t>open</t>
        </is>
      </c>
    </row>
    <row r="390">
      <c r="A390" s="17" t="inlineStr">
        <is>
          <t>4da7057f-c525-5655-abc1-ffda27de1a5a</t>
        </is>
      </c>
      <c r="B390" s="17" t="inlineStr">
        <is>
          <t>CANON-202606-007077</t>
        </is>
      </c>
      <c r="C390" s="17" t="inlineStr">
        <is>
          <t>Fenwick Merriweather</t>
        </is>
      </c>
      <c r="D390" s="17" t="inlineStr">
        <is>
          <t>WA</t>
        </is>
      </c>
      <c r="E390" s="17" t="inlineStr">
        <is>
          <t>29eefb42-07f9-52f4-856a-fe019d304d02</t>
        </is>
      </c>
      <c r="F390" s="17" t="inlineStr">
        <is>
          <t>2027-05-07</t>
        </is>
      </c>
      <c r="G390" s="17" t="inlineStr">
        <is>
          <t>2027-05</t>
        </is>
      </c>
      <c r="H390" s="18" t="n">
        <v>537449.65</v>
      </c>
      <c r="I390" s="17" t="inlineStr">
        <is>
          <t>closed</t>
        </is>
      </c>
    </row>
    <row r="391">
      <c r="A391" s="3" t="inlineStr">
        <is>
          <t>230deac8-d43b-5f61-8d28-686620550525</t>
        </is>
      </c>
      <c r="B391" s="3" t="inlineStr">
        <is>
          <t>CANON-202606-006792</t>
        </is>
      </c>
      <c r="C391" s="3" t="inlineStr">
        <is>
          <t>Noor Whitlock</t>
        </is>
      </c>
      <c r="D391" s="3" t="inlineStr">
        <is>
          <t>TX</t>
        </is>
      </c>
      <c r="E391" s="3" t="inlineStr">
        <is>
          <t>78d20c6d-629c-57b0-92f3-40522fec94f9</t>
        </is>
      </c>
      <c r="F391" s="3" t="inlineStr">
        <is>
          <t>2027-05-13</t>
        </is>
      </c>
      <c r="G391" s="3" t="inlineStr">
        <is>
          <t>2027-05</t>
        </is>
      </c>
      <c r="H391" s="16" t="n">
        <v>10712.72</v>
      </c>
      <c r="I391" s="3" t="inlineStr">
        <is>
          <t>closed</t>
        </is>
      </c>
    </row>
    <row r="392">
      <c r="A392" s="17" t="inlineStr">
        <is>
          <t>ce9e94e5-cf68-54ac-9252-2a6a07bf3af1</t>
        </is>
      </c>
      <c r="B392" s="17" t="inlineStr">
        <is>
          <t>CANON-202607-007712</t>
        </is>
      </c>
      <c r="C392" s="17" t="inlineStr">
        <is>
          <t>Lorenzo Ashcombe</t>
        </is>
      </c>
      <c r="D392" s="17" t="inlineStr">
        <is>
          <t>FL</t>
        </is>
      </c>
      <c r="E392" s="17" t="inlineStr">
        <is>
          <t>bbf8e0da-3973-5156-9ab6-214571438bd2</t>
        </is>
      </c>
      <c r="F392" s="17" t="inlineStr">
        <is>
          <t>2027-05-15</t>
        </is>
      </c>
      <c r="G392" s="17" t="inlineStr">
        <is>
          <t>2027-05</t>
        </is>
      </c>
      <c r="H392" s="18" t="n">
        <v>26904.11</v>
      </c>
      <c r="I392" s="17" t="inlineStr">
        <is>
          <t>open</t>
        </is>
      </c>
    </row>
    <row r="393">
      <c r="A393" s="3" t="inlineStr">
        <is>
          <t>d07edcda-fc62-51c0-ba3a-301b30834ccd</t>
        </is>
      </c>
      <c r="B393" s="3" t="inlineStr">
        <is>
          <t>CANON-202607-007851</t>
        </is>
      </c>
      <c r="C393" s="3" t="inlineStr">
        <is>
          <t>Desmond Merriweather</t>
        </is>
      </c>
      <c r="D393" s="3" t="inlineStr">
        <is>
          <t>AR</t>
        </is>
      </c>
      <c r="E393" s="3" t="inlineStr">
        <is>
          <t>b8f3455d-3220-51ec-af3c-99658c0da958</t>
        </is>
      </c>
      <c r="F393" s="3" t="inlineStr">
        <is>
          <t>2027-05-15</t>
        </is>
      </c>
      <c r="G393" s="3" t="inlineStr">
        <is>
          <t>2027-05</t>
        </is>
      </c>
      <c r="H393" s="16" t="n">
        <v>66475.08</v>
      </c>
      <c r="I393" s="3" t="inlineStr">
        <is>
          <t>closed</t>
        </is>
      </c>
    </row>
    <row r="394">
      <c r="A394" s="17" t="inlineStr">
        <is>
          <t>aa91d5d9-71b3-50e2-bc59-eb46b1b401d2</t>
        </is>
      </c>
      <c r="B394" s="17" t="inlineStr">
        <is>
          <t>CANON-202607-008351</t>
        </is>
      </c>
      <c r="C394" s="17" t="inlineStr">
        <is>
          <t>Sunniva Bellandi</t>
        </is>
      </c>
      <c r="D394" s="17" t="inlineStr">
        <is>
          <t>UT</t>
        </is>
      </c>
      <c r="E394" s="17" t="inlineStr">
        <is>
          <t>c527110c-9f5b-59f7-a8b0-64d0fb72f41a</t>
        </is>
      </c>
      <c r="F394" s="17" t="inlineStr">
        <is>
          <t>2027-05-30</t>
        </is>
      </c>
      <c r="G394" s="17" t="inlineStr">
        <is>
          <t>2027-05</t>
        </is>
      </c>
      <c r="H394" s="18" t="n">
        <v>25175.53</v>
      </c>
      <c r="I394" s="17" t="inlineStr">
        <is>
          <t>closed</t>
        </is>
      </c>
    </row>
    <row r="395">
      <c r="A395" s="3" t="inlineStr">
        <is>
          <t>f40732b7-5634-56dd-9fce-a3d0fbd2a3e8</t>
        </is>
      </c>
      <c r="B395" s="3" t="inlineStr">
        <is>
          <t>CANON-202607-008131</t>
        </is>
      </c>
      <c r="C395" s="3" t="inlineStr">
        <is>
          <t>Anouk Larsson</t>
        </is>
      </c>
      <c r="D395" s="3" t="inlineStr">
        <is>
          <t>PA</t>
        </is>
      </c>
      <c r="E395" s="3" t="inlineStr">
        <is>
          <t>071defce-cc34-51c3-9ea1-b61a38d7084f</t>
        </is>
      </c>
      <c r="F395" s="3" t="inlineStr">
        <is>
          <t>2027-06-07</t>
        </is>
      </c>
      <c r="G395" s="3" t="inlineStr">
        <is>
          <t>2027-06</t>
        </is>
      </c>
      <c r="H395" s="16" t="n">
        <v>23195.12</v>
      </c>
      <c r="I395" s="3" t="inlineStr">
        <is>
          <t>closed</t>
        </is>
      </c>
    </row>
    <row r="396">
      <c r="A396" s="17" t="inlineStr">
        <is>
          <t>a3b670ce-1fae-5274-938f-7d5077f49336</t>
        </is>
      </c>
      <c r="B396" s="17" t="inlineStr">
        <is>
          <t>CANON-202607-008184</t>
        </is>
      </c>
      <c r="C396" s="17" t="inlineStr">
        <is>
          <t>Ramona Delacroix</t>
        </is>
      </c>
      <c r="D396" s="17" t="inlineStr">
        <is>
          <t>MI</t>
        </is>
      </c>
      <c r="E396" s="17" t="inlineStr">
        <is>
          <t>ec36bc4c-06c3-550e-95b4-7f0899bbebd2</t>
        </is>
      </c>
      <c r="F396" s="17" t="inlineStr">
        <is>
          <t>2027-06-25</t>
        </is>
      </c>
      <c r="G396" s="17" t="inlineStr">
        <is>
          <t>2027-06</t>
        </is>
      </c>
      <c r="H396" s="18" t="n">
        <v>23142.3</v>
      </c>
      <c r="I396" s="17" t="inlineStr">
        <is>
          <t>closed</t>
        </is>
      </c>
    </row>
    <row r="397">
      <c r="A397" s="19" t="inlineStr">
        <is>
          <t>TOTAL INCURRED</t>
        </is>
      </c>
      <c r="H397" s="20">
        <f>SUM(H5:H396)</f>
        <v/>
      </c>
    </row>
  </sheetData>
  <autoFilter ref="A4:I396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0" customWidth="1" min="4" max="4"/>
  </cols>
  <sheetData>
    <row r="1" ht="22" customHeight="1">
      <c r="A1" s="4" t="inlineStr">
        <is>
          <t>Claims by Loss Month</t>
        </is>
      </c>
    </row>
    <row r="2">
      <c r="A2" s="5" t="inlineStr">
        <is>
          <t>Count and incurred per loss month (SUMIF/COUNTIF over the register), with running cumulative.</t>
        </is>
      </c>
    </row>
    <row r="4">
      <c r="A4" s="6" t="inlineStr">
        <is>
          <t>Loss Month</t>
        </is>
      </c>
      <c r="B4" s="6" t="inlineStr">
        <is>
          <t>Claim Count</t>
        </is>
      </c>
      <c r="C4" s="6" t="inlineStr">
        <is>
          <t>Incurred</t>
        </is>
      </c>
      <c r="D4" s="6" t="inlineStr">
        <is>
          <t>Cumulative Incurred</t>
        </is>
      </c>
    </row>
    <row r="5">
      <c r="A5" s="7" t="inlineStr">
        <is>
          <t>2025-08</t>
        </is>
      </c>
      <c r="B5" s="7">
        <f>COUNTIF('Claims Register'!$G$5:$G$396,"2025-08")</f>
        <v/>
      </c>
      <c r="C5" s="10">
        <f>SUMIF('Claims Register'!$G$5:$G$396,"2025-08",'Claims Register'!$H$5:$H$396)</f>
        <v/>
      </c>
      <c r="D5" s="10">
        <f>SUM($C$5:C5)</f>
        <v/>
      </c>
    </row>
    <row r="6">
      <c r="A6" s="7" t="inlineStr">
        <is>
          <t>2025-09</t>
        </is>
      </c>
      <c r="B6" s="7">
        <f>COUNTIF('Claims Register'!$G$5:$G$396,"2025-09")</f>
        <v/>
      </c>
      <c r="C6" s="10">
        <f>SUMIF('Claims Register'!$G$5:$G$396,"2025-09",'Claims Register'!$H$5:$H$396)</f>
        <v/>
      </c>
      <c r="D6" s="10">
        <f>SUM($C$5:C6)</f>
        <v/>
      </c>
    </row>
    <row r="7">
      <c r="A7" s="7" t="inlineStr">
        <is>
          <t>2025-10</t>
        </is>
      </c>
      <c r="B7" s="7">
        <f>COUNTIF('Claims Register'!$G$5:$G$396,"2025-10")</f>
        <v/>
      </c>
      <c r="C7" s="10">
        <f>SUMIF('Claims Register'!$G$5:$G$396,"2025-10",'Claims Register'!$H$5:$H$396)</f>
        <v/>
      </c>
      <c r="D7" s="10">
        <f>SUM($C$5:C7)</f>
        <v/>
      </c>
    </row>
    <row r="8">
      <c r="A8" s="7" t="inlineStr">
        <is>
          <t>2025-11</t>
        </is>
      </c>
      <c r="B8" s="7">
        <f>COUNTIF('Claims Register'!$G$5:$G$396,"2025-11")</f>
        <v/>
      </c>
      <c r="C8" s="10">
        <f>SUMIF('Claims Register'!$G$5:$G$396,"2025-11",'Claims Register'!$H$5:$H$396)</f>
        <v/>
      </c>
      <c r="D8" s="10">
        <f>SUM($C$5:C8)</f>
        <v/>
      </c>
    </row>
    <row r="9">
      <c r="A9" s="7" t="inlineStr">
        <is>
          <t>2025-12</t>
        </is>
      </c>
      <c r="B9" s="7">
        <f>COUNTIF('Claims Register'!$G$5:$G$396,"2025-12")</f>
        <v/>
      </c>
      <c r="C9" s="10">
        <f>SUMIF('Claims Register'!$G$5:$G$396,"2025-12",'Claims Register'!$H$5:$H$396)</f>
        <v/>
      </c>
      <c r="D9" s="10">
        <f>SUM($C$5:C9)</f>
        <v/>
      </c>
    </row>
    <row r="10">
      <c r="A10" s="7" t="inlineStr">
        <is>
          <t>2026-01</t>
        </is>
      </c>
      <c r="B10" s="7">
        <f>COUNTIF('Claims Register'!$G$5:$G$396,"2026-01")</f>
        <v/>
      </c>
      <c r="C10" s="10">
        <f>SUMIF('Claims Register'!$G$5:$G$396,"2026-01",'Claims Register'!$H$5:$H$396)</f>
        <v/>
      </c>
      <c r="D10" s="10">
        <f>SUM($C$5:C10)</f>
        <v/>
      </c>
    </row>
    <row r="11">
      <c r="A11" s="7" t="inlineStr">
        <is>
          <t>2026-02</t>
        </is>
      </c>
      <c r="B11" s="7">
        <f>COUNTIF('Claims Register'!$G$5:$G$396,"2026-02")</f>
        <v/>
      </c>
      <c r="C11" s="10">
        <f>SUMIF('Claims Register'!$G$5:$G$396,"2026-02",'Claims Register'!$H$5:$H$396)</f>
        <v/>
      </c>
      <c r="D11" s="10">
        <f>SUM($C$5:C11)</f>
        <v/>
      </c>
    </row>
    <row r="12">
      <c r="A12" s="7" t="inlineStr">
        <is>
          <t>2026-03</t>
        </is>
      </c>
      <c r="B12" s="7">
        <f>COUNTIF('Claims Register'!$G$5:$G$396,"2026-03")</f>
        <v/>
      </c>
      <c r="C12" s="10">
        <f>SUMIF('Claims Register'!$G$5:$G$396,"2026-03",'Claims Register'!$H$5:$H$396)</f>
        <v/>
      </c>
      <c r="D12" s="10">
        <f>SUM($C$5:C12)</f>
        <v/>
      </c>
    </row>
    <row r="13">
      <c r="A13" s="7" t="inlineStr">
        <is>
          <t>2026-04</t>
        </is>
      </c>
      <c r="B13" s="7">
        <f>COUNTIF('Claims Register'!$G$5:$G$396,"2026-04")</f>
        <v/>
      </c>
      <c r="C13" s="10">
        <f>SUMIF('Claims Register'!$G$5:$G$396,"2026-04",'Claims Register'!$H$5:$H$396)</f>
        <v/>
      </c>
      <c r="D13" s="10">
        <f>SUM($C$5:C13)</f>
        <v/>
      </c>
    </row>
    <row r="14">
      <c r="A14" s="7" t="inlineStr">
        <is>
          <t>2026-05</t>
        </is>
      </c>
      <c r="B14" s="7">
        <f>COUNTIF('Claims Register'!$G$5:$G$396,"2026-05")</f>
        <v/>
      </c>
      <c r="C14" s="10">
        <f>SUMIF('Claims Register'!$G$5:$G$396,"2026-05",'Claims Register'!$H$5:$H$396)</f>
        <v/>
      </c>
      <c r="D14" s="10">
        <f>SUM($C$5:C14)</f>
        <v/>
      </c>
    </row>
    <row r="15">
      <c r="A15" s="7" t="inlineStr">
        <is>
          <t>2026-06</t>
        </is>
      </c>
      <c r="B15" s="7">
        <f>COUNTIF('Claims Register'!$G$5:$G$396,"2026-06")</f>
        <v/>
      </c>
      <c r="C15" s="10">
        <f>SUMIF('Claims Register'!$G$5:$G$396,"2026-06",'Claims Register'!$H$5:$H$396)</f>
        <v/>
      </c>
      <c r="D15" s="10">
        <f>SUM($C$5:C15)</f>
        <v/>
      </c>
    </row>
    <row r="16">
      <c r="A16" s="7" t="inlineStr">
        <is>
          <t>2026-07</t>
        </is>
      </c>
      <c r="B16" s="7">
        <f>COUNTIF('Claims Register'!$G$5:$G$396,"2026-07")</f>
        <v/>
      </c>
      <c r="C16" s="10">
        <f>SUMIF('Claims Register'!$G$5:$G$396,"2026-07",'Claims Register'!$H$5:$H$396)</f>
        <v/>
      </c>
      <c r="D16" s="10">
        <f>SUM($C$5:C16)</f>
        <v/>
      </c>
    </row>
    <row r="17">
      <c r="A17" s="7" t="inlineStr">
        <is>
          <t>2026-08</t>
        </is>
      </c>
      <c r="B17" s="7">
        <f>COUNTIF('Claims Register'!$G$5:$G$396,"2026-08")</f>
        <v/>
      </c>
      <c r="C17" s="10">
        <f>SUMIF('Claims Register'!$G$5:$G$396,"2026-08",'Claims Register'!$H$5:$H$396)</f>
        <v/>
      </c>
      <c r="D17" s="10">
        <f>SUM($C$5:C17)</f>
        <v/>
      </c>
    </row>
    <row r="18">
      <c r="A18" s="7" t="inlineStr">
        <is>
          <t>2026-09</t>
        </is>
      </c>
      <c r="B18" s="7">
        <f>COUNTIF('Claims Register'!$G$5:$G$396,"2026-09")</f>
        <v/>
      </c>
      <c r="C18" s="10">
        <f>SUMIF('Claims Register'!$G$5:$G$396,"2026-09",'Claims Register'!$H$5:$H$396)</f>
        <v/>
      </c>
      <c r="D18" s="10">
        <f>SUM($C$5:C18)</f>
        <v/>
      </c>
    </row>
    <row r="19">
      <c r="A19" s="7" t="inlineStr">
        <is>
          <t>2026-10</t>
        </is>
      </c>
      <c r="B19" s="7">
        <f>COUNTIF('Claims Register'!$G$5:$G$396,"2026-10")</f>
        <v/>
      </c>
      <c r="C19" s="10">
        <f>SUMIF('Claims Register'!$G$5:$G$396,"2026-10",'Claims Register'!$H$5:$H$396)</f>
        <v/>
      </c>
      <c r="D19" s="10">
        <f>SUM($C$5:C19)</f>
        <v/>
      </c>
    </row>
    <row r="20">
      <c r="A20" s="7" t="inlineStr">
        <is>
          <t>2026-11</t>
        </is>
      </c>
      <c r="B20" s="7">
        <f>COUNTIF('Claims Register'!$G$5:$G$396,"2026-11")</f>
        <v/>
      </c>
      <c r="C20" s="10">
        <f>SUMIF('Claims Register'!$G$5:$G$396,"2026-11",'Claims Register'!$H$5:$H$396)</f>
        <v/>
      </c>
      <c r="D20" s="10">
        <f>SUM($C$5:C20)</f>
        <v/>
      </c>
    </row>
    <row r="21">
      <c r="A21" s="7" t="inlineStr">
        <is>
          <t>2026-12</t>
        </is>
      </c>
      <c r="B21" s="7">
        <f>COUNTIF('Claims Register'!$G$5:$G$396,"2026-12")</f>
        <v/>
      </c>
      <c r="C21" s="10">
        <f>SUMIF('Claims Register'!$G$5:$G$396,"2026-12",'Claims Register'!$H$5:$H$396)</f>
        <v/>
      </c>
      <c r="D21" s="10">
        <f>SUM($C$5:C21)</f>
        <v/>
      </c>
    </row>
    <row r="22">
      <c r="A22" s="7" t="inlineStr">
        <is>
          <t>2027-01</t>
        </is>
      </c>
      <c r="B22" s="7">
        <f>COUNTIF('Claims Register'!$G$5:$G$396,"2027-01")</f>
        <v/>
      </c>
      <c r="C22" s="10">
        <f>SUMIF('Claims Register'!$G$5:$G$396,"2027-01",'Claims Register'!$H$5:$H$396)</f>
        <v/>
      </c>
      <c r="D22" s="10">
        <f>SUM($C$5:C22)</f>
        <v/>
      </c>
    </row>
    <row r="23">
      <c r="A23" s="7" t="inlineStr">
        <is>
          <t>2027-02</t>
        </is>
      </c>
      <c r="B23" s="7">
        <f>COUNTIF('Claims Register'!$G$5:$G$396,"2027-02")</f>
        <v/>
      </c>
      <c r="C23" s="10">
        <f>SUMIF('Claims Register'!$G$5:$G$396,"2027-02",'Claims Register'!$H$5:$H$396)</f>
        <v/>
      </c>
      <c r="D23" s="10">
        <f>SUM($C$5:C23)</f>
        <v/>
      </c>
    </row>
    <row r="24">
      <c r="A24" s="7" t="inlineStr">
        <is>
          <t>2027-03</t>
        </is>
      </c>
      <c r="B24" s="7">
        <f>COUNTIF('Claims Register'!$G$5:$G$396,"2027-03")</f>
        <v/>
      </c>
      <c r="C24" s="10">
        <f>SUMIF('Claims Register'!$G$5:$G$396,"2027-03",'Claims Register'!$H$5:$H$396)</f>
        <v/>
      </c>
      <c r="D24" s="10">
        <f>SUM($C$5:C24)</f>
        <v/>
      </c>
    </row>
    <row r="25">
      <c r="A25" s="7" t="inlineStr">
        <is>
          <t>2027-04</t>
        </is>
      </c>
      <c r="B25" s="7">
        <f>COUNTIF('Claims Register'!$G$5:$G$396,"2027-04")</f>
        <v/>
      </c>
      <c r="C25" s="10">
        <f>SUMIF('Claims Register'!$G$5:$G$396,"2027-04",'Claims Register'!$H$5:$H$396)</f>
        <v/>
      </c>
      <c r="D25" s="10">
        <f>SUM($C$5:C25)</f>
        <v/>
      </c>
    </row>
    <row r="26">
      <c r="A26" s="7" t="inlineStr">
        <is>
          <t>2027-05</t>
        </is>
      </c>
      <c r="B26" s="7">
        <f>COUNTIF('Claims Register'!$G$5:$G$396,"2027-05")</f>
        <v/>
      </c>
      <c r="C26" s="10">
        <f>SUMIF('Claims Register'!$G$5:$G$396,"2027-05",'Claims Register'!$H$5:$H$396)</f>
        <v/>
      </c>
      <c r="D26" s="10">
        <f>SUM($C$5:C26)</f>
        <v/>
      </c>
    </row>
    <row r="27">
      <c r="A27" s="7" t="inlineStr">
        <is>
          <t>2027-06</t>
        </is>
      </c>
      <c r="B27" s="7">
        <f>COUNTIF('Claims Register'!$G$5:$G$396,"2027-06")</f>
        <v/>
      </c>
      <c r="C27" s="10">
        <f>SUMIF('Claims Register'!$G$5:$G$396,"2027-06",'Claims Register'!$H$5:$H$396)</f>
        <v/>
      </c>
      <c r="D27" s="10">
        <f>SUM($C$5:C27)</f>
        <v/>
      </c>
    </row>
    <row r="28">
      <c r="A28" s="19" t="inlineStr">
        <is>
          <t>TOTAL</t>
        </is>
      </c>
      <c r="B28" s="19">
        <f>SUM(B5:B27)</f>
        <v/>
      </c>
      <c r="C28" s="20">
        <f>SUM(C5:C27)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2026-08-28T15:11:15+00:00Z</dcterms:created>
  <dcterms:modified xmlns:dcterms="http://purl.org/dc/terms/" xmlns:xsi="http://www.w3.org/2001/XMLSchema-instance" xsi:type="dcterms:W3CDTF">2026-08-28T15:11:15+00:00Z</dcterms:modified>
</cp:coreProperties>
</file>