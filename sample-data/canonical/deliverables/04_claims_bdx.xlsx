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oss Ratio" sheetId="2" state="visible" r:id="rId4"/>
    <sheet name="Claims Register" sheetId="3" state="visible" r:id="rId5"/>
    <sheet name="By Loss Month" sheetId="4" state="visible" r:id="rId6"/>
  </sheets>
  <definedNames>
    <definedName function="false" hidden="true" localSheetId="2" name="_xlnm._FilterDatabase" vbProcedure="false">'Claims Register'!$A$4:$I$124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<sst xmlns="http://schemas.openxmlformats.org/spreadsheetml/2006/main" count="1025" uniqueCount="647">
  <si>
    <t xml:space="preserve">04 · Claims BDX</t>
  </si>
  <si>
    <t xml:space="preserve">Source: canonical_dataset.json (ADR 0043), sha256 965b986a29d24a4c… — verified against canonical_manifest.json. All figures derive read-only from that frozen artifact; no new numbers generated. Column conventions are standard rater/BDX/bordereau layouts (Kent's reference workbooks are not on this VM) — 'middle' fidelity per the build brief.</t>
  </si>
  <si>
    <t xml:space="preserve">Register</t>
  </si>
  <si>
    <t xml:space="preserve">120 policy-period claims on bound policies, by date of loss.</t>
  </si>
  <si>
    <t xml:space="preserve">Loss span</t>
  </si>
  <si>
    <t xml:space="preserve">2025-09-15 → 2027-05-15 (extends past the 12 submission months).</t>
  </si>
  <si>
    <t xml:space="preserve">Total incurred</t>
  </si>
  <si>
    <t xml:space="preserve">$12,891,263.97</t>
  </si>
  <si>
    <t xml:space="preserve">Loss ratio</t>
  </si>
  <si>
    <t xml:space="preserve">0.5600  (incurred ÷ GWP) — PC band 10%</t>
  </si>
  <si>
    <t xml:space="preserve">Status values</t>
  </si>
  <si>
    <t xml:space="preserve">Artifact uses closed/open (closed = settled/paid); shown as-is.</t>
  </si>
  <si>
    <t xml:space="preserve">Loss Ratio Reconciliation</t>
  </si>
  <si>
    <t xml:space="preserve">Incurred ÷ Bound premium, bound book only. Under the 0.60 PC hurdle → bonus pays at the 10% band.</t>
  </si>
  <si>
    <t xml:space="preserve">Metric</t>
  </si>
  <si>
    <t xml:space="preserve">Formula / value</t>
  </si>
  <si>
    <t xml:space="preserve">Artifact</t>
  </si>
  <si>
    <t xml:space="preserve">Total incurred losses</t>
  </si>
  <si>
    <t xml:space="preserve">Bound GWP (artifact)</t>
  </si>
  <si>
    <t xml:space="preserve">Loss Ratio (incurred ÷ GWP)</t>
  </si>
  <si>
    <t xml:space="preserve">Target loss ratio</t>
  </si>
  <si>
    <t xml:space="preserve">Artifact loss_ratio</t>
  </si>
  <si>
    <t xml:space="preserve">Profit-commission band</t>
  </si>
  <si>
    <t xml:space="preserve">Claim count</t>
  </si>
  <si>
    <t xml:space="preserve">Claims referencing non-bound policy</t>
  </si>
  <si>
    <t xml:space="preserve">Claims BDX — Policy-Period Claims Register</t>
  </si>
  <si>
    <t xml:space="preserve">Continuous register, by date of loss. Claims on bound policies only. Losses span beyond the 12 submission months (late binds carry losses into the next year); reported by date of loss.</t>
  </si>
  <si>
    <t xml:space="preserve">Claim ID</t>
  </si>
  <si>
    <t xml:space="preserve">Policy Number</t>
  </si>
  <si>
    <t xml:space="preserve">Insured</t>
  </si>
  <si>
    <t xml:space="preserve">State</t>
  </si>
  <si>
    <t xml:space="preserve">Policy ID</t>
  </si>
  <si>
    <t xml:space="preserve">Date of Loss</t>
  </si>
  <si>
    <t xml:space="preserve">Loss Month</t>
  </si>
  <si>
    <t xml:space="preserve">Incurred (Paid+Reserves)</t>
  </si>
  <si>
    <t xml:space="preserve">Status</t>
  </si>
  <si>
    <t xml:space="preserve">a2147f69-878f-5157-9777-240964a1924e</t>
  </si>
  <si>
    <t xml:space="preserve">CANON-202508-000219</t>
  </si>
  <si>
    <t xml:space="preserve">Mireille Castellanos</t>
  </si>
  <si>
    <t xml:space="preserve">IL</t>
  </si>
  <si>
    <t xml:space="preserve">5761616b-d73b-5a3e-b2b9-2acc4bec6865</t>
  </si>
  <si>
    <t xml:space="preserve">2025-09-15</t>
  </si>
  <si>
    <t xml:space="preserve">2025-09</t>
  </si>
  <si>
    <t xml:space="preserve">closed</t>
  </si>
  <si>
    <t xml:space="preserve">4bd9f6ed-012c-550f-8325-d1b0a063e929</t>
  </si>
  <si>
    <t xml:space="preserve">CANON-202510-000641</t>
  </si>
  <si>
    <t xml:space="preserve">Beatrix Blackwood</t>
  </si>
  <si>
    <t xml:space="preserve">MO</t>
  </si>
  <si>
    <t xml:space="preserve">df1ca51f-00a9-59ed-9a58-3894b30d6442</t>
  </si>
  <si>
    <t xml:space="preserve">2025-10-17</t>
  </si>
  <si>
    <t xml:space="preserve">2025-10</t>
  </si>
  <si>
    <t xml:space="preserve">5ffd468f-879c-5301-a3b6-e4ccfafdd86e</t>
  </si>
  <si>
    <t xml:space="preserve">CANON-202508-000020</t>
  </si>
  <si>
    <t xml:space="preserve">Anouk Bellandi</t>
  </si>
  <si>
    <t xml:space="preserve">NC</t>
  </si>
  <si>
    <t xml:space="preserve">592c9591-8649-5a23-9008-85e1871e9373</t>
  </si>
  <si>
    <t xml:space="preserve">2025-11-01</t>
  </si>
  <si>
    <t xml:space="preserve">2025-11</t>
  </si>
  <si>
    <t xml:space="preserve">open</t>
  </si>
  <si>
    <t xml:space="preserve">19eaea30-c84a-5229-b2a9-2f6f7ce9b34a</t>
  </si>
  <si>
    <t xml:space="preserve">CANON-202510-000499</t>
  </si>
  <si>
    <t xml:space="preserve">Leopold Underwood</t>
  </si>
  <si>
    <t xml:space="preserve">HI</t>
  </si>
  <si>
    <t xml:space="preserve">3c0589ae-9eb2-5c4f-8059-346d88240fd4</t>
  </si>
  <si>
    <t xml:space="preserve">2025-11-02</t>
  </si>
  <si>
    <t xml:space="preserve">642842dd-0e60-5e91-b51d-5641772cacd5</t>
  </si>
  <si>
    <t xml:space="preserve">CANON-202509-000400</t>
  </si>
  <si>
    <t xml:space="preserve">LA</t>
  </si>
  <si>
    <t xml:space="preserve">e66ffb10-8c29-58a6-afc9-35f2cd9a3e95</t>
  </si>
  <si>
    <t xml:space="preserve">2025-11-15</t>
  </si>
  <si>
    <t xml:space="preserve">27ff164e-54ad-5387-ac56-d11592c761c7</t>
  </si>
  <si>
    <t xml:space="preserve">CANON-202508-000130</t>
  </si>
  <si>
    <t xml:space="preserve">Leopold Merriweather</t>
  </si>
  <si>
    <t xml:space="preserve">NV</t>
  </si>
  <si>
    <t xml:space="preserve">3093cf87-e8b3-5552-9c0e-f98356eb6330</t>
  </si>
  <si>
    <t xml:space="preserve">2025-12-06</t>
  </si>
  <si>
    <t xml:space="preserve">2025-12</t>
  </si>
  <si>
    <t xml:space="preserve">2c56d464-6743-5665-9b80-07b959b878f5</t>
  </si>
  <si>
    <t xml:space="preserve">CANON-202509-000255</t>
  </si>
  <si>
    <t xml:space="preserve">Cassius Thistlewood</t>
  </si>
  <si>
    <t xml:space="preserve">TN</t>
  </si>
  <si>
    <t xml:space="preserve">ba1802ec-4307-531d-83fb-903a8b3fe03b</t>
  </si>
  <si>
    <t xml:space="preserve">2025-12-12</t>
  </si>
  <si>
    <t xml:space="preserve">f64cafcc-41bc-53f1-b7c8-9af4f59870ab</t>
  </si>
  <si>
    <t xml:space="preserve">CANON-202509-000314</t>
  </si>
  <si>
    <t xml:space="preserve">Everett Fairweather</t>
  </si>
  <si>
    <t xml:space="preserve">71f07d1a-24fb-51b4-b59a-947b010991f7</t>
  </si>
  <si>
    <t xml:space="preserve">2025-12-25</t>
  </si>
  <si>
    <t xml:space="preserve">7bf7c326-6b9e-5e90-8b06-15124f590445</t>
  </si>
  <si>
    <t xml:space="preserve">CANON-202509-000362</t>
  </si>
  <si>
    <t xml:space="preserve">Horace Bellandi</t>
  </si>
  <si>
    <t xml:space="preserve">NJ</t>
  </si>
  <si>
    <t xml:space="preserve">10d8b748-2869-53f2-b75b-bdfd7ff04a48</t>
  </si>
  <si>
    <t xml:space="preserve">2025-12-28</t>
  </si>
  <si>
    <t xml:space="preserve">0df2b860-b771-5d4e-8750-b41506fc1190</t>
  </si>
  <si>
    <t xml:space="preserve">CANON-202511-000914</t>
  </si>
  <si>
    <t xml:space="preserve">Mireille Vasquez</t>
  </si>
  <si>
    <t xml:space="preserve">FL</t>
  </si>
  <si>
    <t xml:space="preserve">8b4ffd52-62e0-5421-9230-415a6ead97fa</t>
  </si>
  <si>
    <t xml:space="preserve">2026-01-10</t>
  </si>
  <si>
    <t xml:space="preserve">2026-01</t>
  </si>
  <si>
    <t xml:space="preserve">8754886b-52d4-53d9-ab97-c467fd219c38</t>
  </si>
  <si>
    <t xml:space="preserve">CANON-202510-000472</t>
  </si>
  <si>
    <t xml:space="preserve">Ingrid Farkas</t>
  </si>
  <si>
    <t xml:space="preserve">fa6960e6-a7ba-5517-ba98-caba8c74eed6</t>
  </si>
  <si>
    <t xml:space="preserve">2026-01-13</t>
  </si>
  <si>
    <t xml:space="preserve">0512c9a1-9dbe-5542-a922-a8f82b92c2a0</t>
  </si>
  <si>
    <t xml:space="preserve">CANON-202510-000610</t>
  </si>
  <si>
    <t xml:space="preserve">Mireille Farkas</t>
  </si>
  <si>
    <t xml:space="preserve">UT</t>
  </si>
  <si>
    <t xml:space="preserve">e77689bb-b552-5c32-8ba3-d308da399bd2</t>
  </si>
  <si>
    <t xml:space="preserve">2026-01-19</t>
  </si>
  <si>
    <t xml:space="preserve">765805fb-2d88-5863-ac85-6820d9e5b008</t>
  </si>
  <si>
    <t xml:space="preserve">CANON-202511-000917</t>
  </si>
  <si>
    <t xml:space="preserve">Ramona Thistlewood</t>
  </si>
  <si>
    <t xml:space="preserve">AZ</t>
  </si>
  <si>
    <t xml:space="preserve">51930eea-e4bd-520b-a562-ac5895eea786</t>
  </si>
  <si>
    <t xml:space="preserve">2026-01-24</t>
  </si>
  <si>
    <t xml:space="preserve">92498b46-4ea0-55f3-84b8-9791c265f83f</t>
  </si>
  <si>
    <t xml:space="preserve">2026-01-27</t>
  </si>
  <si>
    <t xml:space="preserve">647e2bd9-dc1a-5c23-be6f-ebee8b7af534</t>
  </si>
  <si>
    <t xml:space="preserve">CANON-202512-001034</t>
  </si>
  <si>
    <t xml:space="preserve">Delphine Castellanos</t>
  </si>
  <si>
    <t xml:space="preserve">4d155ac8-5e02-58a4-878d-1f52ea37ae29</t>
  </si>
  <si>
    <t xml:space="preserve">2026-01-31</t>
  </si>
  <si>
    <t xml:space="preserve">93ecef55-3e34-5c73-9dce-104fadf65a7c</t>
  </si>
  <si>
    <t xml:space="preserve">CANON-202508-000123</t>
  </si>
  <si>
    <t xml:space="preserve">Sunniva Thistlewood</t>
  </si>
  <si>
    <t xml:space="preserve">CA</t>
  </si>
  <si>
    <t xml:space="preserve">7114f592-c5e0-597b-ba1f-d07e8da31961</t>
  </si>
  <si>
    <t xml:space="preserve">2026-02-02</t>
  </si>
  <si>
    <t xml:space="preserve">2026-02</t>
  </si>
  <si>
    <t xml:space="preserve">2e0dd03b-4cb8-5668-a8b6-31b00ee9b9f5</t>
  </si>
  <si>
    <t xml:space="preserve">CANON-202509-000315</t>
  </si>
  <si>
    <t xml:space="preserve">Beatrix Okonkwo</t>
  </si>
  <si>
    <t xml:space="preserve">8ac6b0a3-16f7-5ee7-bbb9-d4ab4045af96</t>
  </si>
  <si>
    <t xml:space="preserve">2026-02-05</t>
  </si>
  <si>
    <t xml:space="preserve">702ab262-0bbb-5628-b92a-8e4a40efccce</t>
  </si>
  <si>
    <t xml:space="preserve">CANON-202511-000920</t>
  </si>
  <si>
    <t xml:space="preserve">Thaddeus Rourke</t>
  </si>
  <si>
    <t xml:space="preserve">TX</t>
  </si>
  <si>
    <t xml:space="preserve">4b1e696e-857f-5f08-85ff-9559f9b210f3</t>
  </si>
  <si>
    <t xml:space="preserve">2026-02-14</t>
  </si>
  <si>
    <t xml:space="preserve">83325d39-55b4-5f0d-9700-6f1ef9b9b017</t>
  </si>
  <si>
    <t xml:space="preserve">CANON-202601-001353</t>
  </si>
  <si>
    <t xml:space="preserve">Leopold Castellanos</t>
  </si>
  <si>
    <t xml:space="preserve">926d653c-93df-5668-9495-a4a49214e695</t>
  </si>
  <si>
    <t xml:space="preserve">2026-02-19</t>
  </si>
  <si>
    <t xml:space="preserve">ca99128b-935f-5424-989c-ca5edb625a1c</t>
  </si>
  <si>
    <t xml:space="preserve">CANON-202512-001177</t>
  </si>
  <si>
    <t xml:space="preserve">Horace Harrington</t>
  </si>
  <si>
    <t xml:space="preserve">NY</t>
  </si>
  <si>
    <t xml:space="preserve">45e8b968-15e4-54fe-bcab-1f4d6e078731</t>
  </si>
  <si>
    <t xml:space="preserve">2026-02-20</t>
  </si>
  <si>
    <t xml:space="preserve">5c687c6c-00f9-5298-a77d-e1622a292204</t>
  </si>
  <si>
    <t xml:space="preserve">CANON-202512-001065</t>
  </si>
  <si>
    <t xml:space="preserve">Sunniva Chattopadhyay</t>
  </si>
  <si>
    <t xml:space="preserve">CT</t>
  </si>
  <si>
    <t xml:space="preserve">7fda86fc-a6a4-5bc8-b1d0-679771da25b2</t>
  </si>
  <si>
    <t xml:space="preserve">2026-02-28</t>
  </si>
  <si>
    <t xml:space="preserve">64ba76e9-c332-5826-ba4f-c7d03437e0a9</t>
  </si>
  <si>
    <t xml:space="preserve">CANON-202508-000129</t>
  </si>
  <si>
    <t xml:space="preserve">Lorenzo Ashcombe</t>
  </si>
  <si>
    <t xml:space="preserve">AK</t>
  </si>
  <si>
    <t xml:space="preserve">2bc89c8b-69de-54ba-b85e-dfaa8d634552</t>
  </si>
  <si>
    <t xml:space="preserve">2026-03-05</t>
  </si>
  <si>
    <t xml:space="preserve">2026-03</t>
  </si>
  <si>
    <t xml:space="preserve">85a16910-1fa9-54ef-8c8d-9e83f349ddb9</t>
  </si>
  <si>
    <t xml:space="preserve">CANON-202510-000664</t>
  </si>
  <si>
    <t xml:space="preserve">Sunniva Pennington</t>
  </si>
  <si>
    <t xml:space="preserve">WY</t>
  </si>
  <si>
    <t xml:space="preserve">5ae6e7b1-c53d-57ae-b5b6-9379616c0e96</t>
  </si>
  <si>
    <t xml:space="preserve">7ee06506-cc3d-50f3-aa97-bcac03b732fa</t>
  </si>
  <si>
    <t xml:space="preserve">CANON-202602-001558</t>
  </si>
  <si>
    <t xml:space="preserve">Desmond Farkas</t>
  </si>
  <si>
    <t xml:space="preserve">NH</t>
  </si>
  <si>
    <t xml:space="preserve">48e81580-e926-551e-aa7d-dbd30ea2d480</t>
  </si>
  <si>
    <t xml:space="preserve">c56295a5-1418-5670-8cf0-da75e9d8ba9c</t>
  </si>
  <si>
    <t xml:space="preserve">CANON-202602-001744</t>
  </si>
  <si>
    <t xml:space="preserve">Mireille Nakashima</t>
  </si>
  <si>
    <t xml:space="preserve">MT</t>
  </si>
  <si>
    <t xml:space="preserve">41b1da4f-de40-592c-a9e3-8b54556ffd18</t>
  </si>
  <si>
    <t xml:space="preserve">2026-03-06</t>
  </si>
  <si>
    <t xml:space="preserve">d950f0a6-4f80-590d-bb07-8f8f2c31351c</t>
  </si>
  <si>
    <t xml:space="preserve">CANON-202510-000554</t>
  </si>
  <si>
    <t xml:space="preserve">Fitzgerald Fairweather</t>
  </si>
  <si>
    <t xml:space="preserve">ID</t>
  </si>
  <si>
    <t xml:space="preserve">bfb9cd9e-8e93-5e6e-b938-e5ee8914b358</t>
  </si>
  <si>
    <t xml:space="preserve">2026-03-18</t>
  </si>
  <si>
    <t xml:space="preserve">9b975f07-eba7-5171-acc2-7fc5fe025c7f</t>
  </si>
  <si>
    <t xml:space="preserve">CANON-202512-001018</t>
  </si>
  <si>
    <t xml:space="preserve">Leopold Whitlock</t>
  </si>
  <si>
    <t xml:space="preserve">3969459f-74d2-5340-9101-12db003c5e4f</t>
  </si>
  <si>
    <t xml:space="preserve">e018f0e1-deed-5ef0-8dc0-3c88f7c6fab1</t>
  </si>
  <si>
    <t xml:space="preserve">CANON-202508-000155</t>
  </si>
  <si>
    <t xml:space="preserve">Wilhelmina Fairweather</t>
  </si>
  <si>
    <t xml:space="preserve">0124d26f-3cec-5135-8b03-dd7a875dafea</t>
  </si>
  <si>
    <t xml:space="preserve">2026-03-21</t>
  </si>
  <si>
    <t xml:space="preserve">cab8e777-267b-5bf4-b6bc-c4137d43bb3f</t>
  </si>
  <si>
    <t xml:space="preserve">CANON-202509-000236</t>
  </si>
  <si>
    <t xml:space="preserve">Fenwick Delacroix</t>
  </si>
  <si>
    <t xml:space="preserve">ade08cf1-3f4d-5d55-b680-6c4307b33f8c</t>
  </si>
  <si>
    <t xml:space="preserve">2026-03-25</t>
  </si>
  <si>
    <t xml:space="preserve">e9619a06-a7b5-57a4-8ae5-100c7fb4e86d</t>
  </si>
  <si>
    <t xml:space="preserve">2026-03-29</t>
  </si>
  <si>
    <t xml:space="preserve">a99cefa6-03f8-5656-9550-cdb2e1740db4</t>
  </si>
  <si>
    <t xml:space="preserve">CANON-202512-001028</t>
  </si>
  <si>
    <t xml:space="preserve">Thaddeus Chattopadhyay</t>
  </si>
  <si>
    <t xml:space="preserve">OH</t>
  </si>
  <si>
    <t xml:space="preserve">04e83dac-0811-572c-83db-d3d77d7842ae</t>
  </si>
  <si>
    <t xml:space="preserve">2026-04-03</t>
  </si>
  <si>
    <t xml:space="preserve">2026-04</t>
  </si>
  <si>
    <t xml:space="preserve">08cca165-c6e7-5c03-81f1-14909c0ed84a</t>
  </si>
  <si>
    <t xml:space="preserve">CANON-202601-001399</t>
  </si>
  <si>
    <t xml:space="preserve">Delphine Underwood</t>
  </si>
  <si>
    <t xml:space="preserve">fb2e21d5-bb1e-58d4-bfd1-a3bef2b76300</t>
  </si>
  <si>
    <t xml:space="preserve">2026-04-06</t>
  </si>
  <si>
    <t xml:space="preserve">ea575b3a-5ddc-5c9b-9565-04138f2b6a0b</t>
  </si>
  <si>
    <t xml:space="preserve">CANON-202511-000708</t>
  </si>
  <si>
    <t xml:space="preserve">Wilhelmina Pennington</t>
  </si>
  <si>
    <t xml:space="preserve">ME</t>
  </si>
  <si>
    <t xml:space="preserve">ae918a8a-d6c2-56f9-a0d3-11599fa9d131</t>
  </si>
  <si>
    <t xml:space="preserve">2026-04-09</t>
  </si>
  <si>
    <t xml:space="preserve">b542ddf6-41e8-5b94-be3c-7c503f8e8fda</t>
  </si>
  <si>
    <t xml:space="preserve">CANON-202512-000953</t>
  </si>
  <si>
    <t xml:space="preserve">Saoirse Whitlock</t>
  </si>
  <si>
    <t xml:space="preserve">PA</t>
  </si>
  <si>
    <t xml:space="preserve">fc8b575a-d001-552d-a609-6fd7b4482aa1</t>
  </si>
  <si>
    <t xml:space="preserve">2026-04-14</t>
  </si>
  <si>
    <t xml:space="preserve">f4adcb26-1787-5565-89df-c30c1153fa26</t>
  </si>
  <si>
    <t xml:space="preserve">CANON-202508-000180</t>
  </si>
  <si>
    <t xml:space="preserve">Thaddeus Harrington</t>
  </si>
  <si>
    <t xml:space="preserve">6343f00e-dc32-5a8c-aa87-7db90231a000</t>
  </si>
  <si>
    <t xml:space="preserve">2026-04-15</t>
  </si>
  <si>
    <t xml:space="preserve">548b3345-d77f-50fe-ae01-09c6355af844</t>
  </si>
  <si>
    <t xml:space="preserve">CANON-202512-000999</t>
  </si>
  <si>
    <t xml:space="preserve">Mireille Merriweather</t>
  </si>
  <si>
    <t xml:space="preserve">MN</t>
  </si>
  <si>
    <t xml:space="preserve">cae72542-c799-537c-862e-b8b4e665ddbe</t>
  </si>
  <si>
    <t xml:space="preserve">2026-04-16</t>
  </si>
  <si>
    <t xml:space="preserve">4a76e304-d395-5bbc-9476-4cb122a570b3</t>
  </si>
  <si>
    <t xml:space="preserve">CANON-202512-001012</t>
  </si>
  <si>
    <t xml:space="preserve">Anouk Nakashima</t>
  </si>
  <si>
    <t xml:space="preserve">DE</t>
  </si>
  <si>
    <t xml:space="preserve">80de4ea9-82b9-5c54-99af-30852cffe4f1</t>
  </si>
  <si>
    <t xml:space="preserve">ac2d3687-0347-510b-b475-3523d7811df0</t>
  </si>
  <si>
    <t xml:space="preserve">CANON-202601-001421</t>
  </si>
  <si>
    <t xml:space="preserve">3985ee57-c6fb-5884-84da-8a324a4b4aa2</t>
  </si>
  <si>
    <t xml:space="preserve">109a0220-c2be-5c65-a9b7-f4ac99a70c62</t>
  </si>
  <si>
    <t xml:space="preserve">CANON-202603-001860</t>
  </si>
  <si>
    <t xml:space="preserve">Callum Bellandi</t>
  </si>
  <si>
    <t xml:space="preserve">RI</t>
  </si>
  <si>
    <t xml:space="preserve">a2324bc0-7b99-5049-ad69-8f846a56d3e8</t>
  </si>
  <si>
    <t xml:space="preserve">2026-04-18</t>
  </si>
  <si>
    <t xml:space="preserve">857b4519-14ce-5df3-b64b-c7cc39962f68</t>
  </si>
  <si>
    <t xml:space="preserve">CANON-202602-001503</t>
  </si>
  <si>
    <t xml:space="preserve">Callum Whitlock</t>
  </si>
  <si>
    <t xml:space="preserve">9c762918-f9ab-5abe-bc84-14ab748e3ebd</t>
  </si>
  <si>
    <t xml:space="preserve">2026-04-21</t>
  </si>
  <si>
    <t xml:space="preserve">c8c53aa3-ec1c-5a71-b562-075d3a3ff538</t>
  </si>
  <si>
    <t xml:space="preserve">CANON-202510-000471</t>
  </si>
  <si>
    <t xml:space="preserve">Emiliano Castellanos</t>
  </si>
  <si>
    <t xml:space="preserve">AL</t>
  </si>
  <si>
    <t xml:space="preserve">72377516-c103-5864-8e70-23b6f8251a2b</t>
  </si>
  <si>
    <t xml:space="preserve">2026-04-22</t>
  </si>
  <si>
    <t xml:space="preserve">7fed1e85-d8c4-54d1-9ce4-549f6ccc85a6</t>
  </si>
  <si>
    <t xml:space="preserve">CANON-202601-001218</t>
  </si>
  <si>
    <t xml:space="preserve">Wilhelmina Vasquez</t>
  </si>
  <si>
    <t xml:space="preserve">CO</t>
  </si>
  <si>
    <t xml:space="preserve">796c04a3-7ed8-58d5-ab5a-802530c9c77d</t>
  </si>
  <si>
    <t xml:space="preserve">2026-04-23</t>
  </si>
  <si>
    <t xml:space="preserve">3bf978b1-f5c7-5c9b-9b68-b93358e2a444</t>
  </si>
  <si>
    <t xml:space="preserve">CANON-202604-002224</t>
  </si>
  <si>
    <t xml:space="preserve">Ramona Montoya</t>
  </si>
  <si>
    <t xml:space="preserve">1af8f649-ddcc-5065-81fe-0ec8d97b7e96</t>
  </si>
  <si>
    <t xml:space="preserve">2026-04-25</t>
  </si>
  <si>
    <t xml:space="preserve">fc26b2dc-1891-5fc3-8fff-fdbb8aeb4013</t>
  </si>
  <si>
    <t xml:space="preserve">CANON-202510-000618</t>
  </si>
  <si>
    <t xml:space="preserve">Leopold Fairweather</t>
  </si>
  <si>
    <t xml:space="preserve">e1aa57dc-ddcc-566d-9295-1ae9ab275696</t>
  </si>
  <si>
    <t xml:space="preserve">2026-04-26</t>
  </si>
  <si>
    <t xml:space="preserve">d31b8c1d-7996-5520-a1e8-16a657027218</t>
  </si>
  <si>
    <t xml:space="preserve">CANON-202602-001618</t>
  </si>
  <si>
    <t xml:space="preserve">Priya Merriweather</t>
  </si>
  <si>
    <t xml:space="preserve">dbad83b6-eca6-5d07-956c-7954019ae2ec</t>
  </si>
  <si>
    <t xml:space="preserve">2026-04-29</t>
  </si>
  <si>
    <t xml:space="preserve">766187e8-63c2-5bad-a6f0-dad41880f8fb</t>
  </si>
  <si>
    <t xml:space="preserve">CANON-202603-001867</t>
  </si>
  <si>
    <t xml:space="preserve">Desmond Bellandi</t>
  </si>
  <si>
    <t xml:space="preserve">ND</t>
  </si>
  <si>
    <t xml:space="preserve">82490ebd-5b8b-58ba-9c07-d981659f6421</t>
  </si>
  <si>
    <t xml:space="preserve">2026-05-16</t>
  </si>
  <si>
    <t xml:space="preserve">2026-05</t>
  </si>
  <si>
    <t xml:space="preserve">40b393aa-ca00-551b-8b43-cebb4854d8a0</t>
  </si>
  <si>
    <t xml:space="preserve">2026-05-18</t>
  </si>
  <si>
    <t xml:space="preserve">3b65cc79-addb-56aa-96f7-c83053eda6f4</t>
  </si>
  <si>
    <t xml:space="preserve">CANON-202602-001505</t>
  </si>
  <si>
    <t xml:space="preserve">Ingrid Montoya</t>
  </si>
  <si>
    <t xml:space="preserve">4b6e1275-df9d-5895-aa45-3f0e33c588e1</t>
  </si>
  <si>
    <t xml:space="preserve">2026-05-26</t>
  </si>
  <si>
    <t xml:space="preserve">84b7b1b1-1a6a-5498-b015-5785157b72c6</t>
  </si>
  <si>
    <t xml:space="preserve">3ccdec49-2383-52bc-acbf-46e8e92336f6</t>
  </si>
  <si>
    <t xml:space="preserve">CANON-202602-001710</t>
  </si>
  <si>
    <t xml:space="preserve">Cassius Merriweather</t>
  </si>
  <si>
    <t xml:space="preserve">6da26432-70f1-5786-b683-efbf2763ead8</t>
  </si>
  <si>
    <t xml:space="preserve">2026-06-01</t>
  </si>
  <si>
    <t xml:space="preserve">2026-06</t>
  </si>
  <si>
    <t xml:space="preserve">e59807f7-67bb-5b3e-9616-290fd7abd621</t>
  </si>
  <si>
    <t xml:space="preserve">CANON-202605-002375</t>
  </si>
  <si>
    <t xml:space="preserve">Beatrix Vandermeer</t>
  </si>
  <si>
    <t xml:space="preserve">223b5763-8ff0-5650-bbc6-9f9ae0fa7ccb</t>
  </si>
  <si>
    <t xml:space="preserve">2026-06-02</t>
  </si>
  <si>
    <t xml:space="preserve">eeac5093-8852-511b-af45-036412f111fe</t>
  </si>
  <si>
    <t xml:space="preserve">CANON-202509-000360</t>
  </si>
  <si>
    <t xml:space="preserve">Everett Kingsford</t>
  </si>
  <si>
    <t xml:space="preserve">OK</t>
  </si>
  <si>
    <t xml:space="preserve">2e8b5bb5-c2d6-552e-a609-d0dccabc744e</t>
  </si>
  <si>
    <t xml:space="preserve">2026-06-03</t>
  </si>
  <si>
    <t xml:space="preserve">94622089-4e66-5c54-aff7-42d126744922</t>
  </si>
  <si>
    <t xml:space="preserve">CANON-202601-001382</t>
  </si>
  <si>
    <t xml:space="preserve">705b2c46-2476-5641-94ab-0ee0bac56569</t>
  </si>
  <si>
    <t xml:space="preserve">2026-06-04</t>
  </si>
  <si>
    <t xml:space="preserve">a1bf894d-59ba-51a4-bcca-b9dc7fef4d04</t>
  </si>
  <si>
    <t xml:space="preserve">CANON-202603-001822</t>
  </si>
  <si>
    <t xml:space="preserve">Desmond Merriweather</t>
  </si>
  <si>
    <t xml:space="preserve">e9202a57-c7a5-538f-9d52-b8ed4e7373bc</t>
  </si>
  <si>
    <t xml:space="preserve">2026-06-09</t>
  </si>
  <si>
    <t xml:space="preserve">d99644d8-2109-5081-be9b-ef7d05729914</t>
  </si>
  <si>
    <t xml:space="preserve">CANON-202604-002157</t>
  </si>
  <si>
    <t xml:space="preserve">Desmond Ashcombe</t>
  </si>
  <si>
    <t xml:space="preserve">VT</t>
  </si>
  <si>
    <t xml:space="preserve">d9edcbac-1dff-50fa-baab-4ade9f40fd1c</t>
  </si>
  <si>
    <t xml:space="preserve">2026-06-10</t>
  </si>
  <si>
    <t xml:space="preserve">bc7090a5-765a-5368-88c7-ba101111e552</t>
  </si>
  <si>
    <t xml:space="preserve">CANON-202510-000510</t>
  </si>
  <si>
    <t xml:space="preserve">Priya Blackwood</t>
  </si>
  <si>
    <t xml:space="preserve">NM</t>
  </si>
  <si>
    <t xml:space="preserve">66050d80-1ef0-58b9-b558-87ba5cad9d8e</t>
  </si>
  <si>
    <t xml:space="preserve">2026-06-13</t>
  </si>
  <si>
    <t xml:space="preserve">ddf31c30-bab4-5e1d-ae57-7691eaa3dce4</t>
  </si>
  <si>
    <t xml:space="preserve">CANON-202605-002538</t>
  </si>
  <si>
    <t xml:space="preserve">Horace Montoya</t>
  </si>
  <si>
    <t xml:space="preserve">KS</t>
  </si>
  <si>
    <t xml:space="preserve">6b05e66a-3d8b-5ea3-89be-65d58a53b180</t>
  </si>
  <si>
    <t xml:space="preserve">2026-06-14</t>
  </si>
  <si>
    <t xml:space="preserve">da3810f5-4d32-56d6-9ff4-c214524298d8</t>
  </si>
  <si>
    <t xml:space="preserve">CANON-202512-001078</t>
  </si>
  <si>
    <t xml:space="preserve">Aurelio Fairweather</t>
  </si>
  <si>
    <t xml:space="preserve">733eff3b-5ab7-539b-9f7e-f25c78b2ddcb</t>
  </si>
  <si>
    <t xml:space="preserve">2026-06-23</t>
  </si>
  <si>
    <t xml:space="preserve">0d481e6f-5ba9-563c-b7ff-7a56af98e425</t>
  </si>
  <si>
    <t xml:space="preserve">2026-06-24</t>
  </si>
  <si>
    <t xml:space="preserve">483e2173-d8f6-530a-9bcc-8ad67f4ee045</t>
  </si>
  <si>
    <t xml:space="preserve">CANON-202508-000082</t>
  </si>
  <si>
    <t xml:space="preserve">Sunniva Merriweather</t>
  </si>
  <si>
    <t xml:space="preserve">dd8f2f61-4eb9-5787-86c7-9da8031517ee</t>
  </si>
  <si>
    <t xml:space="preserve">2026-06-29</t>
  </si>
  <si>
    <t xml:space="preserve">38d5cbce-3ac6-5536-9638-f0630b984d69</t>
  </si>
  <si>
    <t xml:space="preserve">2026-06-30</t>
  </si>
  <si>
    <t xml:space="preserve">9c969591-a157-5a24-97c0-c8f1bccb82fb</t>
  </si>
  <si>
    <t xml:space="preserve">CANON-202510-000650</t>
  </si>
  <si>
    <t xml:space="preserve">Marisol Castellanos</t>
  </si>
  <si>
    <t xml:space="preserve">bcb554fc-f88c-5136-8654-6fa9243e7672</t>
  </si>
  <si>
    <t xml:space="preserve">2026-07-03</t>
  </si>
  <si>
    <t xml:space="preserve">2026-07</t>
  </si>
  <si>
    <t xml:space="preserve">2850e795-2fa7-5da2-8174-5b8d3649db71</t>
  </si>
  <si>
    <t xml:space="preserve">CANON-202603-001960</t>
  </si>
  <si>
    <t xml:space="preserve">Wilhelmina Chattopadhyay</t>
  </si>
  <si>
    <t xml:space="preserve">cf3705df-33ca-5d53-9c54-76e06f80e63b</t>
  </si>
  <si>
    <t xml:space="preserve">f0b6fa4c-5377-53bc-9e81-c6e588caa5f6</t>
  </si>
  <si>
    <t xml:space="preserve">CANON-202512-001142</t>
  </si>
  <si>
    <t xml:space="preserve">Lorenzo Bellandi</t>
  </si>
  <si>
    <t xml:space="preserve">5ef2a17d-33ce-5a8e-b290-b3b4b7eae825</t>
  </si>
  <si>
    <t xml:space="preserve">2026-07-04</t>
  </si>
  <si>
    <t xml:space="preserve">38c56866-9953-5b7e-b984-7f051a47cd3f</t>
  </si>
  <si>
    <t xml:space="preserve">CANON-202606-002911</t>
  </si>
  <si>
    <t xml:space="preserve">Wilhelmina Vandermeer</t>
  </si>
  <si>
    <t xml:space="preserve">cb2e6b00-9928-5efa-ba7d-43b30f81df33</t>
  </si>
  <si>
    <t xml:space="preserve">2026-07-08</t>
  </si>
  <si>
    <t xml:space="preserve">b5283f71-4514-55b0-9c66-13a226134e73</t>
  </si>
  <si>
    <t xml:space="preserve">CANON-202605-002445</t>
  </si>
  <si>
    <t xml:space="preserve">AR</t>
  </si>
  <si>
    <t xml:space="preserve">a9a955dc-cf84-59ef-9532-aac66dd3b9f7</t>
  </si>
  <si>
    <t xml:space="preserve">2026-07-14</t>
  </si>
  <si>
    <t xml:space="preserve">0ab47ca3-9496-5dd4-b883-9f264798b6bf</t>
  </si>
  <si>
    <t xml:space="preserve">2026-07-16</t>
  </si>
  <si>
    <t xml:space="preserve">c69cb688-666f-537f-875a-43f8a0c61821</t>
  </si>
  <si>
    <t xml:space="preserve">282f52dc-6ac8-5445-8c9f-9f099b606ab1</t>
  </si>
  <si>
    <t xml:space="preserve">CANON-202601-001215</t>
  </si>
  <si>
    <t xml:space="preserve">Emiliano Okonkwo</t>
  </si>
  <si>
    <t xml:space="preserve">IA</t>
  </si>
  <si>
    <t xml:space="preserve">7049842a-f896-5c08-911a-b2380ee3dfdb</t>
  </si>
  <si>
    <t xml:space="preserve">2026-07-17</t>
  </si>
  <si>
    <t xml:space="preserve">2750381c-b095-563f-9a1a-5c629d6a4917</t>
  </si>
  <si>
    <t xml:space="preserve">CANON-202604-002292</t>
  </si>
  <si>
    <t xml:space="preserve">Marisol Farkas</t>
  </si>
  <si>
    <t xml:space="preserve">fd643548-ea3d-5ef9-ad44-f93e7a9b0725</t>
  </si>
  <si>
    <t xml:space="preserve">2026-07-19</t>
  </si>
  <si>
    <t xml:space="preserve">dbaf1d58-4d11-571a-a5a1-4f8b2b666edf</t>
  </si>
  <si>
    <t xml:space="preserve">CANON-202509-000267</t>
  </si>
  <si>
    <t xml:space="preserve">d01789e6-a754-5cfa-be00-d24c7773417f</t>
  </si>
  <si>
    <t xml:space="preserve">2026-07-29</t>
  </si>
  <si>
    <t xml:space="preserve">b90a785c-87b8-56b8-9df0-6ae366025900</t>
  </si>
  <si>
    <t xml:space="preserve">CANON-202603-002056</t>
  </si>
  <si>
    <t xml:space="preserve">Fitzgerald Farkas</t>
  </si>
  <si>
    <t xml:space="preserve">a92a63ad-2410-5106-a155-3b94290a03c6</t>
  </si>
  <si>
    <t xml:space="preserve">2026-07-31</t>
  </si>
  <si>
    <t xml:space="preserve">33069aa9-7819-5c6a-bfe8-dc0d5ae9e735</t>
  </si>
  <si>
    <t xml:space="preserve">CANON-202603-001976</t>
  </si>
  <si>
    <t xml:space="preserve">Ramona Underwood</t>
  </si>
  <si>
    <t xml:space="preserve">KY</t>
  </si>
  <si>
    <t xml:space="preserve">e4fff833-10f2-5c37-b344-aaeda81ae4b0</t>
  </si>
  <si>
    <t xml:space="preserve">2026-08-04</t>
  </si>
  <si>
    <t xml:space="preserve">2026-08</t>
  </si>
  <si>
    <t xml:space="preserve">098cfef7-9905-52e7-a754-b908ebcaf164</t>
  </si>
  <si>
    <t xml:space="preserve">CANON-202509-000294</t>
  </si>
  <si>
    <t xml:space="preserve">SD</t>
  </si>
  <si>
    <t xml:space="preserve">2bc0d39c-fd37-53ea-888c-01c302cbedbf</t>
  </si>
  <si>
    <t xml:space="preserve">2026-08-06</t>
  </si>
  <si>
    <t xml:space="preserve">4e87ff96-f8ab-5e75-9b3d-45dc9e47491c</t>
  </si>
  <si>
    <t xml:space="preserve">CANON-202604-002208</t>
  </si>
  <si>
    <t xml:space="preserve">Mireille Fairweather</t>
  </si>
  <si>
    <t xml:space="preserve">232f5831-6a04-577c-abbe-e4d73330e0a6</t>
  </si>
  <si>
    <t xml:space="preserve">2026-08-07</t>
  </si>
  <si>
    <t xml:space="preserve">94e0d0ff-ac9d-504c-941c-b1eac4c7874e</t>
  </si>
  <si>
    <t xml:space="preserve">CANON-202602-001475</t>
  </si>
  <si>
    <t xml:space="preserve">541074d7-85cd-5247-ac53-ed4febc54c93</t>
  </si>
  <si>
    <t xml:space="preserve">2026-08-22</t>
  </si>
  <si>
    <t xml:space="preserve">824c686b-5831-5b41-8c1a-f53ea55ec264</t>
  </si>
  <si>
    <t xml:space="preserve">CANON-202602-001664</t>
  </si>
  <si>
    <t xml:space="preserve">Lorenzo Kingsford</t>
  </si>
  <si>
    <t xml:space="preserve">GA</t>
  </si>
  <si>
    <t xml:space="preserve">fffc5b2a-7662-5780-a3d0-cef23e21a6ea</t>
  </si>
  <si>
    <t xml:space="preserve">2026-08-30</t>
  </si>
  <si>
    <t xml:space="preserve">e682061d-8885-5fc0-913c-780949382142</t>
  </si>
  <si>
    <t xml:space="preserve">CANON-202605-002468</t>
  </si>
  <si>
    <t xml:space="preserve">Aurelio Delacroix</t>
  </si>
  <si>
    <t xml:space="preserve">74a91d71-32dc-5ada-9c14-dfb28ace3e55</t>
  </si>
  <si>
    <t xml:space="preserve">2026-09-02</t>
  </si>
  <si>
    <t xml:space="preserve">2026-09</t>
  </si>
  <si>
    <t xml:space="preserve">6435757d-2ea6-5bf6-85a2-1e5c342d20d4</t>
  </si>
  <si>
    <t xml:space="preserve">2026-09-03</t>
  </si>
  <si>
    <t xml:space="preserve">65e2277c-fd63-51ca-ba6c-41d33ecd9129</t>
  </si>
  <si>
    <t xml:space="preserve">CANON-202604-002093</t>
  </si>
  <si>
    <t xml:space="preserve">Marisol Ashcombe</t>
  </si>
  <si>
    <t xml:space="preserve">795240a6-bee0-5b05-87a1-99c4d2d2d863</t>
  </si>
  <si>
    <t xml:space="preserve">2026-09-05</t>
  </si>
  <si>
    <t xml:space="preserve">1bfab043-5482-58b7-8b38-9f0d9a35150a</t>
  </si>
  <si>
    <t xml:space="preserve">CANON-202605-002418</t>
  </si>
  <si>
    <t xml:space="preserve">Everett Underwood</t>
  </si>
  <si>
    <t xml:space="preserve">SC</t>
  </si>
  <si>
    <t xml:space="preserve">4f102044-34cb-576a-8f67-a3f5f1b1c9c5</t>
  </si>
  <si>
    <t xml:space="preserve">2026-09-14</t>
  </si>
  <si>
    <t xml:space="preserve">945170c1-935d-543c-bc18-d4e0f18ecdf0</t>
  </si>
  <si>
    <t xml:space="preserve">CANON-202606-002807</t>
  </si>
  <si>
    <t xml:space="preserve">Cassius Whitlock</t>
  </si>
  <si>
    <t xml:space="preserve">4e0e7012-2971-5dfe-b476-79b78731df54</t>
  </si>
  <si>
    <t xml:space="preserve">1b72bd24-a96a-5494-a3e6-b1c4dc2db505</t>
  </si>
  <si>
    <t xml:space="preserve">CANON-202602-001635</t>
  </si>
  <si>
    <t xml:space="preserve">Cassius Bellandi</t>
  </si>
  <si>
    <t xml:space="preserve">IN</t>
  </si>
  <si>
    <t xml:space="preserve">90094efc-89a0-51a6-8de7-12fea7a14b40</t>
  </si>
  <si>
    <t xml:space="preserve">2026-09-24</t>
  </si>
  <si>
    <t xml:space="preserve">b9f35cb5-345f-5c52-b9bb-40e48637dd0f</t>
  </si>
  <si>
    <t xml:space="preserve">CANON-202603-001943</t>
  </si>
  <si>
    <t xml:space="preserve">Everett Bellandi</t>
  </si>
  <si>
    <t xml:space="preserve">VA</t>
  </si>
  <si>
    <t xml:space="preserve">7d513a98-e95d-5aa6-99bc-8f1506612d48</t>
  </si>
  <si>
    <t xml:space="preserve">2026-09-25</t>
  </si>
  <si>
    <t xml:space="preserve">b5093120-2d34-5be3-9756-4482b4e14953</t>
  </si>
  <si>
    <t xml:space="preserve">CANON-202601-001307</t>
  </si>
  <si>
    <t xml:space="preserve">Ingrid Underwood</t>
  </si>
  <si>
    <t xml:space="preserve">4e31b118-aba1-59f7-8ad6-8a1d0eeb87c4</t>
  </si>
  <si>
    <t xml:space="preserve">2026-09-27</t>
  </si>
  <si>
    <t xml:space="preserve">5b6b54a5-e629-5743-a621-196d947140d7</t>
  </si>
  <si>
    <t xml:space="preserve">CANON-202604-002086</t>
  </si>
  <si>
    <t xml:space="preserve">Ingrid Pennington</t>
  </si>
  <si>
    <t xml:space="preserve">MI</t>
  </si>
  <si>
    <t xml:space="preserve">9e65b31d-a50d-52d1-9523-a02ed6ebe4a9</t>
  </si>
  <si>
    <t xml:space="preserve">2026-09-28</t>
  </si>
  <si>
    <t xml:space="preserve">3ea8289c-bb47-5ede-a325-610c41a6fb26</t>
  </si>
  <si>
    <t xml:space="preserve">2026-09-30</t>
  </si>
  <si>
    <t xml:space="preserve">3a70689d-ab5b-50ce-9110-196a31334f61</t>
  </si>
  <si>
    <t xml:space="preserve">CANON-202605-002607</t>
  </si>
  <si>
    <t xml:space="preserve">Ingrid Kingsford</t>
  </si>
  <si>
    <t xml:space="preserve">NE</t>
  </si>
  <si>
    <t xml:space="preserve">8b7a6c8d-92ed-53a1-9421-960fa907527c</t>
  </si>
  <si>
    <t xml:space="preserve">2026-10-04</t>
  </si>
  <si>
    <t xml:space="preserve">2026-10</t>
  </si>
  <si>
    <t xml:space="preserve">63948669-31c4-5815-9b49-25a8133028dc</t>
  </si>
  <si>
    <t xml:space="preserve">CANON-202606-002756</t>
  </si>
  <si>
    <t xml:space="preserve">Ingrid Harrington</t>
  </si>
  <si>
    <t xml:space="preserve">411b18fe-067c-5a65-8523-186ad5e0e907</t>
  </si>
  <si>
    <t xml:space="preserve">a384caba-7de2-5fae-ae55-43fdc098812b</t>
  </si>
  <si>
    <t xml:space="preserve">CANON-202604-002308</t>
  </si>
  <si>
    <t xml:space="preserve">f954d087-18c1-571a-b572-e5e02438e7ba</t>
  </si>
  <si>
    <t xml:space="preserve">2026-10-08</t>
  </si>
  <si>
    <t xml:space="preserve">b3ea081b-1006-54e8-8271-2dff2cc8669c</t>
  </si>
  <si>
    <t xml:space="preserve">CANON-202607-003021</t>
  </si>
  <si>
    <t xml:space="preserve">507ff065-4ef8-589f-913f-2c51748f6910</t>
  </si>
  <si>
    <t xml:space="preserve">2026-10-10</t>
  </si>
  <si>
    <t xml:space="preserve">a0aebd9a-2f4d-5b06-8e22-ffabb899f633</t>
  </si>
  <si>
    <t xml:space="preserve">CANON-202601-001339</t>
  </si>
  <si>
    <t xml:space="preserve">Beatrix Fairweather</t>
  </si>
  <si>
    <t xml:space="preserve">eb1eac3f-24ee-574e-93f3-df4681f23665</t>
  </si>
  <si>
    <t xml:space="preserve">2026-10-18</t>
  </si>
  <si>
    <t xml:space="preserve">b7dcc699-7651-5766-8237-1f906c08e93c</t>
  </si>
  <si>
    <t xml:space="preserve">82a3b4c4-402d-5ca5-bee4-7116384ae6a8</t>
  </si>
  <si>
    <t xml:space="preserve">CANON-202512-000975</t>
  </si>
  <si>
    <t xml:space="preserve">fbbe1cde-38fc-58c8-a25a-fafa6adc76e8</t>
  </si>
  <si>
    <t xml:space="preserve">2026-10-19</t>
  </si>
  <si>
    <t xml:space="preserve">dbc8f6cf-2afc-5209-b1d9-b0fba4e63b59</t>
  </si>
  <si>
    <t xml:space="preserve">CANON-202601-001318</t>
  </si>
  <si>
    <t xml:space="preserve">Wilhelmina Castellanos</t>
  </si>
  <si>
    <t xml:space="preserve">50570b5c-6df0-5ddd-8fe7-68eedb7e9b19</t>
  </si>
  <si>
    <t xml:space="preserve">2026-10-20</t>
  </si>
  <si>
    <t xml:space="preserve">dfc58991-b73b-5925-ae3c-53184ab5488e</t>
  </si>
  <si>
    <t xml:space="preserve">CANON-202603-002038</t>
  </si>
  <si>
    <t xml:space="preserve">Saoirse Underwood</t>
  </si>
  <si>
    <t xml:space="preserve">0935096a-644a-5226-8cc4-2a3e30ffb839</t>
  </si>
  <si>
    <t xml:space="preserve">2026-10-21</t>
  </si>
  <si>
    <t xml:space="preserve">00c2145d-65d7-5832-ba27-4f9382ed6c2c</t>
  </si>
  <si>
    <t xml:space="preserve">2026-10-22</t>
  </si>
  <si>
    <t xml:space="preserve">caed6579-f2e5-5608-82f2-5d409d131ae7</t>
  </si>
  <si>
    <t xml:space="preserve">CANON-202512-001170</t>
  </si>
  <si>
    <t xml:space="preserve">Thaddeus Whitlock</t>
  </si>
  <si>
    <t xml:space="preserve">7c111271-7f8a-5359-ad08-d63da3004f2d</t>
  </si>
  <si>
    <t xml:space="preserve">2026-11-08</t>
  </si>
  <si>
    <t xml:space="preserve">2026-11</t>
  </si>
  <si>
    <t xml:space="preserve">2756d547-6b36-5131-b7a9-febe252612c1</t>
  </si>
  <si>
    <t xml:space="preserve">CANON-202512-000951</t>
  </si>
  <si>
    <t xml:space="preserve">Marisol Rourke</t>
  </si>
  <si>
    <t xml:space="preserve">216ee60c-aaca-53f3-a330-e1cf2ae53d8b</t>
  </si>
  <si>
    <t xml:space="preserve">2026-11-10</t>
  </si>
  <si>
    <t xml:space="preserve">dda23572-a1b0-5225-b6b7-deeb3bf2a3c5</t>
  </si>
  <si>
    <t xml:space="preserve">CANON-202606-002979</t>
  </si>
  <si>
    <t xml:space="preserve">Aurelio Ashcombe</t>
  </si>
  <si>
    <t xml:space="preserve">e4a8ce66-ea7e-520b-84ec-7e37b9b61bc5</t>
  </si>
  <si>
    <t xml:space="preserve">2026-11-18</t>
  </si>
  <si>
    <t xml:space="preserve">df439066-4c2f-5564-956b-bac2b859dde6</t>
  </si>
  <si>
    <t xml:space="preserve">CANON-202602-001555</t>
  </si>
  <si>
    <t xml:space="preserve">Lorenzo Merriweather</t>
  </si>
  <si>
    <t xml:space="preserve">b078550e-966a-535f-bd9e-bfa237295c75</t>
  </si>
  <si>
    <t xml:space="preserve">2026-11-23</t>
  </si>
  <si>
    <t xml:space="preserve">5eec649f-19dc-5ed7-8741-18f548d794ee</t>
  </si>
  <si>
    <t xml:space="preserve">2026-12-03</t>
  </si>
  <si>
    <t xml:space="preserve">2026-12</t>
  </si>
  <si>
    <t xml:space="preserve">1e33f203-ae2f-55b5-8a37-dac9c5348260</t>
  </si>
  <si>
    <t xml:space="preserve">CANON-202607-003003</t>
  </si>
  <si>
    <t xml:space="preserve">Anouk Vandermeer</t>
  </si>
  <si>
    <t xml:space="preserve">9ee5a737-a8e4-5c5a-8818-75d6729659e0</t>
  </si>
  <si>
    <t xml:space="preserve">2026-12-10</t>
  </si>
  <si>
    <t xml:space="preserve">5f828e02-5026-5d23-aef5-94cde9edc419</t>
  </si>
  <si>
    <t xml:space="preserve">CANON-202602-001625</t>
  </si>
  <si>
    <t xml:space="preserve">7a405bba-ec8c-5f06-80b1-cc87e9ae4dfc</t>
  </si>
  <si>
    <t xml:space="preserve">2026-12-17</t>
  </si>
  <si>
    <t xml:space="preserve">0bb85bd4-0283-5236-a617-9e8641eb832c</t>
  </si>
  <si>
    <t xml:space="preserve">CANON-202604-002122</t>
  </si>
  <si>
    <t xml:space="preserve">Desmond Larsson</t>
  </si>
  <si>
    <t xml:space="preserve">921e388a-1dae-51ea-8aa7-23abe5be8afc</t>
  </si>
  <si>
    <t xml:space="preserve">2027-01-04</t>
  </si>
  <si>
    <t xml:space="preserve">2027-01</t>
  </si>
  <si>
    <t xml:space="preserve">d3ae47ee-1309-5eda-b9ae-3cda47d48ac6</t>
  </si>
  <si>
    <t xml:space="preserve">CANON-202607-003107</t>
  </si>
  <si>
    <t xml:space="preserve">Mireille Rourke</t>
  </si>
  <si>
    <t xml:space="preserve">52b71541-4730-573e-912c-673fa17fd7c2</t>
  </si>
  <si>
    <t xml:space="preserve">2027-01-11</t>
  </si>
  <si>
    <t xml:space="preserve">ed19e852-3ad6-5252-9878-8b470d2d1eb0</t>
  </si>
  <si>
    <t xml:space="preserve">CANON-202606-002673</t>
  </si>
  <si>
    <t xml:space="preserve">7f3fe478-8b3f-5d6f-8fbd-db3a27a704e7</t>
  </si>
  <si>
    <t xml:space="preserve">2027-01-15</t>
  </si>
  <si>
    <t xml:space="preserve">74c979ef-de26-5f9a-94db-9533516174c8</t>
  </si>
  <si>
    <t xml:space="preserve">CANON-202607-003071</t>
  </si>
  <si>
    <t xml:space="preserve">Callum Merriweather</t>
  </si>
  <si>
    <t xml:space="preserve">194232b7-ca4f-5411-b7ad-a835b1b7fb11</t>
  </si>
  <si>
    <t xml:space="preserve">2027-01-17</t>
  </si>
  <si>
    <t xml:space="preserve">1628f4cd-bdc6-50df-9579-a77d037c3470</t>
  </si>
  <si>
    <t xml:space="preserve">CANON-202606-002647</t>
  </si>
  <si>
    <t xml:space="preserve">Priya Montoya</t>
  </si>
  <si>
    <t xml:space="preserve">942b5fab-a866-511b-a044-0c7a63019571</t>
  </si>
  <si>
    <t xml:space="preserve">2027-01-18</t>
  </si>
  <si>
    <t xml:space="preserve">ea8ff086-82e5-5ddc-a96e-02a5ff67964d</t>
  </si>
  <si>
    <t xml:space="preserve">CANON-202607-003211</t>
  </si>
  <si>
    <t xml:space="preserve">Ramona Okonkwo</t>
  </si>
  <si>
    <t xml:space="preserve">MD</t>
  </si>
  <si>
    <t xml:space="preserve">f88a7068-a786-54c2-a3d5-fcb6dde71f16</t>
  </si>
  <si>
    <t xml:space="preserve">2027-01-21</t>
  </si>
  <si>
    <t xml:space="preserve">97055c54-c2f3-5d55-b685-6e2efb1849b9</t>
  </si>
  <si>
    <t xml:space="preserve">CANON-202604-002121</t>
  </si>
  <si>
    <t xml:space="preserve">Delphine Merriweather</t>
  </si>
  <si>
    <t xml:space="preserve">WI</t>
  </si>
  <si>
    <t xml:space="preserve">63d32a5f-3e95-58c0-aa3f-c996a7a84d77</t>
  </si>
  <si>
    <t xml:space="preserve">2027-01-29</t>
  </si>
  <si>
    <t xml:space="preserve">b5ff9f04-66ce-53d6-ac36-1de3bb637880</t>
  </si>
  <si>
    <t xml:space="preserve">CANON-202607-003273</t>
  </si>
  <si>
    <t xml:space="preserve">Ottilie Montoya</t>
  </si>
  <si>
    <t xml:space="preserve">31c28635-bfef-5905-ae09-785bb3680e23</t>
  </si>
  <si>
    <t xml:space="preserve">2027-02-16</t>
  </si>
  <si>
    <t xml:space="preserve">2027-02</t>
  </si>
  <si>
    <t xml:space="preserve">be8b3ee5-dd42-5515-b9ba-cb6ec085844e</t>
  </si>
  <si>
    <t xml:space="preserve">CANON-202604-002168</t>
  </si>
  <si>
    <t xml:space="preserve">Ingrid Nakashima</t>
  </si>
  <si>
    <t xml:space="preserve">2a759694-6efe-5ae3-8948-1d46924c1e3c</t>
  </si>
  <si>
    <t xml:space="preserve">2027-02-19</t>
  </si>
  <si>
    <t xml:space="preserve">344ddd8d-d4a7-5efa-91cf-bf4f68b0a0ee</t>
  </si>
  <si>
    <t xml:space="preserve">CANON-202606-002876</t>
  </si>
  <si>
    <t xml:space="preserve">Fitzgerald Harrington</t>
  </si>
  <si>
    <t xml:space="preserve">WV</t>
  </si>
  <si>
    <t xml:space="preserve">10655540-03dc-5e2d-9d1e-f7e6479aa6df</t>
  </si>
  <si>
    <t xml:space="preserve">2027-03-07</t>
  </si>
  <si>
    <t xml:space="preserve">2027-03</t>
  </si>
  <si>
    <t xml:space="preserve">adc0252d-7c6e-5c03-a8e9-07a4b6eaab35</t>
  </si>
  <si>
    <t xml:space="preserve">CANON-202606-002812</t>
  </si>
  <si>
    <t xml:space="preserve">WA</t>
  </si>
  <si>
    <t xml:space="preserve">a8edf018-225a-5935-8244-38a6aa497bb1</t>
  </si>
  <si>
    <t xml:space="preserve">2027-03-14</t>
  </si>
  <si>
    <t xml:space="preserve">f707395c-6109-53d7-943e-15115916ff24</t>
  </si>
  <si>
    <t xml:space="preserve">2027-03-17</t>
  </si>
  <si>
    <t xml:space="preserve">6fa61876-d709-5e6f-aa75-1b37edaa1275</t>
  </si>
  <si>
    <t xml:space="preserve">CANON-202606-002800</t>
  </si>
  <si>
    <t xml:space="preserve">Fenwick Okonkwo</t>
  </si>
  <si>
    <t xml:space="preserve">91ad3e81-a6fa-54ca-8feb-c8b5996c920d</t>
  </si>
  <si>
    <t xml:space="preserve">2027-03-23</t>
  </si>
  <si>
    <t xml:space="preserve">e7b73b4d-58d7-5fd6-864f-ea26070ddf54</t>
  </si>
  <si>
    <t xml:space="preserve">CANON-202606-002676</t>
  </si>
  <si>
    <t xml:space="preserve">Saoirse Nakashima</t>
  </si>
  <si>
    <t xml:space="preserve">f3e026c9-4d77-5ba2-92a6-c787e1bc00df</t>
  </si>
  <si>
    <t xml:space="preserve">2027-04-03</t>
  </si>
  <si>
    <t xml:space="preserve">2027-04</t>
  </si>
  <si>
    <t xml:space="preserve">9456670f-2cb6-5f5a-a8e6-34e3d8b33b1c</t>
  </si>
  <si>
    <t xml:space="preserve">CANON-202606-002827</t>
  </si>
  <si>
    <t xml:space="preserve">Marisol Blackwood</t>
  </si>
  <si>
    <t xml:space="preserve">1b840319-2044-5468-8b88-4e09e6b84137</t>
  </si>
  <si>
    <t xml:space="preserve">2027-04-08</t>
  </si>
  <si>
    <t xml:space="preserve">490f2c7e-9547-5910-ad9e-c9463aacd36d</t>
  </si>
  <si>
    <t xml:space="preserve">CANON-202607-003045</t>
  </si>
  <si>
    <t xml:space="preserve">Lorenzo Vandermeer</t>
  </si>
  <si>
    <t xml:space="preserve">44ccebda-f030-50fa-8671-6b404ff67341</t>
  </si>
  <si>
    <t xml:space="preserve">2027-05-15</t>
  </si>
  <si>
    <t xml:space="preserve">2027-05</t>
  </si>
  <si>
    <t xml:space="preserve">TOTAL INCURRED</t>
  </si>
  <si>
    <t xml:space="preserve">Claims by Loss Month</t>
  </si>
  <si>
    <t xml:space="preserve">Count and incurred per loss month (SUMIF/COUNTIF over the register), with running cumulative.</t>
  </si>
  <si>
    <t xml:space="preserve">Claim Count</t>
  </si>
  <si>
    <t xml:space="preserve">Incurred</t>
  </si>
  <si>
    <t xml:space="preserve">Cumulative Incurred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</si>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</sst>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000"/>
    <numFmt numFmtId="167" formatCode="0.00%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  <row r="12" customFormat="false" ht="15" hidden="false" customHeight="false" outlineLevel="0" collapsed="false">
      <c r="A12" s="3" t="s">
        <v>10</v>
      </c>
      <c r="C12" s="3" t="s">
        <v>11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4" t="s">
        <v>13</v>
      </c>
    </row>
    <row r="4" customFormat="false" ht="15" hidden="false" customHeight="false" outlineLevel="0" collapsed="false">
      <c r="A4" s="5" t="s">
        <v>14</v>
      </c>
      <c r="B4" s="5" t="s">
        <v>15</v>
      </c>
      <c r="C4" s="5" t="s">
        <v>16</v>
      </c>
    </row>
    <row r="5" customFormat="false" ht="15" hidden="false" customHeight="false" outlineLevel="0" collapsed="false">
      <c r="A5" s="6" t="s">
        <v>17</v>
      </c>
      <c r="B5" s="7" t="n">
        <f aca="false">'Claims Register'!H125</f>
        <v>12891263.97</v>
      </c>
      <c r="C5" s="8"/>
    </row>
    <row r="6" customFormat="false" ht="15" hidden="false" customHeight="false" outlineLevel="0" collapsed="false">
      <c r="A6" s="6" t="s">
        <v>18</v>
      </c>
      <c r="B6" s="8"/>
      <c r="C6" s="9" t="n">
        <v>23020114.17</v>
      </c>
    </row>
    <row r="7" customFormat="false" ht="15" hidden="false" customHeight="false" outlineLevel="0" collapsed="false">
      <c r="A7" s="6" t="s">
        <v>19</v>
      </c>
      <c r="B7" s="10" t="n">
        <f aca="false">'Claims Register'!H125/23020114.17</f>
        <v>0.560000001511722</v>
      </c>
      <c r="C7" s="8"/>
    </row>
    <row r="8" customFormat="false" ht="15" hidden="false" customHeight="false" outlineLevel="0" collapsed="false">
      <c r="A8" s="6" t="s">
        <v>20</v>
      </c>
      <c r="B8" s="8"/>
      <c r="C8" s="11" t="n">
        <v>0.56</v>
      </c>
    </row>
    <row r="9" customFormat="false" ht="15" hidden="false" customHeight="false" outlineLevel="0" collapsed="false">
      <c r="A9" s="6" t="s">
        <v>21</v>
      </c>
      <c r="B9" s="8"/>
      <c r="C9" s="11" t="n">
        <v>0.56</v>
      </c>
    </row>
    <row r="10" customFormat="false" ht="15" hidden="false" customHeight="false" outlineLevel="0" collapsed="false">
      <c r="A10" s="6" t="s">
        <v>22</v>
      </c>
      <c r="B10" s="8"/>
      <c r="C10" s="12" t="n">
        <v>0.1</v>
      </c>
    </row>
    <row r="11" customFormat="false" ht="15" hidden="false" customHeight="false" outlineLevel="0" collapsed="false">
      <c r="A11" s="6" t="s">
        <v>23</v>
      </c>
      <c r="B11" s="13" t="n">
        <f aca="false">COUNTA('Claims Register'!A5:A124)</f>
        <v>120</v>
      </c>
      <c r="C11" s="14" t="n">
        <v>120</v>
      </c>
    </row>
    <row r="12" customFormat="false" ht="15" hidden="false" customHeight="false" outlineLevel="0" collapsed="false">
      <c r="A12" s="6" t="s">
        <v>24</v>
      </c>
      <c r="B12" s="13" t="n">
        <v>0</v>
      </c>
      <c r="C1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6"/>
    <col collapsed="false" customWidth="true" hidden="false" outlineLevel="0" max="5" min="5" style="0" width="3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22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4" t="s">
        <v>26</v>
      </c>
    </row>
    <row r="4" customFormat="false" ht="15" hidden="false" customHeight="false" outlineLevel="0" collapsed="false">
      <c r="A4" s="5" t="s">
        <v>27</v>
      </c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</row>
    <row r="5" customFormat="false" ht="15" hidden="false" customHeight="false" outlineLevel="0" collapsed="false">
      <c r="A5" s="3" t="s">
        <v>36</v>
      </c>
      <c r="B5" s="3" t="s">
        <v>37</v>
      </c>
      <c r="C5" s="3" t="s">
        <v>38</v>
      </c>
      <c r="D5" s="3" t="s">
        <v>39</v>
      </c>
      <c r="E5" s="3" t="s">
        <v>40</v>
      </c>
      <c r="F5" s="3" t="s">
        <v>41</v>
      </c>
      <c r="G5" s="3" t="s">
        <v>42</v>
      </c>
      <c r="H5" s="15" t="n">
        <v>24244.84</v>
      </c>
      <c r="I5" s="3" t="s">
        <v>43</v>
      </c>
    </row>
    <row r="6" customFormat="false" ht="15" hidden="false" customHeight="false" outlineLevel="0" collapsed="false">
      <c r="A6" s="16" t="s">
        <v>44</v>
      </c>
      <c r="B6" s="16" t="s">
        <v>45</v>
      </c>
      <c r="C6" s="16" t="s">
        <v>46</v>
      </c>
      <c r="D6" s="16" t="s">
        <v>47</v>
      </c>
      <c r="E6" s="16" t="s">
        <v>48</v>
      </c>
      <c r="F6" s="16" t="s">
        <v>49</v>
      </c>
      <c r="G6" s="16" t="s">
        <v>50</v>
      </c>
      <c r="H6" s="17" t="n">
        <v>200145.41</v>
      </c>
      <c r="I6" s="16" t="s">
        <v>43</v>
      </c>
    </row>
    <row r="7" customFormat="false" ht="15" hidden="false" customHeight="false" outlineLevel="0" collapsed="false">
      <c r="A7" s="3" t="s">
        <v>51</v>
      </c>
      <c r="B7" s="3" t="s">
        <v>52</v>
      </c>
      <c r="C7" s="3" t="s">
        <v>53</v>
      </c>
      <c r="D7" s="3" t="s">
        <v>54</v>
      </c>
      <c r="E7" s="3" t="s">
        <v>55</v>
      </c>
      <c r="F7" s="3" t="s">
        <v>56</v>
      </c>
      <c r="G7" s="3" t="s">
        <v>57</v>
      </c>
      <c r="H7" s="15" t="n">
        <v>14594.46</v>
      </c>
      <c r="I7" s="3" t="s">
        <v>58</v>
      </c>
    </row>
    <row r="8" customFormat="false" ht="15" hidden="false" customHeight="false" outlineLevel="0" collapsed="false">
      <c r="A8" s="16" t="s">
        <v>59</v>
      </c>
      <c r="B8" s="16" t="s">
        <v>60</v>
      </c>
      <c r="C8" s="16" t="s">
        <v>61</v>
      </c>
      <c r="D8" s="16" t="s">
        <v>62</v>
      </c>
      <c r="E8" s="16" t="s">
        <v>63</v>
      </c>
      <c r="F8" s="16" t="s">
        <v>64</v>
      </c>
      <c r="G8" s="16" t="s">
        <v>57</v>
      </c>
      <c r="H8" s="17" t="n">
        <v>44670.59</v>
      </c>
      <c r="I8" s="16" t="s">
        <v>58</v>
      </c>
    </row>
    <row r="9" customFormat="false" ht="15" hidden="false" customHeight="false" outlineLevel="0" collapsed="false">
      <c r="A9" s="3" t="s">
        <v>65</v>
      </c>
      <c r="B9" s="3" t="s">
        <v>66</v>
      </c>
      <c r="C9" s="3" t="s">
        <v>61</v>
      </c>
      <c r="D9" s="3" t="s">
        <v>67</v>
      </c>
      <c r="E9" s="3" t="s">
        <v>68</v>
      </c>
      <c r="F9" s="3" t="s">
        <v>69</v>
      </c>
      <c r="G9" s="3" t="s">
        <v>57</v>
      </c>
      <c r="H9" s="15" t="n">
        <v>12566.03</v>
      </c>
      <c r="I9" s="3" t="s">
        <v>43</v>
      </c>
    </row>
    <row r="10" customFormat="false" ht="15" hidden="false" customHeight="false" outlineLevel="0" collapsed="false">
      <c r="A10" s="16" t="s">
        <v>70</v>
      </c>
      <c r="B10" s="16" t="s">
        <v>71</v>
      </c>
      <c r="C10" s="16" t="s">
        <v>72</v>
      </c>
      <c r="D10" s="16" t="s">
        <v>73</v>
      </c>
      <c r="E10" s="16" t="s">
        <v>74</v>
      </c>
      <c r="F10" s="16" t="s">
        <v>75</v>
      </c>
      <c r="G10" s="16" t="s">
        <v>76</v>
      </c>
      <c r="H10" s="17" t="n">
        <v>24354.49</v>
      </c>
      <c r="I10" s="16" t="s">
        <v>58</v>
      </c>
    </row>
    <row r="11" customFormat="false" ht="15" hidden="false" customHeight="false" outlineLevel="0" collapsed="false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76</v>
      </c>
      <c r="H11" s="15" t="n">
        <v>13997.61</v>
      </c>
      <c r="I11" s="3" t="s">
        <v>43</v>
      </c>
    </row>
    <row r="12" customFormat="false" ht="15" hidden="false" customHeight="false" outlineLevel="0" collapsed="false">
      <c r="A12" s="16" t="s">
        <v>83</v>
      </c>
      <c r="B12" s="16" t="s">
        <v>84</v>
      </c>
      <c r="C12" s="16" t="s">
        <v>85</v>
      </c>
      <c r="D12" s="16" t="s">
        <v>67</v>
      </c>
      <c r="E12" s="16" t="s">
        <v>86</v>
      </c>
      <c r="F12" s="16" t="s">
        <v>87</v>
      </c>
      <c r="G12" s="16" t="s">
        <v>76</v>
      </c>
      <c r="H12" s="17" t="n">
        <v>1296634.8</v>
      </c>
      <c r="I12" s="16" t="s">
        <v>43</v>
      </c>
    </row>
    <row r="13" customFormat="false" ht="15" hidden="false" customHeight="false" outlineLevel="0" collapsed="false">
      <c r="A13" s="3" t="s">
        <v>88</v>
      </c>
      <c r="B13" s="3" t="s">
        <v>89</v>
      </c>
      <c r="C13" s="3" t="s">
        <v>90</v>
      </c>
      <c r="D13" s="3" t="s">
        <v>91</v>
      </c>
      <c r="E13" s="3" t="s">
        <v>92</v>
      </c>
      <c r="F13" s="3" t="s">
        <v>93</v>
      </c>
      <c r="G13" s="3" t="s">
        <v>76</v>
      </c>
      <c r="H13" s="15" t="n">
        <v>29451.57</v>
      </c>
      <c r="I13" s="3" t="s">
        <v>43</v>
      </c>
    </row>
    <row r="14" customFormat="false" ht="15" hidden="false" customHeight="false" outlineLevel="0" collapsed="false">
      <c r="A14" s="16" t="s">
        <v>94</v>
      </c>
      <c r="B14" s="16" t="s">
        <v>95</v>
      </c>
      <c r="C14" s="16" t="s">
        <v>96</v>
      </c>
      <c r="D14" s="16" t="s">
        <v>97</v>
      </c>
      <c r="E14" s="16" t="s">
        <v>98</v>
      </c>
      <c r="F14" s="16" t="s">
        <v>99</v>
      </c>
      <c r="G14" s="16" t="s">
        <v>100</v>
      </c>
      <c r="H14" s="17" t="n">
        <v>44889.34</v>
      </c>
      <c r="I14" s="16" t="s">
        <v>43</v>
      </c>
    </row>
    <row r="15" customFormat="false" ht="15" hidden="false" customHeight="false" outlineLevel="0" collapsed="false">
      <c r="A15" s="3" t="s">
        <v>101</v>
      </c>
      <c r="B15" s="3" t="s">
        <v>102</v>
      </c>
      <c r="C15" s="3" t="s">
        <v>103</v>
      </c>
      <c r="D15" s="3" t="s">
        <v>80</v>
      </c>
      <c r="E15" s="3" t="s">
        <v>104</v>
      </c>
      <c r="F15" s="3" t="s">
        <v>105</v>
      </c>
      <c r="G15" s="3" t="s">
        <v>100</v>
      </c>
      <c r="H15" s="15" t="n">
        <v>23597.28</v>
      </c>
      <c r="I15" s="3" t="s">
        <v>43</v>
      </c>
    </row>
    <row r="16" customFormat="false" ht="15" hidden="false" customHeight="false" outlineLevel="0" collapsed="false">
      <c r="A16" s="16" t="s">
        <v>106</v>
      </c>
      <c r="B16" s="16" t="s">
        <v>107</v>
      </c>
      <c r="C16" s="16" t="s">
        <v>108</v>
      </c>
      <c r="D16" s="16" t="s">
        <v>109</v>
      </c>
      <c r="E16" s="16" t="s">
        <v>110</v>
      </c>
      <c r="F16" s="16" t="s">
        <v>111</v>
      </c>
      <c r="G16" s="16" t="s">
        <v>100</v>
      </c>
      <c r="H16" s="17" t="n">
        <v>31263.45</v>
      </c>
      <c r="I16" s="16" t="s">
        <v>58</v>
      </c>
    </row>
    <row r="17" customFormat="false" ht="15" hidden="false" customHeight="false" outlineLevel="0" collapsed="false">
      <c r="A17" s="3" t="s">
        <v>112</v>
      </c>
      <c r="B17" s="3" t="s">
        <v>113</v>
      </c>
      <c r="C17" s="3" t="s">
        <v>114</v>
      </c>
      <c r="D17" s="3" t="s">
        <v>115</v>
      </c>
      <c r="E17" s="3" t="s">
        <v>116</v>
      </c>
      <c r="F17" s="3" t="s">
        <v>117</v>
      </c>
      <c r="G17" s="3" t="s">
        <v>100</v>
      </c>
      <c r="H17" s="15" t="n">
        <v>479395.16</v>
      </c>
      <c r="I17" s="3" t="s">
        <v>43</v>
      </c>
    </row>
    <row r="18" customFormat="false" ht="15" hidden="false" customHeight="false" outlineLevel="0" collapsed="false">
      <c r="A18" s="16" t="s">
        <v>118</v>
      </c>
      <c r="B18" s="16" t="s">
        <v>89</v>
      </c>
      <c r="C18" s="16" t="s">
        <v>90</v>
      </c>
      <c r="D18" s="16" t="s">
        <v>91</v>
      </c>
      <c r="E18" s="16" t="s">
        <v>92</v>
      </c>
      <c r="F18" s="16" t="s">
        <v>119</v>
      </c>
      <c r="G18" s="16" t="s">
        <v>100</v>
      </c>
      <c r="H18" s="17" t="n">
        <v>38860.05</v>
      </c>
      <c r="I18" s="16" t="s">
        <v>58</v>
      </c>
    </row>
    <row r="19" customFormat="false" ht="15" hidden="false" customHeight="false" outlineLevel="0" collapsed="false">
      <c r="A19" s="3" t="s">
        <v>120</v>
      </c>
      <c r="B19" s="3" t="s">
        <v>121</v>
      </c>
      <c r="C19" s="3" t="s">
        <v>122</v>
      </c>
      <c r="D19" s="3" t="s">
        <v>47</v>
      </c>
      <c r="E19" s="3" t="s">
        <v>123</v>
      </c>
      <c r="F19" s="3" t="s">
        <v>124</v>
      </c>
      <c r="G19" s="3" t="s">
        <v>100</v>
      </c>
      <c r="H19" s="15" t="n">
        <v>61590.83</v>
      </c>
      <c r="I19" s="3" t="s">
        <v>43</v>
      </c>
    </row>
    <row r="20" customFormat="false" ht="15" hidden="false" customHeight="false" outlineLevel="0" collapsed="false">
      <c r="A20" s="16" t="s">
        <v>125</v>
      </c>
      <c r="B20" s="16" t="s">
        <v>126</v>
      </c>
      <c r="C20" s="16" t="s">
        <v>127</v>
      </c>
      <c r="D20" s="16" t="s">
        <v>128</v>
      </c>
      <c r="E20" s="16" t="s">
        <v>129</v>
      </c>
      <c r="F20" s="16" t="s">
        <v>130</v>
      </c>
      <c r="G20" s="16" t="s">
        <v>131</v>
      </c>
      <c r="H20" s="17" t="n">
        <v>9160.1</v>
      </c>
      <c r="I20" s="16" t="s">
        <v>43</v>
      </c>
    </row>
    <row r="21" customFormat="false" ht="15" hidden="false" customHeight="false" outlineLevel="0" collapsed="false">
      <c r="A21" s="3" t="s">
        <v>132</v>
      </c>
      <c r="B21" s="3" t="s">
        <v>133</v>
      </c>
      <c r="C21" s="3" t="s">
        <v>134</v>
      </c>
      <c r="D21" s="3" t="s">
        <v>47</v>
      </c>
      <c r="E21" s="3" t="s">
        <v>135</v>
      </c>
      <c r="F21" s="3" t="s">
        <v>136</v>
      </c>
      <c r="G21" s="3" t="s">
        <v>131</v>
      </c>
      <c r="H21" s="15" t="n">
        <v>27537.73</v>
      </c>
      <c r="I21" s="3" t="s">
        <v>43</v>
      </c>
    </row>
    <row r="22" customFormat="false" ht="15" hidden="false" customHeight="false" outlineLevel="0" collapsed="false">
      <c r="A22" s="16" t="s">
        <v>137</v>
      </c>
      <c r="B22" s="16" t="s">
        <v>138</v>
      </c>
      <c r="C22" s="16" t="s">
        <v>139</v>
      </c>
      <c r="D22" s="16" t="s">
        <v>140</v>
      </c>
      <c r="E22" s="16" t="s">
        <v>141</v>
      </c>
      <c r="F22" s="16" t="s">
        <v>142</v>
      </c>
      <c r="G22" s="16" t="s">
        <v>131</v>
      </c>
      <c r="H22" s="17" t="n">
        <v>31814.51</v>
      </c>
      <c r="I22" s="16" t="s">
        <v>43</v>
      </c>
    </row>
    <row r="23" customFormat="false" ht="15" hidden="false" customHeight="false" outlineLevel="0" collapsed="false">
      <c r="A23" s="3" t="s">
        <v>143</v>
      </c>
      <c r="B23" s="3" t="s">
        <v>144</v>
      </c>
      <c r="C23" s="3" t="s">
        <v>145</v>
      </c>
      <c r="D23" s="3" t="s">
        <v>54</v>
      </c>
      <c r="E23" s="3" t="s">
        <v>146</v>
      </c>
      <c r="F23" s="3" t="s">
        <v>147</v>
      </c>
      <c r="G23" s="3" t="s">
        <v>131</v>
      </c>
      <c r="H23" s="15" t="n">
        <v>127798.87</v>
      </c>
      <c r="I23" s="3" t="s">
        <v>43</v>
      </c>
    </row>
    <row r="24" customFormat="false" ht="15" hidden="false" customHeight="false" outlineLevel="0" collapsed="false">
      <c r="A24" s="16" t="s">
        <v>148</v>
      </c>
      <c r="B24" s="16" t="s">
        <v>149</v>
      </c>
      <c r="C24" s="16" t="s">
        <v>150</v>
      </c>
      <c r="D24" s="16" t="s">
        <v>151</v>
      </c>
      <c r="E24" s="16" t="s">
        <v>152</v>
      </c>
      <c r="F24" s="16" t="s">
        <v>153</v>
      </c>
      <c r="G24" s="16" t="s">
        <v>131</v>
      </c>
      <c r="H24" s="17" t="n">
        <v>452092.62</v>
      </c>
      <c r="I24" s="16" t="s">
        <v>43</v>
      </c>
    </row>
    <row r="25" customFormat="false" ht="15" hidden="false" customHeight="false" outlineLevel="0" collapsed="false">
      <c r="A25" s="3" t="s">
        <v>154</v>
      </c>
      <c r="B25" s="3" t="s">
        <v>155</v>
      </c>
      <c r="C25" s="3" t="s">
        <v>156</v>
      </c>
      <c r="D25" s="3" t="s">
        <v>157</v>
      </c>
      <c r="E25" s="3" t="s">
        <v>158</v>
      </c>
      <c r="F25" s="3" t="s">
        <v>159</v>
      </c>
      <c r="G25" s="3" t="s">
        <v>131</v>
      </c>
      <c r="H25" s="15" t="n">
        <v>18724.11</v>
      </c>
      <c r="I25" s="3" t="s">
        <v>43</v>
      </c>
    </row>
    <row r="26" customFormat="false" ht="15" hidden="false" customHeight="false" outlineLevel="0" collapsed="false">
      <c r="A26" s="16" t="s">
        <v>160</v>
      </c>
      <c r="B26" s="16" t="s">
        <v>161</v>
      </c>
      <c r="C26" s="16" t="s">
        <v>162</v>
      </c>
      <c r="D26" s="16" t="s">
        <v>163</v>
      </c>
      <c r="E26" s="16" t="s">
        <v>164</v>
      </c>
      <c r="F26" s="16" t="s">
        <v>165</v>
      </c>
      <c r="G26" s="16" t="s">
        <v>166</v>
      </c>
      <c r="H26" s="17" t="n">
        <v>8656.24</v>
      </c>
      <c r="I26" s="16" t="s">
        <v>43</v>
      </c>
    </row>
    <row r="27" customFormat="false" ht="15" hidden="false" customHeight="false" outlineLevel="0" collapsed="false">
      <c r="A27" s="3" t="s">
        <v>167</v>
      </c>
      <c r="B27" s="3" t="s">
        <v>168</v>
      </c>
      <c r="C27" s="3" t="s">
        <v>169</v>
      </c>
      <c r="D27" s="3" t="s">
        <v>170</v>
      </c>
      <c r="E27" s="3" t="s">
        <v>171</v>
      </c>
      <c r="F27" s="3" t="s">
        <v>165</v>
      </c>
      <c r="G27" s="3" t="s">
        <v>166</v>
      </c>
      <c r="H27" s="15" t="n">
        <v>39870.54</v>
      </c>
      <c r="I27" s="3" t="s">
        <v>43</v>
      </c>
    </row>
    <row r="28" customFormat="false" ht="15" hidden="false" customHeight="false" outlineLevel="0" collapsed="false">
      <c r="A28" s="16" t="s">
        <v>172</v>
      </c>
      <c r="B28" s="16" t="s">
        <v>173</v>
      </c>
      <c r="C28" s="16" t="s">
        <v>174</v>
      </c>
      <c r="D28" s="16" t="s">
        <v>175</v>
      </c>
      <c r="E28" s="16" t="s">
        <v>176</v>
      </c>
      <c r="F28" s="16" t="s">
        <v>165</v>
      </c>
      <c r="G28" s="16" t="s">
        <v>166</v>
      </c>
      <c r="H28" s="17" t="n">
        <v>704566.78</v>
      </c>
      <c r="I28" s="16" t="s">
        <v>43</v>
      </c>
    </row>
    <row r="29" customFormat="false" ht="15" hidden="false" customHeight="false" outlineLevel="0" collapsed="false">
      <c r="A29" s="3" t="s">
        <v>177</v>
      </c>
      <c r="B29" s="3" t="s">
        <v>178</v>
      </c>
      <c r="C29" s="3" t="s">
        <v>179</v>
      </c>
      <c r="D29" s="3" t="s">
        <v>180</v>
      </c>
      <c r="E29" s="3" t="s">
        <v>181</v>
      </c>
      <c r="F29" s="3" t="s">
        <v>182</v>
      </c>
      <c r="G29" s="3" t="s">
        <v>166</v>
      </c>
      <c r="H29" s="15" t="n">
        <v>37795.01</v>
      </c>
      <c r="I29" s="3" t="s">
        <v>43</v>
      </c>
    </row>
    <row r="30" customFormat="false" ht="15" hidden="false" customHeight="false" outlineLevel="0" collapsed="false">
      <c r="A30" s="16" t="s">
        <v>183</v>
      </c>
      <c r="B30" s="16" t="s">
        <v>184</v>
      </c>
      <c r="C30" s="16" t="s">
        <v>185</v>
      </c>
      <c r="D30" s="16" t="s">
        <v>186</v>
      </c>
      <c r="E30" s="16" t="s">
        <v>187</v>
      </c>
      <c r="F30" s="16" t="s">
        <v>188</v>
      </c>
      <c r="G30" s="16" t="s">
        <v>166</v>
      </c>
      <c r="H30" s="17" t="n">
        <v>9063.68</v>
      </c>
      <c r="I30" s="16" t="s">
        <v>43</v>
      </c>
    </row>
    <row r="31" customFormat="false" ht="15" hidden="false" customHeight="false" outlineLevel="0" collapsed="false">
      <c r="A31" s="3" t="s">
        <v>189</v>
      </c>
      <c r="B31" s="3" t="s">
        <v>190</v>
      </c>
      <c r="C31" s="3" t="s">
        <v>191</v>
      </c>
      <c r="D31" s="3" t="s">
        <v>91</v>
      </c>
      <c r="E31" s="3" t="s">
        <v>192</v>
      </c>
      <c r="F31" s="3" t="s">
        <v>188</v>
      </c>
      <c r="G31" s="3" t="s">
        <v>166</v>
      </c>
      <c r="H31" s="15" t="n">
        <v>32690.23</v>
      </c>
      <c r="I31" s="3" t="s">
        <v>43</v>
      </c>
    </row>
    <row r="32" customFormat="false" ht="15" hidden="false" customHeight="false" outlineLevel="0" collapsed="false">
      <c r="A32" s="16" t="s">
        <v>193</v>
      </c>
      <c r="B32" s="16" t="s">
        <v>194</v>
      </c>
      <c r="C32" s="16" t="s">
        <v>195</v>
      </c>
      <c r="D32" s="16" t="s">
        <v>151</v>
      </c>
      <c r="E32" s="16" t="s">
        <v>196</v>
      </c>
      <c r="F32" s="16" t="s">
        <v>197</v>
      </c>
      <c r="G32" s="16" t="s">
        <v>166</v>
      </c>
      <c r="H32" s="17" t="n">
        <v>129239.2</v>
      </c>
      <c r="I32" s="16" t="s">
        <v>43</v>
      </c>
    </row>
    <row r="33" customFormat="false" ht="15" hidden="false" customHeight="false" outlineLevel="0" collapsed="false">
      <c r="A33" s="3" t="s">
        <v>198</v>
      </c>
      <c r="B33" s="3" t="s">
        <v>199</v>
      </c>
      <c r="C33" s="3" t="s">
        <v>200</v>
      </c>
      <c r="D33" s="3" t="s">
        <v>39</v>
      </c>
      <c r="E33" s="3" t="s">
        <v>201</v>
      </c>
      <c r="F33" s="3" t="s">
        <v>202</v>
      </c>
      <c r="G33" s="3" t="s">
        <v>166</v>
      </c>
      <c r="H33" s="15" t="n">
        <v>184320.92</v>
      </c>
      <c r="I33" s="3" t="s">
        <v>58</v>
      </c>
    </row>
    <row r="34" customFormat="false" ht="15" hidden="false" customHeight="false" outlineLevel="0" collapsed="false">
      <c r="A34" s="16" t="s">
        <v>203</v>
      </c>
      <c r="B34" s="16" t="s">
        <v>161</v>
      </c>
      <c r="C34" s="16" t="s">
        <v>162</v>
      </c>
      <c r="D34" s="16" t="s">
        <v>163</v>
      </c>
      <c r="E34" s="16" t="s">
        <v>164</v>
      </c>
      <c r="F34" s="16" t="s">
        <v>204</v>
      </c>
      <c r="G34" s="16" t="s">
        <v>166</v>
      </c>
      <c r="H34" s="17" t="n">
        <v>188511.95</v>
      </c>
      <c r="I34" s="16" t="s">
        <v>43</v>
      </c>
    </row>
    <row r="35" customFormat="false" ht="15" hidden="false" customHeight="false" outlineLevel="0" collapsed="false">
      <c r="A35" s="3" t="s">
        <v>205</v>
      </c>
      <c r="B35" s="3" t="s">
        <v>206</v>
      </c>
      <c r="C35" s="3" t="s">
        <v>207</v>
      </c>
      <c r="D35" s="3" t="s">
        <v>208</v>
      </c>
      <c r="E35" s="3" t="s">
        <v>209</v>
      </c>
      <c r="F35" s="3" t="s">
        <v>210</v>
      </c>
      <c r="G35" s="3" t="s">
        <v>211</v>
      </c>
      <c r="H35" s="15" t="n">
        <v>23452.25</v>
      </c>
      <c r="I35" s="3" t="s">
        <v>43</v>
      </c>
    </row>
    <row r="36" customFormat="false" ht="15" hidden="false" customHeight="false" outlineLevel="0" collapsed="false">
      <c r="A36" s="16" t="s">
        <v>212</v>
      </c>
      <c r="B36" s="16" t="s">
        <v>213</v>
      </c>
      <c r="C36" s="16" t="s">
        <v>214</v>
      </c>
      <c r="D36" s="16" t="s">
        <v>91</v>
      </c>
      <c r="E36" s="16" t="s">
        <v>215</v>
      </c>
      <c r="F36" s="16" t="s">
        <v>216</v>
      </c>
      <c r="G36" s="16" t="s">
        <v>211</v>
      </c>
      <c r="H36" s="17" t="n">
        <v>15520.61</v>
      </c>
      <c r="I36" s="16" t="s">
        <v>43</v>
      </c>
    </row>
    <row r="37" customFormat="false" ht="15" hidden="false" customHeight="false" outlineLevel="0" collapsed="false">
      <c r="A37" s="3" t="s">
        <v>217</v>
      </c>
      <c r="B37" s="3" t="s">
        <v>218</v>
      </c>
      <c r="C37" s="3" t="s">
        <v>219</v>
      </c>
      <c r="D37" s="3" t="s">
        <v>220</v>
      </c>
      <c r="E37" s="3" t="s">
        <v>221</v>
      </c>
      <c r="F37" s="3" t="s">
        <v>222</v>
      </c>
      <c r="G37" s="3" t="s">
        <v>211</v>
      </c>
      <c r="H37" s="15" t="n">
        <v>135551.4</v>
      </c>
      <c r="I37" s="3" t="s">
        <v>58</v>
      </c>
    </row>
    <row r="38" customFormat="false" ht="15" hidden="false" customHeight="false" outlineLevel="0" collapsed="false">
      <c r="A38" s="16" t="s">
        <v>223</v>
      </c>
      <c r="B38" s="16" t="s">
        <v>224</v>
      </c>
      <c r="C38" s="16" t="s">
        <v>225</v>
      </c>
      <c r="D38" s="16" t="s">
        <v>226</v>
      </c>
      <c r="E38" s="16" t="s">
        <v>227</v>
      </c>
      <c r="F38" s="16" t="s">
        <v>228</v>
      </c>
      <c r="G38" s="16" t="s">
        <v>211</v>
      </c>
      <c r="H38" s="17" t="n">
        <v>15508.52</v>
      </c>
      <c r="I38" s="16" t="s">
        <v>43</v>
      </c>
    </row>
    <row r="39" customFormat="false" ht="15" hidden="false" customHeight="false" outlineLevel="0" collapsed="false">
      <c r="A39" s="3" t="s">
        <v>229</v>
      </c>
      <c r="B39" s="3" t="s">
        <v>230</v>
      </c>
      <c r="C39" s="3" t="s">
        <v>231</v>
      </c>
      <c r="D39" s="3" t="s">
        <v>226</v>
      </c>
      <c r="E39" s="3" t="s">
        <v>232</v>
      </c>
      <c r="F39" s="3" t="s">
        <v>233</v>
      </c>
      <c r="G39" s="3" t="s">
        <v>211</v>
      </c>
      <c r="H39" s="15" t="n">
        <v>17907.78</v>
      </c>
      <c r="I39" s="3" t="s">
        <v>43</v>
      </c>
    </row>
    <row r="40" customFormat="false" ht="15" hidden="false" customHeight="false" outlineLevel="0" collapsed="false">
      <c r="A40" s="16" t="s">
        <v>234</v>
      </c>
      <c r="B40" s="16" t="s">
        <v>235</v>
      </c>
      <c r="C40" s="16" t="s">
        <v>236</v>
      </c>
      <c r="D40" s="16" t="s">
        <v>237</v>
      </c>
      <c r="E40" s="16" t="s">
        <v>238</v>
      </c>
      <c r="F40" s="16" t="s">
        <v>239</v>
      </c>
      <c r="G40" s="16" t="s">
        <v>211</v>
      </c>
      <c r="H40" s="17" t="n">
        <v>165732.68</v>
      </c>
      <c r="I40" s="16" t="s">
        <v>43</v>
      </c>
    </row>
    <row r="41" customFormat="false" ht="15" hidden="false" customHeight="false" outlineLevel="0" collapsed="false">
      <c r="A41" s="3" t="s">
        <v>240</v>
      </c>
      <c r="B41" s="3" t="s">
        <v>241</v>
      </c>
      <c r="C41" s="3" t="s">
        <v>242</v>
      </c>
      <c r="D41" s="3" t="s">
        <v>243</v>
      </c>
      <c r="E41" s="3" t="s">
        <v>244</v>
      </c>
      <c r="F41" s="3" t="s">
        <v>239</v>
      </c>
      <c r="G41" s="3" t="s">
        <v>211</v>
      </c>
      <c r="H41" s="15" t="n">
        <v>37702.22</v>
      </c>
      <c r="I41" s="3" t="s">
        <v>43</v>
      </c>
    </row>
    <row r="42" customFormat="false" ht="15" hidden="false" customHeight="false" outlineLevel="0" collapsed="false">
      <c r="A42" s="16" t="s">
        <v>245</v>
      </c>
      <c r="B42" s="16" t="s">
        <v>246</v>
      </c>
      <c r="C42" s="16" t="s">
        <v>207</v>
      </c>
      <c r="D42" s="16" t="s">
        <v>237</v>
      </c>
      <c r="E42" s="16" t="s">
        <v>247</v>
      </c>
      <c r="F42" s="16" t="s">
        <v>239</v>
      </c>
      <c r="G42" s="16" t="s">
        <v>211</v>
      </c>
      <c r="H42" s="17" t="n">
        <v>14947.72</v>
      </c>
      <c r="I42" s="16" t="s">
        <v>43</v>
      </c>
    </row>
    <row r="43" customFormat="false" ht="15" hidden="false" customHeight="false" outlineLevel="0" collapsed="false">
      <c r="A43" s="3" t="s">
        <v>248</v>
      </c>
      <c r="B43" s="3" t="s">
        <v>249</v>
      </c>
      <c r="C43" s="3" t="s">
        <v>250</v>
      </c>
      <c r="D43" s="3" t="s">
        <v>251</v>
      </c>
      <c r="E43" s="3" t="s">
        <v>252</v>
      </c>
      <c r="F43" s="3" t="s">
        <v>253</v>
      </c>
      <c r="G43" s="3" t="s">
        <v>211</v>
      </c>
      <c r="H43" s="15" t="n">
        <v>29724.33</v>
      </c>
      <c r="I43" s="3" t="s">
        <v>43</v>
      </c>
    </row>
    <row r="44" customFormat="false" ht="15" hidden="false" customHeight="false" outlineLevel="0" collapsed="false">
      <c r="A44" s="16" t="s">
        <v>254</v>
      </c>
      <c r="B44" s="16" t="s">
        <v>255</v>
      </c>
      <c r="C44" s="16" t="s">
        <v>256</v>
      </c>
      <c r="D44" s="16" t="s">
        <v>91</v>
      </c>
      <c r="E44" s="16" t="s">
        <v>257</v>
      </c>
      <c r="F44" s="16" t="s">
        <v>258</v>
      </c>
      <c r="G44" s="16" t="s">
        <v>211</v>
      </c>
      <c r="H44" s="17" t="n">
        <v>9128.08</v>
      </c>
      <c r="I44" s="16" t="s">
        <v>43</v>
      </c>
    </row>
    <row r="45" customFormat="false" ht="15" hidden="false" customHeight="false" outlineLevel="0" collapsed="false">
      <c r="A45" s="3" t="s">
        <v>259</v>
      </c>
      <c r="B45" s="3" t="s">
        <v>260</v>
      </c>
      <c r="C45" s="3" t="s">
        <v>261</v>
      </c>
      <c r="D45" s="3" t="s">
        <v>262</v>
      </c>
      <c r="E45" s="3" t="s">
        <v>263</v>
      </c>
      <c r="F45" s="3" t="s">
        <v>264</v>
      </c>
      <c r="G45" s="3" t="s">
        <v>211</v>
      </c>
      <c r="H45" s="15" t="n">
        <v>23487.76</v>
      </c>
      <c r="I45" s="3" t="s">
        <v>43</v>
      </c>
    </row>
    <row r="46" customFormat="false" ht="15" hidden="false" customHeight="false" outlineLevel="0" collapsed="false">
      <c r="A46" s="16" t="s">
        <v>265</v>
      </c>
      <c r="B46" s="16" t="s">
        <v>266</v>
      </c>
      <c r="C46" s="16" t="s">
        <v>267</v>
      </c>
      <c r="D46" s="16" t="s">
        <v>268</v>
      </c>
      <c r="E46" s="16" t="s">
        <v>269</v>
      </c>
      <c r="F46" s="16" t="s">
        <v>270</v>
      </c>
      <c r="G46" s="16" t="s">
        <v>211</v>
      </c>
      <c r="H46" s="17" t="n">
        <v>17657.23</v>
      </c>
      <c r="I46" s="16" t="s">
        <v>43</v>
      </c>
    </row>
    <row r="47" customFormat="false" ht="15" hidden="false" customHeight="false" outlineLevel="0" collapsed="false">
      <c r="A47" s="3" t="s">
        <v>271</v>
      </c>
      <c r="B47" s="3" t="s">
        <v>272</v>
      </c>
      <c r="C47" s="3" t="s">
        <v>273</v>
      </c>
      <c r="D47" s="3" t="s">
        <v>226</v>
      </c>
      <c r="E47" s="3" t="s">
        <v>274</v>
      </c>
      <c r="F47" s="3" t="s">
        <v>275</v>
      </c>
      <c r="G47" s="3" t="s">
        <v>211</v>
      </c>
      <c r="H47" s="15" t="n">
        <v>16548.11</v>
      </c>
      <c r="I47" s="3" t="s">
        <v>43</v>
      </c>
    </row>
    <row r="48" customFormat="false" ht="15" hidden="false" customHeight="false" outlineLevel="0" collapsed="false">
      <c r="A48" s="16" t="s">
        <v>276</v>
      </c>
      <c r="B48" s="16" t="s">
        <v>277</v>
      </c>
      <c r="C48" s="16" t="s">
        <v>278</v>
      </c>
      <c r="D48" s="16" t="s">
        <v>226</v>
      </c>
      <c r="E48" s="16" t="s">
        <v>279</v>
      </c>
      <c r="F48" s="16" t="s">
        <v>280</v>
      </c>
      <c r="G48" s="16" t="s">
        <v>211</v>
      </c>
      <c r="H48" s="17" t="n">
        <v>40141.93</v>
      </c>
      <c r="I48" s="16" t="s">
        <v>43</v>
      </c>
    </row>
    <row r="49" customFormat="false" ht="15" hidden="false" customHeight="false" outlineLevel="0" collapsed="false">
      <c r="A49" s="3" t="s">
        <v>281</v>
      </c>
      <c r="B49" s="3" t="s">
        <v>282</v>
      </c>
      <c r="C49" s="3" t="s">
        <v>283</v>
      </c>
      <c r="D49" s="3" t="s">
        <v>251</v>
      </c>
      <c r="E49" s="3" t="s">
        <v>284</v>
      </c>
      <c r="F49" s="3" t="s">
        <v>285</v>
      </c>
      <c r="G49" s="3" t="s">
        <v>211</v>
      </c>
      <c r="H49" s="15" t="n">
        <v>34417.87</v>
      </c>
      <c r="I49" s="3" t="s">
        <v>43</v>
      </c>
    </row>
    <row r="50" customFormat="false" ht="15" hidden="false" customHeight="false" outlineLevel="0" collapsed="false">
      <c r="A50" s="16" t="s">
        <v>286</v>
      </c>
      <c r="B50" s="16" t="s">
        <v>287</v>
      </c>
      <c r="C50" s="16" t="s">
        <v>288</v>
      </c>
      <c r="D50" s="16" t="s">
        <v>289</v>
      </c>
      <c r="E50" s="16" t="s">
        <v>290</v>
      </c>
      <c r="F50" s="16" t="s">
        <v>291</v>
      </c>
      <c r="G50" s="16" t="s">
        <v>292</v>
      </c>
      <c r="H50" s="17" t="n">
        <v>20619.11</v>
      </c>
      <c r="I50" s="16" t="s">
        <v>43</v>
      </c>
    </row>
    <row r="51" customFormat="false" ht="15" hidden="false" customHeight="false" outlineLevel="0" collapsed="false">
      <c r="A51" s="3" t="s">
        <v>293</v>
      </c>
      <c r="B51" s="3" t="s">
        <v>199</v>
      </c>
      <c r="C51" s="3" t="s">
        <v>200</v>
      </c>
      <c r="D51" s="3" t="s">
        <v>39</v>
      </c>
      <c r="E51" s="3" t="s">
        <v>201</v>
      </c>
      <c r="F51" s="3" t="s">
        <v>294</v>
      </c>
      <c r="G51" s="3" t="s">
        <v>292</v>
      </c>
      <c r="H51" s="15" t="n">
        <v>146557.43</v>
      </c>
      <c r="I51" s="3" t="s">
        <v>43</v>
      </c>
    </row>
    <row r="52" customFormat="false" ht="15" hidden="false" customHeight="false" outlineLevel="0" collapsed="false">
      <c r="A52" s="16" t="s">
        <v>295</v>
      </c>
      <c r="B52" s="16" t="s">
        <v>296</v>
      </c>
      <c r="C52" s="16" t="s">
        <v>297</v>
      </c>
      <c r="D52" s="16" t="s">
        <v>163</v>
      </c>
      <c r="E52" s="16" t="s">
        <v>298</v>
      </c>
      <c r="F52" s="16" t="s">
        <v>299</v>
      </c>
      <c r="G52" s="16" t="s">
        <v>292</v>
      </c>
      <c r="H52" s="17" t="n">
        <v>145358.75</v>
      </c>
      <c r="I52" s="16" t="s">
        <v>43</v>
      </c>
    </row>
    <row r="53" customFormat="false" ht="15" hidden="false" customHeight="false" outlineLevel="0" collapsed="false">
      <c r="A53" s="3" t="s">
        <v>300</v>
      </c>
      <c r="B53" s="3" t="s">
        <v>282</v>
      </c>
      <c r="C53" s="3" t="s">
        <v>283</v>
      </c>
      <c r="D53" s="3" t="s">
        <v>251</v>
      </c>
      <c r="E53" s="3" t="s">
        <v>284</v>
      </c>
      <c r="F53" s="3" t="s">
        <v>299</v>
      </c>
      <c r="G53" s="3" t="s">
        <v>292</v>
      </c>
      <c r="H53" s="15" t="n">
        <v>565163.59</v>
      </c>
      <c r="I53" s="3" t="s">
        <v>43</v>
      </c>
    </row>
    <row r="54" customFormat="false" ht="15" hidden="false" customHeight="false" outlineLevel="0" collapsed="false">
      <c r="A54" s="16" t="s">
        <v>301</v>
      </c>
      <c r="B54" s="16" t="s">
        <v>302</v>
      </c>
      <c r="C54" s="16" t="s">
        <v>303</v>
      </c>
      <c r="D54" s="16" t="s">
        <v>289</v>
      </c>
      <c r="E54" s="16" t="s">
        <v>304</v>
      </c>
      <c r="F54" s="16" t="s">
        <v>305</v>
      </c>
      <c r="G54" s="16" t="s">
        <v>306</v>
      </c>
      <c r="H54" s="17" t="n">
        <v>25541.79</v>
      </c>
      <c r="I54" s="16" t="s">
        <v>43</v>
      </c>
    </row>
    <row r="55" customFormat="false" ht="15" hidden="false" customHeight="false" outlineLevel="0" collapsed="false">
      <c r="A55" s="3" t="s">
        <v>307</v>
      </c>
      <c r="B55" s="3" t="s">
        <v>308</v>
      </c>
      <c r="C55" s="3" t="s">
        <v>309</v>
      </c>
      <c r="D55" s="3" t="s">
        <v>208</v>
      </c>
      <c r="E55" s="3" t="s">
        <v>310</v>
      </c>
      <c r="F55" s="3" t="s">
        <v>311</v>
      </c>
      <c r="G55" s="3" t="s">
        <v>306</v>
      </c>
      <c r="H55" s="15" t="n">
        <v>43464.77</v>
      </c>
      <c r="I55" s="3" t="s">
        <v>43</v>
      </c>
    </row>
    <row r="56" customFormat="false" ht="15" hidden="false" customHeight="false" outlineLevel="0" collapsed="false">
      <c r="A56" s="16" t="s">
        <v>312</v>
      </c>
      <c r="B56" s="16" t="s">
        <v>313</v>
      </c>
      <c r="C56" s="16" t="s">
        <v>314</v>
      </c>
      <c r="D56" s="16" t="s">
        <v>315</v>
      </c>
      <c r="E56" s="16" t="s">
        <v>316</v>
      </c>
      <c r="F56" s="16" t="s">
        <v>317</v>
      </c>
      <c r="G56" s="16" t="s">
        <v>306</v>
      </c>
      <c r="H56" s="17" t="n">
        <v>29675.44</v>
      </c>
      <c r="I56" s="16" t="s">
        <v>43</v>
      </c>
    </row>
    <row r="57" customFormat="false" ht="15" hidden="false" customHeight="false" outlineLevel="0" collapsed="false">
      <c r="A57" s="3" t="s">
        <v>318</v>
      </c>
      <c r="B57" s="3" t="s">
        <v>319</v>
      </c>
      <c r="C57" s="3" t="s">
        <v>53</v>
      </c>
      <c r="D57" s="3" t="s">
        <v>73</v>
      </c>
      <c r="E57" s="3" t="s">
        <v>320</v>
      </c>
      <c r="F57" s="3" t="s">
        <v>321</v>
      </c>
      <c r="G57" s="3" t="s">
        <v>306</v>
      </c>
      <c r="H57" s="15" t="n">
        <v>30158.98</v>
      </c>
      <c r="I57" s="3" t="s">
        <v>43</v>
      </c>
    </row>
    <row r="58" customFormat="false" ht="15" hidden="false" customHeight="false" outlineLevel="0" collapsed="false">
      <c r="A58" s="16" t="s">
        <v>322</v>
      </c>
      <c r="B58" s="16" t="s">
        <v>323</v>
      </c>
      <c r="C58" s="16" t="s">
        <v>324</v>
      </c>
      <c r="D58" s="16" t="s">
        <v>175</v>
      </c>
      <c r="E58" s="16" t="s">
        <v>325</v>
      </c>
      <c r="F58" s="16" t="s">
        <v>326</v>
      </c>
      <c r="G58" s="16" t="s">
        <v>306</v>
      </c>
      <c r="H58" s="17" t="n">
        <v>20384.87</v>
      </c>
      <c r="I58" s="16" t="s">
        <v>43</v>
      </c>
    </row>
    <row r="59" customFormat="false" ht="15" hidden="false" customHeight="false" outlineLevel="0" collapsed="false">
      <c r="A59" s="3" t="s">
        <v>327</v>
      </c>
      <c r="B59" s="3" t="s">
        <v>328</v>
      </c>
      <c r="C59" s="3" t="s">
        <v>329</v>
      </c>
      <c r="D59" s="3" t="s">
        <v>330</v>
      </c>
      <c r="E59" s="3" t="s">
        <v>331</v>
      </c>
      <c r="F59" s="3" t="s">
        <v>332</v>
      </c>
      <c r="G59" s="3" t="s">
        <v>306</v>
      </c>
      <c r="H59" s="15" t="n">
        <v>359843.82</v>
      </c>
      <c r="I59" s="3" t="s">
        <v>58</v>
      </c>
    </row>
    <row r="60" customFormat="false" ht="15" hidden="false" customHeight="false" outlineLevel="0" collapsed="false">
      <c r="A60" s="16" t="s">
        <v>333</v>
      </c>
      <c r="B60" s="16" t="s">
        <v>334</v>
      </c>
      <c r="C60" s="16" t="s">
        <v>335</v>
      </c>
      <c r="D60" s="16" t="s">
        <v>336</v>
      </c>
      <c r="E60" s="16" t="s">
        <v>337</v>
      </c>
      <c r="F60" s="16" t="s">
        <v>338</v>
      </c>
      <c r="G60" s="16" t="s">
        <v>306</v>
      </c>
      <c r="H60" s="17" t="n">
        <v>12524.2</v>
      </c>
      <c r="I60" s="16" t="s">
        <v>43</v>
      </c>
    </row>
    <row r="61" customFormat="false" ht="15" hidden="false" customHeight="false" outlineLevel="0" collapsed="false">
      <c r="A61" s="3" t="s">
        <v>339</v>
      </c>
      <c r="B61" s="3" t="s">
        <v>340</v>
      </c>
      <c r="C61" s="3" t="s">
        <v>341</v>
      </c>
      <c r="D61" s="3" t="s">
        <v>342</v>
      </c>
      <c r="E61" s="3" t="s">
        <v>343</v>
      </c>
      <c r="F61" s="3" t="s">
        <v>344</v>
      </c>
      <c r="G61" s="3" t="s">
        <v>306</v>
      </c>
      <c r="H61" s="15" t="n">
        <v>30994.84</v>
      </c>
      <c r="I61" s="3" t="s">
        <v>43</v>
      </c>
    </row>
    <row r="62" customFormat="false" ht="15" hidden="false" customHeight="false" outlineLevel="0" collapsed="false">
      <c r="A62" s="16" t="s">
        <v>345</v>
      </c>
      <c r="B62" s="16" t="s">
        <v>346</v>
      </c>
      <c r="C62" s="16" t="s">
        <v>347</v>
      </c>
      <c r="D62" s="16" t="s">
        <v>170</v>
      </c>
      <c r="E62" s="16" t="s">
        <v>348</v>
      </c>
      <c r="F62" s="16" t="s">
        <v>349</v>
      </c>
      <c r="G62" s="16" t="s">
        <v>306</v>
      </c>
      <c r="H62" s="17" t="n">
        <v>18602.39</v>
      </c>
      <c r="I62" s="16" t="s">
        <v>43</v>
      </c>
    </row>
    <row r="63" customFormat="false" ht="15" hidden="false" customHeight="false" outlineLevel="0" collapsed="false">
      <c r="A63" s="3" t="s">
        <v>350</v>
      </c>
      <c r="B63" s="3" t="s">
        <v>346</v>
      </c>
      <c r="C63" s="3" t="s">
        <v>347</v>
      </c>
      <c r="D63" s="3" t="s">
        <v>170</v>
      </c>
      <c r="E63" s="3" t="s">
        <v>348</v>
      </c>
      <c r="F63" s="3" t="s">
        <v>351</v>
      </c>
      <c r="G63" s="3" t="s">
        <v>306</v>
      </c>
      <c r="H63" s="15" t="n">
        <v>6658.03</v>
      </c>
      <c r="I63" s="3" t="s">
        <v>43</v>
      </c>
    </row>
    <row r="64" customFormat="false" ht="15" hidden="false" customHeight="false" outlineLevel="0" collapsed="false">
      <c r="A64" s="16" t="s">
        <v>352</v>
      </c>
      <c r="B64" s="16" t="s">
        <v>353</v>
      </c>
      <c r="C64" s="16" t="s">
        <v>354</v>
      </c>
      <c r="D64" s="16" t="s">
        <v>140</v>
      </c>
      <c r="E64" s="16" t="s">
        <v>355</v>
      </c>
      <c r="F64" s="16" t="s">
        <v>356</v>
      </c>
      <c r="G64" s="16" t="s">
        <v>306</v>
      </c>
      <c r="H64" s="17" t="n">
        <v>36158.62</v>
      </c>
      <c r="I64" s="16" t="s">
        <v>43</v>
      </c>
    </row>
    <row r="65" customFormat="false" ht="15" hidden="false" customHeight="false" outlineLevel="0" collapsed="false">
      <c r="A65" s="3" t="s">
        <v>357</v>
      </c>
      <c r="B65" s="3" t="s">
        <v>45</v>
      </c>
      <c r="C65" s="3" t="s">
        <v>46</v>
      </c>
      <c r="D65" s="3" t="s">
        <v>47</v>
      </c>
      <c r="E65" s="3" t="s">
        <v>48</v>
      </c>
      <c r="F65" s="3" t="s">
        <v>358</v>
      </c>
      <c r="G65" s="3" t="s">
        <v>306</v>
      </c>
      <c r="H65" s="15" t="n">
        <v>211342.19</v>
      </c>
      <c r="I65" s="3" t="s">
        <v>43</v>
      </c>
    </row>
    <row r="66" customFormat="false" ht="15" hidden="false" customHeight="false" outlineLevel="0" collapsed="false">
      <c r="A66" s="16" t="s">
        <v>359</v>
      </c>
      <c r="B66" s="16" t="s">
        <v>360</v>
      </c>
      <c r="C66" s="16" t="s">
        <v>361</v>
      </c>
      <c r="D66" s="16" t="s">
        <v>262</v>
      </c>
      <c r="E66" s="16" t="s">
        <v>362</v>
      </c>
      <c r="F66" s="16" t="s">
        <v>363</v>
      </c>
      <c r="G66" s="16" t="s">
        <v>364</v>
      </c>
      <c r="H66" s="17" t="n">
        <v>95105.74</v>
      </c>
      <c r="I66" s="16" t="s">
        <v>43</v>
      </c>
    </row>
    <row r="67" customFormat="false" ht="15" hidden="false" customHeight="false" outlineLevel="0" collapsed="false">
      <c r="A67" s="3" t="s">
        <v>365</v>
      </c>
      <c r="B67" s="3" t="s">
        <v>366</v>
      </c>
      <c r="C67" s="3" t="s">
        <v>367</v>
      </c>
      <c r="D67" s="3" t="s">
        <v>67</v>
      </c>
      <c r="E67" s="3" t="s">
        <v>368</v>
      </c>
      <c r="F67" s="3" t="s">
        <v>363</v>
      </c>
      <c r="G67" s="3" t="s">
        <v>364</v>
      </c>
      <c r="H67" s="15" t="n">
        <v>11597.99</v>
      </c>
      <c r="I67" s="3" t="s">
        <v>43</v>
      </c>
    </row>
    <row r="68" customFormat="false" ht="15" hidden="false" customHeight="false" outlineLevel="0" collapsed="false">
      <c r="A68" s="16" t="s">
        <v>369</v>
      </c>
      <c r="B68" s="16" t="s">
        <v>370</v>
      </c>
      <c r="C68" s="16" t="s">
        <v>371</v>
      </c>
      <c r="D68" s="16" t="s">
        <v>226</v>
      </c>
      <c r="E68" s="16" t="s">
        <v>372</v>
      </c>
      <c r="F68" s="16" t="s">
        <v>373</v>
      </c>
      <c r="G68" s="16" t="s">
        <v>364</v>
      </c>
      <c r="H68" s="17" t="n">
        <v>45124.31</v>
      </c>
      <c r="I68" s="16" t="s">
        <v>58</v>
      </c>
    </row>
    <row r="69" customFormat="false" ht="15" hidden="false" customHeight="false" outlineLevel="0" collapsed="false">
      <c r="A69" s="3" t="s">
        <v>374</v>
      </c>
      <c r="B69" s="3" t="s">
        <v>375</v>
      </c>
      <c r="C69" s="3" t="s">
        <v>376</v>
      </c>
      <c r="D69" s="3" t="s">
        <v>151</v>
      </c>
      <c r="E69" s="3" t="s">
        <v>377</v>
      </c>
      <c r="F69" s="3" t="s">
        <v>378</v>
      </c>
      <c r="G69" s="3" t="s">
        <v>364</v>
      </c>
      <c r="H69" s="15" t="n">
        <v>15207.87</v>
      </c>
      <c r="I69" s="3" t="s">
        <v>43</v>
      </c>
    </row>
    <row r="70" customFormat="false" ht="15" hidden="false" customHeight="false" outlineLevel="0" collapsed="false">
      <c r="A70" s="16" t="s">
        <v>379</v>
      </c>
      <c r="B70" s="16" t="s">
        <v>380</v>
      </c>
      <c r="C70" s="16" t="s">
        <v>347</v>
      </c>
      <c r="D70" s="16" t="s">
        <v>381</v>
      </c>
      <c r="E70" s="16" t="s">
        <v>382</v>
      </c>
      <c r="F70" s="16" t="s">
        <v>383</v>
      </c>
      <c r="G70" s="16" t="s">
        <v>364</v>
      </c>
      <c r="H70" s="17" t="n">
        <v>130540.99</v>
      </c>
      <c r="I70" s="16" t="s">
        <v>43</v>
      </c>
    </row>
    <row r="71" customFormat="false" ht="15" hidden="false" customHeight="false" outlineLevel="0" collapsed="false">
      <c r="A71" s="3" t="s">
        <v>384</v>
      </c>
      <c r="B71" s="3" t="s">
        <v>235</v>
      </c>
      <c r="C71" s="3" t="s">
        <v>236</v>
      </c>
      <c r="D71" s="3" t="s">
        <v>237</v>
      </c>
      <c r="E71" s="3" t="s">
        <v>238</v>
      </c>
      <c r="F71" s="3" t="s">
        <v>385</v>
      </c>
      <c r="G71" s="3" t="s">
        <v>364</v>
      </c>
      <c r="H71" s="15" t="n">
        <v>369329.36</v>
      </c>
      <c r="I71" s="3" t="s">
        <v>58</v>
      </c>
    </row>
    <row r="72" customFormat="false" ht="15" hidden="false" customHeight="false" outlineLevel="0" collapsed="false">
      <c r="A72" s="16" t="s">
        <v>386</v>
      </c>
      <c r="B72" s="16" t="s">
        <v>246</v>
      </c>
      <c r="C72" s="16" t="s">
        <v>207</v>
      </c>
      <c r="D72" s="16" t="s">
        <v>237</v>
      </c>
      <c r="E72" s="16" t="s">
        <v>247</v>
      </c>
      <c r="F72" s="16" t="s">
        <v>385</v>
      </c>
      <c r="G72" s="16" t="s">
        <v>364</v>
      </c>
      <c r="H72" s="17" t="n">
        <v>149830.54</v>
      </c>
      <c r="I72" s="16" t="s">
        <v>43</v>
      </c>
    </row>
    <row r="73" customFormat="false" ht="15" hidden="false" customHeight="false" outlineLevel="0" collapsed="false">
      <c r="A73" s="3" t="s">
        <v>387</v>
      </c>
      <c r="B73" s="3" t="s">
        <v>388</v>
      </c>
      <c r="C73" s="3" t="s">
        <v>389</v>
      </c>
      <c r="D73" s="3" t="s">
        <v>390</v>
      </c>
      <c r="E73" s="3" t="s">
        <v>391</v>
      </c>
      <c r="F73" s="3" t="s">
        <v>392</v>
      </c>
      <c r="G73" s="3" t="s">
        <v>364</v>
      </c>
      <c r="H73" s="15" t="n">
        <v>31367.33</v>
      </c>
      <c r="I73" s="3" t="s">
        <v>43</v>
      </c>
    </row>
    <row r="74" customFormat="false" ht="15" hidden="false" customHeight="false" outlineLevel="0" collapsed="false">
      <c r="A74" s="16" t="s">
        <v>393</v>
      </c>
      <c r="B74" s="16" t="s">
        <v>394</v>
      </c>
      <c r="C74" s="16" t="s">
        <v>395</v>
      </c>
      <c r="D74" s="16" t="s">
        <v>170</v>
      </c>
      <c r="E74" s="16" t="s">
        <v>396</v>
      </c>
      <c r="F74" s="16" t="s">
        <v>397</v>
      </c>
      <c r="G74" s="16" t="s">
        <v>364</v>
      </c>
      <c r="H74" s="17" t="n">
        <v>36953.23</v>
      </c>
      <c r="I74" s="16" t="s">
        <v>58</v>
      </c>
    </row>
    <row r="75" customFormat="false" ht="15" hidden="false" customHeight="false" outlineLevel="0" collapsed="false">
      <c r="A75" s="3" t="s">
        <v>398</v>
      </c>
      <c r="B75" s="3" t="s">
        <v>399</v>
      </c>
      <c r="C75" s="3" t="s">
        <v>108</v>
      </c>
      <c r="D75" s="3" t="s">
        <v>208</v>
      </c>
      <c r="E75" s="3" t="s">
        <v>400</v>
      </c>
      <c r="F75" s="3" t="s">
        <v>401</v>
      </c>
      <c r="G75" s="3" t="s">
        <v>364</v>
      </c>
      <c r="H75" s="15" t="n">
        <v>41662.77</v>
      </c>
      <c r="I75" s="3" t="s">
        <v>43</v>
      </c>
    </row>
    <row r="76" customFormat="false" ht="15" hidden="false" customHeight="false" outlineLevel="0" collapsed="false">
      <c r="A76" s="16" t="s">
        <v>402</v>
      </c>
      <c r="B76" s="16" t="s">
        <v>403</v>
      </c>
      <c r="C76" s="16" t="s">
        <v>404</v>
      </c>
      <c r="D76" s="16" t="s">
        <v>220</v>
      </c>
      <c r="E76" s="16" t="s">
        <v>405</v>
      </c>
      <c r="F76" s="16" t="s">
        <v>406</v>
      </c>
      <c r="G76" s="16" t="s">
        <v>364</v>
      </c>
      <c r="H76" s="17" t="n">
        <v>226294.67</v>
      </c>
      <c r="I76" s="16" t="s">
        <v>43</v>
      </c>
    </row>
    <row r="77" customFormat="false" ht="15" hidden="false" customHeight="false" outlineLevel="0" collapsed="false">
      <c r="A77" s="3" t="s">
        <v>407</v>
      </c>
      <c r="B77" s="3" t="s">
        <v>408</v>
      </c>
      <c r="C77" s="3" t="s">
        <v>409</v>
      </c>
      <c r="D77" s="3" t="s">
        <v>410</v>
      </c>
      <c r="E77" s="3" t="s">
        <v>411</v>
      </c>
      <c r="F77" s="3" t="s">
        <v>412</v>
      </c>
      <c r="G77" s="3" t="s">
        <v>413</v>
      </c>
      <c r="H77" s="15" t="n">
        <v>15805.05</v>
      </c>
      <c r="I77" s="3" t="s">
        <v>43</v>
      </c>
    </row>
    <row r="78" customFormat="false" ht="15" hidden="false" customHeight="false" outlineLevel="0" collapsed="false">
      <c r="A78" s="16" t="s">
        <v>414</v>
      </c>
      <c r="B78" s="16" t="s">
        <v>415</v>
      </c>
      <c r="C78" s="16" t="s">
        <v>169</v>
      </c>
      <c r="D78" s="16" t="s">
        <v>416</v>
      </c>
      <c r="E78" s="16" t="s">
        <v>417</v>
      </c>
      <c r="F78" s="16" t="s">
        <v>418</v>
      </c>
      <c r="G78" s="16" t="s">
        <v>413</v>
      </c>
      <c r="H78" s="17" t="n">
        <v>28895.72</v>
      </c>
      <c r="I78" s="16" t="s">
        <v>43</v>
      </c>
    </row>
    <row r="79" customFormat="false" ht="15" hidden="false" customHeight="false" outlineLevel="0" collapsed="false">
      <c r="A79" s="3" t="s">
        <v>419</v>
      </c>
      <c r="B79" s="3" t="s">
        <v>420</v>
      </c>
      <c r="C79" s="3" t="s">
        <v>421</v>
      </c>
      <c r="D79" s="3" t="s">
        <v>416</v>
      </c>
      <c r="E79" s="3" t="s">
        <v>422</v>
      </c>
      <c r="F79" s="3" t="s">
        <v>423</v>
      </c>
      <c r="G79" s="3" t="s">
        <v>413</v>
      </c>
      <c r="H79" s="15" t="n">
        <v>181966.92</v>
      </c>
      <c r="I79" s="3" t="s">
        <v>43</v>
      </c>
    </row>
    <row r="80" customFormat="false" ht="15" hidden="false" customHeight="false" outlineLevel="0" collapsed="false">
      <c r="A80" s="16" t="s">
        <v>424</v>
      </c>
      <c r="B80" s="16" t="s">
        <v>425</v>
      </c>
      <c r="C80" s="16" t="s">
        <v>103</v>
      </c>
      <c r="D80" s="16" t="s">
        <v>251</v>
      </c>
      <c r="E80" s="16" t="s">
        <v>426</v>
      </c>
      <c r="F80" s="16" t="s">
        <v>427</v>
      </c>
      <c r="G80" s="16" t="s">
        <v>413</v>
      </c>
      <c r="H80" s="17" t="n">
        <v>27676.77</v>
      </c>
      <c r="I80" s="16" t="s">
        <v>43</v>
      </c>
    </row>
    <row r="81" customFormat="false" ht="15" hidden="false" customHeight="false" outlineLevel="0" collapsed="false">
      <c r="A81" s="3" t="s">
        <v>428</v>
      </c>
      <c r="B81" s="3" t="s">
        <v>429</v>
      </c>
      <c r="C81" s="3" t="s">
        <v>430</v>
      </c>
      <c r="D81" s="3" t="s">
        <v>431</v>
      </c>
      <c r="E81" s="3" t="s">
        <v>432</v>
      </c>
      <c r="F81" s="3" t="s">
        <v>433</v>
      </c>
      <c r="G81" s="3" t="s">
        <v>413</v>
      </c>
      <c r="H81" s="15" t="n">
        <v>170459.7</v>
      </c>
      <c r="I81" s="3" t="s">
        <v>43</v>
      </c>
    </row>
    <row r="82" customFormat="false" ht="15" hidden="false" customHeight="false" outlineLevel="0" collapsed="false">
      <c r="A82" s="16" t="s">
        <v>434</v>
      </c>
      <c r="B82" s="16" t="s">
        <v>435</v>
      </c>
      <c r="C82" s="16" t="s">
        <v>436</v>
      </c>
      <c r="D82" s="16" t="s">
        <v>128</v>
      </c>
      <c r="E82" s="16" t="s">
        <v>437</v>
      </c>
      <c r="F82" s="16" t="s">
        <v>438</v>
      </c>
      <c r="G82" s="16" t="s">
        <v>439</v>
      </c>
      <c r="H82" s="17" t="n">
        <v>39318.55</v>
      </c>
      <c r="I82" s="16" t="s">
        <v>58</v>
      </c>
    </row>
    <row r="83" customFormat="false" ht="15" hidden="false" customHeight="false" outlineLevel="0" collapsed="false">
      <c r="A83" s="3" t="s">
        <v>440</v>
      </c>
      <c r="B83" s="3" t="s">
        <v>113</v>
      </c>
      <c r="C83" s="3" t="s">
        <v>114</v>
      </c>
      <c r="D83" s="3" t="s">
        <v>115</v>
      </c>
      <c r="E83" s="3" t="s">
        <v>116</v>
      </c>
      <c r="F83" s="3" t="s">
        <v>441</v>
      </c>
      <c r="G83" s="3" t="s">
        <v>439</v>
      </c>
      <c r="H83" s="15" t="n">
        <v>22480.17</v>
      </c>
      <c r="I83" s="3" t="s">
        <v>58</v>
      </c>
    </row>
    <row r="84" customFormat="false" ht="15" hidden="false" customHeight="false" outlineLevel="0" collapsed="false">
      <c r="A84" s="16" t="s">
        <v>442</v>
      </c>
      <c r="B84" s="16" t="s">
        <v>443</v>
      </c>
      <c r="C84" s="16" t="s">
        <v>444</v>
      </c>
      <c r="D84" s="16" t="s">
        <v>128</v>
      </c>
      <c r="E84" s="16" t="s">
        <v>445</v>
      </c>
      <c r="F84" s="16" t="s">
        <v>446</v>
      </c>
      <c r="G84" s="16" t="s">
        <v>439</v>
      </c>
      <c r="H84" s="17" t="n">
        <v>471475.42</v>
      </c>
      <c r="I84" s="16" t="s">
        <v>58</v>
      </c>
    </row>
    <row r="85" customFormat="false" ht="15" hidden="false" customHeight="false" outlineLevel="0" collapsed="false">
      <c r="A85" s="3" t="s">
        <v>447</v>
      </c>
      <c r="B85" s="3" t="s">
        <v>448</v>
      </c>
      <c r="C85" s="3" t="s">
        <v>449</v>
      </c>
      <c r="D85" s="3" t="s">
        <v>450</v>
      </c>
      <c r="E85" s="3" t="s">
        <v>451</v>
      </c>
      <c r="F85" s="3" t="s">
        <v>452</v>
      </c>
      <c r="G85" s="3" t="s">
        <v>439</v>
      </c>
      <c r="H85" s="15" t="n">
        <v>34969.14</v>
      </c>
      <c r="I85" s="3" t="s">
        <v>43</v>
      </c>
    </row>
    <row r="86" customFormat="false" ht="15" hidden="false" customHeight="false" outlineLevel="0" collapsed="false">
      <c r="A86" s="16" t="s">
        <v>453</v>
      </c>
      <c r="B86" s="16" t="s">
        <v>454</v>
      </c>
      <c r="C86" s="16" t="s">
        <v>455</v>
      </c>
      <c r="D86" s="16" t="s">
        <v>151</v>
      </c>
      <c r="E86" s="16" t="s">
        <v>456</v>
      </c>
      <c r="F86" s="16" t="s">
        <v>452</v>
      </c>
      <c r="G86" s="16" t="s">
        <v>439</v>
      </c>
      <c r="H86" s="17" t="n">
        <v>397215.9</v>
      </c>
      <c r="I86" s="16" t="s">
        <v>43</v>
      </c>
    </row>
    <row r="87" customFormat="false" ht="15" hidden="false" customHeight="false" outlineLevel="0" collapsed="false">
      <c r="A87" s="3" t="s">
        <v>457</v>
      </c>
      <c r="B87" s="3" t="s">
        <v>458</v>
      </c>
      <c r="C87" s="3" t="s">
        <v>459</v>
      </c>
      <c r="D87" s="3" t="s">
        <v>460</v>
      </c>
      <c r="E87" s="3" t="s">
        <v>461</v>
      </c>
      <c r="F87" s="3" t="s">
        <v>462</v>
      </c>
      <c r="G87" s="3" t="s">
        <v>439</v>
      </c>
      <c r="H87" s="15" t="n">
        <v>17638.21</v>
      </c>
      <c r="I87" s="3" t="s">
        <v>43</v>
      </c>
    </row>
    <row r="88" customFormat="false" ht="15" hidden="false" customHeight="false" outlineLevel="0" collapsed="false">
      <c r="A88" s="16" t="s">
        <v>463</v>
      </c>
      <c r="B88" s="16" t="s">
        <v>464</v>
      </c>
      <c r="C88" s="16" t="s">
        <v>465</v>
      </c>
      <c r="D88" s="16" t="s">
        <v>466</v>
      </c>
      <c r="E88" s="16" t="s">
        <v>467</v>
      </c>
      <c r="F88" s="16" t="s">
        <v>468</v>
      </c>
      <c r="G88" s="16" t="s">
        <v>439</v>
      </c>
      <c r="H88" s="17" t="n">
        <v>40211.09</v>
      </c>
      <c r="I88" s="16" t="s">
        <v>43</v>
      </c>
    </row>
    <row r="89" customFormat="false" ht="15" hidden="false" customHeight="false" outlineLevel="0" collapsed="false">
      <c r="A89" s="3" t="s">
        <v>469</v>
      </c>
      <c r="B89" s="3" t="s">
        <v>470</v>
      </c>
      <c r="C89" s="3" t="s">
        <v>471</v>
      </c>
      <c r="D89" s="3" t="s">
        <v>157</v>
      </c>
      <c r="E89" s="3" t="s">
        <v>472</v>
      </c>
      <c r="F89" s="3" t="s">
        <v>473</v>
      </c>
      <c r="G89" s="3" t="s">
        <v>439</v>
      </c>
      <c r="H89" s="15" t="n">
        <v>326471.85</v>
      </c>
      <c r="I89" s="3" t="s">
        <v>43</v>
      </c>
    </row>
    <row r="90" customFormat="false" ht="15" hidden="false" customHeight="false" outlineLevel="0" collapsed="false">
      <c r="A90" s="16" t="s">
        <v>474</v>
      </c>
      <c r="B90" s="16" t="s">
        <v>475</v>
      </c>
      <c r="C90" s="16" t="s">
        <v>476</v>
      </c>
      <c r="D90" s="16" t="s">
        <v>477</v>
      </c>
      <c r="E90" s="16" t="s">
        <v>478</v>
      </c>
      <c r="F90" s="16" t="s">
        <v>479</v>
      </c>
      <c r="G90" s="16" t="s">
        <v>439</v>
      </c>
      <c r="H90" s="17" t="n">
        <v>80041.84</v>
      </c>
      <c r="I90" s="16" t="s">
        <v>43</v>
      </c>
    </row>
    <row r="91" customFormat="false" ht="15" hidden="false" customHeight="false" outlineLevel="0" collapsed="false">
      <c r="A91" s="3" t="s">
        <v>480</v>
      </c>
      <c r="B91" s="3" t="s">
        <v>206</v>
      </c>
      <c r="C91" s="3" t="s">
        <v>207</v>
      </c>
      <c r="D91" s="3" t="s">
        <v>208</v>
      </c>
      <c r="E91" s="3" t="s">
        <v>209</v>
      </c>
      <c r="F91" s="3" t="s">
        <v>481</v>
      </c>
      <c r="G91" s="3" t="s">
        <v>439</v>
      </c>
      <c r="H91" s="15" t="n">
        <v>21759.95</v>
      </c>
      <c r="I91" s="3" t="s">
        <v>43</v>
      </c>
    </row>
    <row r="92" customFormat="false" ht="15" hidden="false" customHeight="false" outlineLevel="0" collapsed="false">
      <c r="A92" s="16" t="s">
        <v>482</v>
      </c>
      <c r="B92" s="16" t="s">
        <v>483</v>
      </c>
      <c r="C92" s="16" t="s">
        <v>484</v>
      </c>
      <c r="D92" s="16" t="s">
        <v>485</v>
      </c>
      <c r="E92" s="16" t="s">
        <v>486</v>
      </c>
      <c r="F92" s="16" t="s">
        <v>487</v>
      </c>
      <c r="G92" s="16" t="s">
        <v>488</v>
      </c>
      <c r="H92" s="17" t="n">
        <v>522743.09</v>
      </c>
      <c r="I92" s="16" t="s">
        <v>58</v>
      </c>
    </row>
    <row r="93" customFormat="false" ht="15" hidden="false" customHeight="false" outlineLevel="0" collapsed="false">
      <c r="A93" s="3" t="s">
        <v>489</v>
      </c>
      <c r="B93" s="3" t="s">
        <v>490</v>
      </c>
      <c r="C93" s="3" t="s">
        <v>491</v>
      </c>
      <c r="D93" s="3" t="s">
        <v>97</v>
      </c>
      <c r="E93" s="3" t="s">
        <v>492</v>
      </c>
      <c r="F93" s="3" t="s">
        <v>487</v>
      </c>
      <c r="G93" s="3" t="s">
        <v>488</v>
      </c>
      <c r="H93" s="15" t="n">
        <v>39526.77</v>
      </c>
      <c r="I93" s="3" t="s">
        <v>43</v>
      </c>
    </row>
    <row r="94" customFormat="false" ht="15" hidden="false" customHeight="false" outlineLevel="0" collapsed="false">
      <c r="A94" s="16" t="s">
        <v>493</v>
      </c>
      <c r="B94" s="16" t="s">
        <v>494</v>
      </c>
      <c r="C94" s="16" t="s">
        <v>371</v>
      </c>
      <c r="D94" s="16" t="s">
        <v>39</v>
      </c>
      <c r="E94" s="16" t="s">
        <v>495</v>
      </c>
      <c r="F94" s="16" t="s">
        <v>496</v>
      </c>
      <c r="G94" s="16" t="s">
        <v>488</v>
      </c>
      <c r="H94" s="17" t="n">
        <v>12146.33</v>
      </c>
      <c r="I94" s="16" t="s">
        <v>43</v>
      </c>
    </row>
    <row r="95" customFormat="false" ht="15" hidden="false" customHeight="false" outlineLevel="0" collapsed="false">
      <c r="A95" s="3" t="s">
        <v>497</v>
      </c>
      <c r="B95" s="3" t="s">
        <v>498</v>
      </c>
      <c r="C95" s="3" t="s">
        <v>134</v>
      </c>
      <c r="D95" s="3" t="s">
        <v>268</v>
      </c>
      <c r="E95" s="3" t="s">
        <v>499</v>
      </c>
      <c r="F95" s="3" t="s">
        <v>500</v>
      </c>
      <c r="G95" s="3" t="s">
        <v>488</v>
      </c>
      <c r="H95" s="15" t="n">
        <v>37820.69</v>
      </c>
      <c r="I95" s="3" t="s">
        <v>43</v>
      </c>
    </row>
    <row r="96" customFormat="false" ht="15" hidden="false" customHeight="false" outlineLevel="0" collapsed="false">
      <c r="A96" s="16" t="s">
        <v>501</v>
      </c>
      <c r="B96" s="16" t="s">
        <v>502</v>
      </c>
      <c r="C96" s="16" t="s">
        <v>503</v>
      </c>
      <c r="D96" s="16" t="s">
        <v>226</v>
      </c>
      <c r="E96" s="16" t="s">
        <v>504</v>
      </c>
      <c r="F96" s="16" t="s">
        <v>505</v>
      </c>
      <c r="G96" s="16" t="s">
        <v>488</v>
      </c>
      <c r="H96" s="17" t="n">
        <v>103890.19</v>
      </c>
      <c r="I96" s="16" t="s">
        <v>43</v>
      </c>
    </row>
    <row r="97" customFormat="false" ht="15" hidden="false" customHeight="false" outlineLevel="0" collapsed="false">
      <c r="A97" s="3" t="s">
        <v>506</v>
      </c>
      <c r="B97" s="3" t="s">
        <v>366</v>
      </c>
      <c r="C97" s="3" t="s">
        <v>367</v>
      </c>
      <c r="D97" s="3" t="s">
        <v>67</v>
      </c>
      <c r="E97" s="3" t="s">
        <v>368</v>
      </c>
      <c r="F97" s="3" t="s">
        <v>505</v>
      </c>
      <c r="G97" s="3" t="s">
        <v>488</v>
      </c>
      <c r="H97" s="15" t="n">
        <v>422155.93</v>
      </c>
      <c r="I97" s="3" t="s">
        <v>43</v>
      </c>
    </row>
    <row r="98" customFormat="false" ht="15" hidden="false" customHeight="false" outlineLevel="0" collapsed="false">
      <c r="A98" s="16" t="s">
        <v>507</v>
      </c>
      <c r="B98" s="16" t="s">
        <v>508</v>
      </c>
      <c r="C98" s="16" t="s">
        <v>79</v>
      </c>
      <c r="D98" s="16" t="s">
        <v>485</v>
      </c>
      <c r="E98" s="16" t="s">
        <v>509</v>
      </c>
      <c r="F98" s="16" t="s">
        <v>510</v>
      </c>
      <c r="G98" s="16" t="s">
        <v>488</v>
      </c>
      <c r="H98" s="17" t="n">
        <v>42819.25</v>
      </c>
      <c r="I98" s="16" t="s">
        <v>43</v>
      </c>
    </row>
    <row r="99" customFormat="false" ht="15" hidden="false" customHeight="false" outlineLevel="0" collapsed="false">
      <c r="A99" s="3" t="s">
        <v>511</v>
      </c>
      <c r="B99" s="3" t="s">
        <v>512</v>
      </c>
      <c r="C99" s="3" t="s">
        <v>513</v>
      </c>
      <c r="D99" s="3" t="s">
        <v>62</v>
      </c>
      <c r="E99" s="3" t="s">
        <v>514</v>
      </c>
      <c r="F99" s="3" t="s">
        <v>515</v>
      </c>
      <c r="G99" s="3" t="s">
        <v>488</v>
      </c>
      <c r="H99" s="15" t="n">
        <v>84807.61</v>
      </c>
      <c r="I99" s="3" t="s">
        <v>43</v>
      </c>
    </row>
    <row r="100" customFormat="false" ht="15" hidden="false" customHeight="false" outlineLevel="0" collapsed="false">
      <c r="A100" s="16" t="s">
        <v>516</v>
      </c>
      <c r="B100" s="16" t="s">
        <v>517</v>
      </c>
      <c r="C100" s="16" t="s">
        <v>518</v>
      </c>
      <c r="D100" s="16" t="s">
        <v>128</v>
      </c>
      <c r="E100" s="16" t="s">
        <v>519</v>
      </c>
      <c r="F100" s="16" t="s">
        <v>520</v>
      </c>
      <c r="G100" s="16" t="s">
        <v>488</v>
      </c>
      <c r="H100" s="17" t="n">
        <v>31637.21</v>
      </c>
      <c r="I100" s="16" t="s">
        <v>43</v>
      </c>
    </row>
    <row r="101" customFormat="false" ht="15" hidden="false" customHeight="false" outlineLevel="0" collapsed="false">
      <c r="A101" s="3" t="s">
        <v>521</v>
      </c>
      <c r="B101" s="3" t="s">
        <v>443</v>
      </c>
      <c r="C101" s="3" t="s">
        <v>444</v>
      </c>
      <c r="D101" s="3" t="s">
        <v>128</v>
      </c>
      <c r="E101" s="3" t="s">
        <v>445</v>
      </c>
      <c r="F101" s="3" t="s">
        <v>522</v>
      </c>
      <c r="G101" s="3" t="s">
        <v>488</v>
      </c>
      <c r="H101" s="15" t="n">
        <v>20386.46</v>
      </c>
      <c r="I101" s="3" t="s">
        <v>43</v>
      </c>
    </row>
    <row r="102" customFormat="false" ht="15" hidden="false" customHeight="false" outlineLevel="0" collapsed="false">
      <c r="A102" s="16" t="s">
        <v>523</v>
      </c>
      <c r="B102" s="16" t="s">
        <v>524</v>
      </c>
      <c r="C102" s="16" t="s">
        <v>525</v>
      </c>
      <c r="D102" s="16" t="s">
        <v>140</v>
      </c>
      <c r="E102" s="16" t="s">
        <v>526</v>
      </c>
      <c r="F102" s="16" t="s">
        <v>527</v>
      </c>
      <c r="G102" s="16" t="s">
        <v>528</v>
      </c>
      <c r="H102" s="17" t="n">
        <v>45111.5</v>
      </c>
      <c r="I102" s="16" t="s">
        <v>43</v>
      </c>
    </row>
    <row r="103" customFormat="false" ht="15" hidden="false" customHeight="false" outlineLevel="0" collapsed="false">
      <c r="A103" s="3" t="s">
        <v>529</v>
      </c>
      <c r="B103" s="3" t="s">
        <v>530</v>
      </c>
      <c r="C103" s="3" t="s">
        <v>531</v>
      </c>
      <c r="D103" s="3" t="s">
        <v>80</v>
      </c>
      <c r="E103" s="3" t="s">
        <v>532</v>
      </c>
      <c r="F103" s="3" t="s">
        <v>533</v>
      </c>
      <c r="G103" s="3" t="s">
        <v>528</v>
      </c>
      <c r="H103" s="15" t="n">
        <v>249657.48</v>
      </c>
      <c r="I103" s="3" t="s">
        <v>43</v>
      </c>
    </row>
    <row r="104" customFormat="false" ht="15" hidden="false" customHeight="false" outlineLevel="0" collapsed="false">
      <c r="A104" s="16" t="s">
        <v>534</v>
      </c>
      <c r="B104" s="16" t="s">
        <v>535</v>
      </c>
      <c r="C104" s="16" t="s">
        <v>536</v>
      </c>
      <c r="D104" s="16" t="s">
        <v>151</v>
      </c>
      <c r="E104" s="16" t="s">
        <v>537</v>
      </c>
      <c r="F104" s="16" t="s">
        <v>538</v>
      </c>
      <c r="G104" s="16" t="s">
        <v>528</v>
      </c>
      <c r="H104" s="17" t="n">
        <v>30901.36</v>
      </c>
      <c r="I104" s="16" t="s">
        <v>43</v>
      </c>
    </row>
    <row r="105" customFormat="false" ht="15" hidden="false" customHeight="false" outlineLevel="0" collapsed="false">
      <c r="A105" s="3" t="s">
        <v>539</v>
      </c>
      <c r="B105" s="3" t="s">
        <v>540</v>
      </c>
      <c r="C105" s="3" t="s">
        <v>541</v>
      </c>
      <c r="D105" s="3" t="s">
        <v>208</v>
      </c>
      <c r="E105" s="3" t="s">
        <v>542</v>
      </c>
      <c r="F105" s="3" t="s">
        <v>543</v>
      </c>
      <c r="G105" s="3" t="s">
        <v>528</v>
      </c>
      <c r="H105" s="15" t="n">
        <v>101407.97</v>
      </c>
      <c r="I105" s="3" t="s">
        <v>43</v>
      </c>
    </row>
    <row r="106" customFormat="false" ht="15" hidden="false" customHeight="false" outlineLevel="0" collapsed="false">
      <c r="A106" s="16" t="s">
        <v>544</v>
      </c>
      <c r="B106" s="16" t="s">
        <v>408</v>
      </c>
      <c r="C106" s="16" t="s">
        <v>409</v>
      </c>
      <c r="D106" s="16" t="s">
        <v>410</v>
      </c>
      <c r="E106" s="16" t="s">
        <v>411</v>
      </c>
      <c r="F106" s="16" t="s">
        <v>545</v>
      </c>
      <c r="G106" s="16" t="s">
        <v>546</v>
      </c>
      <c r="H106" s="17" t="n">
        <v>146933.94</v>
      </c>
      <c r="I106" s="16" t="s">
        <v>58</v>
      </c>
    </row>
    <row r="107" customFormat="false" ht="15" hidden="false" customHeight="false" outlineLevel="0" collapsed="false">
      <c r="A107" s="3" t="s">
        <v>547</v>
      </c>
      <c r="B107" s="3" t="s">
        <v>548</v>
      </c>
      <c r="C107" s="3" t="s">
        <v>549</v>
      </c>
      <c r="D107" s="3" t="s">
        <v>477</v>
      </c>
      <c r="E107" s="3" t="s">
        <v>550</v>
      </c>
      <c r="F107" s="3" t="s">
        <v>551</v>
      </c>
      <c r="G107" s="3" t="s">
        <v>546</v>
      </c>
      <c r="H107" s="15" t="n">
        <v>40818.8</v>
      </c>
      <c r="I107" s="3" t="s">
        <v>58</v>
      </c>
    </row>
    <row r="108" customFormat="false" ht="15" hidden="false" customHeight="false" outlineLevel="0" collapsed="false">
      <c r="A108" s="16" t="s">
        <v>552</v>
      </c>
      <c r="B108" s="16" t="s">
        <v>553</v>
      </c>
      <c r="C108" s="16" t="s">
        <v>169</v>
      </c>
      <c r="D108" s="16" t="s">
        <v>175</v>
      </c>
      <c r="E108" s="16" t="s">
        <v>554</v>
      </c>
      <c r="F108" s="16" t="s">
        <v>555</v>
      </c>
      <c r="G108" s="16" t="s">
        <v>546</v>
      </c>
      <c r="H108" s="17" t="n">
        <v>10670.4</v>
      </c>
      <c r="I108" s="16" t="s">
        <v>43</v>
      </c>
    </row>
    <row r="109" customFormat="false" ht="15" hidden="false" customHeight="false" outlineLevel="0" collapsed="false">
      <c r="A109" s="3" t="s">
        <v>556</v>
      </c>
      <c r="B109" s="3" t="s">
        <v>557</v>
      </c>
      <c r="C109" s="3" t="s">
        <v>558</v>
      </c>
      <c r="D109" s="3" t="s">
        <v>175</v>
      </c>
      <c r="E109" s="3" t="s">
        <v>559</v>
      </c>
      <c r="F109" s="3" t="s">
        <v>560</v>
      </c>
      <c r="G109" s="3" t="s">
        <v>561</v>
      </c>
      <c r="H109" s="15" t="n">
        <v>16361.18</v>
      </c>
      <c r="I109" s="3" t="s">
        <v>43</v>
      </c>
    </row>
    <row r="110" customFormat="false" ht="15" hidden="false" customHeight="false" outlineLevel="0" collapsed="false">
      <c r="A110" s="16" t="s">
        <v>562</v>
      </c>
      <c r="B110" s="16" t="s">
        <v>563</v>
      </c>
      <c r="C110" s="16" t="s">
        <v>564</v>
      </c>
      <c r="D110" s="16" t="s">
        <v>336</v>
      </c>
      <c r="E110" s="16" t="s">
        <v>565</v>
      </c>
      <c r="F110" s="16" t="s">
        <v>566</v>
      </c>
      <c r="G110" s="16" t="s">
        <v>561</v>
      </c>
      <c r="H110" s="17" t="n">
        <v>30095.1</v>
      </c>
      <c r="I110" s="16" t="s">
        <v>43</v>
      </c>
    </row>
    <row r="111" customFormat="false" ht="15" hidden="false" customHeight="false" outlineLevel="0" collapsed="false">
      <c r="A111" s="3" t="s">
        <v>567</v>
      </c>
      <c r="B111" s="3" t="s">
        <v>568</v>
      </c>
      <c r="C111" s="3" t="s">
        <v>38</v>
      </c>
      <c r="D111" s="3" t="s">
        <v>91</v>
      </c>
      <c r="E111" s="3" t="s">
        <v>569</v>
      </c>
      <c r="F111" s="3" t="s">
        <v>570</v>
      </c>
      <c r="G111" s="3" t="s">
        <v>561</v>
      </c>
      <c r="H111" s="15" t="n">
        <v>414785.28</v>
      </c>
      <c r="I111" s="3" t="s">
        <v>43</v>
      </c>
    </row>
    <row r="112" customFormat="false" ht="15" hidden="false" customHeight="false" outlineLevel="0" collapsed="false">
      <c r="A112" s="16" t="s">
        <v>571</v>
      </c>
      <c r="B112" s="16" t="s">
        <v>572</v>
      </c>
      <c r="C112" s="16" t="s">
        <v>573</v>
      </c>
      <c r="D112" s="16" t="s">
        <v>330</v>
      </c>
      <c r="E112" s="16" t="s">
        <v>574</v>
      </c>
      <c r="F112" s="16" t="s">
        <v>575</v>
      </c>
      <c r="G112" s="16" t="s">
        <v>561</v>
      </c>
      <c r="H112" s="17" t="n">
        <v>28217.97</v>
      </c>
      <c r="I112" s="16" t="s">
        <v>58</v>
      </c>
    </row>
    <row r="113" customFormat="false" ht="15" hidden="false" customHeight="false" outlineLevel="0" collapsed="false">
      <c r="A113" s="3" t="s">
        <v>576</v>
      </c>
      <c r="B113" s="3" t="s">
        <v>577</v>
      </c>
      <c r="C113" s="3" t="s">
        <v>578</v>
      </c>
      <c r="D113" s="3" t="s">
        <v>163</v>
      </c>
      <c r="E113" s="3" t="s">
        <v>579</v>
      </c>
      <c r="F113" s="3" t="s">
        <v>580</v>
      </c>
      <c r="G113" s="3" t="s">
        <v>561</v>
      </c>
      <c r="H113" s="15" t="n">
        <v>8423.38</v>
      </c>
      <c r="I113" s="3" t="s">
        <v>43</v>
      </c>
    </row>
    <row r="114" customFormat="false" ht="15" hidden="false" customHeight="false" outlineLevel="0" collapsed="false">
      <c r="A114" s="16" t="s">
        <v>581</v>
      </c>
      <c r="B114" s="16" t="s">
        <v>582</v>
      </c>
      <c r="C114" s="16" t="s">
        <v>583</v>
      </c>
      <c r="D114" s="16" t="s">
        <v>584</v>
      </c>
      <c r="E114" s="16" t="s">
        <v>585</v>
      </c>
      <c r="F114" s="16" t="s">
        <v>586</v>
      </c>
      <c r="G114" s="16" t="s">
        <v>561</v>
      </c>
      <c r="H114" s="17" t="n">
        <v>330032.42</v>
      </c>
      <c r="I114" s="16" t="s">
        <v>43</v>
      </c>
    </row>
    <row r="115" customFormat="false" ht="15" hidden="false" customHeight="false" outlineLevel="0" collapsed="false">
      <c r="A115" s="3" t="s">
        <v>587</v>
      </c>
      <c r="B115" s="3" t="s">
        <v>588</v>
      </c>
      <c r="C115" s="3" t="s">
        <v>589</v>
      </c>
      <c r="D115" s="3" t="s">
        <v>590</v>
      </c>
      <c r="E115" s="3" t="s">
        <v>591</v>
      </c>
      <c r="F115" s="3" t="s">
        <v>592</v>
      </c>
      <c r="G115" s="3" t="s">
        <v>561</v>
      </c>
      <c r="H115" s="15" t="n">
        <v>26004.6</v>
      </c>
      <c r="I115" s="3" t="s">
        <v>43</v>
      </c>
    </row>
    <row r="116" customFormat="false" ht="15" hidden="false" customHeight="false" outlineLevel="0" collapsed="false">
      <c r="A116" s="16" t="s">
        <v>593</v>
      </c>
      <c r="B116" s="16" t="s">
        <v>594</v>
      </c>
      <c r="C116" s="16" t="s">
        <v>595</v>
      </c>
      <c r="D116" s="16" t="s">
        <v>39</v>
      </c>
      <c r="E116" s="16" t="s">
        <v>596</v>
      </c>
      <c r="F116" s="16" t="s">
        <v>597</v>
      </c>
      <c r="G116" s="16" t="s">
        <v>598</v>
      </c>
      <c r="H116" s="17" t="n">
        <v>36890.88</v>
      </c>
      <c r="I116" s="16" t="s">
        <v>43</v>
      </c>
    </row>
    <row r="117" customFormat="false" ht="15" hidden="false" customHeight="false" outlineLevel="0" collapsed="false">
      <c r="A117" s="3" t="s">
        <v>599</v>
      </c>
      <c r="B117" s="3" t="s">
        <v>600</v>
      </c>
      <c r="C117" s="3" t="s">
        <v>601</v>
      </c>
      <c r="D117" s="3" t="s">
        <v>208</v>
      </c>
      <c r="E117" s="3" t="s">
        <v>602</v>
      </c>
      <c r="F117" s="3" t="s">
        <v>603</v>
      </c>
      <c r="G117" s="3" t="s">
        <v>598</v>
      </c>
      <c r="H117" s="15" t="n">
        <v>198782.39</v>
      </c>
      <c r="I117" s="3" t="s">
        <v>43</v>
      </c>
    </row>
    <row r="118" customFormat="false" ht="15" hidden="false" customHeight="false" outlineLevel="0" collapsed="false">
      <c r="A118" s="16" t="s">
        <v>604</v>
      </c>
      <c r="B118" s="16" t="s">
        <v>605</v>
      </c>
      <c r="C118" s="16" t="s">
        <v>606</v>
      </c>
      <c r="D118" s="16" t="s">
        <v>607</v>
      </c>
      <c r="E118" s="16" t="s">
        <v>608</v>
      </c>
      <c r="F118" s="16" t="s">
        <v>609</v>
      </c>
      <c r="G118" s="16" t="s">
        <v>610</v>
      </c>
      <c r="H118" s="17" t="n">
        <v>29538.86</v>
      </c>
      <c r="I118" s="16" t="s">
        <v>43</v>
      </c>
    </row>
    <row r="119" customFormat="false" ht="15" hidden="false" customHeight="false" outlineLevel="0" collapsed="false">
      <c r="A119" s="3" t="s">
        <v>611</v>
      </c>
      <c r="B119" s="3" t="s">
        <v>612</v>
      </c>
      <c r="C119" s="3" t="s">
        <v>549</v>
      </c>
      <c r="D119" s="3" t="s">
        <v>613</v>
      </c>
      <c r="E119" s="3" t="s">
        <v>614</v>
      </c>
      <c r="F119" s="3" t="s">
        <v>615</v>
      </c>
      <c r="G119" s="3" t="s">
        <v>610</v>
      </c>
      <c r="H119" s="15" t="n">
        <v>22111.24</v>
      </c>
      <c r="I119" s="3" t="s">
        <v>43</v>
      </c>
    </row>
    <row r="120" customFormat="false" ht="15" hidden="false" customHeight="false" outlineLevel="0" collapsed="false">
      <c r="A120" s="16" t="s">
        <v>616</v>
      </c>
      <c r="B120" s="16" t="s">
        <v>557</v>
      </c>
      <c r="C120" s="16" t="s">
        <v>558</v>
      </c>
      <c r="D120" s="16" t="s">
        <v>175</v>
      </c>
      <c r="E120" s="16" t="s">
        <v>559</v>
      </c>
      <c r="F120" s="16" t="s">
        <v>617</v>
      </c>
      <c r="G120" s="16" t="s">
        <v>610</v>
      </c>
      <c r="H120" s="17" t="n">
        <v>16580.6</v>
      </c>
      <c r="I120" s="16" t="s">
        <v>58</v>
      </c>
    </row>
    <row r="121" customFormat="false" ht="15" hidden="false" customHeight="false" outlineLevel="0" collapsed="false">
      <c r="A121" s="3" t="s">
        <v>618</v>
      </c>
      <c r="B121" s="3" t="s">
        <v>619</v>
      </c>
      <c r="C121" s="3" t="s">
        <v>620</v>
      </c>
      <c r="D121" s="3" t="s">
        <v>410</v>
      </c>
      <c r="E121" s="3" t="s">
        <v>621</v>
      </c>
      <c r="F121" s="3" t="s">
        <v>622</v>
      </c>
      <c r="G121" s="3" t="s">
        <v>610</v>
      </c>
      <c r="H121" s="15" t="n">
        <v>55401.27</v>
      </c>
      <c r="I121" s="3" t="s">
        <v>43</v>
      </c>
    </row>
    <row r="122" customFormat="false" ht="15" hidden="false" customHeight="false" outlineLevel="0" collapsed="false">
      <c r="A122" s="16" t="s">
        <v>623</v>
      </c>
      <c r="B122" s="16" t="s">
        <v>624</v>
      </c>
      <c r="C122" s="16" t="s">
        <v>625</v>
      </c>
      <c r="D122" s="16" t="s">
        <v>485</v>
      </c>
      <c r="E122" s="16" t="s">
        <v>626</v>
      </c>
      <c r="F122" s="16" t="s">
        <v>627</v>
      </c>
      <c r="G122" s="16" t="s">
        <v>628</v>
      </c>
      <c r="H122" s="17" t="n">
        <v>17608.9</v>
      </c>
      <c r="I122" s="16" t="s">
        <v>43</v>
      </c>
    </row>
    <row r="123" customFormat="false" ht="15" hidden="false" customHeight="false" outlineLevel="0" collapsed="false">
      <c r="A123" s="3" t="s">
        <v>629</v>
      </c>
      <c r="B123" s="3" t="s">
        <v>630</v>
      </c>
      <c r="C123" s="3" t="s">
        <v>631</v>
      </c>
      <c r="D123" s="3" t="s">
        <v>62</v>
      </c>
      <c r="E123" s="3" t="s">
        <v>632</v>
      </c>
      <c r="F123" s="3" t="s">
        <v>633</v>
      </c>
      <c r="G123" s="3" t="s">
        <v>628</v>
      </c>
      <c r="H123" s="15" t="n">
        <v>27387.08</v>
      </c>
      <c r="I123" s="3" t="s">
        <v>43</v>
      </c>
    </row>
    <row r="124" customFormat="false" ht="15" hidden="false" customHeight="false" outlineLevel="0" collapsed="false">
      <c r="A124" s="16" t="s">
        <v>634</v>
      </c>
      <c r="B124" s="16" t="s">
        <v>635</v>
      </c>
      <c r="C124" s="16" t="s">
        <v>636</v>
      </c>
      <c r="D124" s="16" t="s">
        <v>390</v>
      </c>
      <c r="E124" s="16" t="s">
        <v>637</v>
      </c>
      <c r="F124" s="16" t="s">
        <v>638</v>
      </c>
      <c r="G124" s="16" t="s">
        <v>639</v>
      </c>
      <c r="H124" s="17" t="n">
        <v>17631.05</v>
      </c>
      <c r="I124" s="16" t="s">
        <v>43</v>
      </c>
    </row>
    <row r="125" customFormat="false" ht="15" hidden="false" customHeight="false" outlineLevel="0" collapsed="false">
      <c r="A125" s="18" t="s">
        <v>640</v>
      </c>
      <c r="H125" s="19" t="n">
        <f aca="false">SUM(H5:H124)</f>
        <v>12891263.97</v>
      </c>
    </row>
  </sheetData>
  <autoFilter ref="A4:I1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8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641</v>
      </c>
    </row>
    <row r="2" customFormat="false" ht="15" hidden="false" customHeight="false" outlineLevel="0" collapsed="false">
      <c r="A2" s="4" t="s">
        <v>642</v>
      </c>
    </row>
    <row r="4" customFormat="false" ht="15" hidden="false" customHeight="false" outlineLevel="0" collapsed="false">
      <c r="A4" s="5" t="s">
        <v>33</v>
      </c>
      <c r="B4" s="5" t="s">
        <v>643</v>
      </c>
      <c r="C4" s="5" t="s">
        <v>644</v>
      </c>
      <c r="D4" s="5" t="s">
        <v>645</v>
      </c>
    </row>
    <row r="5" customFormat="false" ht="15" hidden="false" customHeight="false" outlineLevel="0" collapsed="false">
      <c r="A5" s="6" t="s">
        <v>42</v>
      </c>
      <c r="B5" s="6" t="n">
        <f aca="false">COUNTIF('Claims Register'!$G$5:$G$124,"2025-09")</f>
        <v>1</v>
      </c>
      <c r="C5" s="9" t="n">
        <f aca="false">SUMIF('Claims Register'!$G$5:$G$124,"2025-09",'Claims Register'!$H$5:$H$124)</f>
        <v>24244.84</v>
      </c>
      <c r="D5" s="9" t="n">
        <f aca="false">SUM($C$5:C5)</f>
        <v>24244.84</v>
      </c>
    </row>
    <row r="6" customFormat="false" ht="15" hidden="false" customHeight="false" outlineLevel="0" collapsed="false">
      <c r="A6" s="6" t="s">
        <v>50</v>
      </c>
      <c r="B6" s="6" t="n">
        <f aca="false">COUNTIF('Claims Register'!$G$5:$G$124,"2025-10")</f>
        <v>1</v>
      </c>
      <c r="C6" s="9" t="n">
        <f aca="false">SUMIF('Claims Register'!$G$5:$G$124,"2025-10",'Claims Register'!$H$5:$H$124)</f>
        <v>200145.41</v>
      </c>
      <c r="D6" s="9" t="n">
        <f aca="false">SUM($C$5:C6)</f>
        <v>224390.25</v>
      </c>
    </row>
    <row r="7" customFormat="false" ht="15" hidden="false" customHeight="false" outlineLevel="0" collapsed="false">
      <c r="A7" s="6" t="s">
        <v>57</v>
      </c>
      <c r="B7" s="6" t="n">
        <f aca="false">COUNTIF('Claims Register'!$G$5:$G$124,"2025-11")</f>
        <v>3</v>
      </c>
      <c r="C7" s="9" t="n">
        <f aca="false">SUMIF('Claims Register'!$G$5:$G$124,"2025-11",'Claims Register'!$H$5:$H$124)</f>
        <v>71831.08</v>
      </c>
      <c r="D7" s="9" t="n">
        <f aca="false">SUM($C$5:C7)</f>
        <v>296221.33</v>
      </c>
    </row>
    <row r="8" customFormat="false" ht="15" hidden="false" customHeight="false" outlineLevel="0" collapsed="false">
      <c r="A8" s="6" t="s">
        <v>76</v>
      </c>
      <c r="B8" s="6" t="n">
        <f aca="false">COUNTIF('Claims Register'!$G$5:$G$124,"2025-12")</f>
        <v>4</v>
      </c>
      <c r="C8" s="9" t="n">
        <f aca="false">SUMIF('Claims Register'!$G$5:$G$124,"2025-12",'Claims Register'!$H$5:$H$124)</f>
        <v>1364438.47</v>
      </c>
      <c r="D8" s="9" t="n">
        <f aca="false">SUM($C$5:C8)</f>
        <v>1660659.8</v>
      </c>
    </row>
    <row r="9" customFormat="false" ht="15" hidden="false" customHeight="false" outlineLevel="0" collapsed="false">
      <c r="A9" s="6" t="s">
        <v>100</v>
      </c>
      <c r="B9" s="6" t="n">
        <f aca="false">COUNTIF('Claims Register'!$G$5:$G$124,"2026-01")</f>
        <v>6</v>
      </c>
      <c r="C9" s="9" t="n">
        <f aca="false">SUMIF('Claims Register'!$G$5:$G$124,"2026-01",'Claims Register'!$H$5:$H$124)</f>
        <v>679596.11</v>
      </c>
      <c r="D9" s="9" t="n">
        <f aca="false">SUM($C$5:C9)</f>
        <v>2340255.91</v>
      </c>
    </row>
    <row r="10" customFormat="false" ht="15" hidden="false" customHeight="false" outlineLevel="0" collapsed="false">
      <c r="A10" s="6" t="s">
        <v>131</v>
      </c>
      <c r="B10" s="6" t="n">
        <f aca="false">COUNTIF('Claims Register'!$G$5:$G$124,"2026-02")</f>
        <v>6</v>
      </c>
      <c r="C10" s="9" t="n">
        <f aca="false">SUMIF('Claims Register'!$G$5:$G$124,"2026-02",'Claims Register'!$H$5:$H$124)</f>
        <v>667127.94</v>
      </c>
      <c r="D10" s="9" t="n">
        <f aca="false">SUM($C$5:C10)</f>
        <v>3007383.85</v>
      </c>
    </row>
    <row r="11" customFormat="false" ht="15" hidden="false" customHeight="false" outlineLevel="0" collapsed="false">
      <c r="A11" s="6" t="s">
        <v>166</v>
      </c>
      <c r="B11" s="6" t="n">
        <f aca="false">COUNTIF('Claims Register'!$G$5:$G$124,"2026-03")</f>
        <v>9</v>
      </c>
      <c r="C11" s="9" t="n">
        <f aca="false">SUMIF('Claims Register'!$G$5:$G$124,"2026-03",'Claims Register'!$H$5:$H$124)</f>
        <v>1334714.55</v>
      </c>
      <c r="D11" s="9" t="n">
        <f aca="false">SUM($C$5:C11)</f>
        <v>4342098.4</v>
      </c>
    </row>
    <row r="12" customFormat="false" ht="15" hidden="false" customHeight="false" outlineLevel="0" collapsed="false">
      <c r="A12" s="6" t="s">
        <v>211</v>
      </c>
      <c r="B12" s="6" t="n">
        <f aca="false">COUNTIF('Claims Register'!$G$5:$G$124,"2026-04")</f>
        <v>15</v>
      </c>
      <c r="C12" s="9" t="n">
        <f aca="false">SUMIF('Claims Register'!$G$5:$G$124,"2026-04",'Claims Register'!$H$5:$H$124)</f>
        <v>597428.49</v>
      </c>
      <c r="D12" s="9" t="n">
        <f aca="false">SUM($C$5:C12)</f>
        <v>4939526.89</v>
      </c>
    </row>
    <row r="13" customFormat="false" ht="15" hidden="false" customHeight="false" outlineLevel="0" collapsed="false">
      <c r="A13" s="6" t="s">
        <v>292</v>
      </c>
      <c r="B13" s="6" t="n">
        <f aca="false">COUNTIF('Claims Register'!$G$5:$G$124,"2026-05")</f>
        <v>4</v>
      </c>
      <c r="C13" s="9" t="n">
        <f aca="false">SUMIF('Claims Register'!$G$5:$G$124,"2026-05",'Claims Register'!$H$5:$H$124)</f>
        <v>877698.88</v>
      </c>
      <c r="D13" s="9" t="n">
        <f aca="false">SUM($C$5:C13)</f>
        <v>5817225.77</v>
      </c>
    </row>
    <row r="14" customFormat="false" ht="15" hidden="false" customHeight="false" outlineLevel="0" collapsed="false">
      <c r="A14" s="6" t="s">
        <v>306</v>
      </c>
      <c r="B14" s="6" t="n">
        <f aca="false">COUNTIF('Claims Register'!$G$5:$G$124,"2026-06")</f>
        <v>12</v>
      </c>
      <c r="C14" s="9" t="n">
        <f aca="false">SUMIF('Claims Register'!$G$5:$G$124,"2026-06",'Claims Register'!$H$5:$H$124)</f>
        <v>825349.94</v>
      </c>
      <c r="D14" s="9" t="n">
        <f aca="false">SUM($C$5:C14)</f>
        <v>6642575.71</v>
      </c>
    </row>
    <row r="15" customFormat="false" ht="15" hidden="false" customHeight="false" outlineLevel="0" collapsed="false">
      <c r="A15" s="6" t="s">
        <v>364</v>
      </c>
      <c r="B15" s="6" t="n">
        <f aca="false">COUNTIF('Claims Register'!$G$5:$G$124,"2026-07")</f>
        <v>11</v>
      </c>
      <c r="C15" s="9" t="n">
        <f aca="false">SUMIF('Claims Register'!$G$5:$G$124,"2026-07",'Claims Register'!$H$5:$H$124)</f>
        <v>1153014.8</v>
      </c>
      <c r="D15" s="9" t="n">
        <f aca="false">SUM($C$5:C15)</f>
        <v>7795590.51</v>
      </c>
    </row>
    <row r="16" customFormat="false" ht="15" hidden="false" customHeight="false" outlineLevel="0" collapsed="false">
      <c r="A16" s="6" t="s">
        <v>413</v>
      </c>
      <c r="B16" s="6" t="n">
        <f aca="false">COUNTIF('Claims Register'!$G$5:$G$124,"2026-08")</f>
        <v>5</v>
      </c>
      <c r="C16" s="9" t="n">
        <f aca="false">SUMIF('Claims Register'!$G$5:$G$124,"2026-08",'Claims Register'!$H$5:$H$124)</f>
        <v>424804.16</v>
      </c>
      <c r="D16" s="9" t="n">
        <f aca="false">SUM($C$5:C16)</f>
        <v>8220394.67</v>
      </c>
    </row>
    <row r="17" customFormat="false" ht="15" hidden="false" customHeight="false" outlineLevel="0" collapsed="false">
      <c r="A17" s="6" t="s">
        <v>439</v>
      </c>
      <c r="B17" s="6" t="n">
        <f aca="false">COUNTIF('Claims Register'!$G$5:$G$124,"2026-09")</f>
        <v>10</v>
      </c>
      <c r="C17" s="9" t="n">
        <f aca="false">SUMIF('Claims Register'!$G$5:$G$124,"2026-09",'Claims Register'!$H$5:$H$124)</f>
        <v>1451582.12</v>
      </c>
      <c r="D17" s="9" t="n">
        <f aca="false">SUM($C$5:C17)</f>
        <v>9671976.79</v>
      </c>
    </row>
    <row r="18" customFormat="false" ht="15" hidden="false" customHeight="false" outlineLevel="0" collapsed="false">
      <c r="A18" s="6" t="s">
        <v>488</v>
      </c>
      <c r="B18" s="6" t="n">
        <f aca="false">COUNTIF('Claims Register'!$G$5:$G$124,"2026-10")</f>
        <v>10</v>
      </c>
      <c r="C18" s="9" t="n">
        <f aca="false">SUMIF('Claims Register'!$G$5:$G$124,"2026-10",'Claims Register'!$H$5:$H$124)</f>
        <v>1317933.53</v>
      </c>
      <c r="D18" s="9" t="n">
        <f aca="false">SUM($C$5:C18)</f>
        <v>10989910.32</v>
      </c>
    </row>
    <row r="19" customFormat="false" ht="15" hidden="false" customHeight="false" outlineLevel="0" collapsed="false">
      <c r="A19" s="6" t="s">
        <v>528</v>
      </c>
      <c r="B19" s="6" t="n">
        <f aca="false">COUNTIF('Claims Register'!$G$5:$G$124,"2026-11")</f>
        <v>4</v>
      </c>
      <c r="C19" s="9" t="n">
        <f aca="false">SUMIF('Claims Register'!$G$5:$G$124,"2026-11",'Claims Register'!$H$5:$H$124)</f>
        <v>427078.31</v>
      </c>
      <c r="D19" s="9" t="n">
        <f aca="false">SUM($C$5:C19)</f>
        <v>11416988.63</v>
      </c>
    </row>
    <row r="20" customFormat="false" ht="15" hidden="false" customHeight="false" outlineLevel="0" collapsed="false">
      <c r="A20" s="6" t="s">
        <v>546</v>
      </c>
      <c r="B20" s="6" t="n">
        <f aca="false">COUNTIF('Claims Register'!$G$5:$G$124,"2026-12")</f>
        <v>3</v>
      </c>
      <c r="C20" s="9" t="n">
        <f aca="false">SUMIF('Claims Register'!$G$5:$G$124,"2026-12",'Claims Register'!$H$5:$H$124)</f>
        <v>198423.14</v>
      </c>
      <c r="D20" s="9" t="n">
        <f aca="false">SUM($C$5:C20)</f>
        <v>11615411.77</v>
      </c>
    </row>
    <row r="21" customFormat="false" ht="15" hidden="false" customHeight="false" outlineLevel="0" collapsed="false">
      <c r="A21" s="6" t="s">
        <v>561</v>
      </c>
      <c r="B21" s="6" t="n">
        <f aca="false">COUNTIF('Claims Register'!$G$5:$G$124,"2027-01")</f>
        <v>7</v>
      </c>
      <c r="C21" s="9" t="n">
        <f aca="false">SUMIF('Claims Register'!$G$5:$G$124,"2027-01",'Claims Register'!$H$5:$H$124)</f>
        <v>853919.93</v>
      </c>
      <c r="D21" s="9" t="n">
        <f aca="false">SUM($C$5:C21)</f>
        <v>12469331.7</v>
      </c>
    </row>
    <row r="22" customFormat="false" ht="15" hidden="false" customHeight="false" outlineLevel="0" collapsed="false">
      <c r="A22" s="6" t="s">
        <v>598</v>
      </c>
      <c r="B22" s="6" t="n">
        <f aca="false">COUNTIF('Claims Register'!$G$5:$G$124,"2027-02")</f>
        <v>2</v>
      </c>
      <c r="C22" s="9" t="n">
        <f aca="false">SUMIF('Claims Register'!$G$5:$G$124,"2027-02",'Claims Register'!$H$5:$H$124)</f>
        <v>235673.27</v>
      </c>
      <c r="D22" s="9" t="n">
        <f aca="false">SUM($C$5:C22)</f>
        <v>12705004.97</v>
      </c>
    </row>
    <row r="23" customFormat="false" ht="15" hidden="false" customHeight="false" outlineLevel="0" collapsed="false">
      <c r="A23" s="6" t="s">
        <v>610</v>
      </c>
      <c r="B23" s="6" t="n">
        <f aca="false">COUNTIF('Claims Register'!$G$5:$G$124,"2027-03")</f>
        <v>4</v>
      </c>
      <c r="C23" s="9" t="n">
        <f aca="false">SUMIF('Claims Register'!$G$5:$G$124,"2027-03",'Claims Register'!$H$5:$H$124)</f>
        <v>123631.97</v>
      </c>
      <c r="D23" s="9" t="n">
        <f aca="false">SUM($C$5:C23)</f>
        <v>12828636.94</v>
      </c>
    </row>
    <row r="24" customFormat="false" ht="15" hidden="false" customHeight="false" outlineLevel="0" collapsed="false">
      <c r="A24" s="6" t="s">
        <v>628</v>
      </c>
      <c r="B24" s="6" t="n">
        <f aca="false">COUNTIF('Claims Register'!$G$5:$G$124,"2027-04")</f>
        <v>2</v>
      </c>
      <c r="C24" s="9" t="n">
        <f aca="false">SUMIF('Claims Register'!$G$5:$G$124,"2027-04",'Claims Register'!$H$5:$H$124)</f>
        <v>44995.98</v>
      </c>
      <c r="D24" s="9" t="n">
        <f aca="false">SUM($C$5:C24)</f>
        <v>12873632.92</v>
      </c>
    </row>
    <row r="25" customFormat="false" ht="15" hidden="false" customHeight="false" outlineLevel="0" collapsed="false">
      <c r="A25" s="6" t="s">
        <v>639</v>
      </c>
      <c r="B25" s="6" t="n">
        <f aca="false">COUNTIF('Claims Register'!$G$5:$G$124,"2027-05")</f>
        <v>1</v>
      </c>
      <c r="C25" s="9" t="n">
        <f aca="false">SUMIF('Claims Register'!$G$5:$G$124,"2027-05",'Claims Register'!$H$5:$H$124)</f>
        <v>17631.05</v>
      </c>
      <c r="D25" s="9" t="n">
        <f aca="false">SUM($C$5:C25)</f>
        <v>12891263.97</v>
      </c>
    </row>
    <row r="26" customFormat="false" ht="15" hidden="false" customHeight="false" outlineLevel="0" collapsed="false">
      <c r="A26" s="18" t="s">
        <v>646</v>
      </c>
      <c r="B26" s="18" t="n">
        <f aca="false">SUM(B5:B25)</f>
        <v>120</v>
      </c>
      <c r="C26" s="19" t="n">
        <f aca="false">SUM(C5:C25)</f>
        <v>12891263.97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2026-08-28T05:57:16Z</dcterms:created>
  <dc:creator>openpyxl</dc:creator>
  <dc:description/>
  <dc:language>en-US</dc:language>
  <cp:lastModifiedBy/>
  <dcterms:modified xsi:type="dcterms:W3CDTF">2026-08-28T05:57:16Z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